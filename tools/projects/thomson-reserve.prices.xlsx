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riciaong/Downloads/"/>
    </mc:Choice>
  </mc:AlternateContent>
  <xr:revisionPtr revIDLastSave="0" documentId="13_ncr:1_{5E98ACDB-4D7E-1149-92FE-9E341486740A}" xr6:coauthVersionLast="47" xr6:coauthVersionMax="47" xr10:uidLastSave="{00000000-0000-0000-0000-000000000000}"/>
  <bookViews>
    <workbookView xWindow="4320" yWindow="720" windowWidth="24300" windowHeight="13420" tabRatio="500" firstSheet="7" activeTab="14" xr2:uid="{00000000-000D-0000-FFFF-FFFF00000000}"/>
  </bookViews>
  <sheets>
    <sheet name="Read Me" sheetId="1" r:id="rId1"/>
    <sheet name="Summary" sheetId="2" r:id="rId2"/>
    <sheet name="All Units" sheetId="3" r:id="rId3"/>
    <sheet name="2BR" sheetId="4" r:id="rId4"/>
    <sheet name="2BR Premium" sheetId="5" r:id="rId5"/>
    <sheet name="2BR Premium + Study" sheetId="6" r:id="rId6"/>
    <sheet name="3BR" sheetId="7" r:id="rId7"/>
    <sheet name="3BR Premium" sheetId="8" r:id="rId8"/>
    <sheet name="3BR Premium + Study" sheetId="9" r:id="rId9"/>
    <sheet name="4BR" sheetId="10" r:id="rId10"/>
    <sheet name="4BR Premium (PL)" sheetId="11" r:id="rId11"/>
    <sheet name="4BR Premium + Study (PL)" sheetId="12" r:id="rId12"/>
    <sheet name="5BR Suite (PL)" sheetId="13" r:id="rId13"/>
    <sheet name="Developer Matrix" sheetId="14" r:id="rId14"/>
    <sheet name="Assumptions" sheetId="15" r:id="rId15"/>
  </sheets>
  <definedNames>
    <definedName name="_xlnm._FilterDatabase" localSheetId="2" hidden="1">'All Units'!$A$4:$T$1272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E181" i="15" l="1"/>
  <c r="AD181" i="15"/>
  <c r="AC181" i="15"/>
  <c r="W181" i="15"/>
  <c r="V181" i="15"/>
  <c r="U181" i="15"/>
  <c r="O181" i="15"/>
  <c r="L181" i="15"/>
  <c r="J181" i="15" s="1"/>
  <c r="K181" i="15"/>
  <c r="AE180" i="15"/>
  <c r="AD180" i="15"/>
  <c r="AC180" i="15"/>
  <c r="W180" i="15"/>
  <c r="V180" i="15"/>
  <c r="U180" i="15"/>
  <c r="P180" i="15"/>
  <c r="O180" i="15"/>
  <c r="L180" i="15"/>
  <c r="AH180" i="15" s="1"/>
  <c r="K180" i="15"/>
  <c r="J180" i="15"/>
  <c r="AE179" i="15"/>
  <c r="AD179" i="15"/>
  <c r="AC179" i="15"/>
  <c r="W179" i="15"/>
  <c r="V179" i="15"/>
  <c r="U179" i="15"/>
  <c r="P179" i="15"/>
  <c r="O179" i="15"/>
  <c r="L179" i="15"/>
  <c r="AH179" i="15" s="1"/>
  <c r="K179" i="15"/>
  <c r="AH178" i="15"/>
  <c r="AE178" i="15"/>
  <c r="AD178" i="15"/>
  <c r="AC178" i="15"/>
  <c r="W178" i="15"/>
  <c r="V178" i="15"/>
  <c r="U178" i="15"/>
  <c r="P178" i="15"/>
  <c r="O178" i="15"/>
  <c r="L178" i="15"/>
  <c r="K178" i="15"/>
  <c r="J178" i="15"/>
  <c r="AE177" i="15"/>
  <c r="AD177" i="15"/>
  <c r="AC177" i="15"/>
  <c r="W177" i="15"/>
  <c r="V177" i="15"/>
  <c r="U177" i="15"/>
  <c r="P177" i="15"/>
  <c r="O177" i="15"/>
  <c r="L177" i="15"/>
  <c r="AH177" i="15" s="1"/>
  <c r="K177" i="15"/>
  <c r="J177" i="15"/>
  <c r="AH176" i="15"/>
  <c r="AE176" i="15"/>
  <c r="AD176" i="15"/>
  <c r="AC176" i="15"/>
  <c r="W176" i="15"/>
  <c r="V176" i="15"/>
  <c r="U176" i="15"/>
  <c r="P176" i="15"/>
  <c r="O176" i="15"/>
  <c r="L176" i="15"/>
  <c r="J176" i="15" s="1"/>
  <c r="K176" i="15"/>
  <c r="AH175" i="15"/>
  <c r="AE175" i="15"/>
  <c r="AD175" i="15"/>
  <c r="AC175" i="15"/>
  <c r="W175" i="15"/>
  <c r="V175" i="15"/>
  <c r="U175" i="15"/>
  <c r="P175" i="15"/>
  <c r="O175" i="15"/>
  <c r="N175" i="15"/>
  <c r="L175" i="15"/>
  <c r="K175" i="15"/>
  <c r="J175" i="15"/>
  <c r="AE174" i="15"/>
  <c r="AD174" i="15"/>
  <c r="AC174" i="15"/>
  <c r="L174" i="15" s="1"/>
  <c r="W174" i="15"/>
  <c r="V174" i="15"/>
  <c r="U174" i="15"/>
  <c r="P174" i="15"/>
  <c r="O174" i="15"/>
  <c r="N174" i="15"/>
  <c r="K174" i="15"/>
  <c r="AH173" i="15"/>
  <c r="AE173" i="15"/>
  <c r="AD173" i="15"/>
  <c r="AC173" i="15"/>
  <c r="W173" i="15"/>
  <c r="V173" i="15"/>
  <c r="U173" i="15"/>
  <c r="P173" i="15"/>
  <c r="O173" i="15"/>
  <c r="N173" i="15"/>
  <c r="L173" i="15"/>
  <c r="K173" i="15"/>
  <c r="J173" i="15"/>
  <c r="AE172" i="15"/>
  <c r="AD172" i="15"/>
  <c r="AC172" i="15"/>
  <c r="W172" i="15"/>
  <c r="V172" i="15"/>
  <c r="U172" i="15"/>
  <c r="P172" i="15"/>
  <c r="O172" i="15"/>
  <c r="N172" i="15"/>
  <c r="AH172" i="15" s="1"/>
  <c r="L172" i="15"/>
  <c r="J172" i="15" s="1"/>
  <c r="K172" i="15"/>
  <c r="AH171" i="15"/>
  <c r="AE171" i="15"/>
  <c r="AD171" i="15"/>
  <c r="AC171" i="15"/>
  <c r="W171" i="15"/>
  <c r="V171" i="15"/>
  <c r="U171" i="15"/>
  <c r="P171" i="15"/>
  <c r="O171" i="15"/>
  <c r="N171" i="15"/>
  <c r="L171" i="15"/>
  <c r="K171" i="15"/>
  <c r="J171" i="15"/>
  <c r="AE170" i="15"/>
  <c r="AD170" i="15"/>
  <c r="AC170" i="15"/>
  <c r="W170" i="15"/>
  <c r="V170" i="15"/>
  <c r="U170" i="15"/>
  <c r="P170" i="15"/>
  <c r="O170" i="15"/>
  <c r="AM170" i="15" s="1"/>
  <c r="N170" i="15"/>
  <c r="L170" i="15"/>
  <c r="J170" i="15" s="1"/>
  <c r="K170" i="15"/>
  <c r="AL170" i="15" s="1"/>
  <c r="AH169" i="15"/>
  <c r="AE169" i="15"/>
  <c r="AD169" i="15"/>
  <c r="AC169" i="15"/>
  <c r="W169" i="15"/>
  <c r="V169" i="15"/>
  <c r="U169" i="15"/>
  <c r="P169" i="15"/>
  <c r="O169" i="15"/>
  <c r="N169" i="15"/>
  <c r="L169" i="15"/>
  <c r="K169" i="15"/>
  <c r="J169" i="15"/>
  <c r="AE168" i="15"/>
  <c r="AD168" i="15"/>
  <c r="AC168" i="15"/>
  <c r="W168" i="15"/>
  <c r="V168" i="15"/>
  <c r="U168" i="15"/>
  <c r="P168" i="15"/>
  <c r="O168" i="15"/>
  <c r="N168" i="15"/>
  <c r="L168" i="15"/>
  <c r="J168" i="15" s="1"/>
  <c r="K168" i="15"/>
  <c r="AH167" i="15"/>
  <c r="AE167" i="15"/>
  <c r="AD167" i="15"/>
  <c r="AC167" i="15"/>
  <c r="W167" i="15"/>
  <c r="V167" i="15"/>
  <c r="U167" i="15"/>
  <c r="P167" i="15"/>
  <c r="O167" i="15"/>
  <c r="N167" i="15"/>
  <c r="L167" i="15"/>
  <c r="K167" i="15"/>
  <c r="J167" i="15"/>
  <c r="AE166" i="15"/>
  <c r="AD166" i="15"/>
  <c r="AC166" i="15"/>
  <c r="L166" i="15" s="1"/>
  <c r="W166" i="15"/>
  <c r="V166" i="15"/>
  <c r="U166" i="15"/>
  <c r="P166" i="15"/>
  <c r="O166" i="15"/>
  <c r="AM166" i="15" s="1"/>
  <c r="N166" i="15"/>
  <c r="K166" i="15"/>
  <c r="AH165" i="15"/>
  <c r="AE165" i="15"/>
  <c r="AD165" i="15"/>
  <c r="AC165" i="15"/>
  <c r="W165" i="15"/>
  <c r="V165" i="15"/>
  <c r="U165" i="15"/>
  <c r="P165" i="15"/>
  <c r="O165" i="15"/>
  <c r="N165" i="15"/>
  <c r="L165" i="15"/>
  <c r="K165" i="15"/>
  <c r="J165" i="15"/>
  <c r="AE164" i="15"/>
  <c r="AD164" i="15"/>
  <c r="AC164" i="15"/>
  <c r="L164" i="15" s="1"/>
  <c r="W164" i="15"/>
  <c r="V164" i="15"/>
  <c r="U164" i="15"/>
  <c r="P164" i="15"/>
  <c r="O164" i="15"/>
  <c r="N164" i="15"/>
  <c r="K164" i="15"/>
  <c r="AH163" i="15"/>
  <c r="AE163" i="15"/>
  <c r="AD163" i="15"/>
  <c r="AC163" i="15"/>
  <c r="W163" i="15"/>
  <c r="V163" i="15"/>
  <c r="U163" i="15"/>
  <c r="P163" i="15"/>
  <c r="O163" i="15"/>
  <c r="L163" i="15"/>
  <c r="K163" i="15"/>
  <c r="J163" i="15"/>
  <c r="AM162" i="15"/>
  <c r="AE162" i="15"/>
  <c r="AD162" i="15"/>
  <c r="AC162" i="15"/>
  <c r="W162" i="15"/>
  <c r="V162" i="15"/>
  <c r="U162" i="15"/>
  <c r="P162" i="15"/>
  <c r="O162" i="15"/>
  <c r="N162" i="15"/>
  <c r="L162" i="15"/>
  <c r="AH162" i="15" s="1"/>
  <c r="K162" i="15"/>
  <c r="AH161" i="15"/>
  <c r="AE161" i="15"/>
  <c r="AD161" i="15"/>
  <c r="AC161" i="15"/>
  <c r="W161" i="15"/>
  <c r="V161" i="15"/>
  <c r="U161" i="15"/>
  <c r="P161" i="15"/>
  <c r="O161" i="15"/>
  <c r="N161" i="15"/>
  <c r="L161" i="15"/>
  <c r="K161" i="15"/>
  <c r="J161" i="15"/>
  <c r="AM160" i="15"/>
  <c r="AE160" i="15"/>
  <c r="AD160" i="15"/>
  <c r="AC160" i="15"/>
  <c r="W160" i="15"/>
  <c r="V160" i="15"/>
  <c r="U160" i="15"/>
  <c r="P160" i="15"/>
  <c r="O160" i="15"/>
  <c r="N160" i="15"/>
  <c r="L160" i="15"/>
  <c r="AH160" i="15" s="1"/>
  <c r="K160" i="15"/>
  <c r="AH159" i="15"/>
  <c r="AE159" i="15"/>
  <c r="AD159" i="15"/>
  <c r="AC159" i="15"/>
  <c r="W159" i="15"/>
  <c r="V159" i="15"/>
  <c r="U159" i="15"/>
  <c r="P159" i="15"/>
  <c r="O159" i="15"/>
  <c r="N159" i="15"/>
  <c r="L159" i="15"/>
  <c r="K159" i="15"/>
  <c r="J159" i="15"/>
  <c r="AM158" i="15"/>
  <c r="AE158" i="15"/>
  <c r="AD158" i="15"/>
  <c r="AC158" i="15"/>
  <c r="L158" i="15" s="1"/>
  <c r="W158" i="15"/>
  <c r="V158" i="15"/>
  <c r="U158" i="15"/>
  <c r="O158" i="15"/>
  <c r="K158" i="15"/>
  <c r="AL162" i="15" s="1"/>
  <c r="AE157" i="15"/>
  <c r="AD157" i="15"/>
  <c r="AC157" i="15"/>
  <c r="W157" i="15"/>
  <c r="V157" i="15"/>
  <c r="U157" i="15"/>
  <c r="O157" i="15"/>
  <c r="N157" i="15"/>
  <c r="AH157" i="15" s="1"/>
  <c r="L157" i="15"/>
  <c r="J157" i="15" s="1"/>
  <c r="K157" i="15"/>
  <c r="AL157" i="15" s="1"/>
  <c r="AH156" i="15"/>
  <c r="AE156" i="15"/>
  <c r="AD156" i="15"/>
  <c r="AC156" i="15"/>
  <c r="W156" i="15"/>
  <c r="V156" i="15"/>
  <c r="U156" i="15"/>
  <c r="O156" i="15"/>
  <c r="N156" i="15"/>
  <c r="L156" i="15"/>
  <c r="K156" i="15"/>
  <c r="J156" i="15"/>
  <c r="AM155" i="15"/>
  <c r="AE155" i="15"/>
  <c r="AD155" i="15"/>
  <c r="AC155" i="15"/>
  <c r="W155" i="15"/>
  <c r="V155" i="15"/>
  <c r="U155" i="15"/>
  <c r="O155" i="15"/>
  <c r="N155" i="15"/>
  <c r="L155" i="15"/>
  <c r="AH155" i="15" s="1"/>
  <c r="K155" i="15"/>
  <c r="AM154" i="15"/>
  <c r="AF154" i="15"/>
  <c r="AE154" i="15"/>
  <c r="AD154" i="15"/>
  <c r="AC154" i="15"/>
  <c r="W154" i="15"/>
  <c r="V154" i="15"/>
  <c r="U154" i="15"/>
  <c r="P154" i="15"/>
  <c r="O154" i="15"/>
  <c r="N154" i="15"/>
  <c r="AH154" i="15" s="1"/>
  <c r="L154" i="15"/>
  <c r="K154" i="15"/>
  <c r="AL154" i="15" s="1"/>
  <c r="J154" i="15"/>
  <c r="AK154" i="15" s="1"/>
  <c r="AL153" i="15"/>
  <c r="AE153" i="15"/>
  <c r="AD153" i="15"/>
  <c r="AC153" i="15"/>
  <c r="W153" i="15"/>
  <c r="V153" i="15"/>
  <c r="U153" i="15"/>
  <c r="P153" i="15"/>
  <c r="O153" i="15"/>
  <c r="AM153" i="15" s="1"/>
  <c r="N153" i="15"/>
  <c r="L153" i="15"/>
  <c r="J153" i="15" s="1"/>
  <c r="K153" i="15"/>
  <c r="AE152" i="15"/>
  <c r="AD152" i="15"/>
  <c r="AC152" i="15"/>
  <c r="W152" i="15"/>
  <c r="V152" i="15"/>
  <c r="U152" i="15"/>
  <c r="P152" i="15"/>
  <c r="O152" i="15"/>
  <c r="N152" i="15"/>
  <c r="AH152" i="15" s="1"/>
  <c r="L152" i="15"/>
  <c r="K152" i="15"/>
  <c r="J152" i="15"/>
  <c r="AM151" i="15"/>
  <c r="AL151" i="15"/>
  <c r="AE151" i="15"/>
  <c r="AD151" i="15"/>
  <c r="AC151" i="15"/>
  <c r="L151" i="15" s="1"/>
  <c r="W151" i="15"/>
  <c r="V151" i="15"/>
  <c r="U151" i="15"/>
  <c r="O151" i="15"/>
  <c r="K151" i="15"/>
  <c r="AL160" i="15" s="1"/>
  <c r="AE150" i="15"/>
  <c r="AD150" i="15"/>
  <c r="AC150" i="15"/>
  <c r="W150" i="15"/>
  <c r="V150" i="15"/>
  <c r="U150" i="15"/>
  <c r="P150" i="15"/>
  <c r="O150" i="15"/>
  <c r="AM150" i="15" s="1"/>
  <c r="L150" i="15"/>
  <c r="AH150" i="15" s="1"/>
  <c r="K150" i="15"/>
  <c r="AL150" i="15" s="1"/>
  <c r="AI149" i="15"/>
  <c r="AH149" i="15"/>
  <c r="AF149" i="15"/>
  <c r="AE149" i="15"/>
  <c r="AD149" i="15"/>
  <c r="AC149" i="15"/>
  <c r="W149" i="15"/>
  <c r="V149" i="15"/>
  <c r="U149" i="15"/>
  <c r="P149" i="15"/>
  <c r="O149" i="15"/>
  <c r="AM159" i="15" s="1"/>
  <c r="L149" i="15"/>
  <c r="K149" i="15"/>
  <c r="AL159" i="15" s="1"/>
  <c r="J149" i="15"/>
  <c r="AK159" i="15" s="1"/>
  <c r="AM148" i="15"/>
  <c r="AL148" i="15"/>
  <c r="AE148" i="15"/>
  <c r="AD148" i="15"/>
  <c r="AC148" i="15"/>
  <c r="W148" i="15"/>
  <c r="V148" i="15"/>
  <c r="U148" i="15"/>
  <c r="P148" i="15"/>
  <c r="O148" i="15"/>
  <c r="N148" i="15"/>
  <c r="L148" i="15"/>
  <c r="J148" i="15" s="1"/>
  <c r="K148" i="15"/>
  <c r="AH147" i="15"/>
  <c r="AE147" i="15"/>
  <c r="AD147" i="15"/>
  <c r="AC147" i="15"/>
  <c r="W147" i="15"/>
  <c r="V147" i="15"/>
  <c r="U147" i="15"/>
  <c r="P147" i="15"/>
  <c r="O147" i="15"/>
  <c r="N147" i="15"/>
  <c r="L147" i="15"/>
  <c r="K147" i="15"/>
  <c r="J147" i="15"/>
  <c r="AM146" i="15"/>
  <c r="AL146" i="15"/>
  <c r="AE146" i="15"/>
  <c r="AD146" i="15"/>
  <c r="AC146" i="15"/>
  <c r="W146" i="15"/>
  <c r="V146" i="15"/>
  <c r="U146" i="15"/>
  <c r="P146" i="15"/>
  <c r="O146" i="15"/>
  <c r="AM161" i="15" s="1"/>
  <c r="N146" i="15"/>
  <c r="L146" i="15"/>
  <c r="J146" i="15" s="1"/>
  <c r="K146" i="15"/>
  <c r="AL152" i="15" s="1"/>
  <c r="AM145" i="15"/>
  <c r="AH145" i="15"/>
  <c r="AF145" i="15"/>
  <c r="AE145" i="15"/>
  <c r="AD145" i="15"/>
  <c r="AC145" i="15"/>
  <c r="W145" i="15"/>
  <c r="V145" i="15"/>
  <c r="U145" i="15"/>
  <c r="P145" i="15"/>
  <c r="O145" i="15"/>
  <c r="N145" i="15"/>
  <c r="L145" i="15"/>
  <c r="K145" i="15"/>
  <c r="AL145" i="15" s="1"/>
  <c r="J145" i="15"/>
  <c r="AK145" i="15" s="1"/>
  <c r="AM144" i="15"/>
  <c r="AE144" i="15"/>
  <c r="AD144" i="15"/>
  <c r="AC144" i="15"/>
  <c r="W144" i="15"/>
  <c r="V144" i="15"/>
  <c r="U144" i="15"/>
  <c r="P144" i="15"/>
  <c r="O144" i="15"/>
  <c r="N144" i="15"/>
  <c r="L144" i="15"/>
  <c r="J144" i="15" s="1"/>
  <c r="K144" i="15"/>
  <c r="AH143" i="15"/>
  <c r="AE143" i="15"/>
  <c r="AD143" i="15"/>
  <c r="AC143" i="15"/>
  <c r="W143" i="15"/>
  <c r="V143" i="15"/>
  <c r="U143" i="15"/>
  <c r="P143" i="15"/>
  <c r="O143" i="15"/>
  <c r="N143" i="15"/>
  <c r="L143" i="15"/>
  <c r="K143" i="15"/>
  <c r="J143" i="15"/>
  <c r="AM142" i="15"/>
  <c r="AL142" i="15"/>
  <c r="AE142" i="15"/>
  <c r="AD142" i="15"/>
  <c r="AC142" i="15"/>
  <c r="W142" i="15"/>
  <c r="V142" i="15"/>
  <c r="U142" i="15"/>
  <c r="P142" i="15"/>
  <c r="O142" i="15"/>
  <c r="N142" i="15"/>
  <c r="L142" i="15"/>
  <c r="J142" i="15" s="1"/>
  <c r="K142" i="15"/>
  <c r="AH141" i="15"/>
  <c r="AE141" i="15"/>
  <c r="AD141" i="15"/>
  <c r="AC141" i="15"/>
  <c r="W141" i="15"/>
  <c r="V141" i="15"/>
  <c r="U141" i="15"/>
  <c r="P141" i="15"/>
  <c r="O141" i="15"/>
  <c r="N141" i="15"/>
  <c r="L141" i="15"/>
  <c r="K141" i="15"/>
  <c r="J141" i="15"/>
  <c r="AM140" i="15"/>
  <c r="AL140" i="15"/>
  <c r="AE140" i="15"/>
  <c r="AD140" i="15"/>
  <c r="AC140" i="15"/>
  <c r="W140" i="15"/>
  <c r="V140" i="15"/>
  <c r="U140" i="15"/>
  <c r="P140" i="15"/>
  <c r="O140" i="15"/>
  <c r="AM171" i="15" s="1"/>
  <c r="N140" i="15"/>
  <c r="L140" i="15"/>
  <c r="J140" i="15" s="1"/>
  <c r="K140" i="15"/>
  <c r="AL141" i="15" s="1"/>
  <c r="AH139" i="15"/>
  <c r="AE139" i="15"/>
  <c r="AD139" i="15"/>
  <c r="AC139" i="15"/>
  <c r="W139" i="15"/>
  <c r="V139" i="15"/>
  <c r="U139" i="15"/>
  <c r="P139" i="15"/>
  <c r="O139" i="15"/>
  <c r="N139" i="15"/>
  <c r="L139" i="15"/>
  <c r="K139" i="15"/>
  <c r="J139" i="15"/>
  <c r="AM138" i="15"/>
  <c r="AE138" i="15"/>
  <c r="AD138" i="15"/>
  <c r="AC138" i="15"/>
  <c r="W138" i="15"/>
  <c r="V138" i="15"/>
  <c r="U138" i="15"/>
  <c r="P138" i="15"/>
  <c r="O138" i="15"/>
  <c r="N138" i="15"/>
  <c r="L138" i="15"/>
  <c r="J138" i="15" s="1"/>
  <c r="K138" i="15"/>
  <c r="AM137" i="15"/>
  <c r="AH137" i="15"/>
  <c r="AE137" i="15"/>
  <c r="AD137" i="15"/>
  <c r="AC137" i="15"/>
  <c r="W137" i="15"/>
  <c r="V137" i="15"/>
  <c r="U137" i="15"/>
  <c r="P137" i="15"/>
  <c r="O137" i="15"/>
  <c r="N137" i="15"/>
  <c r="L137" i="15"/>
  <c r="K137" i="15"/>
  <c r="J137" i="15"/>
  <c r="AM136" i="15"/>
  <c r="AL136" i="15"/>
  <c r="AE136" i="15"/>
  <c r="AD136" i="15"/>
  <c r="AC136" i="15"/>
  <c r="W136" i="15"/>
  <c r="V136" i="15"/>
  <c r="U136" i="15"/>
  <c r="P136" i="15"/>
  <c r="O136" i="15"/>
  <c r="N136" i="15"/>
  <c r="L136" i="15"/>
  <c r="J136" i="15" s="1"/>
  <c r="K136" i="15"/>
  <c r="AL167" i="15" s="1"/>
  <c r="AH135" i="15"/>
  <c r="AE135" i="15"/>
  <c r="AD135" i="15"/>
  <c r="AC135" i="15"/>
  <c r="W135" i="15"/>
  <c r="V135" i="15"/>
  <c r="U135" i="15"/>
  <c r="P135" i="15"/>
  <c r="O135" i="15"/>
  <c r="AM181" i="15" s="1"/>
  <c r="N135" i="15"/>
  <c r="L135" i="15"/>
  <c r="K135" i="15"/>
  <c r="AL135" i="15" s="1"/>
  <c r="J135" i="15"/>
  <c r="AM134" i="15"/>
  <c r="AL134" i="15"/>
  <c r="AE134" i="15"/>
  <c r="AD134" i="15"/>
  <c r="AC134" i="15"/>
  <c r="W134" i="15"/>
  <c r="V134" i="15"/>
  <c r="U134" i="15"/>
  <c r="P134" i="15"/>
  <c r="O134" i="15"/>
  <c r="AM143" i="15" s="1"/>
  <c r="N134" i="15"/>
  <c r="L134" i="15"/>
  <c r="J134" i="15" s="1"/>
  <c r="K134" i="15"/>
  <c r="AE133" i="15"/>
  <c r="AD133" i="15"/>
  <c r="AC133" i="15"/>
  <c r="L133" i="15" s="1"/>
  <c r="W133" i="15"/>
  <c r="V133" i="15"/>
  <c r="U133" i="15"/>
  <c r="P133" i="15"/>
  <c r="O133" i="15"/>
  <c r="AM178" i="15" s="1"/>
  <c r="N133" i="15"/>
  <c r="K133" i="15"/>
  <c r="AL143" i="15" s="1"/>
  <c r="AM132" i="15"/>
  <c r="AE132" i="15"/>
  <c r="AD132" i="15"/>
  <c r="AC132" i="15"/>
  <c r="W132" i="15"/>
  <c r="V132" i="15"/>
  <c r="U132" i="15"/>
  <c r="P132" i="15"/>
  <c r="O132" i="15"/>
  <c r="L132" i="15"/>
  <c r="J132" i="15" s="1"/>
  <c r="K132" i="15"/>
  <c r="AL163" i="15" s="1"/>
  <c r="AH131" i="15"/>
  <c r="AE131" i="15"/>
  <c r="AD131" i="15"/>
  <c r="AC131" i="15"/>
  <c r="W131" i="15"/>
  <c r="V131" i="15"/>
  <c r="U131" i="15"/>
  <c r="P131" i="15"/>
  <c r="O131" i="15"/>
  <c r="AM167" i="15" s="1"/>
  <c r="N131" i="15"/>
  <c r="L131" i="15"/>
  <c r="J131" i="15" s="1"/>
  <c r="K131" i="15"/>
  <c r="AM130" i="15"/>
  <c r="AE130" i="15"/>
  <c r="AD130" i="15"/>
  <c r="AC130" i="15"/>
  <c r="W130" i="15"/>
  <c r="V130" i="15"/>
  <c r="U130" i="15"/>
  <c r="P130" i="15"/>
  <c r="O130" i="15"/>
  <c r="AM180" i="15" s="1"/>
  <c r="N130" i="15"/>
  <c r="L130" i="15"/>
  <c r="J130" i="15" s="1"/>
  <c r="K130" i="15"/>
  <c r="AL137" i="15" s="1"/>
  <c r="AH129" i="15"/>
  <c r="AE129" i="15"/>
  <c r="AD129" i="15"/>
  <c r="AC129" i="15"/>
  <c r="W129" i="15"/>
  <c r="V129" i="15"/>
  <c r="U129" i="15"/>
  <c r="P129" i="15"/>
  <c r="O129" i="15"/>
  <c r="AM168" i="15" s="1"/>
  <c r="N129" i="15"/>
  <c r="L129" i="15"/>
  <c r="J129" i="15" s="1"/>
  <c r="K129" i="15"/>
  <c r="AM128" i="15"/>
  <c r="AE128" i="15"/>
  <c r="AD128" i="15"/>
  <c r="AC128" i="15"/>
  <c r="W128" i="15"/>
  <c r="V128" i="15"/>
  <c r="U128" i="15"/>
  <c r="P128" i="15"/>
  <c r="O128" i="15"/>
  <c r="AM175" i="15" s="1"/>
  <c r="N128" i="15"/>
  <c r="L128" i="15"/>
  <c r="J128" i="15" s="1"/>
  <c r="K128" i="15"/>
  <c r="AL139" i="15" s="1"/>
  <c r="AH127" i="15"/>
  <c r="AE127" i="15"/>
  <c r="AD127" i="15"/>
  <c r="AC127" i="15"/>
  <c r="W127" i="15"/>
  <c r="V127" i="15"/>
  <c r="U127" i="15"/>
  <c r="P127" i="15"/>
  <c r="O127" i="15"/>
  <c r="AM163" i="15" s="1"/>
  <c r="N127" i="15"/>
  <c r="L127" i="15"/>
  <c r="J127" i="15" s="1"/>
  <c r="K127" i="15"/>
  <c r="AL172" i="15" s="1"/>
  <c r="G123" i="15"/>
  <c r="F123" i="15"/>
  <c r="E123" i="15"/>
  <c r="D123" i="15"/>
  <c r="C123" i="15"/>
  <c r="B123" i="15"/>
  <c r="G122" i="15"/>
  <c r="F122" i="15"/>
  <c r="E122" i="15"/>
  <c r="D122" i="15"/>
  <c r="C122" i="15"/>
  <c r="B122" i="15"/>
  <c r="G121" i="15"/>
  <c r="F121" i="15"/>
  <c r="E121" i="15"/>
  <c r="D121" i="15"/>
  <c r="C121" i="15"/>
  <c r="B121" i="15"/>
  <c r="G120" i="15"/>
  <c r="F120" i="15"/>
  <c r="E120" i="15"/>
  <c r="D120" i="15"/>
  <c r="C120" i="15"/>
  <c r="B120" i="15"/>
  <c r="G119" i="15"/>
  <c r="F119" i="15"/>
  <c r="E119" i="15"/>
  <c r="D119" i="15"/>
  <c r="C119" i="15"/>
  <c r="B119" i="15"/>
  <c r="G118" i="15"/>
  <c r="F118" i="15"/>
  <c r="E118" i="15"/>
  <c r="D118" i="15"/>
  <c r="C118" i="15"/>
  <c r="B118" i="15"/>
  <c r="G117" i="15"/>
  <c r="F117" i="15"/>
  <c r="E117" i="15"/>
  <c r="D117" i="15"/>
  <c r="C117" i="15"/>
  <c r="B117" i="15"/>
  <c r="G116" i="15"/>
  <c r="F116" i="15"/>
  <c r="E116" i="15"/>
  <c r="D116" i="15"/>
  <c r="C116" i="15"/>
  <c r="B116" i="15"/>
  <c r="G115" i="15"/>
  <c r="F115" i="15"/>
  <c r="E115" i="15"/>
  <c r="D115" i="15"/>
  <c r="C115" i="15"/>
  <c r="B115" i="15"/>
  <c r="G94" i="15"/>
  <c r="F94" i="15"/>
  <c r="E94" i="15"/>
  <c r="D94" i="15"/>
  <c r="C94" i="15"/>
  <c r="B94" i="15"/>
  <c r="AA56" i="15"/>
  <c r="Z56" i="15"/>
  <c r="Y56" i="15"/>
  <c r="R56" i="15"/>
  <c r="S145" i="15" s="1"/>
  <c r="AA55" i="15"/>
  <c r="Z55" i="15"/>
  <c r="Y55" i="15"/>
  <c r="R55" i="15"/>
  <c r="S148" i="15" s="1"/>
  <c r="AA54" i="15"/>
  <c r="Z54" i="15"/>
  <c r="Y54" i="15"/>
  <c r="R54" i="15"/>
  <c r="AC53" i="15"/>
  <c r="AA53" i="15"/>
  <c r="Z53" i="15"/>
  <c r="Y53" i="15"/>
  <c r="AB53" i="15" s="1"/>
  <c r="R53" i="15"/>
  <c r="S153" i="15" s="1"/>
  <c r="AA52" i="15"/>
  <c r="Z52" i="15"/>
  <c r="Y52" i="15"/>
  <c r="R52" i="15"/>
  <c r="AA51" i="15"/>
  <c r="Z51" i="15"/>
  <c r="Y51" i="15"/>
  <c r="R51" i="15"/>
  <c r="AC50" i="15"/>
  <c r="AA50" i="15"/>
  <c r="Z50" i="15"/>
  <c r="Y50" i="15"/>
  <c r="AB50" i="15" s="1"/>
  <c r="R50" i="15"/>
  <c r="S154" i="15" s="1"/>
  <c r="AA49" i="15"/>
  <c r="Z49" i="15"/>
  <c r="Y49" i="15"/>
  <c r="R49" i="15"/>
  <c r="AC48" i="15"/>
  <c r="AB48" i="15"/>
  <c r="AA48" i="15"/>
  <c r="Z48" i="15"/>
  <c r="Y48" i="15"/>
  <c r="R48" i="15"/>
  <c r="AA47" i="15"/>
  <c r="Z47" i="15"/>
  <c r="Y47" i="15"/>
  <c r="R47" i="15"/>
  <c r="AC46" i="15"/>
  <c r="AB46" i="15"/>
  <c r="AA46" i="15"/>
  <c r="Z46" i="15"/>
  <c r="Y46" i="15"/>
  <c r="R46" i="15"/>
  <c r="AA45" i="15"/>
  <c r="Z45" i="15"/>
  <c r="Y45" i="15"/>
  <c r="R45" i="15"/>
  <c r="S170" i="15" s="1"/>
  <c r="AC44" i="15"/>
  <c r="AA44" i="15"/>
  <c r="Z44" i="15"/>
  <c r="Y44" i="15"/>
  <c r="AB44" i="15" s="1"/>
  <c r="R44" i="15"/>
  <c r="AA43" i="15"/>
  <c r="Z43" i="15"/>
  <c r="Y43" i="15"/>
  <c r="R43" i="15"/>
  <c r="AC42" i="15"/>
  <c r="AB42" i="15"/>
  <c r="AA42" i="15"/>
  <c r="Z42" i="15"/>
  <c r="Y42" i="15"/>
  <c r="R42" i="15"/>
  <c r="AA41" i="15"/>
  <c r="Z41" i="15"/>
  <c r="Y41" i="15"/>
  <c r="R41" i="15"/>
  <c r="AA40" i="15"/>
  <c r="Z40" i="15"/>
  <c r="Y40" i="15"/>
  <c r="R40" i="15"/>
  <c r="D36" i="15"/>
  <c r="D35" i="15"/>
  <c r="Q148" i="15" s="1"/>
  <c r="D34" i="15"/>
  <c r="D33" i="15"/>
  <c r="D32" i="15"/>
  <c r="D31" i="15"/>
  <c r="D30" i="15"/>
  <c r="D29" i="15"/>
  <c r="D28" i="15"/>
  <c r="D27" i="15"/>
  <c r="D26" i="15"/>
  <c r="L14" i="14"/>
  <c r="K14" i="14"/>
  <c r="J14" i="14"/>
  <c r="I14" i="14"/>
  <c r="H14" i="14"/>
  <c r="G14" i="14"/>
  <c r="F14" i="14"/>
  <c r="E14" i="14"/>
  <c r="D14" i="14"/>
  <c r="C14" i="14"/>
  <c r="B14" i="14"/>
  <c r="H13" i="14"/>
  <c r="G13" i="14"/>
  <c r="F13" i="14"/>
  <c r="E13" i="14"/>
  <c r="D13" i="14"/>
  <c r="C13" i="14"/>
  <c r="B13" i="14"/>
  <c r="H12" i="14"/>
  <c r="G12" i="14"/>
  <c r="F12" i="14"/>
  <c r="E12" i="14"/>
  <c r="D12" i="14"/>
  <c r="C12" i="14"/>
  <c r="B12" i="14"/>
  <c r="L11" i="14"/>
  <c r="K11" i="14"/>
  <c r="J11" i="14"/>
  <c r="I11" i="14"/>
  <c r="H11" i="14"/>
  <c r="G11" i="14"/>
  <c r="F11" i="14"/>
  <c r="E11" i="14"/>
  <c r="D11" i="14"/>
  <c r="C11" i="14"/>
  <c r="B11" i="14"/>
  <c r="L10" i="14"/>
  <c r="K10" i="14"/>
  <c r="J10" i="14"/>
  <c r="I10" i="14"/>
  <c r="H10" i="14"/>
  <c r="G10" i="14"/>
  <c r="F10" i="14"/>
  <c r="E10" i="14"/>
  <c r="D10" i="14"/>
  <c r="C10" i="14"/>
  <c r="B10" i="14"/>
  <c r="L9" i="14"/>
  <c r="K9" i="14"/>
  <c r="J9" i="14"/>
  <c r="I9" i="14"/>
  <c r="H9" i="14"/>
  <c r="G9" i="14"/>
  <c r="F9" i="14"/>
  <c r="E9" i="14"/>
  <c r="D9" i="14"/>
  <c r="C9" i="14"/>
  <c r="B9" i="14"/>
  <c r="L8" i="14"/>
  <c r="K8" i="14"/>
  <c r="J8" i="14"/>
  <c r="I8" i="14"/>
  <c r="G8" i="14"/>
  <c r="F8" i="14"/>
  <c r="E8" i="14"/>
  <c r="D8" i="14"/>
  <c r="C8" i="14"/>
  <c r="L7" i="14"/>
  <c r="K7" i="14"/>
  <c r="J7" i="14"/>
  <c r="I7" i="14"/>
  <c r="G7" i="14"/>
  <c r="F7" i="14"/>
  <c r="L6" i="14"/>
  <c r="K6" i="14"/>
  <c r="J6" i="14"/>
  <c r="B16" i="13"/>
  <c r="B15" i="13"/>
  <c r="B14" i="13"/>
  <c r="B13" i="13"/>
  <c r="B12" i="13"/>
  <c r="B11" i="13"/>
  <c r="B10" i="13"/>
  <c r="B16" i="12"/>
  <c r="B14" i="12"/>
  <c r="B13" i="12"/>
  <c r="B12" i="12"/>
  <c r="B11" i="12"/>
  <c r="C16" i="11"/>
  <c r="B16" i="11"/>
  <c r="C15" i="11"/>
  <c r="C14" i="11"/>
  <c r="B14" i="11"/>
  <c r="C13" i="11"/>
  <c r="B13" i="11"/>
  <c r="C12" i="11"/>
  <c r="B12" i="11"/>
  <c r="C11" i="11"/>
  <c r="B11" i="11"/>
  <c r="E16" i="10"/>
  <c r="D16" i="10"/>
  <c r="C16" i="10"/>
  <c r="B16" i="10"/>
  <c r="D15" i="10"/>
  <c r="C15" i="10"/>
  <c r="E14" i="10"/>
  <c r="D14" i="10"/>
  <c r="C14" i="10"/>
  <c r="B14" i="10"/>
  <c r="E13" i="10"/>
  <c r="D13" i="10"/>
  <c r="C13" i="10"/>
  <c r="B13" i="10"/>
  <c r="E12" i="10"/>
  <c r="D12" i="10"/>
  <c r="C12" i="10"/>
  <c r="B12" i="10"/>
  <c r="E11" i="10"/>
  <c r="D11" i="10"/>
  <c r="C11" i="10"/>
  <c r="B11" i="10"/>
  <c r="D16" i="9"/>
  <c r="C16" i="9"/>
  <c r="B16" i="9"/>
  <c r="D15" i="9"/>
  <c r="B15" i="9"/>
  <c r="D14" i="9"/>
  <c r="C14" i="9"/>
  <c r="B14" i="9"/>
  <c r="D13" i="9"/>
  <c r="C13" i="9"/>
  <c r="B13" i="9"/>
  <c r="D12" i="9"/>
  <c r="C12" i="9"/>
  <c r="B12" i="9"/>
  <c r="D11" i="9"/>
  <c r="C11" i="9"/>
  <c r="B11" i="9"/>
  <c r="I16" i="8"/>
  <c r="H16" i="8"/>
  <c r="G16" i="8"/>
  <c r="F16" i="8"/>
  <c r="E16" i="8"/>
  <c r="D16" i="8"/>
  <c r="C16" i="8"/>
  <c r="B16" i="8"/>
  <c r="I15" i="8"/>
  <c r="H15" i="8"/>
  <c r="G15" i="8"/>
  <c r="F15" i="8"/>
  <c r="E15" i="8"/>
  <c r="B15" i="8"/>
  <c r="I14" i="8"/>
  <c r="H14" i="8"/>
  <c r="G14" i="8"/>
  <c r="F14" i="8"/>
  <c r="E14" i="8"/>
  <c r="D14" i="8"/>
  <c r="C14" i="8"/>
  <c r="B14" i="8"/>
  <c r="I13" i="8"/>
  <c r="H13" i="8"/>
  <c r="G13" i="8"/>
  <c r="F13" i="8"/>
  <c r="E13" i="8"/>
  <c r="D13" i="8"/>
  <c r="C13" i="8"/>
  <c r="B13" i="8"/>
  <c r="I12" i="8"/>
  <c r="H12" i="8"/>
  <c r="G12" i="8"/>
  <c r="F12" i="8"/>
  <c r="E12" i="8"/>
  <c r="D12" i="8"/>
  <c r="C12" i="8"/>
  <c r="B12" i="8"/>
  <c r="I11" i="8"/>
  <c r="H11" i="8"/>
  <c r="G11" i="8"/>
  <c r="F11" i="8"/>
  <c r="E11" i="8"/>
  <c r="D11" i="8"/>
  <c r="C11" i="8"/>
  <c r="B11" i="8"/>
  <c r="I10" i="8"/>
  <c r="F16" i="7"/>
  <c r="E16" i="7"/>
  <c r="D16" i="7"/>
  <c r="C16" i="7"/>
  <c r="B16" i="7"/>
  <c r="F15" i="7"/>
  <c r="E15" i="7"/>
  <c r="B15" i="7"/>
  <c r="F14" i="7"/>
  <c r="E14" i="7"/>
  <c r="D14" i="7"/>
  <c r="C14" i="7"/>
  <c r="B14" i="7"/>
  <c r="F13" i="7"/>
  <c r="E13" i="7"/>
  <c r="D13" i="7"/>
  <c r="C13" i="7"/>
  <c r="B13" i="7"/>
  <c r="F12" i="7"/>
  <c r="E12" i="7"/>
  <c r="D12" i="7"/>
  <c r="C12" i="7"/>
  <c r="B12" i="7"/>
  <c r="F11" i="7"/>
  <c r="E11" i="7"/>
  <c r="D11" i="7"/>
  <c r="C11" i="7"/>
  <c r="B11" i="7"/>
  <c r="F10" i="7"/>
  <c r="I16" i="6"/>
  <c r="H16" i="6"/>
  <c r="G16" i="6"/>
  <c r="F16" i="6"/>
  <c r="E16" i="6"/>
  <c r="D16" i="6"/>
  <c r="C16" i="6"/>
  <c r="B16" i="6"/>
  <c r="I15" i="6"/>
  <c r="F15" i="6"/>
  <c r="E15" i="6"/>
  <c r="D15" i="6"/>
  <c r="C15" i="6"/>
  <c r="I14" i="6"/>
  <c r="H14" i="6"/>
  <c r="G14" i="6"/>
  <c r="F14" i="6"/>
  <c r="E14" i="6"/>
  <c r="D14" i="6"/>
  <c r="C14" i="6"/>
  <c r="B14" i="6"/>
  <c r="I13" i="6"/>
  <c r="H13" i="6"/>
  <c r="G13" i="6"/>
  <c r="F13" i="6"/>
  <c r="E13" i="6"/>
  <c r="D13" i="6"/>
  <c r="C13" i="6"/>
  <c r="B13" i="6"/>
  <c r="I12" i="6"/>
  <c r="H12" i="6"/>
  <c r="G12" i="6"/>
  <c r="F12" i="6"/>
  <c r="E12" i="6"/>
  <c r="D12" i="6"/>
  <c r="C12" i="6"/>
  <c r="B12" i="6"/>
  <c r="I11" i="6"/>
  <c r="H11" i="6"/>
  <c r="G11" i="6"/>
  <c r="F11" i="6"/>
  <c r="E11" i="6"/>
  <c r="D11" i="6"/>
  <c r="C11" i="6"/>
  <c r="B11" i="6"/>
  <c r="S16" i="5"/>
  <c r="R16" i="5"/>
  <c r="Q16" i="5"/>
  <c r="P16" i="5"/>
  <c r="O16" i="5"/>
  <c r="N16" i="5"/>
  <c r="M16" i="5"/>
  <c r="L16" i="5"/>
  <c r="K16" i="5"/>
  <c r="J16" i="5"/>
  <c r="I16" i="5"/>
  <c r="H16" i="5"/>
  <c r="G16" i="5"/>
  <c r="F16" i="5"/>
  <c r="E16" i="5"/>
  <c r="D16" i="5"/>
  <c r="C16" i="5"/>
  <c r="B16" i="5"/>
  <c r="S15" i="5"/>
  <c r="R15" i="5"/>
  <c r="Q15" i="5"/>
  <c r="P15" i="5"/>
  <c r="O15" i="5"/>
  <c r="M15" i="5"/>
  <c r="L15" i="5"/>
  <c r="J15" i="5"/>
  <c r="I15" i="5"/>
  <c r="G15" i="5"/>
  <c r="E15" i="5"/>
  <c r="C15" i="5"/>
  <c r="S14" i="5"/>
  <c r="R14" i="5"/>
  <c r="Q14" i="5"/>
  <c r="P14" i="5"/>
  <c r="O14" i="5"/>
  <c r="N14" i="5"/>
  <c r="M14" i="5"/>
  <c r="L14" i="5"/>
  <c r="K14" i="5"/>
  <c r="J14" i="5"/>
  <c r="I14" i="5"/>
  <c r="H14" i="5"/>
  <c r="G14" i="5"/>
  <c r="F14" i="5"/>
  <c r="E14" i="5"/>
  <c r="D14" i="5"/>
  <c r="C14" i="5"/>
  <c r="B14" i="5"/>
  <c r="S13" i="5"/>
  <c r="R13" i="5"/>
  <c r="Q13" i="5"/>
  <c r="P13" i="5"/>
  <c r="O13" i="5"/>
  <c r="N13" i="5"/>
  <c r="M13" i="5"/>
  <c r="L13" i="5"/>
  <c r="K13" i="5"/>
  <c r="J13" i="5"/>
  <c r="I13" i="5"/>
  <c r="H13" i="5"/>
  <c r="G13" i="5"/>
  <c r="F13" i="5"/>
  <c r="E13" i="5"/>
  <c r="D13" i="5"/>
  <c r="C13" i="5"/>
  <c r="B13" i="5"/>
  <c r="S12" i="5"/>
  <c r="R12" i="5"/>
  <c r="Q12" i="5"/>
  <c r="P12" i="5"/>
  <c r="O12" i="5"/>
  <c r="N12" i="5"/>
  <c r="M12" i="5"/>
  <c r="L12" i="5"/>
  <c r="K12" i="5"/>
  <c r="J12" i="5"/>
  <c r="I12" i="5"/>
  <c r="H12" i="5"/>
  <c r="G12" i="5"/>
  <c r="F12" i="5"/>
  <c r="E12" i="5"/>
  <c r="D12" i="5"/>
  <c r="C12" i="5"/>
  <c r="B12" i="5"/>
  <c r="S11" i="5"/>
  <c r="R11" i="5"/>
  <c r="Q11" i="5"/>
  <c r="P11" i="5"/>
  <c r="O11" i="5"/>
  <c r="N11" i="5"/>
  <c r="M11" i="5"/>
  <c r="L11" i="5"/>
  <c r="K11" i="5"/>
  <c r="J11" i="5"/>
  <c r="I11" i="5"/>
  <c r="H11" i="5"/>
  <c r="G11" i="5"/>
  <c r="F11" i="5"/>
  <c r="E11" i="5"/>
  <c r="D11" i="5"/>
  <c r="C11" i="5"/>
  <c r="B11" i="5"/>
  <c r="F16" i="4"/>
  <c r="E16" i="4"/>
  <c r="D16" i="4"/>
  <c r="C16" i="4"/>
  <c r="B16" i="4"/>
  <c r="F15" i="4"/>
  <c r="E15" i="4"/>
  <c r="F14" i="4"/>
  <c r="E14" i="4"/>
  <c r="D14" i="4"/>
  <c r="C14" i="4"/>
  <c r="B14" i="4"/>
  <c r="F13" i="4"/>
  <c r="E13" i="4"/>
  <c r="D13" i="4"/>
  <c r="C13" i="4"/>
  <c r="B13" i="4"/>
  <c r="F12" i="4"/>
  <c r="E12" i="4"/>
  <c r="D12" i="4"/>
  <c r="C12" i="4"/>
  <c r="B12" i="4"/>
  <c r="F11" i="4"/>
  <c r="E11" i="4"/>
  <c r="D11" i="4"/>
  <c r="C11" i="4"/>
  <c r="B11" i="4"/>
  <c r="T1272" i="3"/>
  <c r="J1272" i="3"/>
  <c r="I1272" i="3"/>
  <c r="T1271" i="3"/>
  <c r="J1271" i="3"/>
  <c r="I1271" i="3"/>
  <c r="T1270" i="3"/>
  <c r="J1270" i="3"/>
  <c r="I1270" i="3"/>
  <c r="T1269" i="3"/>
  <c r="J1269" i="3"/>
  <c r="I1269" i="3"/>
  <c r="T1268" i="3"/>
  <c r="J1268" i="3"/>
  <c r="I1268" i="3"/>
  <c r="T1267" i="3"/>
  <c r="J1267" i="3"/>
  <c r="I1267" i="3"/>
  <c r="T1266" i="3"/>
  <c r="J1266" i="3"/>
  <c r="I1266" i="3"/>
  <c r="T1265" i="3"/>
  <c r="J1265" i="3"/>
  <c r="I1265" i="3"/>
  <c r="T1264" i="3"/>
  <c r="J1264" i="3"/>
  <c r="I1264" i="3"/>
  <c r="T1263" i="3"/>
  <c r="J1263" i="3"/>
  <c r="I1263" i="3"/>
  <c r="T1262" i="3"/>
  <c r="P1262" i="3"/>
  <c r="J1262" i="3"/>
  <c r="I1262" i="3"/>
  <c r="T1261" i="3"/>
  <c r="P1261" i="3"/>
  <c r="J1261" i="3"/>
  <c r="I1261" i="3"/>
  <c r="T1260" i="3"/>
  <c r="P1260" i="3"/>
  <c r="J1260" i="3"/>
  <c r="I1260" i="3"/>
  <c r="T1259" i="3"/>
  <c r="P1259" i="3"/>
  <c r="J1259" i="3"/>
  <c r="I1259" i="3"/>
  <c r="T1258" i="3"/>
  <c r="P1258" i="3"/>
  <c r="J1258" i="3"/>
  <c r="I1258" i="3"/>
  <c r="T1257" i="3"/>
  <c r="P1257" i="3"/>
  <c r="J1257" i="3"/>
  <c r="I1257" i="3"/>
  <c r="T1256" i="3"/>
  <c r="P1256" i="3"/>
  <c r="J1256" i="3"/>
  <c r="I1256" i="3"/>
  <c r="T1255" i="3"/>
  <c r="P1255" i="3"/>
  <c r="J1255" i="3"/>
  <c r="I1255" i="3"/>
  <c r="T1254" i="3"/>
  <c r="P1254" i="3"/>
  <c r="J1254" i="3"/>
  <c r="I1254" i="3"/>
  <c r="T1253" i="3"/>
  <c r="P1253" i="3"/>
  <c r="J1253" i="3"/>
  <c r="I1253" i="3"/>
  <c r="T1252" i="3"/>
  <c r="P1252" i="3"/>
  <c r="J1252" i="3"/>
  <c r="I1252" i="3"/>
  <c r="T1251" i="3"/>
  <c r="P1251" i="3"/>
  <c r="J1251" i="3"/>
  <c r="I1251" i="3"/>
  <c r="T1250" i="3"/>
  <c r="P1250" i="3"/>
  <c r="J1250" i="3"/>
  <c r="I1250" i="3"/>
  <c r="T1249" i="3"/>
  <c r="P1249" i="3"/>
  <c r="J1249" i="3"/>
  <c r="I1249" i="3"/>
  <c r="T1248" i="3"/>
  <c r="P1248" i="3"/>
  <c r="J1248" i="3"/>
  <c r="I1248" i="3"/>
  <c r="T1247" i="3"/>
  <c r="P1247" i="3"/>
  <c r="J1247" i="3"/>
  <c r="I1247" i="3"/>
  <c r="T1246" i="3"/>
  <c r="P1246" i="3"/>
  <c r="J1246" i="3"/>
  <c r="I1246" i="3"/>
  <c r="T1245" i="3"/>
  <c r="P1245" i="3"/>
  <c r="J1245" i="3"/>
  <c r="I1245" i="3"/>
  <c r="T1244" i="3"/>
  <c r="P1244" i="3"/>
  <c r="J1244" i="3"/>
  <c r="I1244" i="3"/>
  <c r="T1243" i="3"/>
  <c r="P1243" i="3"/>
  <c r="J1243" i="3"/>
  <c r="I1243" i="3"/>
  <c r="T1242" i="3"/>
  <c r="P1242" i="3"/>
  <c r="J1242" i="3"/>
  <c r="I1242" i="3"/>
  <c r="T1241" i="3"/>
  <c r="P1241" i="3"/>
  <c r="J1241" i="3"/>
  <c r="I1241" i="3"/>
  <c r="T1240" i="3"/>
  <c r="P1240" i="3"/>
  <c r="J1240" i="3"/>
  <c r="I1240" i="3"/>
  <c r="T1239" i="3"/>
  <c r="P1239" i="3"/>
  <c r="J1239" i="3"/>
  <c r="I1239" i="3"/>
  <c r="T1238" i="3"/>
  <c r="P1238" i="3"/>
  <c r="N1238" i="3"/>
  <c r="M1238" i="3"/>
  <c r="J1238" i="3"/>
  <c r="I1238" i="3"/>
  <c r="T1237" i="3"/>
  <c r="P1237" i="3"/>
  <c r="N1237" i="3"/>
  <c r="M1237" i="3"/>
  <c r="J1237" i="3"/>
  <c r="I1237" i="3"/>
  <c r="T1236" i="3"/>
  <c r="P1236" i="3"/>
  <c r="M1236" i="3"/>
  <c r="N1236" i="3" s="1"/>
  <c r="J1236" i="3"/>
  <c r="I1236" i="3"/>
  <c r="T1235" i="3"/>
  <c r="P1235" i="3"/>
  <c r="M1235" i="3"/>
  <c r="N1235" i="3" s="1"/>
  <c r="J1235" i="3"/>
  <c r="I1235" i="3"/>
  <c r="T1234" i="3"/>
  <c r="P1234" i="3"/>
  <c r="M1234" i="3"/>
  <c r="N1234" i="3" s="1"/>
  <c r="J1234" i="3"/>
  <c r="I1234" i="3"/>
  <c r="T1233" i="3"/>
  <c r="P1233" i="3"/>
  <c r="M1233" i="3"/>
  <c r="N1233" i="3" s="1"/>
  <c r="J1233" i="3"/>
  <c r="I1233" i="3"/>
  <c r="T1232" i="3"/>
  <c r="P1232" i="3"/>
  <c r="J1232" i="3"/>
  <c r="I1232" i="3"/>
  <c r="T1231" i="3"/>
  <c r="P1231" i="3"/>
  <c r="J1231" i="3"/>
  <c r="I1231" i="3"/>
  <c r="T1230" i="3"/>
  <c r="P1230" i="3"/>
  <c r="J1230" i="3"/>
  <c r="I1230" i="3"/>
  <c r="T1229" i="3"/>
  <c r="P1229" i="3"/>
  <c r="J1229" i="3"/>
  <c r="I1229" i="3"/>
  <c r="T1228" i="3"/>
  <c r="P1228" i="3"/>
  <c r="J1228" i="3"/>
  <c r="I1228" i="3"/>
  <c r="T1227" i="3"/>
  <c r="P1227" i="3"/>
  <c r="J1227" i="3"/>
  <c r="I1227" i="3"/>
  <c r="T1226" i="3"/>
  <c r="P1226" i="3"/>
  <c r="J1226" i="3"/>
  <c r="I1226" i="3"/>
  <c r="T1225" i="3"/>
  <c r="P1225" i="3"/>
  <c r="J1225" i="3"/>
  <c r="I1225" i="3"/>
  <c r="T1224" i="3"/>
  <c r="P1224" i="3"/>
  <c r="J1224" i="3"/>
  <c r="I1224" i="3"/>
  <c r="T1223" i="3"/>
  <c r="P1223" i="3"/>
  <c r="J1223" i="3"/>
  <c r="I1223" i="3"/>
  <c r="T1222" i="3"/>
  <c r="P1222" i="3"/>
  <c r="J1222" i="3"/>
  <c r="I1222" i="3"/>
  <c r="T1221" i="3"/>
  <c r="P1221" i="3"/>
  <c r="J1221" i="3"/>
  <c r="I1221" i="3"/>
  <c r="T1220" i="3"/>
  <c r="P1220" i="3"/>
  <c r="J1220" i="3"/>
  <c r="I1220" i="3"/>
  <c r="T1219" i="3"/>
  <c r="P1219" i="3"/>
  <c r="J1219" i="3"/>
  <c r="I1219" i="3"/>
  <c r="T1218" i="3"/>
  <c r="P1218" i="3"/>
  <c r="J1218" i="3"/>
  <c r="I1218" i="3"/>
  <c r="T1217" i="3"/>
  <c r="P1217" i="3"/>
  <c r="J1217" i="3"/>
  <c r="I1217" i="3"/>
  <c r="T1216" i="3"/>
  <c r="P1216" i="3"/>
  <c r="J1216" i="3"/>
  <c r="I1216" i="3"/>
  <c r="T1215" i="3"/>
  <c r="P1215" i="3"/>
  <c r="J1215" i="3"/>
  <c r="I1215" i="3"/>
  <c r="T1214" i="3"/>
  <c r="P1214" i="3"/>
  <c r="J1214" i="3"/>
  <c r="I1214" i="3"/>
  <c r="T1213" i="3"/>
  <c r="P1213" i="3"/>
  <c r="J1213" i="3"/>
  <c r="I1213" i="3"/>
  <c r="T1212" i="3"/>
  <c r="P1212" i="3"/>
  <c r="J1212" i="3"/>
  <c r="I1212" i="3"/>
  <c r="T1211" i="3"/>
  <c r="P1211" i="3"/>
  <c r="J1211" i="3"/>
  <c r="I1211" i="3"/>
  <c r="T1210" i="3"/>
  <c r="P1210" i="3"/>
  <c r="J1210" i="3"/>
  <c r="I1210" i="3"/>
  <c r="T1209" i="3"/>
  <c r="P1209" i="3"/>
  <c r="J1209" i="3"/>
  <c r="I1209" i="3"/>
  <c r="T1208" i="3"/>
  <c r="P1208" i="3"/>
  <c r="J1208" i="3"/>
  <c r="I1208" i="3"/>
  <c r="T1207" i="3"/>
  <c r="P1207" i="3"/>
  <c r="J1207" i="3"/>
  <c r="I1207" i="3"/>
  <c r="T1206" i="3"/>
  <c r="P1206" i="3"/>
  <c r="J1206" i="3"/>
  <c r="I1206" i="3"/>
  <c r="T1205" i="3"/>
  <c r="P1205" i="3"/>
  <c r="J1205" i="3"/>
  <c r="I1205" i="3"/>
  <c r="T1204" i="3"/>
  <c r="P1204" i="3"/>
  <c r="J1204" i="3"/>
  <c r="I1204" i="3"/>
  <c r="T1203" i="3"/>
  <c r="P1203" i="3"/>
  <c r="J1203" i="3"/>
  <c r="I1203" i="3"/>
  <c r="T1202" i="3"/>
  <c r="P1202" i="3"/>
  <c r="J1202" i="3"/>
  <c r="I1202" i="3"/>
  <c r="T1201" i="3"/>
  <c r="P1201" i="3"/>
  <c r="J1201" i="3"/>
  <c r="I1201" i="3"/>
  <c r="T1200" i="3"/>
  <c r="P1200" i="3"/>
  <c r="J1200" i="3"/>
  <c r="I1200" i="3"/>
  <c r="T1199" i="3"/>
  <c r="P1199" i="3"/>
  <c r="J1199" i="3"/>
  <c r="I1199" i="3"/>
  <c r="T1198" i="3"/>
  <c r="P1198" i="3"/>
  <c r="M1198" i="3"/>
  <c r="N1198" i="3" s="1"/>
  <c r="J1198" i="3"/>
  <c r="I1198" i="3"/>
  <c r="T1197" i="3"/>
  <c r="P1197" i="3"/>
  <c r="M1197" i="3"/>
  <c r="N1197" i="3" s="1"/>
  <c r="J1197" i="3"/>
  <c r="I1197" i="3"/>
  <c r="T1196" i="3"/>
  <c r="P1196" i="3"/>
  <c r="N1196" i="3"/>
  <c r="M1196" i="3"/>
  <c r="J1196" i="3"/>
  <c r="I1196" i="3"/>
  <c r="T1195" i="3"/>
  <c r="P1195" i="3"/>
  <c r="N1195" i="3"/>
  <c r="M1195" i="3"/>
  <c r="J1195" i="3"/>
  <c r="I1195" i="3"/>
  <c r="T1194" i="3"/>
  <c r="P1194" i="3"/>
  <c r="M1194" i="3"/>
  <c r="N1194" i="3" s="1"/>
  <c r="J1194" i="3"/>
  <c r="I1194" i="3"/>
  <c r="T1193" i="3"/>
  <c r="P1193" i="3"/>
  <c r="M1193" i="3"/>
  <c r="N1193" i="3" s="1"/>
  <c r="J1193" i="3"/>
  <c r="I1193" i="3"/>
  <c r="T1192" i="3"/>
  <c r="P1192" i="3"/>
  <c r="J1192" i="3"/>
  <c r="I1192" i="3"/>
  <c r="T1191" i="3"/>
  <c r="P1191" i="3"/>
  <c r="J1191" i="3"/>
  <c r="I1191" i="3"/>
  <c r="T1190" i="3"/>
  <c r="P1190" i="3"/>
  <c r="J1190" i="3"/>
  <c r="I1190" i="3"/>
  <c r="T1189" i="3"/>
  <c r="P1189" i="3"/>
  <c r="J1189" i="3"/>
  <c r="I1189" i="3"/>
  <c r="T1188" i="3"/>
  <c r="P1188" i="3"/>
  <c r="J1188" i="3"/>
  <c r="I1188" i="3"/>
  <c r="T1187" i="3"/>
  <c r="P1187" i="3"/>
  <c r="J1187" i="3"/>
  <c r="I1187" i="3"/>
  <c r="T1186" i="3"/>
  <c r="P1186" i="3"/>
  <c r="J1186" i="3"/>
  <c r="I1186" i="3"/>
  <c r="T1185" i="3"/>
  <c r="P1185" i="3"/>
  <c r="J1185" i="3"/>
  <c r="I1185" i="3"/>
  <c r="T1184" i="3"/>
  <c r="P1184" i="3"/>
  <c r="J1184" i="3"/>
  <c r="I1184" i="3"/>
  <c r="T1183" i="3"/>
  <c r="P1183" i="3"/>
  <c r="J1183" i="3"/>
  <c r="I1183" i="3"/>
  <c r="T1182" i="3"/>
  <c r="P1182" i="3"/>
  <c r="J1182" i="3"/>
  <c r="I1182" i="3"/>
  <c r="T1181" i="3"/>
  <c r="P1181" i="3"/>
  <c r="J1181" i="3"/>
  <c r="I1181" i="3"/>
  <c r="T1180" i="3"/>
  <c r="P1180" i="3"/>
  <c r="J1180" i="3"/>
  <c r="I1180" i="3"/>
  <c r="T1179" i="3"/>
  <c r="P1179" i="3"/>
  <c r="J1179" i="3"/>
  <c r="I1179" i="3"/>
  <c r="T1178" i="3"/>
  <c r="P1178" i="3"/>
  <c r="J1178" i="3"/>
  <c r="I1178" i="3"/>
  <c r="T1177" i="3"/>
  <c r="P1177" i="3"/>
  <c r="J1177" i="3"/>
  <c r="I1177" i="3"/>
  <c r="T1176" i="3"/>
  <c r="P1176" i="3"/>
  <c r="J1176" i="3"/>
  <c r="I1176" i="3"/>
  <c r="T1175" i="3"/>
  <c r="P1175" i="3"/>
  <c r="J1175" i="3"/>
  <c r="I1175" i="3"/>
  <c r="T1174" i="3"/>
  <c r="P1174" i="3"/>
  <c r="J1174" i="3"/>
  <c r="I1174" i="3"/>
  <c r="T1173" i="3"/>
  <c r="P1173" i="3"/>
  <c r="J1173" i="3"/>
  <c r="I1173" i="3"/>
  <c r="T1172" i="3"/>
  <c r="P1172" i="3"/>
  <c r="J1172" i="3"/>
  <c r="I1172" i="3"/>
  <c r="T1171" i="3"/>
  <c r="P1171" i="3"/>
  <c r="J1171" i="3"/>
  <c r="I1171" i="3"/>
  <c r="T1170" i="3"/>
  <c r="P1170" i="3"/>
  <c r="J1170" i="3"/>
  <c r="I1170" i="3"/>
  <c r="T1169" i="3"/>
  <c r="P1169" i="3"/>
  <c r="J1169" i="3"/>
  <c r="I1169" i="3"/>
  <c r="T1168" i="3"/>
  <c r="P1168" i="3"/>
  <c r="J1168" i="3"/>
  <c r="I1168" i="3"/>
  <c r="T1167" i="3"/>
  <c r="P1167" i="3"/>
  <c r="J1167" i="3"/>
  <c r="I1167" i="3"/>
  <c r="T1166" i="3"/>
  <c r="P1166" i="3"/>
  <c r="J1166" i="3"/>
  <c r="I1166" i="3"/>
  <c r="T1165" i="3"/>
  <c r="P1165" i="3"/>
  <c r="J1165" i="3"/>
  <c r="I1165" i="3"/>
  <c r="T1164" i="3"/>
  <c r="P1164" i="3"/>
  <c r="J1164" i="3"/>
  <c r="I1164" i="3"/>
  <c r="T1163" i="3"/>
  <c r="P1163" i="3"/>
  <c r="J1163" i="3"/>
  <c r="I1163" i="3"/>
  <c r="T1162" i="3"/>
  <c r="P1162" i="3"/>
  <c r="J1162" i="3"/>
  <c r="I1162" i="3"/>
  <c r="T1161" i="3"/>
  <c r="P1161" i="3"/>
  <c r="J1161" i="3"/>
  <c r="I1161" i="3"/>
  <c r="T1160" i="3"/>
  <c r="P1160" i="3"/>
  <c r="J1160" i="3"/>
  <c r="I1160" i="3"/>
  <c r="T1159" i="3"/>
  <c r="P1159" i="3"/>
  <c r="J1159" i="3"/>
  <c r="I1159" i="3"/>
  <c r="T1158" i="3"/>
  <c r="P1158" i="3"/>
  <c r="J1158" i="3"/>
  <c r="I1158" i="3"/>
  <c r="T1157" i="3"/>
  <c r="P1157" i="3"/>
  <c r="J1157" i="3"/>
  <c r="I1157" i="3"/>
  <c r="T1156" i="3"/>
  <c r="P1156" i="3"/>
  <c r="J1156" i="3"/>
  <c r="I1156" i="3"/>
  <c r="T1155" i="3"/>
  <c r="P1155" i="3"/>
  <c r="J1155" i="3"/>
  <c r="I1155" i="3"/>
  <c r="T1154" i="3"/>
  <c r="P1154" i="3"/>
  <c r="J1154" i="3"/>
  <c r="I1154" i="3"/>
  <c r="T1153" i="3"/>
  <c r="P1153" i="3"/>
  <c r="J1153" i="3"/>
  <c r="I1153" i="3"/>
  <c r="T1152" i="3"/>
  <c r="P1152" i="3"/>
  <c r="J1152" i="3"/>
  <c r="I1152" i="3"/>
  <c r="T1151" i="3"/>
  <c r="P1151" i="3"/>
  <c r="J1151" i="3"/>
  <c r="I1151" i="3"/>
  <c r="T1150" i="3"/>
  <c r="P1150" i="3"/>
  <c r="J1150" i="3"/>
  <c r="I1150" i="3"/>
  <c r="T1149" i="3"/>
  <c r="P1149" i="3"/>
  <c r="J1149" i="3"/>
  <c r="I1149" i="3"/>
  <c r="T1148" i="3"/>
  <c r="P1148" i="3"/>
  <c r="J1148" i="3"/>
  <c r="I1148" i="3"/>
  <c r="T1147" i="3"/>
  <c r="P1147" i="3"/>
  <c r="J1147" i="3"/>
  <c r="I1147" i="3"/>
  <c r="T1146" i="3"/>
  <c r="P1146" i="3"/>
  <c r="J1146" i="3"/>
  <c r="I1146" i="3"/>
  <c r="T1145" i="3"/>
  <c r="P1145" i="3"/>
  <c r="J1145" i="3"/>
  <c r="I1145" i="3"/>
  <c r="T1144" i="3"/>
  <c r="P1144" i="3"/>
  <c r="J1144" i="3"/>
  <c r="I1144" i="3"/>
  <c r="T1143" i="3"/>
  <c r="P1143" i="3"/>
  <c r="J1143" i="3"/>
  <c r="I1143" i="3"/>
  <c r="T1142" i="3"/>
  <c r="P1142" i="3"/>
  <c r="J1142" i="3"/>
  <c r="I1142" i="3"/>
  <c r="T1141" i="3"/>
  <c r="P1141" i="3"/>
  <c r="J1141" i="3"/>
  <c r="I1141" i="3"/>
  <c r="T1140" i="3"/>
  <c r="P1140" i="3"/>
  <c r="J1140" i="3"/>
  <c r="I1140" i="3"/>
  <c r="T1139" i="3"/>
  <c r="P1139" i="3"/>
  <c r="J1139" i="3"/>
  <c r="I1139" i="3"/>
  <c r="T1138" i="3"/>
  <c r="P1138" i="3"/>
  <c r="M1138" i="3"/>
  <c r="N1138" i="3" s="1"/>
  <c r="J1138" i="3"/>
  <c r="I1138" i="3"/>
  <c r="T1137" i="3"/>
  <c r="P1137" i="3"/>
  <c r="N1137" i="3"/>
  <c r="M1137" i="3"/>
  <c r="J1137" i="3"/>
  <c r="I1137" i="3"/>
  <c r="T1136" i="3"/>
  <c r="P1136" i="3"/>
  <c r="M1136" i="3"/>
  <c r="N1136" i="3" s="1"/>
  <c r="J1136" i="3"/>
  <c r="I1136" i="3"/>
  <c r="T1135" i="3"/>
  <c r="P1135" i="3"/>
  <c r="N1135" i="3"/>
  <c r="M1135" i="3"/>
  <c r="J1135" i="3"/>
  <c r="I1135" i="3"/>
  <c r="T1134" i="3"/>
  <c r="P1134" i="3"/>
  <c r="M1134" i="3"/>
  <c r="N1134" i="3" s="1"/>
  <c r="J1134" i="3"/>
  <c r="I1134" i="3"/>
  <c r="T1133" i="3"/>
  <c r="P1133" i="3"/>
  <c r="N1133" i="3"/>
  <c r="M1133" i="3"/>
  <c r="J1133" i="3"/>
  <c r="I1133" i="3"/>
  <c r="T1132" i="3"/>
  <c r="J1132" i="3"/>
  <c r="I1132" i="3"/>
  <c r="T1131" i="3"/>
  <c r="J1131" i="3"/>
  <c r="I1131" i="3"/>
  <c r="T1130" i="3"/>
  <c r="J1130" i="3"/>
  <c r="I1130" i="3"/>
  <c r="T1129" i="3"/>
  <c r="J1129" i="3"/>
  <c r="I1129" i="3"/>
  <c r="T1128" i="3"/>
  <c r="J1128" i="3"/>
  <c r="I1128" i="3"/>
  <c r="T1127" i="3"/>
  <c r="J1127" i="3"/>
  <c r="I1127" i="3"/>
  <c r="T1126" i="3"/>
  <c r="J1126" i="3"/>
  <c r="I1126" i="3"/>
  <c r="T1125" i="3"/>
  <c r="J1125" i="3"/>
  <c r="I1125" i="3"/>
  <c r="T1124" i="3"/>
  <c r="J1124" i="3"/>
  <c r="I1124" i="3"/>
  <c r="T1123" i="3"/>
  <c r="J1123" i="3"/>
  <c r="I1123" i="3"/>
  <c r="T1122" i="3"/>
  <c r="J1122" i="3"/>
  <c r="I1122" i="3"/>
  <c r="T1121" i="3"/>
  <c r="J1121" i="3"/>
  <c r="I1121" i="3"/>
  <c r="T1120" i="3"/>
  <c r="J1120" i="3"/>
  <c r="I1120" i="3"/>
  <c r="T1119" i="3"/>
  <c r="J1119" i="3"/>
  <c r="I1119" i="3"/>
  <c r="T1118" i="3"/>
  <c r="P1118" i="3"/>
  <c r="J1118" i="3"/>
  <c r="I1118" i="3"/>
  <c r="T1117" i="3"/>
  <c r="P1117" i="3"/>
  <c r="J1117" i="3"/>
  <c r="I1117" i="3"/>
  <c r="T1116" i="3"/>
  <c r="P1116" i="3"/>
  <c r="J1116" i="3"/>
  <c r="I1116" i="3"/>
  <c r="T1115" i="3"/>
  <c r="P1115" i="3"/>
  <c r="J1115" i="3"/>
  <c r="I1115" i="3"/>
  <c r="T1114" i="3"/>
  <c r="P1114" i="3"/>
  <c r="J1114" i="3"/>
  <c r="I1114" i="3"/>
  <c r="T1113" i="3"/>
  <c r="P1113" i="3"/>
  <c r="J1113" i="3"/>
  <c r="I1113" i="3"/>
  <c r="T1112" i="3"/>
  <c r="P1112" i="3"/>
  <c r="J1112" i="3"/>
  <c r="I1112" i="3"/>
  <c r="T1111" i="3"/>
  <c r="P1111" i="3"/>
  <c r="J1111" i="3"/>
  <c r="I1111" i="3"/>
  <c r="T1110" i="3"/>
  <c r="P1110" i="3"/>
  <c r="J1110" i="3"/>
  <c r="I1110" i="3"/>
  <c r="T1109" i="3"/>
  <c r="P1109" i="3"/>
  <c r="J1109" i="3"/>
  <c r="I1109" i="3"/>
  <c r="T1108" i="3"/>
  <c r="P1108" i="3"/>
  <c r="J1108" i="3"/>
  <c r="I1108" i="3"/>
  <c r="T1107" i="3"/>
  <c r="P1107" i="3"/>
  <c r="J1107" i="3"/>
  <c r="I1107" i="3"/>
  <c r="T1106" i="3"/>
  <c r="P1106" i="3"/>
  <c r="J1106" i="3"/>
  <c r="I1106" i="3"/>
  <c r="T1105" i="3"/>
  <c r="P1105" i="3"/>
  <c r="J1105" i="3"/>
  <c r="I1105" i="3"/>
  <c r="T1104" i="3"/>
  <c r="P1104" i="3"/>
  <c r="J1104" i="3"/>
  <c r="I1104" i="3"/>
  <c r="T1103" i="3"/>
  <c r="P1103" i="3"/>
  <c r="J1103" i="3"/>
  <c r="I1103" i="3"/>
  <c r="T1102" i="3"/>
  <c r="P1102" i="3"/>
  <c r="J1102" i="3"/>
  <c r="I1102" i="3"/>
  <c r="T1101" i="3"/>
  <c r="P1101" i="3"/>
  <c r="J1101" i="3"/>
  <c r="I1101" i="3"/>
  <c r="T1100" i="3"/>
  <c r="P1100" i="3"/>
  <c r="J1100" i="3"/>
  <c r="I1100" i="3"/>
  <c r="T1099" i="3"/>
  <c r="P1099" i="3"/>
  <c r="J1099" i="3"/>
  <c r="I1099" i="3"/>
  <c r="T1098" i="3"/>
  <c r="P1098" i="3"/>
  <c r="J1098" i="3"/>
  <c r="I1098" i="3"/>
  <c r="T1097" i="3"/>
  <c r="P1097" i="3"/>
  <c r="J1097" i="3"/>
  <c r="I1097" i="3"/>
  <c r="T1096" i="3"/>
  <c r="P1096" i="3"/>
  <c r="J1096" i="3"/>
  <c r="I1096" i="3"/>
  <c r="T1095" i="3"/>
  <c r="P1095" i="3"/>
  <c r="J1095" i="3"/>
  <c r="I1095" i="3"/>
  <c r="T1094" i="3"/>
  <c r="P1094" i="3"/>
  <c r="J1094" i="3"/>
  <c r="I1094" i="3"/>
  <c r="T1093" i="3"/>
  <c r="P1093" i="3"/>
  <c r="J1093" i="3"/>
  <c r="I1093" i="3"/>
  <c r="T1092" i="3"/>
  <c r="P1092" i="3"/>
  <c r="J1092" i="3"/>
  <c r="I1092" i="3"/>
  <c r="T1091" i="3"/>
  <c r="P1091" i="3"/>
  <c r="J1091" i="3"/>
  <c r="I1091" i="3"/>
  <c r="T1090" i="3"/>
  <c r="P1090" i="3"/>
  <c r="J1090" i="3"/>
  <c r="I1090" i="3"/>
  <c r="T1089" i="3"/>
  <c r="P1089" i="3"/>
  <c r="J1089" i="3"/>
  <c r="I1089" i="3"/>
  <c r="T1088" i="3"/>
  <c r="P1088" i="3"/>
  <c r="J1088" i="3"/>
  <c r="I1088" i="3"/>
  <c r="T1087" i="3"/>
  <c r="P1087" i="3"/>
  <c r="J1087" i="3"/>
  <c r="I1087" i="3"/>
  <c r="T1086" i="3"/>
  <c r="P1086" i="3"/>
  <c r="J1086" i="3"/>
  <c r="I1086" i="3"/>
  <c r="T1085" i="3"/>
  <c r="P1085" i="3"/>
  <c r="J1085" i="3"/>
  <c r="I1085" i="3"/>
  <c r="T1084" i="3"/>
  <c r="P1084" i="3"/>
  <c r="J1084" i="3"/>
  <c r="I1084" i="3"/>
  <c r="T1083" i="3"/>
  <c r="P1083" i="3"/>
  <c r="J1083" i="3"/>
  <c r="I1083" i="3"/>
  <c r="T1082" i="3"/>
  <c r="P1082" i="3"/>
  <c r="J1082" i="3"/>
  <c r="I1082" i="3"/>
  <c r="T1081" i="3"/>
  <c r="P1081" i="3"/>
  <c r="J1081" i="3"/>
  <c r="I1081" i="3"/>
  <c r="T1080" i="3"/>
  <c r="P1080" i="3"/>
  <c r="J1080" i="3"/>
  <c r="I1080" i="3"/>
  <c r="T1079" i="3"/>
  <c r="P1079" i="3"/>
  <c r="J1079" i="3"/>
  <c r="I1079" i="3"/>
  <c r="T1078" i="3"/>
  <c r="P1078" i="3"/>
  <c r="J1078" i="3"/>
  <c r="I1078" i="3"/>
  <c r="T1077" i="3"/>
  <c r="P1077" i="3"/>
  <c r="J1077" i="3"/>
  <c r="I1077" i="3"/>
  <c r="T1076" i="3"/>
  <c r="P1076" i="3"/>
  <c r="J1076" i="3"/>
  <c r="I1076" i="3"/>
  <c r="T1075" i="3"/>
  <c r="P1075" i="3"/>
  <c r="J1075" i="3"/>
  <c r="I1075" i="3"/>
  <c r="T1074" i="3"/>
  <c r="P1074" i="3"/>
  <c r="J1074" i="3"/>
  <c r="I1074" i="3"/>
  <c r="T1073" i="3"/>
  <c r="P1073" i="3"/>
  <c r="J1073" i="3"/>
  <c r="I1073" i="3"/>
  <c r="T1072" i="3"/>
  <c r="P1072" i="3"/>
  <c r="J1072" i="3"/>
  <c r="I1072" i="3"/>
  <c r="T1071" i="3"/>
  <c r="P1071" i="3"/>
  <c r="J1071" i="3"/>
  <c r="I1071" i="3"/>
  <c r="T1070" i="3"/>
  <c r="P1070" i="3"/>
  <c r="J1070" i="3"/>
  <c r="I1070" i="3"/>
  <c r="T1069" i="3"/>
  <c r="P1069" i="3"/>
  <c r="J1069" i="3"/>
  <c r="I1069" i="3"/>
  <c r="T1068" i="3"/>
  <c r="P1068" i="3"/>
  <c r="J1068" i="3"/>
  <c r="I1068" i="3"/>
  <c r="T1067" i="3"/>
  <c r="P1067" i="3"/>
  <c r="J1067" i="3"/>
  <c r="I1067" i="3"/>
  <c r="T1066" i="3"/>
  <c r="P1066" i="3"/>
  <c r="J1066" i="3"/>
  <c r="I1066" i="3"/>
  <c r="T1065" i="3"/>
  <c r="P1065" i="3"/>
  <c r="J1065" i="3"/>
  <c r="I1065" i="3"/>
  <c r="T1064" i="3"/>
  <c r="P1064" i="3"/>
  <c r="J1064" i="3"/>
  <c r="I1064" i="3"/>
  <c r="T1063" i="3"/>
  <c r="P1063" i="3"/>
  <c r="J1063" i="3"/>
  <c r="I1063" i="3"/>
  <c r="T1062" i="3"/>
  <c r="P1062" i="3"/>
  <c r="J1062" i="3"/>
  <c r="I1062" i="3"/>
  <c r="T1061" i="3"/>
  <c r="P1061" i="3"/>
  <c r="J1061" i="3"/>
  <c r="I1061" i="3"/>
  <c r="T1060" i="3"/>
  <c r="P1060" i="3"/>
  <c r="J1060" i="3"/>
  <c r="I1060" i="3"/>
  <c r="T1059" i="3"/>
  <c r="P1059" i="3"/>
  <c r="J1059" i="3"/>
  <c r="I1059" i="3"/>
  <c r="T1058" i="3"/>
  <c r="P1058" i="3"/>
  <c r="M1058" i="3"/>
  <c r="N1058" i="3" s="1"/>
  <c r="J1058" i="3"/>
  <c r="I1058" i="3"/>
  <c r="T1057" i="3"/>
  <c r="P1057" i="3"/>
  <c r="N1057" i="3"/>
  <c r="M1057" i="3"/>
  <c r="J1057" i="3"/>
  <c r="I1057" i="3"/>
  <c r="T1056" i="3"/>
  <c r="P1056" i="3"/>
  <c r="M1056" i="3"/>
  <c r="N1056" i="3" s="1"/>
  <c r="J1056" i="3"/>
  <c r="I1056" i="3"/>
  <c r="T1055" i="3"/>
  <c r="P1055" i="3"/>
  <c r="M1055" i="3"/>
  <c r="N1055" i="3" s="1"/>
  <c r="J1055" i="3"/>
  <c r="I1055" i="3"/>
  <c r="T1054" i="3"/>
  <c r="P1054" i="3"/>
  <c r="M1054" i="3"/>
  <c r="N1054" i="3" s="1"/>
  <c r="J1054" i="3"/>
  <c r="I1054" i="3"/>
  <c r="T1053" i="3"/>
  <c r="P1053" i="3"/>
  <c r="M1053" i="3"/>
  <c r="N1053" i="3" s="1"/>
  <c r="J1053" i="3"/>
  <c r="I1053" i="3"/>
  <c r="T1052" i="3"/>
  <c r="J1052" i="3"/>
  <c r="I1052" i="3"/>
  <c r="T1051" i="3"/>
  <c r="J1051" i="3"/>
  <c r="I1051" i="3"/>
  <c r="T1050" i="3"/>
  <c r="J1050" i="3"/>
  <c r="I1050" i="3"/>
  <c r="T1049" i="3"/>
  <c r="J1049" i="3"/>
  <c r="I1049" i="3"/>
  <c r="T1048" i="3"/>
  <c r="J1048" i="3"/>
  <c r="I1048" i="3"/>
  <c r="T1047" i="3"/>
  <c r="J1047" i="3"/>
  <c r="I1047" i="3"/>
  <c r="T1046" i="3"/>
  <c r="J1046" i="3"/>
  <c r="I1046" i="3"/>
  <c r="T1045" i="3"/>
  <c r="J1045" i="3"/>
  <c r="I1045" i="3"/>
  <c r="T1044" i="3"/>
  <c r="J1044" i="3"/>
  <c r="I1044" i="3"/>
  <c r="T1043" i="3"/>
  <c r="J1043" i="3"/>
  <c r="I1043" i="3"/>
  <c r="T1042" i="3"/>
  <c r="J1042" i="3"/>
  <c r="I1042" i="3"/>
  <c r="T1041" i="3"/>
  <c r="J1041" i="3"/>
  <c r="I1041" i="3"/>
  <c r="T1040" i="3"/>
  <c r="J1040" i="3"/>
  <c r="I1040" i="3"/>
  <c r="T1039" i="3"/>
  <c r="J1039" i="3"/>
  <c r="I1039" i="3"/>
  <c r="T1038" i="3"/>
  <c r="P1038" i="3"/>
  <c r="J1038" i="3"/>
  <c r="I1038" i="3"/>
  <c r="T1037" i="3"/>
  <c r="P1037" i="3"/>
  <c r="J1037" i="3"/>
  <c r="I1037" i="3"/>
  <c r="T1036" i="3"/>
  <c r="P1036" i="3"/>
  <c r="J1036" i="3"/>
  <c r="I1036" i="3"/>
  <c r="T1035" i="3"/>
  <c r="P1035" i="3"/>
  <c r="J1035" i="3"/>
  <c r="I1035" i="3"/>
  <c r="T1034" i="3"/>
  <c r="P1034" i="3"/>
  <c r="J1034" i="3"/>
  <c r="I1034" i="3"/>
  <c r="T1033" i="3"/>
  <c r="P1033" i="3"/>
  <c r="J1033" i="3"/>
  <c r="I1033" i="3"/>
  <c r="T1032" i="3"/>
  <c r="P1032" i="3"/>
  <c r="J1032" i="3"/>
  <c r="I1032" i="3"/>
  <c r="T1031" i="3"/>
  <c r="P1031" i="3"/>
  <c r="J1031" i="3"/>
  <c r="I1031" i="3"/>
  <c r="T1030" i="3"/>
  <c r="P1030" i="3"/>
  <c r="J1030" i="3"/>
  <c r="I1030" i="3"/>
  <c r="T1029" i="3"/>
  <c r="P1029" i="3"/>
  <c r="J1029" i="3"/>
  <c r="I1029" i="3"/>
  <c r="T1028" i="3"/>
  <c r="P1028" i="3"/>
  <c r="J1028" i="3"/>
  <c r="I1028" i="3"/>
  <c r="T1027" i="3"/>
  <c r="P1027" i="3"/>
  <c r="J1027" i="3"/>
  <c r="I1027" i="3"/>
  <c r="T1026" i="3"/>
  <c r="P1026" i="3"/>
  <c r="J1026" i="3"/>
  <c r="I1026" i="3"/>
  <c r="T1025" i="3"/>
  <c r="P1025" i="3"/>
  <c r="J1025" i="3"/>
  <c r="I1025" i="3"/>
  <c r="T1024" i="3"/>
  <c r="P1024" i="3"/>
  <c r="J1024" i="3"/>
  <c r="I1024" i="3"/>
  <c r="T1023" i="3"/>
  <c r="P1023" i="3"/>
  <c r="J1023" i="3"/>
  <c r="I1023" i="3"/>
  <c r="T1022" i="3"/>
  <c r="P1022" i="3"/>
  <c r="J1022" i="3"/>
  <c r="I1022" i="3"/>
  <c r="T1021" i="3"/>
  <c r="P1021" i="3"/>
  <c r="J1021" i="3"/>
  <c r="I1021" i="3"/>
  <c r="T1020" i="3"/>
  <c r="P1020" i="3"/>
  <c r="J1020" i="3"/>
  <c r="I1020" i="3"/>
  <c r="T1019" i="3"/>
  <c r="P1019" i="3"/>
  <c r="J1019" i="3"/>
  <c r="I1019" i="3"/>
  <c r="T1018" i="3"/>
  <c r="P1018" i="3"/>
  <c r="J1018" i="3"/>
  <c r="I1018" i="3"/>
  <c r="T1017" i="3"/>
  <c r="P1017" i="3"/>
  <c r="J1017" i="3"/>
  <c r="I1017" i="3"/>
  <c r="T1016" i="3"/>
  <c r="P1016" i="3"/>
  <c r="J1016" i="3"/>
  <c r="I1016" i="3"/>
  <c r="T1015" i="3"/>
  <c r="P1015" i="3"/>
  <c r="J1015" i="3"/>
  <c r="I1015" i="3"/>
  <c r="T1014" i="3"/>
  <c r="P1014" i="3"/>
  <c r="J1014" i="3"/>
  <c r="I1014" i="3"/>
  <c r="T1013" i="3"/>
  <c r="P1013" i="3"/>
  <c r="J1013" i="3"/>
  <c r="I1013" i="3"/>
  <c r="T1012" i="3"/>
  <c r="J1012" i="3"/>
  <c r="I1012" i="3"/>
  <c r="T1011" i="3"/>
  <c r="J1011" i="3"/>
  <c r="I1011" i="3"/>
  <c r="T1010" i="3"/>
  <c r="J1010" i="3"/>
  <c r="I1010" i="3"/>
  <c r="T1009" i="3"/>
  <c r="J1009" i="3"/>
  <c r="I1009" i="3"/>
  <c r="T1008" i="3"/>
  <c r="J1008" i="3"/>
  <c r="I1008" i="3"/>
  <c r="T1007" i="3"/>
  <c r="J1007" i="3"/>
  <c r="I1007" i="3"/>
  <c r="T1006" i="3"/>
  <c r="J1006" i="3"/>
  <c r="I1006" i="3"/>
  <c r="T1005" i="3"/>
  <c r="J1005" i="3"/>
  <c r="I1005" i="3"/>
  <c r="T1004" i="3"/>
  <c r="J1004" i="3"/>
  <c r="I1004" i="3"/>
  <c r="T1003" i="3"/>
  <c r="J1003" i="3"/>
  <c r="I1003" i="3"/>
  <c r="T1002" i="3"/>
  <c r="J1002" i="3"/>
  <c r="I1002" i="3"/>
  <c r="T1001" i="3"/>
  <c r="J1001" i="3"/>
  <c r="I1001" i="3"/>
  <c r="T1000" i="3"/>
  <c r="J1000" i="3"/>
  <c r="I1000" i="3"/>
  <c r="T999" i="3"/>
  <c r="J999" i="3"/>
  <c r="I999" i="3"/>
  <c r="T998" i="3"/>
  <c r="P998" i="3"/>
  <c r="J998" i="3"/>
  <c r="I998" i="3"/>
  <c r="T997" i="3"/>
  <c r="P997" i="3"/>
  <c r="J997" i="3"/>
  <c r="I997" i="3"/>
  <c r="T996" i="3"/>
  <c r="P996" i="3"/>
  <c r="J996" i="3"/>
  <c r="I996" i="3"/>
  <c r="T995" i="3"/>
  <c r="P995" i="3"/>
  <c r="J995" i="3"/>
  <c r="I995" i="3"/>
  <c r="T994" i="3"/>
  <c r="P994" i="3"/>
  <c r="J994" i="3"/>
  <c r="I994" i="3"/>
  <c r="T993" i="3"/>
  <c r="P993" i="3"/>
  <c r="J993" i="3"/>
  <c r="I993" i="3"/>
  <c r="T992" i="3"/>
  <c r="P992" i="3"/>
  <c r="J992" i="3"/>
  <c r="I992" i="3"/>
  <c r="T991" i="3"/>
  <c r="P991" i="3"/>
  <c r="J991" i="3"/>
  <c r="I991" i="3"/>
  <c r="T990" i="3"/>
  <c r="P990" i="3"/>
  <c r="J990" i="3"/>
  <c r="I990" i="3"/>
  <c r="T989" i="3"/>
  <c r="P989" i="3"/>
  <c r="J989" i="3"/>
  <c r="I989" i="3"/>
  <c r="T988" i="3"/>
  <c r="P988" i="3"/>
  <c r="J988" i="3"/>
  <c r="I988" i="3"/>
  <c r="T987" i="3"/>
  <c r="P987" i="3"/>
  <c r="J987" i="3"/>
  <c r="I987" i="3"/>
  <c r="T986" i="3"/>
  <c r="P986" i="3"/>
  <c r="J986" i="3"/>
  <c r="I986" i="3"/>
  <c r="T985" i="3"/>
  <c r="P985" i="3"/>
  <c r="N985" i="3"/>
  <c r="M985" i="3"/>
  <c r="J985" i="3"/>
  <c r="I985" i="3"/>
  <c r="T984" i="3"/>
  <c r="P984" i="3"/>
  <c r="M984" i="3"/>
  <c r="N984" i="3" s="1"/>
  <c r="J984" i="3"/>
  <c r="I984" i="3"/>
  <c r="T983" i="3"/>
  <c r="P983" i="3"/>
  <c r="N983" i="3"/>
  <c r="M983" i="3"/>
  <c r="J983" i="3"/>
  <c r="I983" i="3"/>
  <c r="T982" i="3"/>
  <c r="P982" i="3"/>
  <c r="M982" i="3"/>
  <c r="N982" i="3" s="1"/>
  <c r="J982" i="3"/>
  <c r="I982" i="3"/>
  <c r="T981" i="3"/>
  <c r="P981" i="3"/>
  <c r="M981" i="3"/>
  <c r="N981" i="3" s="1"/>
  <c r="J981" i="3"/>
  <c r="I981" i="3"/>
  <c r="T980" i="3"/>
  <c r="P980" i="3"/>
  <c r="M980" i="3"/>
  <c r="N980" i="3" s="1"/>
  <c r="J980" i="3"/>
  <c r="I980" i="3"/>
  <c r="T979" i="3"/>
  <c r="P979" i="3"/>
  <c r="N979" i="3"/>
  <c r="M979" i="3"/>
  <c r="J979" i="3"/>
  <c r="I979" i="3"/>
  <c r="T978" i="3"/>
  <c r="P978" i="3"/>
  <c r="M978" i="3"/>
  <c r="N978" i="3" s="1"/>
  <c r="J978" i="3"/>
  <c r="I978" i="3"/>
  <c r="T977" i="3"/>
  <c r="P977" i="3"/>
  <c r="N977" i="3"/>
  <c r="M977" i="3"/>
  <c r="J977" i="3"/>
  <c r="I977" i="3"/>
  <c r="T976" i="3"/>
  <c r="P976" i="3"/>
  <c r="M976" i="3"/>
  <c r="N976" i="3" s="1"/>
  <c r="J976" i="3"/>
  <c r="I976" i="3"/>
  <c r="T975" i="3"/>
  <c r="P975" i="3"/>
  <c r="M975" i="3"/>
  <c r="N975" i="3" s="1"/>
  <c r="J975" i="3"/>
  <c r="I975" i="3"/>
  <c r="T974" i="3"/>
  <c r="P974" i="3"/>
  <c r="M974" i="3"/>
  <c r="N974" i="3" s="1"/>
  <c r="J974" i="3"/>
  <c r="I974" i="3"/>
  <c r="T973" i="3"/>
  <c r="P973" i="3"/>
  <c r="M973" i="3"/>
  <c r="N973" i="3" s="1"/>
  <c r="J973" i="3"/>
  <c r="I973" i="3"/>
  <c r="T972" i="3"/>
  <c r="J972" i="3"/>
  <c r="I972" i="3"/>
  <c r="T971" i="3"/>
  <c r="J971" i="3"/>
  <c r="I971" i="3"/>
  <c r="T970" i="3"/>
  <c r="J970" i="3"/>
  <c r="I970" i="3"/>
  <c r="T969" i="3"/>
  <c r="J969" i="3"/>
  <c r="I969" i="3"/>
  <c r="T968" i="3"/>
  <c r="J968" i="3"/>
  <c r="I968" i="3"/>
  <c r="T967" i="3"/>
  <c r="J967" i="3"/>
  <c r="I967" i="3"/>
  <c r="T966" i="3"/>
  <c r="J966" i="3"/>
  <c r="I966" i="3"/>
  <c r="T965" i="3"/>
  <c r="J965" i="3"/>
  <c r="I965" i="3"/>
  <c r="T964" i="3"/>
  <c r="J964" i="3"/>
  <c r="I964" i="3"/>
  <c r="T963" i="3"/>
  <c r="J963" i="3"/>
  <c r="I963" i="3"/>
  <c r="T962" i="3"/>
  <c r="J962" i="3"/>
  <c r="I962" i="3"/>
  <c r="T961" i="3"/>
  <c r="J961" i="3"/>
  <c r="I961" i="3"/>
  <c r="T960" i="3"/>
  <c r="J960" i="3"/>
  <c r="I960" i="3"/>
  <c r="T959" i="3"/>
  <c r="J959" i="3"/>
  <c r="I959" i="3"/>
  <c r="T958" i="3"/>
  <c r="P958" i="3"/>
  <c r="J958" i="3"/>
  <c r="I958" i="3"/>
  <c r="T957" i="3"/>
  <c r="P957" i="3"/>
  <c r="J957" i="3"/>
  <c r="I957" i="3"/>
  <c r="T956" i="3"/>
  <c r="P956" i="3"/>
  <c r="J956" i="3"/>
  <c r="I956" i="3"/>
  <c r="T955" i="3"/>
  <c r="P955" i="3"/>
  <c r="J955" i="3"/>
  <c r="I955" i="3"/>
  <c r="T954" i="3"/>
  <c r="P954" i="3"/>
  <c r="J954" i="3"/>
  <c r="I954" i="3"/>
  <c r="T953" i="3"/>
  <c r="P953" i="3"/>
  <c r="J953" i="3"/>
  <c r="I953" i="3"/>
  <c r="T952" i="3"/>
  <c r="P952" i="3"/>
  <c r="J952" i="3"/>
  <c r="I952" i="3"/>
  <c r="T951" i="3"/>
  <c r="P951" i="3"/>
  <c r="J951" i="3"/>
  <c r="I951" i="3"/>
  <c r="T950" i="3"/>
  <c r="P950" i="3"/>
  <c r="J950" i="3"/>
  <c r="I950" i="3"/>
  <c r="T949" i="3"/>
  <c r="P949" i="3"/>
  <c r="J949" i="3"/>
  <c r="I949" i="3"/>
  <c r="T948" i="3"/>
  <c r="P948" i="3"/>
  <c r="J948" i="3"/>
  <c r="I948" i="3"/>
  <c r="T947" i="3"/>
  <c r="P947" i="3"/>
  <c r="J947" i="3"/>
  <c r="I947" i="3"/>
  <c r="T946" i="3"/>
  <c r="P946" i="3"/>
  <c r="J946" i="3"/>
  <c r="I946" i="3"/>
  <c r="T945" i="3"/>
  <c r="P945" i="3"/>
  <c r="J945" i="3"/>
  <c r="I945" i="3"/>
  <c r="T944" i="3"/>
  <c r="P944" i="3"/>
  <c r="J944" i="3"/>
  <c r="I944" i="3"/>
  <c r="T943" i="3"/>
  <c r="P943" i="3"/>
  <c r="J943" i="3"/>
  <c r="I943" i="3"/>
  <c r="T942" i="3"/>
  <c r="P942" i="3"/>
  <c r="J942" i="3"/>
  <c r="I942" i="3"/>
  <c r="T941" i="3"/>
  <c r="P941" i="3"/>
  <c r="J941" i="3"/>
  <c r="I941" i="3"/>
  <c r="T940" i="3"/>
  <c r="P940" i="3"/>
  <c r="J940" i="3"/>
  <c r="I940" i="3"/>
  <c r="T939" i="3"/>
  <c r="P939" i="3"/>
  <c r="J939" i="3"/>
  <c r="I939" i="3"/>
  <c r="T938" i="3"/>
  <c r="P938" i="3"/>
  <c r="J938" i="3"/>
  <c r="I938" i="3"/>
  <c r="T937" i="3"/>
  <c r="P937" i="3"/>
  <c r="J937" i="3"/>
  <c r="I937" i="3"/>
  <c r="T936" i="3"/>
  <c r="P936" i="3"/>
  <c r="J936" i="3"/>
  <c r="I936" i="3"/>
  <c r="T935" i="3"/>
  <c r="P935" i="3"/>
  <c r="J935" i="3"/>
  <c r="I935" i="3"/>
  <c r="T934" i="3"/>
  <c r="P934" i="3"/>
  <c r="J934" i="3"/>
  <c r="I934" i="3"/>
  <c r="T933" i="3"/>
  <c r="P933" i="3"/>
  <c r="J933" i="3"/>
  <c r="I933" i="3"/>
  <c r="T932" i="3"/>
  <c r="J932" i="3"/>
  <c r="I932" i="3"/>
  <c r="T931" i="3"/>
  <c r="J931" i="3"/>
  <c r="I931" i="3"/>
  <c r="T930" i="3"/>
  <c r="J930" i="3"/>
  <c r="I930" i="3"/>
  <c r="T929" i="3"/>
  <c r="J929" i="3"/>
  <c r="I929" i="3"/>
  <c r="T928" i="3"/>
  <c r="J928" i="3"/>
  <c r="I928" i="3"/>
  <c r="T927" i="3"/>
  <c r="J927" i="3"/>
  <c r="I927" i="3"/>
  <c r="T926" i="3"/>
  <c r="J926" i="3"/>
  <c r="I926" i="3"/>
  <c r="T925" i="3"/>
  <c r="J925" i="3"/>
  <c r="I925" i="3"/>
  <c r="T924" i="3"/>
  <c r="J924" i="3"/>
  <c r="I924" i="3"/>
  <c r="T923" i="3"/>
  <c r="J923" i="3"/>
  <c r="I923" i="3"/>
  <c r="T922" i="3"/>
  <c r="J922" i="3"/>
  <c r="I922" i="3"/>
  <c r="T921" i="3"/>
  <c r="J921" i="3"/>
  <c r="I921" i="3"/>
  <c r="T920" i="3"/>
  <c r="J920" i="3"/>
  <c r="I920" i="3"/>
  <c r="T919" i="3"/>
  <c r="J919" i="3"/>
  <c r="I919" i="3"/>
  <c r="T918" i="3"/>
  <c r="P918" i="3"/>
  <c r="J918" i="3"/>
  <c r="I918" i="3"/>
  <c r="T917" i="3"/>
  <c r="P917" i="3"/>
  <c r="J917" i="3"/>
  <c r="I917" i="3"/>
  <c r="T916" i="3"/>
  <c r="P916" i="3"/>
  <c r="J916" i="3"/>
  <c r="I916" i="3"/>
  <c r="T915" i="3"/>
  <c r="P915" i="3"/>
  <c r="J915" i="3"/>
  <c r="I915" i="3"/>
  <c r="T914" i="3"/>
  <c r="P914" i="3"/>
  <c r="J914" i="3"/>
  <c r="I914" i="3"/>
  <c r="T913" i="3"/>
  <c r="P913" i="3"/>
  <c r="J913" i="3"/>
  <c r="I913" i="3"/>
  <c r="T912" i="3"/>
  <c r="P912" i="3"/>
  <c r="J912" i="3"/>
  <c r="I912" i="3"/>
  <c r="T911" i="3"/>
  <c r="P911" i="3"/>
  <c r="J911" i="3"/>
  <c r="I911" i="3"/>
  <c r="T910" i="3"/>
  <c r="P910" i="3"/>
  <c r="J910" i="3"/>
  <c r="I910" i="3"/>
  <c r="T909" i="3"/>
  <c r="P909" i="3"/>
  <c r="J909" i="3"/>
  <c r="I909" i="3"/>
  <c r="T908" i="3"/>
  <c r="P908" i="3"/>
  <c r="J908" i="3"/>
  <c r="I908" i="3"/>
  <c r="T907" i="3"/>
  <c r="P907" i="3"/>
  <c r="J907" i="3"/>
  <c r="I907" i="3"/>
  <c r="T906" i="3"/>
  <c r="P906" i="3"/>
  <c r="J906" i="3"/>
  <c r="I906" i="3"/>
  <c r="T905" i="3"/>
  <c r="P905" i="3"/>
  <c r="J905" i="3"/>
  <c r="I905" i="3"/>
  <c r="T904" i="3"/>
  <c r="P904" i="3"/>
  <c r="N904" i="3"/>
  <c r="M904" i="3"/>
  <c r="J904" i="3"/>
  <c r="I904" i="3"/>
  <c r="T903" i="3"/>
  <c r="P903" i="3"/>
  <c r="N903" i="3"/>
  <c r="M903" i="3"/>
  <c r="J903" i="3"/>
  <c r="I903" i="3"/>
  <c r="T902" i="3"/>
  <c r="P902" i="3"/>
  <c r="N902" i="3"/>
  <c r="M902" i="3"/>
  <c r="J902" i="3"/>
  <c r="I902" i="3"/>
  <c r="T901" i="3"/>
  <c r="P901" i="3"/>
  <c r="M901" i="3"/>
  <c r="N901" i="3" s="1"/>
  <c r="J901" i="3"/>
  <c r="I901" i="3"/>
  <c r="T900" i="3"/>
  <c r="P900" i="3"/>
  <c r="N900" i="3"/>
  <c r="M900" i="3"/>
  <c r="J900" i="3"/>
  <c r="I900" i="3"/>
  <c r="T899" i="3"/>
  <c r="P899" i="3"/>
  <c r="M899" i="3"/>
  <c r="N899" i="3" s="1"/>
  <c r="J899" i="3"/>
  <c r="I899" i="3"/>
  <c r="T898" i="3"/>
  <c r="P898" i="3"/>
  <c r="N898" i="3"/>
  <c r="M898" i="3"/>
  <c r="J898" i="3"/>
  <c r="I898" i="3"/>
  <c r="T897" i="3"/>
  <c r="P897" i="3"/>
  <c r="N897" i="3"/>
  <c r="M897" i="3"/>
  <c r="J897" i="3"/>
  <c r="I897" i="3"/>
  <c r="T896" i="3"/>
  <c r="P896" i="3"/>
  <c r="N896" i="3"/>
  <c r="M896" i="3"/>
  <c r="J896" i="3"/>
  <c r="I896" i="3"/>
  <c r="T895" i="3"/>
  <c r="P895" i="3"/>
  <c r="N895" i="3"/>
  <c r="M895" i="3"/>
  <c r="J895" i="3"/>
  <c r="I895" i="3"/>
  <c r="T894" i="3"/>
  <c r="P894" i="3"/>
  <c r="N894" i="3"/>
  <c r="M894" i="3"/>
  <c r="J894" i="3"/>
  <c r="I894" i="3"/>
  <c r="T893" i="3"/>
  <c r="P893" i="3"/>
  <c r="N893" i="3"/>
  <c r="M893" i="3"/>
  <c r="J893" i="3"/>
  <c r="I893" i="3"/>
  <c r="T892" i="3"/>
  <c r="P892" i="3"/>
  <c r="J892" i="3"/>
  <c r="I892" i="3"/>
  <c r="T891" i="3"/>
  <c r="P891" i="3"/>
  <c r="J891" i="3"/>
  <c r="I891" i="3"/>
  <c r="T890" i="3"/>
  <c r="P890" i="3"/>
  <c r="J890" i="3"/>
  <c r="I890" i="3"/>
  <c r="T889" i="3"/>
  <c r="P889" i="3"/>
  <c r="J889" i="3"/>
  <c r="I889" i="3"/>
  <c r="T888" i="3"/>
  <c r="P888" i="3"/>
  <c r="J888" i="3"/>
  <c r="I888" i="3"/>
  <c r="T887" i="3"/>
  <c r="P887" i="3"/>
  <c r="J887" i="3"/>
  <c r="I887" i="3"/>
  <c r="T886" i="3"/>
  <c r="P886" i="3"/>
  <c r="J886" i="3"/>
  <c r="I886" i="3"/>
  <c r="T885" i="3"/>
  <c r="P885" i="3"/>
  <c r="J885" i="3"/>
  <c r="I885" i="3"/>
  <c r="T884" i="3"/>
  <c r="P884" i="3"/>
  <c r="J884" i="3"/>
  <c r="I884" i="3"/>
  <c r="T883" i="3"/>
  <c r="P883" i="3"/>
  <c r="J883" i="3"/>
  <c r="I883" i="3"/>
  <c r="T882" i="3"/>
  <c r="P882" i="3"/>
  <c r="J882" i="3"/>
  <c r="I882" i="3"/>
  <c r="T881" i="3"/>
  <c r="P881" i="3"/>
  <c r="J881" i="3"/>
  <c r="I881" i="3"/>
  <c r="T880" i="3"/>
  <c r="P880" i="3"/>
  <c r="N880" i="3"/>
  <c r="M880" i="3"/>
  <c r="J880" i="3"/>
  <c r="I880" i="3"/>
  <c r="T879" i="3"/>
  <c r="P879" i="3"/>
  <c r="M879" i="3"/>
  <c r="N879" i="3" s="1"/>
  <c r="J879" i="3"/>
  <c r="I879" i="3"/>
  <c r="T878" i="3"/>
  <c r="P878" i="3"/>
  <c r="N878" i="3"/>
  <c r="M878" i="3"/>
  <c r="J878" i="3"/>
  <c r="I878" i="3"/>
  <c r="T877" i="3"/>
  <c r="P877" i="3"/>
  <c r="N877" i="3"/>
  <c r="M877" i="3"/>
  <c r="J877" i="3"/>
  <c r="I877" i="3"/>
  <c r="T876" i="3"/>
  <c r="P876" i="3"/>
  <c r="N876" i="3"/>
  <c r="M876" i="3"/>
  <c r="J876" i="3"/>
  <c r="I876" i="3"/>
  <c r="T875" i="3"/>
  <c r="P875" i="3"/>
  <c r="N875" i="3"/>
  <c r="M875" i="3"/>
  <c r="J875" i="3"/>
  <c r="I875" i="3"/>
  <c r="T874" i="3"/>
  <c r="P874" i="3"/>
  <c r="N874" i="3"/>
  <c r="M874" i="3"/>
  <c r="J874" i="3"/>
  <c r="I874" i="3"/>
  <c r="T873" i="3"/>
  <c r="P873" i="3"/>
  <c r="N873" i="3"/>
  <c r="M873" i="3"/>
  <c r="J873" i="3"/>
  <c r="I873" i="3"/>
  <c r="T872" i="3"/>
  <c r="P872" i="3"/>
  <c r="N872" i="3"/>
  <c r="M872" i="3"/>
  <c r="J872" i="3"/>
  <c r="I872" i="3"/>
  <c r="T871" i="3"/>
  <c r="P871" i="3"/>
  <c r="N871" i="3"/>
  <c r="M871" i="3"/>
  <c r="J871" i="3"/>
  <c r="I871" i="3"/>
  <c r="T870" i="3"/>
  <c r="P870" i="3"/>
  <c r="N870" i="3"/>
  <c r="M870" i="3"/>
  <c r="J870" i="3"/>
  <c r="I870" i="3"/>
  <c r="T869" i="3"/>
  <c r="P869" i="3"/>
  <c r="M869" i="3"/>
  <c r="N869" i="3" s="1"/>
  <c r="J869" i="3"/>
  <c r="I869" i="3"/>
  <c r="T868" i="3"/>
  <c r="P868" i="3"/>
  <c r="N868" i="3"/>
  <c r="M868" i="3"/>
  <c r="J868" i="3"/>
  <c r="I868" i="3"/>
  <c r="T867" i="3"/>
  <c r="P867" i="3"/>
  <c r="M867" i="3"/>
  <c r="N867" i="3" s="1"/>
  <c r="J867" i="3"/>
  <c r="I867" i="3"/>
  <c r="T866" i="3"/>
  <c r="P866" i="3"/>
  <c r="N866" i="3"/>
  <c r="M866" i="3"/>
  <c r="J866" i="3"/>
  <c r="I866" i="3"/>
  <c r="T865" i="3"/>
  <c r="P865" i="3"/>
  <c r="N865" i="3"/>
  <c r="M865" i="3"/>
  <c r="J865" i="3"/>
  <c r="I865" i="3"/>
  <c r="T864" i="3"/>
  <c r="P864" i="3"/>
  <c r="J864" i="3"/>
  <c r="I864" i="3"/>
  <c r="T863" i="3"/>
  <c r="P863" i="3"/>
  <c r="J863" i="3"/>
  <c r="I863" i="3"/>
  <c r="T862" i="3"/>
  <c r="P862" i="3"/>
  <c r="J862" i="3"/>
  <c r="I862" i="3"/>
  <c r="T861" i="3"/>
  <c r="P861" i="3"/>
  <c r="J861" i="3"/>
  <c r="I861" i="3"/>
  <c r="T860" i="3"/>
  <c r="P860" i="3"/>
  <c r="J860" i="3"/>
  <c r="I860" i="3"/>
  <c r="T859" i="3"/>
  <c r="P859" i="3"/>
  <c r="J859" i="3"/>
  <c r="I859" i="3"/>
  <c r="T858" i="3"/>
  <c r="P858" i="3"/>
  <c r="J858" i="3"/>
  <c r="I858" i="3"/>
  <c r="T857" i="3"/>
  <c r="P857" i="3"/>
  <c r="J857" i="3"/>
  <c r="I857" i="3"/>
  <c r="T856" i="3"/>
  <c r="P856" i="3"/>
  <c r="J856" i="3"/>
  <c r="I856" i="3"/>
  <c r="T855" i="3"/>
  <c r="P855" i="3"/>
  <c r="J855" i="3"/>
  <c r="I855" i="3"/>
  <c r="T854" i="3"/>
  <c r="P854" i="3"/>
  <c r="J854" i="3"/>
  <c r="I854" i="3"/>
  <c r="T853" i="3"/>
  <c r="P853" i="3"/>
  <c r="J853" i="3"/>
  <c r="I853" i="3"/>
  <c r="T852" i="3"/>
  <c r="P852" i="3"/>
  <c r="J852" i="3"/>
  <c r="I852" i="3"/>
  <c r="T851" i="3"/>
  <c r="P851" i="3"/>
  <c r="J851" i="3"/>
  <c r="I851" i="3"/>
  <c r="T850" i="3"/>
  <c r="P850" i="3"/>
  <c r="J850" i="3"/>
  <c r="I850" i="3"/>
  <c r="T849" i="3"/>
  <c r="P849" i="3"/>
  <c r="J849" i="3"/>
  <c r="I849" i="3"/>
  <c r="T848" i="3"/>
  <c r="P848" i="3"/>
  <c r="J848" i="3"/>
  <c r="I848" i="3"/>
  <c r="T847" i="3"/>
  <c r="P847" i="3"/>
  <c r="J847" i="3"/>
  <c r="I847" i="3"/>
  <c r="T846" i="3"/>
  <c r="P846" i="3"/>
  <c r="J846" i="3"/>
  <c r="I846" i="3"/>
  <c r="T845" i="3"/>
  <c r="P845" i="3"/>
  <c r="J845" i="3"/>
  <c r="I845" i="3"/>
  <c r="T844" i="3"/>
  <c r="P844" i="3"/>
  <c r="J844" i="3"/>
  <c r="I844" i="3"/>
  <c r="T843" i="3"/>
  <c r="P843" i="3"/>
  <c r="N843" i="3"/>
  <c r="M843" i="3"/>
  <c r="J843" i="3"/>
  <c r="I843" i="3"/>
  <c r="T842" i="3"/>
  <c r="P842" i="3"/>
  <c r="M842" i="3"/>
  <c r="N842" i="3" s="1"/>
  <c r="J842" i="3"/>
  <c r="I842" i="3"/>
  <c r="T841" i="3"/>
  <c r="P841" i="3"/>
  <c r="M841" i="3"/>
  <c r="N841" i="3" s="1"/>
  <c r="J841" i="3"/>
  <c r="I841" i="3"/>
  <c r="T840" i="3"/>
  <c r="P840" i="3"/>
  <c r="M840" i="3"/>
  <c r="N840" i="3" s="1"/>
  <c r="J840" i="3"/>
  <c r="I840" i="3"/>
  <c r="T839" i="3"/>
  <c r="P839" i="3"/>
  <c r="M839" i="3"/>
  <c r="N839" i="3" s="1"/>
  <c r="J839" i="3"/>
  <c r="I839" i="3"/>
  <c r="T838" i="3"/>
  <c r="P838" i="3"/>
  <c r="M838" i="3"/>
  <c r="N838" i="3" s="1"/>
  <c r="J838" i="3"/>
  <c r="I838" i="3"/>
  <c r="T837" i="3"/>
  <c r="P837" i="3"/>
  <c r="M837" i="3"/>
  <c r="N837" i="3" s="1"/>
  <c r="J837" i="3"/>
  <c r="I837" i="3"/>
  <c r="T836" i="3"/>
  <c r="P836" i="3"/>
  <c r="M836" i="3"/>
  <c r="N836" i="3" s="1"/>
  <c r="J836" i="3"/>
  <c r="I836" i="3"/>
  <c r="T835" i="3"/>
  <c r="P835" i="3"/>
  <c r="M835" i="3"/>
  <c r="N835" i="3" s="1"/>
  <c r="J835" i="3"/>
  <c r="I835" i="3"/>
  <c r="T834" i="3"/>
  <c r="P834" i="3"/>
  <c r="J834" i="3"/>
  <c r="I834" i="3"/>
  <c r="T833" i="3"/>
  <c r="P833" i="3"/>
  <c r="J833" i="3"/>
  <c r="I833" i="3"/>
  <c r="T832" i="3"/>
  <c r="P832" i="3"/>
  <c r="J832" i="3"/>
  <c r="I832" i="3"/>
  <c r="T831" i="3"/>
  <c r="P831" i="3"/>
  <c r="J831" i="3"/>
  <c r="I831" i="3"/>
  <c r="T830" i="3"/>
  <c r="P830" i="3"/>
  <c r="J830" i="3"/>
  <c r="I830" i="3"/>
  <c r="T829" i="3"/>
  <c r="P829" i="3"/>
  <c r="J829" i="3"/>
  <c r="I829" i="3"/>
  <c r="T828" i="3"/>
  <c r="P828" i="3"/>
  <c r="J828" i="3"/>
  <c r="I828" i="3"/>
  <c r="T827" i="3"/>
  <c r="P827" i="3"/>
  <c r="J827" i="3"/>
  <c r="I827" i="3"/>
  <c r="T826" i="3"/>
  <c r="P826" i="3"/>
  <c r="J826" i="3"/>
  <c r="I826" i="3"/>
  <c r="T825" i="3"/>
  <c r="P825" i="3"/>
  <c r="J825" i="3"/>
  <c r="I825" i="3"/>
  <c r="T824" i="3"/>
  <c r="P824" i="3"/>
  <c r="J824" i="3"/>
  <c r="I824" i="3"/>
  <c r="T823" i="3"/>
  <c r="P823" i="3"/>
  <c r="M823" i="3"/>
  <c r="N823" i="3" s="1"/>
  <c r="J823" i="3"/>
  <c r="I823" i="3"/>
  <c r="T822" i="3"/>
  <c r="P822" i="3"/>
  <c r="M822" i="3"/>
  <c r="N822" i="3" s="1"/>
  <c r="J822" i="3"/>
  <c r="I822" i="3"/>
  <c r="T821" i="3"/>
  <c r="P821" i="3"/>
  <c r="M821" i="3"/>
  <c r="N821" i="3" s="1"/>
  <c r="J821" i="3"/>
  <c r="I821" i="3"/>
  <c r="T820" i="3"/>
  <c r="P820" i="3"/>
  <c r="M820" i="3"/>
  <c r="N820" i="3" s="1"/>
  <c r="J820" i="3"/>
  <c r="I820" i="3"/>
  <c r="T819" i="3"/>
  <c r="P819" i="3"/>
  <c r="M819" i="3"/>
  <c r="N819" i="3" s="1"/>
  <c r="J819" i="3"/>
  <c r="I819" i="3"/>
  <c r="T818" i="3"/>
  <c r="P818" i="3"/>
  <c r="M818" i="3"/>
  <c r="N818" i="3" s="1"/>
  <c r="J818" i="3"/>
  <c r="I818" i="3"/>
  <c r="T817" i="3"/>
  <c r="P817" i="3"/>
  <c r="M817" i="3"/>
  <c r="N817" i="3" s="1"/>
  <c r="J817" i="3"/>
  <c r="I817" i="3"/>
  <c r="T816" i="3"/>
  <c r="P816" i="3"/>
  <c r="M816" i="3"/>
  <c r="N816" i="3" s="1"/>
  <c r="J816" i="3"/>
  <c r="I816" i="3"/>
  <c r="T815" i="3"/>
  <c r="P815" i="3"/>
  <c r="N815" i="3"/>
  <c r="M815" i="3"/>
  <c r="J815" i="3"/>
  <c r="I815" i="3"/>
  <c r="T814" i="3"/>
  <c r="P814" i="3"/>
  <c r="M814" i="3"/>
  <c r="N814" i="3" s="1"/>
  <c r="J814" i="3"/>
  <c r="I814" i="3"/>
  <c r="T813" i="3"/>
  <c r="P813" i="3"/>
  <c r="M813" i="3"/>
  <c r="N813" i="3" s="1"/>
  <c r="J813" i="3"/>
  <c r="I813" i="3"/>
  <c r="T812" i="3"/>
  <c r="P812" i="3"/>
  <c r="M812" i="3"/>
  <c r="N812" i="3" s="1"/>
  <c r="J812" i="3"/>
  <c r="I812" i="3"/>
  <c r="T811" i="3"/>
  <c r="P811" i="3"/>
  <c r="N811" i="3"/>
  <c r="M811" i="3"/>
  <c r="J811" i="3"/>
  <c r="I811" i="3"/>
  <c r="T810" i="3"/>
  <c r="P810" i="3"/>
  <c r="M810" i="3"/>
  <c r="N810" i="3" s="1"/>
  <c r="J810" i="3"/>
  <c r="I810" i="3"/>
  <c r="T809" i="3"/>
  <c r="P809" i="3"/>
  <c r="M809" i="3"/>
  <c r="N809" i="3" s="1"/>
  <c r="J809" i="3"/>
  <c r="I809" i="3"/>
  <c r="T808" i="3"/>
  <c r="P808" i="3"/>
  <c r="M808" i="3"/>
  <c r="N808" i="3" s="1"/>
  <c r="J808" i="3"/>
  <c r="I808" i="3"/>
  <c r="T807" i="3"/>
  <c r="P807" i="3"/>
  <c r="M807" i="3"/>
  <c r="N807" i="3" s="1"/>
  <c r="J807" i="3"/>
  <c r="I807" i="3"/>
  <c r="T806" i="3"/>
  <c r="P806" i="3"/>
  <c r="M806" i="3"/>
  <c r="N806" i="3" s="1"/>
  <c r="J806" i="3"/>
  <c r="I806" i="3"/>
  <c r="T805" i="3"/>
  <c r="P805" i="3"/>
  <c r="M805" i="3"/>
  <c r="N805" i="3" s="1"/>
  <c r="J805" i="3"/>
  <c r="I805" i="3"/>
  <c r="T804" i="3"/>
  <c r="P804" i="3"/>
  <c r="M804" i="3"/>
  <c r="N804" i="3" s="1"/>
  <c r="J804" i="3"/>
  <c r="I804" i="3"/>
  <c r="T803" i="3"/>
  <c r="P803" i="3"/>
  <c r="N803" i="3"/>
  <c r="M803" i="3"/>
  <c r="J803" i="3"/>
  <c r="I803" i="3"/>
  <c r="T802" i="3"/>
  <c r="P802" i="3"/>
  <c r="M802" i="3"/>
  <c r="N802" i="3" s="1"/>
  <c r="J802" i="3"/>
  <c r="I802" i="3"/>
  <c r="T801" i="3"/>
  <c r="P801" i="3"/>
  <c r="M801" i="3"/>
  <c r="N801" i="3" s="1"/>
  <c r="J801" i="3"/>
  <c r="I801" i="3"/>
  <c r="T800" i="3"/>
  <c r="P800" i="3"/>
  <c r="M800" i="3"/>
  <c r="N800" i="3" s="1"/>
  <c r="J800" i="3"/>
  <c r="I800" i="3"/>
  <c r="T799" i="3"/>
  <c r="P799" i="3"/>
  <c r="N799" i="3"/>
  <c r="M799" i="3"/>
  <c r="J799" i="3"/>
  <c r="I799" i="3"/>
  <c r="T798" i="3"/>
  <c r="P798" i="3"/>
  <c r="M798" i="3"/>
  <c r="N798" i="3" s="1"/>
  <c r="J798" i="3"/>
  <c r="I798" i="3"/>
  <c r="T797" i="3"/>
  <c r="P797" i="3"/>
  <c r="M797" i="3"/>
  <c r="N797" i="3" s="1"/>
  <c r="J797" i="3"/>
  <c r="I797" i="3"/>
  <c r="T796" i="3"/>
  <c r="P796" i="3"/>
  <c r="M796" i="3"/>
  <c r="N796" i="3" s="1"/>
  <c r="J796" i="3"/>
  <c r="I796" i="3"/>
  <c r="T795" i="3"/>
  <c r="P795" i="3"/>
  <c r="N795" i="3"/>
  <c r="M795" i="3"/>
  <c r="J795" i="3"/>
  <c r="I795" i="3"/>
  <c r="T794" i="3"/>
  <c r="P794" i="3"/>
  <c r="M794" i="3"/>
  <c r="N794" i="3" s="1"/>
  <c r="J794" i="3"/>
  <c r="I794" i="3"/>
  <c r="T793" i="3"/>
  <c r="P793" i="3"/>
  <c r="M793" i="3"/>
  <c r="N793" i="3" s="1"/>
  <c r="J793" i="3"/>
  <c r="I793" i="3"/>
  <c r="T792" i="3"/>
  <c r="P792" i="3"/>
  <c r="M792" i="3"/>
  <c r="N792" i="3" s="1"/>
  <c r="J792" i="3"/>
  <c r="I792" i="3"/>
  <c r="T791" i="3"/>
  <c r="P791" i="3"/>
  <c r="M791" i="3"/>
  <c r="N791" i="3" s="1"/>
  <c r="J791" i="3"/>
  <c r="I791" i="3"/>
  <c r="T790" i="3"/>
  <c r="P790" i="3"/>
  <c r="M790" i="3"/>
  <c r="N790" i="3" s="1"/>
  <c r="J790" i="3"/>
  <c r="I790" i="3"/>
  <c r="T789" i="3"/>
  <c r="P789" i="3"/>
  <c r="N789" i="3"/>
  <c r="M789" i="3"/>
  <c r="J789" i="3"/>
  <c r="I789" i="3"/>
  <c r="T788" i="3"/>
  <c r="P788" i="3"/>
  <c r="M788" i="3"/>
  <c r="N788" i="3" s="1"/>
  <c r="J788" i="3"/>
  <c r="I788" i="3"/>
  <c r="T787" i="3"/>
  <c r="P787" i="3"/>
  <c r="M787" i="3"/>
  <c r="N787" i="3" s="1"/>
  <c r="J787" i="3"/>
  <c r="I787" i="3"/>
  <c r="T786" i="3"/>
  <c r="P786" i="3"/>
  <c r="M786" i="3"/>
  <c r="N786" i="3" s="1"/>
  <c r="J786" i="3"/>
  <c r="I786" i="3"/>
  <c r="T785" i="3"/>
  <c r="P785" i="3"/>
  <c r="M785" i="3"/>
  <c r="N785" i="3" s="1"/>
  <c r="J785" i="3"/>
  <c r="I785" i="3"/>
  <c r="T784" i="3"/>
  <c r="P784" i="3"/>
  <c r="M784" i="3"/>
  <c r="N784" i="3" s="1"/>
  <c r="J784" i="3"/>
  <c r="I784" i="3"/>
  <c r="T783" i="3"/>
  <c r="P783" i="3"/>
  <c r="N783" i="3"/>
  <c r="M783" i="3"/>
  <c r="J783" i="3"/>
  <c r="I783" i="3"/>
  <c r="T782" i="3"/>
  <c r="P782" i="3"/>
  <c r="M782" i="3"/>
  <c r="N782" i="3" s="1"/>
  <c r="J782" i="3"/>
  <c r="I782" i="3"/>
  <c r="T781" i="3"/>
  <c r="P781" i="3"/>
  <c r="M781" i="3"/>
  <c r="N781" i="3" s="1"/>
  <c r="J781" i="3"/>
  <c r="I781" i="3"/>
  <c r="T780" i="3"/>
  <c r="P780" i="3"/>
  <c r="M780" i="3"/>
  <c r="N780" i="3" s="1"/>
  <c r="J780" i="3"/>
  <c r="I780" i="3"/>
  <c r="T779" i="3"/>
  <c r="P779" i="3"/>
  <c r="M779" i="3"/>
  <c r="N779" i="3" s="1"/>
  <c r="J779" i="3"/>
  <c r="I779" i="3"/>
  <c r="T778" i="3"/>
  <c r="P778" i="3"/>
  <c r="M778" i="3"/>
  <c r="N778" i="3" s="1"/>
  <c r="J778" i="3"/>
  <c r="I778" i="3"/>
  <c r="T777" i="3"/>
  <c r="P777" i="3"/>
  <c r="M777" i="3"/>
  <c r="N777" i="3" s="1"/>
  <c r="J777" i="3"/>
  <c r="I777" i="3"/>
  <c r="T776" i="3"/>
  <c r="P776" i="3"/>
  <c r="M776" i="3"/>
  <c r="N776" i="3" s="1"/>
  <c r="J776" i="3"/>
  <c r="I776" i="3"/>
  <c r="T775" i="3"/>
  <c r="P775" i="3"/>
  <c r="M775" i="3"/>
  <c r="N775" i="3" s="1"/>
  <c r="J775" i="3"/>
  <c r="I775" i="3"/>
  <c r="T774" i="3"/>
  <c r="J774" i="3"/>
  <c r="I774" i="3"/>
  <c r="T773" i="3"/>
  <c r="J773" i="3"/>
  <c r="I773" i="3"/>
  <c r="T772" i="3"/>
  <c r="J772" i="3"/>
  <c r="I772" i="3"/>
  <c r="T771" i="3"/>
  <c r="J771" i="3"/>
  <c r="I771" i="3"/>
  <c r="T770" i="3"/>
  <c r="J770" i="3"/>
  <c r="I770" i="3"/>
  <c r="T769" i="3"/>
  <c r="J769" i="3"/>
  <c r="I769" i="3"/>
  <c r="T768" i="3"/>
  <c r="J768" i="3"/>
  <c r="I768" i="3"/>
  <c r="T767" i="3"/>
  <c r="J767" i="3"/>
  <c r="I767" i="3"/>
  <c r="T766" i="3"/>
  <c r="J766" i="3"/>
  <c r="I766" i="3"/>
  <c r="T765" i="3"/>
  <c r="J765" i="3"/>
  <c r="I765" i="3"/>
  <c r="T764" i="3"/>
  <c r="J764" i="3"/>
  <c r="I764" i="3"/>
  <c r="T763" i="3"/>
  <c r="J763" i="3"/>
  <c r="I763" i="3"/>
  <c r="T762" i="3"/>
  <c r="J762" i="3"/>
  <c r="I762" i="3"/>
  <c r="T761" i="3"/>
  <c r="J761" i="3"/>
  <c r="I761" i="3"/>
  <c r="T760" i="3"/>
  <c r="J760" i="3"/>
  <c r="I760" i="3"/>
  <c r="T759" i="3"/>
  <c r="J759" i="3"/>
  <c r="I759" i="3"/>
  <c r="T758" i="3"/>
  <c r="J758" i="3"/>
  <c r="I758" i="3"/>
  <c r="T757" i="3"/>
  <c r="P757" i="3"/>
  <c r="J757" i="3"/>
  <c r="I757" i="3"/>
  <c r="T756" i="3"/>
  <c r="P756" i="3"/>
  <c r="J756" i="3"/>
  <c r="I756" i="3"/>
  <c r="T755" i="3"/>
  <c r="P755" i="3"/>
  <c r="J755" i="3"/>
  <c r="I755" i="3"/>
  <c r="T754" i="3"/>
  <c r="P754" i="3"/>
  <c r="J754" i="3"/>
  <c r="I754" i="3"/>
  <c r="T753" i="3"/>
  <c r="P753" i="3"/>
  <c r="J753" i="3"/>
  <c r="I753" i="3"/>
  <c r="T752" i="3"/>
  <c r="P752" i="3"/>
  <c r="J752" i="3"/>
  <c r="I752" i="3"/>
  <c r="T751" i="3"/>
  <c r="P751" i="3"/>
  <c r="J751" i="3"/>
  <c r="I751" i="3"/>
  <c r="T750" i="3"/>
  <c r="P750" i="3"/>
  <c r="J750" i="3"/>
  <c r="I750" i="3"/>
  <c r="T749" i="3"/>
  <c r="P749" i="3"/>
  <c r="J749" i="3"/>
  <c r="I749" i="3"/>
  <c r="T748" i="3"/>
  <c r="P748" i="3"/>
  <c r="J748" i="3"/>
  <c r="I748" i="3"/>
  <c r="T747" i="3"/>
  <c r="P747" i="3"/>
  <c r="J747" i="3"/>
  <c r="I747" i="3"/>
  <c r="T746" i="3"/>
  <c r="P746" i="3"/>
  <c r="J746" i="3"/>
  <c r="I746" i="3"/>
  <c r="T745" i="3"/>
  <c r="P745" i="3"/>
  <c r="J745" i="3"/>
  <c r="I745" i="3"/>
  <c r="T744" i="3"/>
  <c r="P744" i="3"/>
  <c r="J744" i="3"/>
  <c r="I744" i="3"/>
  <c r="T743" i="3"/>
  <c r="P743" i="3"/>
  <c r="J743" i="3"/>
  <c r="I743" i="3"/>
  <c r="T742" i="3"/>
  <c r="P742" i="3"/>
  <c r="J742" i="3"/>
  <c r="I742" i="3"/>
  <c r="T741" i="3"/>
  <c r="P741" i="3"/>
  <c r="J741" i="3"/>
  <c r="I741" i="3"/>
  <c r="T740" i="3"/>
  <c r="P740" i="3"/>
  <c r="J740" i="3"/>
  <c r="I740" i="3"/>
  <c r="T739" i="3"/>
  <c r="P739" i="3"/>
  <c r="J739" i="3"/>
  <c r="I739" i="3"/>
  <c r="T738" i="3"/>
  <c r="P738" i="3"/>
  <c r="J738" i="3"/>
  <c r="I738" i="3"/>
  <c r="T737" i="3"/>
  <c r="P737" i="3"/>
  <c r="J737" i="3"/>
  <c r="I737" i="3"/>
  <c r="T736" i="3"/>
  <c r="P736" i="3"/>
  <c r="J736" i="3"/>
  <c r="I736" i="3"/>
  <c r="T735" i="3"/>
  <c r="P735" i="3"/>
  <c r="J735" i="3"/>
  <c r="I735" i="3"/>
  <c r="T734" i="3"/>
  <c r="P734" i="3"/>
  <c r="J734" i="3"/>
  <c r="I734" i="3"/>
  <c r="T733" i="3"/>
  <c r="P733" i="3"/>
  <c r="J733" i="3"/>
  <c r="I733" i="3"/>
  <c r="T732" i="3"/>
  <c r="P732" i="3"/>
  <c r="J732" i="3"/>
  <c r="I732" i="3"/>
  <c r="T731" i="3"/>
  <c r="P731" i="3"/>
  <c r="J731" i="3"/>
  <c r="I731" i="3"/>
  <c r="T730" i="3"/>
  <c r="P730" i="3"/>
  <c r="J730" i="3"/>
  <c r="I730" i="3"/>
  <c r="T729" i="3"/>
  <c r="P729" i="3"/>
  <c r="J729" i="3"/>
  <c r="I729" i="3"/>
  <c r="T728" i="3"/>
  <c r="P728" i="3"/>
  <c r="J728" i="3"/>
  <c r="I728" i="3"/>
  <c r="T727" i="3"/>
  <c r="P727" i="3"/>
  <c r="J727" i="3"/>
  <c r="I727" i="3"/>
  <c r="T726" i="3"/>
  <c r="P726" i="3"/>
  <c r="J726" i="3"/>
  <c r="I726" i="3"/>
  <c r="T725" i="3"/>
  <c r="P725" i="3"/>
  <c r="J725" i="3"/>
  <c r="I725" i="3"/>
  <c r="T724" i="3"/>
  <c r="P724" i="3"/>
  <c r="J724" i="3"/>
  <c r="I724" i="3"/>
  <c r="T723" i="3"/>
  <c r="P723" i="3"/>
  <c r="J723" i="3"/>
  <c r="I723" i="3"/>
  <c r="T722" i="3"/>
  <c r="P722" i="3"/>
  <c r="J722" i="3"/>
  <c r="I722" i="3"/>
  <c r="T721" i="3"/>
  <c r="P721" i="3"/>
  <c r="J721" i="3"/>
  <c r="I721" i="3"/>
  <c r="T720" i="3"/>
  <c r="P720" i="3"/>
  <c r="J720" i="3"/>
  <c r="I720" i="3"/>
  <c r="T719" i="3"/>
  <c r="P719" i="3"/>
  <c r="J719" i="3"/>
  <c r="I719" i="3"/>
  <c r="T718" i="3"/>
  <c r="P718" i="3"/>
  <c r="J718" i="3"/>
  <c r="I718" i="3"/>
  <c r="T717" i="3"/>
  <c r="P717" i="3"/>
  <c r="J717" i="3"/>
  <c r="I717" i="3"/>
  <c r="T716" i="3"/>
  <c r="P716" i="3"/>
  <c r="J716" i="3"/>
  <c r="I716" i="3"/>
  <c r="T715" i="3"/>
  <c r="P715" i="3"/>
  <c r="J715" i="3"/>
  <c r="I715" i="3"/>
  <c r="T714" i="3"/>
  <c r="P714" i="3"/>
  <c r="J714" i="3"/>
  <c r="I714" i="3"/>
  <c r="T713" i="3"/>
  <c r="P713" i="3"/>
  <c r="J713" i="3"/>
  <c r="I713" i="3"/>
  <c r="T712" i="3"/>
  <c r="P712" i="3"/>
  <c r="J712" i="3"/>
  <c r="I712" i="3"/>
  <c r="T711" i="3"/>
  <c r="P711" i="3"/>
  <c r="J711" i="3"/>
  <c r="I711" i="3"/>
  <c r="T710" i="3"/>
  <c r="P710" i="3"/>
  <c r="J710" i="3"/>
  <c r="I710" i="3"/>
  <c r="T709" i="3"/>
  <c r="P709" i="3"/>
  <c r="J709" i="3"/>
  <c r="I709" i="3"/>
  <c r="T708" i="3"/>
  <c r="P708" i="3"/>
  <c r="J708" i="3"/>
  <c r="I708" i="3"/>
  <c r="T707" i="3"/>
  <c r="P707" i="3"/>
  <c r="J707" i="3"/>
  <c r="I707" i="3"/>
  <c r="T706" i="3"/>
  <c r="P706" i="3"/>
  <c r="J706" i="3"/>
  <c r="I706" i="3"/>
  <c r="T705" i="3"/>
  <c r="P705" i="3"/>
  <c r="J705" i="3"/>
  <c r="I705" i="3"/>
  <c r="T704" i="3"/>
  <c r="P704" i="3"/>
  <c r="J704" i="3"/>
  <c r="I704" i="3"/>
  <c r="T703" i="3"/>
  <c r="P703" i="3"/>
  <c r="J703" i="3"/>
  <c r="I703" i="3"/>
  <c r="T702" i="3"/>
  <c r="P702" i="3"/>
  <c r="J702" i="3"/>
  <c r="I702" i="3"/>
  <c r="T701" i="3"/>
  <c r="P701" i="3"/>
  <c r="J701" i="3"/>
  <c r="I701" i="3"/>
  <c r="T700" i="3"/>
  <c r="P700" i="3"/>
  <c r="J700" i="3"/>
  <c r="I700" i="3"/>
  <c r="T699" i="3"/>
  <c r="P699" i="3"/>
  <c r="J699" i="3"/>
  <c r="I699" i="3"/>
  <c r="T698" i="3"/>
  <c r="P698" i="3"/>
  <c r="J698" i="3"/>
  <c r="I698" i="3"/>
  <c r="T697" i="3"/>
  <c r="P697" i="3"/>
  <c r="J697" i="3"/>
  <c r="I697" i="3"/>
  <c r="T696" i="3"/>
  <c r="P696" i="3"/>
  <c r="J696" i="3"/>
  <c r="I696" i="3"/>
  <c r="T695" i="3"/>
  <c r="P695" i="3"/>
  <c r="J695" i="3"/>
  <c r="I695" i="3"/>
  <c r="T694" i="3"/>
  <c r="P694" i="3"/>
  <c r="J694" i="3"/>
  <c r="I694" i="3"/>
  <c r="T693" i="3"/>
  <c r="P693" i="3"/>
  <c r="J693" i="3"/>
  <c r="I693" i="3"/>
  <c r="T692" i="3"/>
  <c r="P692" i="3"/>
  <c r="J692" i="3"/>
  <c r="I692" i="3"/>
  <c r="T691" i="3"/>
  <c r="P691" i="3"/>
  <c r="J691" i="3"/>
  <c r="I691" i="3"/>
  <c r="T690" i="3"/>
  <c r="P690" i="3"/>
  <c r="J690" i="3"/>
  <c r="I690" i="3"/>
  <c r="T689" i="3"/>
  <c r="P689" i="3"/>
  <c r="J689" i="3"/>
  <c r="I689" i="3"/>
  <c r="T688" i="3"/>
  <c r="P688" i="3"/>
  <c r="J688" i="3"/>
  <c r="I688" i="3"/>
  <c r="T687" i="3"/>
  <c r="P687" i="3"/>
  <c r="J687" i="3"/>
  <c r="I687" i="3"/>
  <c r="T686" i="3"/>
  <c r="P686" i="3"/>
  <c r="J686" i="3"/>
  <c r="I686" i="3"/>
  <c r="T685" i="3"/>
  <c r="P685" i="3"/>
  <c r="J685" i="3"/>
  <c r="I685" i="3"/>
  <c r="T684" i="3"/>
  <c r="P684" i="3"/>
  <c r="J684" i="3"/>
  <c r="I684" i="3"/>
  <c r="T683" i="3"/>
  <c r="P683" i="3"/>
  <c r="J683" i="3"/>
  <c r="I683" i="3"/>
  <c r="T682" i="3"/>
  <c r="P682" i="3"/>
  <c r="J682" i="3"/>
  <c r="I682" i="3"/>
  <c r="T681" i="3"/>
  <c r="P681" i="3"/>
  <c r="J681" i="3"/>
  <c r="I681" i="3"/>
  <c r="T680" i="3"/>
  <c r="P680" i="3"/>
  <c r="J680" i="3"/>
  <c r="I680" i="3"/>
  <c r="T679" i="3"/>
  <c r="P679" i="3"/>
  <c r="J679" i="3"/>
  <c r="I679" i="3"/>
  <c r="T678" i="3"/>
  <c r="P678" i="3"/>
  <c r="J678" i="3"/>
  <c r="I678" i="3"/>
  <c r="T677" i="3"/>
  <c r="P677" i="3"/>
  <c r="J677" i="3"/>
  <c r="I677" i="3"/>
  <c r="T676" i="3"/>
  <c r="P676" i="3"/>
  <c r="J676" i="3"/>
  <c r="I676" i="3"/>
  <c r="T675" i="3"/>
  <c r="P675" i="3"/>
  <c r="J675" i="3"/>
  <c r="I675" i="3"/>
  <c r="T674" i="3"/>
  <c r="P674" i="3"/>
  <c r="J674" i="3"/>
  <c r="I674" i="3"/>
  <c r="T673" i="3"/>
  <c r="P673" i="3"/>
  <c r="J673" i="3"/>
  <c r="I673" i="3"/>
  <c r="T672" i="3"/>
  <c r="P672" i="3"/>
  <c r="J672" i="3"/>
  <c r="I672" i="3"/>
  <c r="T671" i="3"/>
  <c r="P671" i="3"/>
  <c r="J671" i="3"/>
  <c r="I671" i="3"/>
  <c r="T670" i="3"/>
  <c r="P670" i="3"/>
  <c r="J670" i="3"/>
  <c r="I670" i="3"/>
  <c r="T669" i="3"/>
  <c r="P669" i="3"/>
  <c r="M669" i="3"/>
  <c r="N669" i="3" s="1"/>
  <c r="J669" i="3"/>
  <c r="I669" i="3"/>
  <c r="T668" i="3"/>
  <c r="P668" i="3"/>
  <c r="M668" i="3"/>
  <c r="N668" i="3" s="1"/>
  <c r="J668" i="3"/>
  <c r="I668" i="3"/>
  <c r="T667" i="3"/>
  <c r="P667" i="3"/>
  <c r="M667" i="3"/>
  <c r="N667" i="3" s="1"/>
  <c r="J667" i="3"/>
  <c r="I667" i="3"/>
  <c r="T666" i="3"/>
  <c r="P666" i="3"/>
  <c r="M666" i="3"/>
  <c r="N666" i="3" s="1"/>
  <c r="J666" i="3"/>
  <c r="I666" i="3"/>
  <c r="T665" i="3"/>
  <c r="P665" i="3"/>
  <c r="N665" i="3"/>
  <c r="M665" i="3"/>
  <c r="J665" i="3"/>
  <c r="I665" i="3"/>
  <c r="T664" i="3"/>
  <c r="P664" i="3"/>
  <c r="M664" i="3"/>
  <c r="N664" i="3" s="1"/>
  <c r="J664" i="3"/>
  <c r="I664" i="3"/>
  <c r="T663" i="3"/>
  <c r="P663" i="3"/>
  <c r="N663" i="3"/>
  <c r="M663" i="3"/>
  <c r="J663" i="3"/>
  <c r="I663" i="3"/>
  <c r="T662" i="3"/>
  <c r="P662" i="3"/>
  <c r="M662" i="3"/>
  <c r="N662" i="3" s="1"/>
  <c r="J662" i="3"/>
  <c r="I662" i="3"/>
  <c r="T661" i="3"/>
  <c r="P661" i="3"/>
  <c r="N661" i="3"/>
  <c r="M661" i="3"/>
  <c r="J661" i="3"/>
  <c r="I661" i="3"/>
  <c r="T660" i="3"/>
  <c r="P660" i="3"/>
  <c r="N660" i="3"/>
  <c r="M660" i="3"/>
  <c r="J660" i="3"/>
  <c r="I660" i="3"/>
  <c r="T659" i="3"/>
  <c r="P659" i="3"/>
  <c r="M659" i="3"/>
  <c r="N659" i="3" s="1"/>
  <c r="J659" i="3"/>
  <c r="I659" i="3"/>
  <c r="T658" i="3"/>
  <c r="P658" i="3"/>
  <c r="N658" i="3"/>
  <c r="M658" i="3"/>
  <c r="J658" i="3"/>
  <c r="I658" i="3"/>
  <c r="T657" i="3"/>
  <c r="P657" i="3"/>
  <c r="M657" i="3"/>
  <c r="N657" i="3" s="1"/>
  <c r="J657" i="3"/>
  <c r="I657" i="3"/>
  <c r="T656" i="3"/>
  <c r="P656" i="3"/>
  <c r="M656" i="3"/>
  <c r="N656" i="3" s="1"/>
  <c r="J656" i="3"/>
  <c r="I656" i="3"/>
  <c r="T655" i="3"/>
  <c r="P655" i="3"/>
  <c r="M655" i="3"/>
  <c r="N655" i="3" s="1"/>
  <c r="J655" i="3"/>
  <c r="I655" i="3"/>
  <c r="T654" i="3"/>
  <c r="P654" i="3"/>
  <c r="M654" i="3"/>
  <c r="N654" i="3" s="1"/>
  <c r="J654" i="3"/>
  <c r="I654" i="3"/>
  <c r="T653" i="3"/>
  <c r="P653" i="3"/>
  <c r="M653" i="3"/>
  <c r="N653" i="3" s="1"/>
  <c r="J653" i="3"/>
  <c r="I653" i="3"/>
  <c r="T652" i="3"/>
  <c r="P652" i="3"/>
  <c r="M652" i="3"/>
  <c r="N652" i="3" s="1"/>
  <c r="J652" i="3"/>
  <c r="I652" i="3"/>
  <c r="T651" i="3"/>
  <c r="P651" i="3"/>
  <c r="M651" i="3"/>
  <c r="N651" i="3" s="1"/>
  <c r="J651" i="3"/>
  <c r="I651" i="3"/>
  <c r="T650" i="3"/>
  <c r="P650" i="3"/>
  <c r="M650" i="3"/>
  <c r="N650" i="3" s="1"/>
  <c r="J650" i="3"/>
  <c r="I650" i="3"/>
  <c r="T649" i="3"/>
  <c r="P649" i="3"/>
  <c r="N649" i="3"/>
  <c r="M649" i="3"/>
  <c r="J649" i="3"/>
  <c r="I649" i="3"/>
  <c r="T648" i="3"/>
  <c r="P648" i="3"/>
  <c r="M648" i="3"/>
  <c r="N648" i="3" s="1"/>
  <c r="J648" i="3"/>
  <c r="I648" i="3"/>
  <c r="T647" i="3"/>
  <c r="P647" i="3"/>
  <c r="N647" i="3"/>
  <c r="M647" i="3"/>
  <c r="J647" i="3"/>
  <c r="I647" i="3"/>
  <c r="T646" i="3"/>
  <c r="P646" i="3"/>
  <c r="M646" i="3"/>
  <c r="N646" i="3" s="1"/>
  <c r="J646" i="3"/>
  <c r="I646" i="3"/>
  <c r="T645" i="3"/>
  <c r="P645" i="3"/>
  <c r="M645" i="3"/>
  <c r="N645" i="3" s="1"/>
  <c r="J645" i="3"/>
  <c r="I645" i="3"/>
  <c r="T644" i="3"/>
  <c r="P644" i="3"/>
  <c r="N644" i="3"/>
  <c r="M644" i="3"/>
  <c r="J644" i="3"/>
  <c r="I644" i="3"/>
  <c r="T643" i="3"/>
  <c r="P643" i="3"/>
  <c r="M643" i="3"/>
  <c r="N643" i="3" s="1"/>
  <c r="J643" i="3"/>
  <c r="I643" i="3"/>
  <c r="T642" i="3"/>
  <c r="P642" i="3"/>
  <c r="M642" i="3"/>
  <c r="N642" i="3" s="1"/>
  <c r="J642" i="3"/>
  <c r="I642" i="3"/>
  <c r="T641" i="3"/>
  <c r="P641" i="3"/>
  <c r="M641" i="3"/>
  <c r="N641" i="3" s="1"/>
  <c r="J641" i="3"/>
  <c r="I641" i="3"/>
  <c r="T640" i="3"/>
  <c r="P640" i="3"/>
  <c r="M640" i="3"/>
  <c r="N640" i="3" s="1"/>
  <c r="J640" i="3"/>
  <c r="I640" i="3"/>
  <c r="T639" i="3"/>
  <c r="P639" i="3"/>
  <c r="M639" i="3"/>
  <c r="N639" i="3" s="1"/>
  <c r="J639" i="3"/>
  <c r="I639" i="3"/>
  <c r="T638" i="3"/>
  <c r="P638" i="3"/>
  <c r="M638" i="3"/>
  <c r="N638" i="3" s="1"/>
  <c r="J638" i="3"/>
  <c r="I638" i="3"/>
  <c r="T637" i="3"/>
  <c r="P637" i="3"/>
  <c r="M637" i="3"/>
  <c r="N637" i="3" s="1"/>
  <c r="J637" i="3"/>
  <c r="I637" i="3"/>
  <c r="T636" i="3"/>
  <c r="P636" i="3"/>
  <c r="M636" i="3"/>
  <c r="N636" i="3" s="1"/>
  <c r="J636" i="3"/>
  <c r="I636" i="3"/>
  <c r="T635" i="3"/>
  <c r="P635" i="3"/>
  <c r="M635" i="3"/>
  <c r="N635" i="3" s="1"/>
  <c r="J635" i="3"/>
  <c r="I635" i="3"/>
  <c r="T634" i="3"/>
  <c r="P634" i="3"/>
  <c r="M634" i="3"/>
  <c r="N634" i="3" s="1"/>
  <c r="J634" i="3"/>
  <c r="I634" i="3"/>
  <c r="T633" i="3"/>
  <c r="P633" i="3"/>
  <c r="N633" i="3"/>
  <c r="M633" i="3"/>
  <c r="J633" i="3"/>
  <c r="I633" i="3"/>
  <c r="T632" i="3"/>
  <c r="P632" i="3"/>
  <c r="M632" i="3"/>
  <c r="N632" i="3" s="1"/>
  <c r="J632" i="3"/>
  <c r="I632" i="3"/>
  <c r="T631" i="3"/>
  <c r="P631" i="3"/>
  <c r="N631" i="3"/>
  <c r="M631" i="3"/>
  <c r="J631" i="3"/>
  <c r="I631" i="3"/>
  <c r="T630" i="3"/>
  <c r="P630" i="3"/>
  <c r="M630" i="3"/>
  <c r="N630" i="3" s="1"/>
  <c r="J630" i="3"/>
  <c r="I630" i="3"/>
  <c r="T629" i="3"/>
  <c r="P629" i="3"/>
  <c r="N629" i="3"/>
  <c r="M629" i="3"/>
  <c r="J629" i="3"/>
  <c r="I629" i="3"/>
  <c r="T628" i="3"/>
  <c r="J628" i="3"/>
  <c r="I628" i="3"/>
  <c r="T627" i="3"/>
  <c r="J627" i="3"/>
  <c r="I627" i="3"/>
  <c r="T626" i="3"/>
  <c r="J626" i="3"/>
  <c r="I626" i="3"/>
  <c r="T625" i="3"/>
  <c r="J625" i="3"/>
  <c r="I625" i="3"/>
  <c r="T624" i="3"/>
  <c r="J624" i="3"/>
  <c r="I624" i="3"/>
  <c r="T623" i="3"/>
  <c r="J623" i="3"/>
  <c r="I623" i="3"/>
  <c r="T622" i="3"/>
  <c r="J622" i="3"/>
  <c r="I622" i="3"/>
  <c r="T621" i="3"/>
  <c r="J621" i="3"/>
  <c r="I621" i="3"/>
  <c r="T620" i="3"/>
  <c r="J620" i="3"/>
  <c r="I620" i="3"/>
  <c r="T619" i="3"/>
  <c r="J619" i="3"/>
  <c r="I619" i="3"/>
  <c r="T618" i="3"/>
  <c r="J618" i="3"/>
  <c r="I618" i="3"/>
  <c r="T617" i="3"/>
  <c r="J617" i="3"/>
  <c r="I617" i="3"/>
  <c r="T616" i="3"/>
  <c r="J616" i="3"/>
  <c r="I616" i="3"/>
  <c r="T615" i="3"/>
  <c r="J615" i="3"/>
  <c r="I615" i="3"/>
  <c r="T614" i="3"/>
  <c r="J614" i="3"/>
  <c r="I614" i="3"/>
  <c r="T613" i="3"/>
  <c r="J613" i="3"/>
  <c r="I613" i="3"/>
  <c r="T612" i="3"/>
  <c r="J612" i="3"/>
  <c r="I612" i="3"/>
  <c r="T611" i="3"/>
  <c r="J611" i="3"/>
  <c r="I611" i="3"/>
  <c r="T610" i="3"/>
  <c r="J610" i="3"/>
  <c r="I610" i="3"/>
  <c r="T609" i="3"/>
  <c r="J609" i="3"/>
  <c r="I609" i="3"/>
  <c r="T608" i="3"/>
  <c r="P608" i="3"/>
  <c r="J608" i="3"/>
  <c r="I608" i="3"/>
  <c r="T607" i="3"/>
  <c r="P607" i="3"/>
  <c r="J607" i="3"/>
  <c r="I607" i="3"/>
  <c r="T606" i="3"/>
  <c r="P606" i="3"/>
  <c r="J606" i="3"/>
  <c r="I606" i="3"/>
  <c r="T605" i="3"/>
  <c r="P605" i="3"/>
  <c r="J605" i="3"/>
  <c r="I605" i="3"/>
  <c r="T604" i="3"/>
  <c r="P604" i="3"/>
  <c r="J604" i="3"/>
  <c r="I604" i="3"/>
  <c r="T603" i="3"/>
  <c r="P603" i="3"/>
  <c r="J603" i="3"/>
  <c r="I603" i="3"/>
  <c r="T602" i="3"/>
  <c r="P602" i="3"/>
  <c r="J602" i="3"/>
  <c r="I602" i="3"/>
  <c r="T601" i="3"/>
  <c r="P601" i="3"/>
  <c r="J601" i="3"/>
  <c r="I601" i="3"/>
  <c r="T600" i="3"/>
  <c r="P600" i="3"/>
  <c r="J600" i="3"/>
  <c r="I600" i="3"/>
  <c r="T599" i="3"/>
  <c r="P599" i="3"/>
  <c r="J599" i="3"/>
  <c r="I599" i="3"/>
  <c r="T598" i="3"/>
  <c r="P598" i="3"/>
  <c r="J598" i="3"/>
  <c r="I598" i="3"/>
  <c r="T597" i="3"/>
  <c r="P597" i="3"/>
  <c r="J597" i="3"/>
  <c r="I597" i="3"/>
  <c r="T596" i="3"/>
  <c r="P596" i="3"/>
  <c r="J596" i="3"/>
  <c r="I596" i="3"/>
  <c r="T595" i="3"/>
  <c r="P595" i="3"/>
  <c r="J595" i="3"/>
  <c r="I595" i="3"/>
  <c r="T594" i="3"/>
  <c r="P594" i="3"/>
  <c r="J594" i="3"/>
  <c r="I594" i="3"/>
  <c r="T593" i="3"/>
  <c r="P593" i="3"/>
  <c r="J593" i="3"/>
  <c r="I593" i="3"/>
  <c r="T592" i="3"/>
  <c r="P592" i="3"/>
  <c r="J592" i="3"/>
  <c r="I592" i="3"/>
  <c r="T591" i="3"/>
  <c r="P591" i="3"/>
  <c r="J591" i="3"/>
  <c r="I591" i="3"/>
  <c r="T590" i="3"/>
  <c r="P590" i="3"/>
  <c r="J590" i="3"/>
  <c r="I590" i="3"/>
  <c r="T589" i="3"/>
  <c r="P589" i="3"/>
  <c r="J589" i="3"/>
  <c r="I589" i="3"/>
  <c r="T588" i="3"/>
  <c r="P588" i="3"/>
  <c r="J588" i="3"/>
  <c r="I588" i="3"/>
  <c r="T587" i="3"/>
  <c r="P587" i="3"/>
  <c r="J587" i="3"/>
  <c r="I587" i="3"/>
  <c r="T586" i="3"/>
  <c r="P586" i="3"/>
  <c r="J586" i="3"/>
  <c r="I586" i="3"/>
  <c r="T585" i="3"/>
  <c r="P585" i="3"/>
  <c r="J585" i="3"/>
  <c r="I585" i="3"/>
  <c r="T584" i="3"/>
  <c r="P584" i="3"/>
  <c r="J584" i="3"/>
  <c r="I584" i="3"/>
  <c r="T583" i="3"/>
  <c r="P583" i="3"/>
  <c r="J583" i="3"/>
  <c r="I583" i="3"/>
  <c r="T582" i="3"/>
  <c r="P582" i="3"/>
  <c r="J582" i="3"/>
  <c r="I582" i="3"/>
  <c r="T581" i="3"/>
  <c r="P581" i="3"/>
  <c r="J581" i="3"/>
  <c r="I581" i="3"/>
  <c r="T580" i="3"/>
  <c r="P580" i="3"/>
  <c r="J580" i="3"/>
  <c r="I580" i="3"/>
  <c r="T579" i="3"/>
  <c r="P579" i="3"/>
  <c r="J579" i="3"/>
  <c r="I579" i="3"/>
  <c r="T578" i="3"/>
  <c r="P578" i="3"/>
  <c r="J578" i="3"/>
  <c r="I578" i="3"/>
  <c r="T577" i="3"/>
  <c r="P577" i="3"/>
  <c r="J577" i="3"/>
  <c r="I577" i="3"/>
  <c r="T576" i="3"/>
  <c r="P576" i="3"/>
  <c r="J576" i="3"/>
  <c r="I576" i="3"/>
  <c r="T575" i="3"/>
  <c r="P575" i="3"/>
  <c r="J575" i="3"/>
  <c r="I575" i="3"/>
  <c r="T574" i="3"/>
  <c r="P574" i="3"/>
  <c r="J574" i="3"/>
  <c r="I574" i="3"/>
  <c r="T573" i="3"/>
  <c r="P573" i="3"/>
  <c r="J573" i="3"/>
  <c r="I573" i="3"/>
  <c r="T572" i="3"/>
  <c r="P572" i="3"/>
  <c r="J572" i="3"/>
  <c r="I572" i="3"/>
  <c r="T571" i="3"/>
  <c r="P571" i="3"/>
  <c r="J571" i="3"/>
  <c r="I571" i="3"/>
  <c r="T570" i="3"/>
  <c r="P570" i="3"/>
  <c r="J570" i="3"/>
  <c r="I570" i="3"/>
  <c r="T569" i="3"/>
  <c r="P569" i="3"/>
  <c r="J569" i="3"/>
  <c r="I569" i="3"/>
  <c r="T568" i="3"/>
  <c r="J568" i="3"/>
  <c r="I568" i="3"/>
  <c r="T567" i="3"/>
  <c r="J567" i="3"/>
  <c r="I567" i="3"/>
  <c r="T566" i="3"/>
  <c r="J566" i="3"/>
  <c r="I566" i="3"/>
  <c r="T565" i="3"/>
  <c r="J565" i="3"/>
  <c r="I565" i="3"/>
  <c r="T564" i="3"/>
  <c r="J564" i="3"/>
  <c r="I564" i="3"/>
  <c r="T563" i="3"/>
  <c r="J563" i="3"/>
  <c r="I563" i="3"/>
  <c r="T562" i="3"/>
  <c r="J562" i="3"/>
  <c r="I562" i="3"/>
  <c r="T561" i="3"/>
  <c r="J561" i="3"/>
  <c r="I561" i="3"/>
  <c r="T560" i="3"/>
  <c r="J560" i="3"/>
  <c r="I560" i="3"/>
  <c r="T559" i="3"/>
  <c r="J559" i="3"/>
  <c r="I559" i="3"/>
  <c r="T558" i="3"/>
  <c r="J558" i="3"/>
  <c r="I558" i="3"/>
  <c r="T557" i="3"/>
  <c r="J557" i="3"/>
  <c r="I557" i="3"/>
  <c r="T556" i="3"/>
  <c r="J556" i="3"/>
  <c r="I556" i="3"/>
  <c r="T555" i="3"/>
  <c r="J555" i="3"/>
  <c r="I555" i="3"/>
  <c r="T554" i="3"/>
  <c r="J554" i="3"/>
  <c r="I554" i="3"/>
  <c r="T553" i="3"/>
  <c r="J553" i="3"/>
  <c r="I553" i="3"/>
  <c r="T552" i="3"/>
  <c r="J552" i="3"/>
  <c r="I552" i="3"/>
  <c r="T551" i="3"/>
  <c r="J551" i="3"/>
  <c r="I551" i="3"/>
  <c r="T550" i="3"/>
  <c r="J550" i="3"/>
  <c r="I550" i="3"/>
  <c r="T549" i="3"/>
  <c r="J549" i="3"/>
  <c r="I549" i="3"/>
  <c r="T548" i="3"/>
  <c r="J548" i="3"/>
  <c r="I548" i="3"/>
  <c r="T547" i="3"/>
  <c r="P547" i="3"/>
  <c r="J547" i="3"/>
  <c r="I547" i="3"/>
  <c r="T546" i="3"/>
  <c r="P546" i="3"/>
  <c r="J546" i="3"/>
  <c r="I546" i="3"/>
  <c r="T545" i="3"/>
  <c r="P545" i="3"/>
  <c r="J545" i="3"/>
  <c r="I545" i="3"/>
  <c r="T544" i="3"/>
  <c r="P544" i="3"/>
  <c r="J544" i="3"/>
  <c r="I544" i="3"/>
  <c r="T543" i="3"/>
  <c r="P543" i="3"/>
  <c r="J543" i="3"/>
  <c r="I543" i="3"/>
  <c r="T542" i="3"/>
  <c r="P542" i="3"/>
  <c r="J542" i="3"/>
  <c r="I542" i="3"/>
  <c r="T541" i="3"/>
  <c r="P541" i="3"/>
  <c r="J541" i="3"/>
  <c r="I541" i="3"/>
  <c r="T540" i="3"/>
  <c r="P540" i="3"/>
  <c r="J540" i="3"/>
  <c r="I540" i="3"/>
  <c r="T539" i="3"/>
  <c r="P539" i="3"/>
  <c r="J539" i="3"/>
  <c r="I539" i="3"/>
  <c r="T538" i="3"/>
  <c r="P538" i="3"/>
  <c r="J538" i="3"/>
  <c r="I538" i="3"/>
  <c r="T537" i="3"/>
  <c r="P537" i="3"/>
  <c r="J537" i="3"/>
  <c r="I537" i="3"/>
  <c r="T536" i="3"/>
  <c r="P536" i="3"/>
  <c r="J536" i="3"/>
  <c r="I536" i="3"/>
  <c r="T535" i="3"/>
  <c r="P535" i="3"/>
  <c r="J535" i="3"/>
  <c r="I535" i="3"/>
  <c r="T534" i="3"/>
  <c r="P534" i="3"/>
  <c r="J534" i="3"/>
  <c r="I534" i="3"/>
  <c r="T533" i="3"/>
  <c r="P533" i="3"/>
  <c r="J533" i="3"/>
  <c r="I533" i="3"/>
  <c r="T532" i="3"/>
  <c r="P532" i="3"/>
  <c r="N532" i="3"/>
  <c r="M532" i="3"/>
  <c r="J532" i="3"/>
  <c r="I532" i="3"/>
  <c r="T531" i="3"/>
  <c r="P531" i="3"/>
  <c r="M531" i="3"/>
  <c r="N531" i="3" s="1"/>
  <c r="J531" i="3"/>
  <c r="I531" i="3"/>
  <c r="T530" i="3"/>
  <c r="P530" i="3"/>
  <c r="N530" i="3"/>
  <c r="M530" i="3"/>
  <c r="J530" i="3"/>
  <c r="I530" i="3"/>
  <c r="T529" i="3"/>
  <c r="P529" i="3"/>
  <c r="M529" i="3"/>
  <c r="N529" i="3" s="1"/>
  <c r="J529" i="3"/>
  <c r="I529" i="3"/>
  <c r="T528" i="3"/>
  <c r="P528" i="3"/>
  <c r="N528" i="3"/>
  <c r="M528" i="3"/>
  <c r="J528" i="3"/>
  <c r="I528" i="3"/>
  <c r="T527" i="3"/>
  <c r="P527" i="3"/>
  <c r="M527" i="3"/>
  <c r="N527" i="3" s="1"/>
  <c r="J527" i="3"/>
  <c r="I527" i="3"/>
  <c r="T526" i="3"/>
  <c r="P526" i="3"/>
  <c r="N526" i="3"/>
  <c r="M526" i="3"/>
  <c r="J526" i="3"/>
  <c r="I526" i="3"/>
  <c r="T525" i="3"/>
  <c r="P525" i="3"/>
  <c r="M525" i="3"/>
  <c r="N525" i="3" s="1"/>
  <c r="J525" i="3"/>
  <c r="I525" i="3"/>
  <c r="T524" i="3"/>
  <c r="P524" i="3"/>
  <c r="N524" i="3"/>
  <c r="M524" i="3"/>
  <c r="J524" i="3"/>
  <c r="I524" i="3"/>
  <c r="T523" i="3"/>
  <c r="P523" i="3"/>
  <c r="M523" i="3"/>
  <c r="N523" i="3" s="1"/>
  <c r="J523" i="3"/>
  <c r="I523" i="3"/>
  <c r="T522" i="3"/>
  <c r="P522" i="3"/>
  <c r="N522" i="3"/>
  <c r="M522" i="3"/>
  <c r="J522" i="3"/>
  <c r="I522" i="3"/>
  <c r="T521" i="3"/>
  <c r="P521" i="3"/>
  <c r="M521" i="3"/>
  <c r="N521" i="3" s="1"/>
  <c r="J521" i="3"/>
  <c r="I521" i="3"/>
  <c r="T520" i="3"/>
  <c r="P520" i="3"/>
  <c r="N520" i="3"/>
  <c r="M520" i="3"/>
  <c r="J520" i="3"/>
  <c r="I520" i="3"/>
  <c r="T519" i="3"/>
  <c r="P519" i="3"/>
  <c r="M519" i="3"/>
  <c r="N519" i="3" s="1"/>
  <c r="J519" i="3"/>
  <c r="I519" i="3"/>
  <c r="T518" i="3"/>
  <c r="P518" i="3"/>
  <c r="N518" i="3"/>
  <c r="M518" i="3"/>
  <c r="J518" i="3"/>
  <c r="I518" i="3"/>
  <c r="T517" i="3"/>
  <c r="P517" i="3"/>
  <c r="M517" i="3"/>
  <c r="N517" i="3" s="1"/>
  <c r="J517" i="3"/>
  <c r="I517" i="3"/>
  <c r="T516" i="3"/>
  <c r="P516" i="3"/>
  <c r="N516" i="3"/>
  <c r="M516" i="3"/>
  <c r="J516" i="3"/>
  <c r="I516" i="3"/>
  <c r="T515" i="3"/>
  <c r="P515" i="3"/>
  <c r="M515" i="3"/>
  <c r="N515" i="3" s="1"/>
  <c r="J515" i="3"/>
  <c r="I515" i="3"/>
  <c r="T514" i="3"/>
  <c r="P514" i="3"/>
  <c r="N514" i="3"/>
  <c r="M514" i="3"/>
  <c r="J514" i="3"/>
  <c r="I514" i="3"/>
  <c r="T513" i="3"/>
  <c r="P513" i="3"/>
  <c r="M513" i="3"/>
  <c r="N513" i="3" s="1"/>
  <c r="J513" i="3"/>
  <c r="I513" i="3"/>
  <c r="T512" i="3"/>
  <c r="P512" i="3"/>
  <c r="N512" i="3"/>
  <c r="M512" i="3"/>
  <c r="J512" i="3"/>
  <c r="I512" i="3"/>
  <c r="T511" i="3"/>
  <c r="P511" i="3"/>
  <c r="M511" i="3"/>
  <c r="N511" i="3" s="1"/>
  <c r="J511" i="3"/>
  <c r="I511" i="3"/>
  <c r="T510" i="3"/>
  <c r="P510" i="3"/>
  <c r="N510" i="3"/>
  <c r="M510" i="3"/>
  <c r="J510" i="3"/>
  <c r="I510" i="3"/>
  <c r="T509" i="3"/>
  <c r="P509" i="3"/>
  <c r="M509" i="3"/>
  <c r="N509" i="3" s="1"/>
  <c r="J509" i="3"/>
  <c r="I509" i="3"/>
  <c r="T508" i="3"/>
  <c r="P508" i="3"/>
  <c r="J508" i="3"/>
  <c r="I508" i="3"/>
  <c r="T507" i="3"/>
  <c r="P507" i="3"/>
  <c r="J507" i="3"/>
  <c r="I507" i="3"/>
  <c r="T506" i="3"/>
  <c r="P506" i="3"/>
  <c r="J506" i="3"/>
  <c r="I506" i="3"/>
  <c r="T505" i="3"/>
  <c r="P505" i="3"/>
  <c r="J505" i="3"/>
  <c r="I505" i="3"/>
  <c r="T504" i="3"/>
  <c r="P504" i="3"/>
  <c r="J504" i="3"/>
  <c r="I504" i="3"/>
  <c r="T503" i="3"/>
  <c r="P503" i="3"/>
  <c r="J503" i="3"/>
  <c r="I503" i="3"/>
  <c r="T502" i="3"/>
  <c r="P502" i="3"/>
  <c r="J502" i="3"/>
  <c r="I502" i="3"/>
  <c r="T501" i="3"/>
  <c r="P501" i="3"/>
  <c r="J501" i="3"/>
  <c r="I501" i="3"/>
  <c r="T500" i="3"/>
  <c r="P500" i="3"/>
  <c r="J500" i="3"/>
  <c r="I500" i="3"/>
  <c r="T499" i="3"/>
  <c r="P499" i="3"/>
  <c r="J499" i="3"/>
  <c r="I499" i="3"/>
  <c r="T498" i="3"/>
  <c r="P498" i="3"/>
  <c r="J498" i="3"/>
  <c r="I498" i="3"/>
  <c r="T497" i="3"/>
  <c r="P497" i="3"/>
  <c r="J497" i="3"/>
  <c r="I497" i="3"/>
  <c r="T496" i="3"/>
  <c r="P496" i="3"/>
  <c r="J496" i="3"/>
  <c r="I496" i="3"/>
  <c r="T495" i="3"/>
  <c r="P495" i="3"/>
  <c r="J495" i="3"/>
  <c r="I495" i="3"/>
  <c r="T494" i="3"/>
  <c r="P494" i="3"/>
  <c r="J494" i="3"/>
  <c r="I494" i="3"/>
  <c r="T493" i="3"/>
  <c r="P493" i="3"/>
  <c r="J493" i="3"/>
  <c r="I493" i="3"/>
  <c r="T492" i="3"/>
  <c r="P492" i="3"/>
  <c r="J492" i="3"/>
  <c r="I492" i="3"/>
  <c r="T491" i="3"/>
  <c r="P491" i="3"/>
  <c r="J491" i="3"/>
  <c r="I491" i="3"/>
  <c r="T490" i="3"/>
  <c r="P490" i="3"/>
  <c r="J490" i="3"/>
  <c r="I490" i="3"/>
  <c r="T489" i="3"/>
  <c r="P489" i="3"/>
  <c r="J489" i="3"/>
  <c r="I489" i="3"/>
  <c r="T488" i="3"/>
  <c r="P488" i="3"/>
  <c r="J488" i="3"/>
  <c r="I488" i="3"/>
  <c r="T487" i="3"/>
  <c r="P487" i="3"/>
  <c r="J487" i="3"/>
  <c r="I487" i="3"/>
  <c r="T486" i="3"/>
  <c r="P486" i="3"/>
  <c r="J486" i="3"/>
  <c r="I486" i="3"/>
  <c r="T485" i="3"/>
  <c r="P485" i="3"/>
  <c r="J485" i="3"/>
  <c r="I485" i="3"/>
  <c r="T484" i="3"/>
  <c r="P484" i="3"/>
  <c r="J484" i="3"/>
  <c r="I484" i="3"/>
  <c r="T483" i="3"/>
  <c r="P483" i="3"/>
  <c r="J483" i="3"/>
  <c r="I483" i="3"/>
  <c r="T482" i="3"/>
  <c r="P482" i="3"/>
  <c r="J482" i="3"/>
  <c r="I482" i="3"/>
  <c r="T481" i="3"/>
  <c r="P481" i="3"/>
  <c r="J481" i="3"/>
  <c r="I481" i="3"/>
  <c r="T480" i="3"/>
  <c r="P480" i="3"/>
  <c r="J480" i="3"/>
  <c r="I480" i="3"/>
  <c r="T479" i="3"/>
  <c r="P479" i="3"/>
  <c r="J479" i="3"/>
  <c r="I479" i="3"/>
  <c r="T478" i="3"/>
  <c r="K478" i="3"/>
  <c r="J478" i="3"/>
  <c r="I478" i="3"/>
  <c r="T477" i="3"/>
  <c r="K477" i="3"/>
  <c r="J477" i="3"/>
  <c r="I477" i="3"/>
  <c r="T476" i="3"/>
  <c r="K476" i="3"/>
  <c r="J476" i="3"/>
  <c r="I476" i="3"/>
  <c r="T475" i="3"/>
  <c r="K475" i="3"/>
  <c r="J475" i="3"/>
  <c r="I475" i="3"/>
  <c r="T474" i="3"/>
  <c r="K474" i="3"/>
  <c r="J474" i="3"/>
  <c r="I474" i="3"/>
  <c r="T473" i="3"/>
  <c r="K473" i="3"/>
  <c r="J473" i="3"/>
  <c r="I473" i="3"/>
  <c r="T472" i="3"/>
  <c r="K472" i="3"/>
  <c r="J472" i="3"/>
  <c r="I472" i="3"/>
  <c r="T471" i="3"/>
  <c r="K471" i="3"/>
  <c r="J471" i="3"/>
  <c r="I471" i="3"/>
  <c r="T470" i="3"/>
  <c r="K470" i="3"/>
  <c r="J470" i="3"/>
  <c r="I470" i="3"/>
  <c r="T469" i="3"/>
  <c r="K469" i="3"/>
  <c r="J469" i="3"/>
  <c r="I469" i="3"/>
  <c r="T468" i="3"/>
  <c r="K468" i="3"/>
  <c r="J468" i="3"/>
  <c r="I468" i="3"/>
  <c r="T467" i="3"/>
  <c r="K467" i="3"/>
  <c r="J467" i="3"/>
  <c r="I467" i="3"/>
  <c r="T466" i="3"/>
  <c r="K466" i="3"/>
  <c r="J466" i="3"/>
  <c r="I466" i="3"/>
  <c r="T465" i="3"/>
  <c r="K465" i="3"/>
  <c r="J465" i="3"/>
  <c r="I465" i="3"/>
  <c r="T464" i="3"/>
  <c r="K464" i="3"/>
  <c r="J464" i="3"/>
  <c r="I464" i="3"/>
  <c r="T463" i="3"/>
  <c r="K463" i="3"/>
  <c r="J463" i="3"/>
  <c r="I463" i="3"/>
  <c r="T462" i="3"/>
  <c r="K462" i="3"/>
  <c r="J462" i="3"/>
  <c r="I462" i="3"/>
  <c r="T461" i="3"/>
  <c r="K461" i="3"/>
  <c r="J461" i="3"/>
  <c r="I461" i="3"/>
  <c r="T460" i="3"/>
  <c r="P460" i="3"/>
  <c r="K460" i="3"/>
  <c r="J460" i="3"/>
  <c r="I460" i="3"/>
  <c r="T459" i="3"/>
  <c r="P459" i="3"/>
  <c r="K459" i="3"/>
  <c r="J459" i="3"/>
  <c r="I459" i="3"/>
  <c r="T458" i="3"/>
  <c r="P458" i="3"/>
  <c r="K458" i="3"/>
  <c r="J458" i="3"/>
  <c r="I458" i="3"/>
  <c r="T457" i="3"/>
  <c r="P457" i="3"/>
  <c r="K457" i="3"/>
  <c r="J457" i="3"/>
  <c r="I457" i="3"/>
  <c r="T456" i="3"/>
  <c r="P456" i="3"/>
  <c r="K456" i="3"/>
  <c r="J456" i="3"/>
  <c r="I456" i="3"/>
  <c r="T455" i="3"/>
  <c r="P455" i="3"/>
  <c r="K455" i="3"/>
  <c r="J455" i="3"/>
  <c r="I455" i="3"/>
  <c r="T454" i="3"/>
  <c r="P454" i="3"/>
  <c r="K454" i="3"/>
  <c r="J454" i="3"/>
  <c r="I454" i="3"/>
  <c r="T453" i="3"/>
  <c r="P453" i="3"/>
  <c r="K453" i="3"/>
  <c r="J453" i="3"/>
  <c r="I453" i="3"/>
  <c r="T452" i="3"/>
  <c r="P452" i="3"/>
  <c r="K452" i="3"/>
  <c r="J452" i="3"/>
  <c r="I452" i="3"/>
  <c r="T451" i="3"/>
  <c r="P451" i="3"/>
  <c r="K451" i="3"/>
  <c r="J451" i="3"/>
  <c r="I451" i="3"/>
  <c r="T450" i="3"/>
  <c r="P450" i="3"/>
  <c r="J450" i="3"/>
  <c r="I450" i="3"/>
  <c r="T449" i="3"/>
  <c r="P449" i="3"/>
  <c r="J449" i="3"/>
  <c r="I449" i="3"/>
  <c r="T448" i="3"/>
  <c r="P448" i="3"/>
  <c r="J448" i="3"/>
  <c r="I448" i="3"/>
  <c r="T447" i="3"/>
  <c r="P447" i="3"/>
  <c r="J447" i="3"/>
  <c r="I447" i="3"/>
  <c r="T446" i="3"/>
  <c r="P446" i="3"/>
  <c r="J446" i="3"/>
  <c r="I446" i="3"/>
  <c r="T445" i="3"/>
  <c r="P445" i="3"/>
  <c r="J445" i="3"/>
  <c r="I445" i="3"/>
  <c r="T444" i="3"/>
  <c r="P444" i="3"/>
  <c r="J444" i="3"/>
  <c r="I444" i="3"/>
  <c r="T443" i="3"/>
  <c r="P443" i="3"/>
  <c r="J443" i="3"/>
  <c r="I443" i="3"/>
  <c r="T442" i="3"/>
  <c r="P442" i="3"/>
  <c r="J442" i="3"/>
  <c r="I442" i="3"/>
  <c r="T441" i="3"/>
  <c r="P441" i="3"/>
  <c r="J441" i="3"/>
  <c r="I441" i="3"/>
  <c r="T440" i="3"/>
  <c r="P440" i="3"/>
  <c r="J440" i="3"/>
  <c r="I440" i="3"/>
  <c r="T439" i="3"/>
  <c r="P439" i="3"/>
  <c r="J439" i="3"/>
  <c r="I439" i="3"/>
  <c r="T438" i="3"/>
  <c r="P438" i="3"/>
  <c r="J438" i="3"/>
  <c r="I438" i="3"/>
  <c r="T437" i="3"/>
  <c r="P437" i="3"/>
  <c r="J437" i="3"/>
  <c r="I437" i="3"/>
  <c r="T436" i="3"/>
  <c r="P436" i="3"/>
  <c r="J436" i="3"/>
  <c r="I436" i="3"/>
  <c r="T435" i="3"/>
  <c r="P435" i="3"/>
  <c r="J435" i="3"/>
  <c r="I435" i="3"/>
  <c r="T434" i="3"/>
  <c r="P434" i="3"/>
  <c r="J434" i="3"/>
  <c r="I434" i="3"/>
  <c r="T433" i="3"/>
  <c r="P433" i="3"/>
  <c r="J433" i="3"/>
  <c r="I433" i="3"/>
  <c r="T432" i="3"/>
  <c r="P432" i="3"/>
  <c r="J432" i="3"/>
  <c r="I432" i="3"/>
  <c r="T431" i="3"/>
  <c r="P431" i="3"/>
  <c r="J431" i="3"/>
  <c r="I431" i="3"/>
  <c r="T430" i="3"/>
  <c r="P430" i="3"/>
  <c r="J430" i="3"/>
  <c r="I430" i="3"/>
  <c r="T429" i="3"/>
  <c r="P429" i="3"/>
  <c r="J429" i="3"/>
  <c r="I429" i="3"/>
  <c r="T428" i="3"/>
  <c r="P428" i="3"/>
  <c r="J428" i="3"/>
  <c r="I428" i="3"/>
  <c r="T427" i="3"/>
  <c r="P427" i="3"/>
  <c r="J427" i="3"/>
  <c r="I427" i="3"/>
  <c r="T426" i="3"/>
  <c r="P426" i="3"/>
  <c r="J426" i="3"/>
  <c r="I426" i="3"/>
  <c r="T425" i="3"/>
  <c r="P425" i="3"/>
  <c r="J425" i="3"/>
  <c r="I425" i="3"/>
  <c r="T424" i="3"/>
  <c r="P424" i="3"/>
  <c r="J424" i="3"/>
  <c r="I424" i="3"/>
  <c r="T423" i="3"/>
  <c r="P423" i="3"/>
  <c r="J423" i="3"/>
  <c r="I423" i="3"/>
  <c r="T422" i="3"/>
  <c r="J422" i="3"/>
  <c r="I422" i="3"/>
  <c r="T421" i="3"/>
  <c r="J421" i="3"/>
  <c r="I421" i="3"/>
  <c r="T420" i="3"/>
  <c r="J420" i="3"/>
  <c r="I420" i="3"/>
  <c r="T419" i="3"/>
  <c r="J419" i="3"/>
  <c r="I419" i="3"/>
  <c r="T418" i="3"/>
  <c r="J418" i="3"/>
  <c r="I418" i="3"/>
  <c r="T417" i="3"/>
  <c r="J417" i="3"/>
  <c r="I417" i="3"/>
  <c r="T416" i="3"/>
  <c r="J416" i="3"/>
  <c r="I416" i="3"/>
  <c r="T415" i="3"/>
  <c r="J415" i="3"/>
  <c r="I415" i="3"/>
  <c r="T414" i="3"/>
  <c r="J414" i="3"/>
  <c r="I414" i="3"/>
  <c r="T413" i="3"/>
  <c r="J413" i="3"/>
  <c r="I413" i="3"/>
  <c r="T412" i="3"/>
  <c r="J412" i="3"/>
  <c r="I412" i="3"/>
  <c r="T411" i="3"/>
  <c r="J411" i="3"/>
  <c r="I411" i="3"/>
  <c r="T410" i="3"/>
  <c r="J410" i="3"/>
  <c r="I410" i="3"/>
  <c r="T409" i="3"/>
  <c r="J409" i="3"/>
  <c r="I409" i="3"/>
  <c r="T408" i="3"/>
  <c r="J408" i="3"/>
  <c r="I408" i="3"/>
  <c r="T407" i="3"/>
  <c r="J407" i="3"/>
  <c r="I407" i="3"/>
  <c r="T406" i="3"/>
  <c r="J406" i="3"/>
  <c r="I406" i="3"/>
  <c r="T405" i="3"/>
  <c r="J405" i="3"/>
  <c r="I405" i="3"/>
  <c r="T404" i="3"/>
  <c r="J404" i="3"/>
  <c r="I404" i="3"/>
  <c r="T403" i="3"/>
  <c r="J403" i="3"/>
  <c r="I403" i="3"/>
  <c r="T402" i="3"/>
  <c r="J402" i="3"/>
  <c r="I402" i="3"/>
  <c r="T401" i="3"/>
  <c r="P401" i="3"/>
  <c r="J401" i="3"/>
  <c r="I401" i="3"/>
  <c r="T400" i="3"/>
  <c r="P400" i="3"/>
  <c r="J400" i="3"/>
  <c r="I400" i="3"/>
  <c r="T399" i="3"/>
  <c r="P399" i="3"/>
  <c r="J399" i="3"/>
  <c r="I399" i="3"/>
  <c r="T398" i="3"/>
  <c r="P398" i="3"/>
  <c r="J398" i="3"/>
  <c r="I398" i="3"/>
  <c r="T397" i="3"/>
  <c r="P397" i="3"/>
  <c r="J397" i="3"/>
  <c r="I397" i="3"/>
  <c r="T396" i="3"/>
  <c r="P396" i="3"/>
  <c r="J396" i="3"/>
  <c r="I396" i="3"/>
  <c r="T395" i="3"/>
  <c r="P395" i="3"/>
  <c r="J395" i="3"/>
  <c r="I395" i="3"/>
  <c r="T394" i="3"/>
  <c r="P394" i="3"/>
  <c r="J394" i="3"/>
  <c r="I394" i="3"/>
  <c r="T393" i="3"/>
  <c r="P393" i="3"/>
  <c r="J393" i="3"/>
  <c r="I393" i="3"/>
  <c r="T392" i="3"/>
  <c r="P392" i="3"/>
  <c r="M392" i="3"/>
  <c r="N392" i="3" s="1"/>
  <c r="J392" i="3"/>
  <c r="I392" i="3"/>
  <c r="T391" i="3"/>
  <c r="P391" i="3"/>
  <c r="M391" i="3"/>
  <c r="N391" i="3" s="1"/>
  <c r="J391" i="3"/>
  <c r="I391" i="3"/>
  <c r="T390" i="3"/>
  <c r="P390" i="3"/>
  <c r="M390" i="3"/>
  <c r="N390" i="3" s="1"/>
  <c r="J390" i="3"/>
  <c r="I390" i="3"/>
  <c r="T389" i="3"/>
  <c r="P389" i="3"/>
  <c r="M389" i="3"/>
  <c r="N389" i="3" s="1"/>
  <c r="J389" i="3"/>
  <c r="I389" i="3"/>
  <c r="T388" i="3"/>
  <c r="P388" i="3"/>
  <c r="M388" i="3"/>
  <c r="N388" i="3" s="1"/>
  <c r="J388" i="3"/>
  <c r="I388" i="3"/>
  <c r="T387" i="3"/>
  <c r="P387" i="3"/>
  <c r="M387" i="3"/>
  <c r="N387" i="3" s="1"/>
  <c r="J387" i="3"/>
  <c r="I387" i="3"/>
  <c r="T386" i="3"/>
  <c r="P386" i="3"/>
  <c r="M386" i="3"/>
  <c r="N386" i="3" s="1"/>
  <c r="J386" i="3"/>
  <c r="I386" i="3"/>
  <c r="T385" i="3"/>
  <c r="P385" i="3"/>
  <c r="M385" i="3"/>
  <c r="N385" i="3" s="1"/>
  <c r="J385" i="3"/>
  <c r="I385" i="3"/>
  <c r="T384" i="3"/>
  <c r="P384" i="3"/>
  <c r="M384" i="3"/>
  <c r="N384" i="3" s="1"/>
  <c r="J384" i="3"/>
  <c r="I384" i="3"/>
  <c r="T383" i="3"/>
  <c r="P383" i="3"/>
  <c r="M383" i="3"/>
  <c r="N383" i="3" s="1"/>
  <c r="J383" i="3"/>
  <c r="I383" i="3"/>
  <c r="T382" i="3"/>
  <c r="P382" i="3"/>
  <c r="M382" i="3"/>
  <c r="N382" i="3" s="1"/>
  <c r="J382" i="3"/>
  <c r="I382" i="3"/>
  <c r="T381" i="3"/>
  <c r="P381" i="3"/>
  <c r="N381" i="3"/>
  <c r="M381" i="3"/>
  <c r="J381" i="3"/>
  <c r="I381" i="3"/>
  <c r="T380" i="3"/>
  <c r="P380" i="3"/>
  <c r="M380" i="3"/>
  <c r="N380" i="3" s="1"/>
  <c r="J380" i="3"/>
  <c r="I380" i="3"/>
  <c r="T379" i="3"/>
  <c r="P379" i="3"/>
  <c r="M379" i="3"/>
  <c r="N379" i="3" s="1"/>
  <c r="J379" i="3"/>
  <c r="I379" i="3"/>
  <c r="T378" i="3"/>
  <c r="P378" i="3"/>
  <c r="M378" i="3"/>
  <c r="N378" i="3" s="1"/>
  <c r="J378" i="3"/>
  <c r="I378" i="3"/>
  <c r="T377" i="3"/>
  <c r="P377" i="3"/>
  <c r="M377" i="3"/>
  <c r="N377" i="3" s="1"/>
  <c r="J377" i="3"/>
  <c r="I377" i="3"/>
  <c r="T376" i="3"/>
  <c r="P376" i="3"/>
  <c r="M376" i="3"/>
  <c r="N376" i="3" s="1"/>
  <c r="J376" i="3"/>
  <c r="I376" i="3"/>
  <c r="T375" i="3"/>
  <c r="P375" i="3"/>
  <c r="M375" i="3"/>
  <c r="N375" i="3" s="1"/>
  <c r="J375" i="3"/>
  <c r="I375" i="3"/>
  <c r="T374" i="3"/>
  <c r="P374" i="3"/>
  <c r="M374" i="3"/>
  <c r="N374" i="3" s="1"/>
  <c r="J374" i="3"/>
  <c r="I374" i="3"/>
  <c r="T373" i="3"/>
  <c r="P373" i="3"/>
  <c r="M373" i="3"/>
  <c r="N373" i="3" s="1"/>
  <c r="J373" i="3"/>
  <c r="I373" i="3"/>
  <c r="T372" i="3"/>
  <c r="P372" i="3"/>
  <c r="M372" i="3"/>
  <c r="N372" i="3" s="1"/>
  <c r="J372" i="3"/>
  <c r="I372" i="3"/>
  <c r="T371" i="3"/>
  <c r="P371" i="3"/>
  <c r="M371" i="3"/>
  <c r="N371" i="3" s="1"/>
  <c r="J371" i="3"/>
  <c r="I371" i="3"/>
  <c r="T370" i="3"/>
  <c r="P370" i="3"/>
  <c r="M370" i="3"/>
  <c r="N370" i="3" s="1"/>
  <c r="J370" i="3"/>
  <c r="I370" i="3"/>
  <c r="T369" i="3"/>
  <c r="P369" i="3"/>
  <c r="N369" i="3"/>
  <c r="M369" i="3"/>
  <c r="J369" i="3"/>
  <c r="I369" i="3"/>
  <c r="T368" i="3"/>
  <c r="P368" i="3"/>
  <c r="M368" i="3"/>
  <c r="N368" i="3" s="1"/>
  <c r="J368" i="3"/>
  <c r="I368" i="3"/>
  <c r="T367" i="3"/>
  <c r="P367" i="3"/>
  <c r="N367" i="3"/>
  <c r="M367" i="3"/>
  <c r="J367" i="3"/>
  <c r="I367" i="3"/>
  <c r="T366" i="3"/>
  <c r="P366" i="3"/>
  <c r="M366" i="3"/>
  <c r="N366" i="3" s="1"/>
  <c r="J366" i="3"/>
  <c r="I366" i="3"/>
  <c r="T365" i="3"/>
  <c r="P365" i="3"/>
  <c r="N365" i="3"/>
  <c r="M365" i="3"/>
  <c r="J365" i="3"/>
  <c r="I365" i="3"/>
  <c r="T364" i="3"/>
  <c r="J364" i="3"/>
  <c r="I364" i="3"/>
  <c r="T363" i="3"/>
  <c r="J363" i="3"/>
  <c r="I363" i="3"/>
  <c r="T362" i="3"/>
  <c r="J362" i="3"/>
  <c r="I362" i="3"/>
  <c r="T361" i="3"/>
  <c r="J361" i="3"/>
  <c r="I361" i="3"/>
  <c r="T360" i="3"/>
  <c r="J360" i="3"/>
  <c r="I360" i="3"/>
  <c r="T359" i="3"/>
  <c r="J359" i="3"/>
  <c r="I359" i="3"/>
  <c r="T358" i="3"/>
  <c r="J358" i="3"/>
  <c r="I358" i="3"/>
  <c r="T357" i="3"/>
  <c r="J357" i="3"/>
  <c r="I357" i="3"/>
  <c r="T356" i="3"/>
  <c r="J356" i="3"/>
  <c r="I356" i="3"/>
  <c r="T355" i="3"/>
  <c r="J355" i="3"/>
  <c r="I355" i="3"/>
  <c r="T354" i="3"/>
  <c r="J354" i="3"/>
  <c r="I354" i="3"/>
  <c r="T353" i="3"/>
  <c r="J353" i="3"/>
  <c r="I353" i="3"/>
  <c r="T352" i="3"/>
  <c r="J352" i="3"/>
  <c r="I352" i="3"/>
  <c r="T351" i="3"/>
  <c r="J351" i="3"/>
  <c r="I351" i="3"/>
  <c r="T350" i="3"/>
  <c r="J350" i="3"/>
  <c r="I350" i="3"/>
  <c r="T349" i="3"/>
  <c r="P349" i="3"/>
  <c r="J349" i="3"/>
  <c r="I349" i="3"/>
  <c r="T348" i="3"/>
  <c r="P348" i="3"/>
  <c r="J348" i="3"/>
  <c r="I348" i="3"/>
  <c r="T347" i="3"/>
  <c r="P347" i="3"/>
  <c r="J347" i="3"/>
  <c r="I347" i="3"/>
  <c r="T346" i="3"/>
  <c r="P346" i="3"/>
  <c r="J346" i="3"/>
  <c r="I346" i="3"/>
  <c r="T345" i="3"/>
  <c r="P345" i="3"/>
  <c r="J345" i="3"/>
  <c r="I345" i="3"/>
  <c r="T344" i="3"/>
  <c r="P344" i="3"/>
  <c r="J344" i="3"/>
  <c r="I344" i="3"/>
  <c r="T343" i="3"/>
  <c r="P343" i="3"/>
  <c r="J343" i="3"/>
  <c r="I343" i="3"/>
  <c r="T342" i="3"/>
  <c r="P342" i="3"/>
  <c r="J342" i="3"/>
  <c r="I342" i="3"/>
  <c r="T341" i="3"/>
  <c r="P341" i="3"/>
  <c r="J341" i="3"/>
  <c r="I341" i="3"/>
  <c r="T340" i="3"/>
  <c r="P340" i="3"/>
  <c r="J340" i="3"/>
  <c r="I340" i="3"/>
  <c r="T339" i="3"/>
  <c r="P339" i="3"/>
  <c r="J339" i="3"/>
  <c r="I339" i="3"/>
  <c r="T338" i="3"/>
  <c r="P338" i="3"/>
  <c r="M338" i="3"/>
  <c r="N338" i="3" s="1"/>
  <c r="J338" i="3"/>
  <c r="I338" i="3"/>
  <c r="T337" i="3"/>
  <c r="P337" i="3"/>
  <c r="M337" i="3"/>
  <c r="N337" i="3" s="1"/>
  <c r="J337" i="3"/>
  <c r="I337" i="3"/>
  <c r="T336" i="3"/>
  <c r="P336" i="3"/>
  <c r="M336" i="3"/>
  <c r="N336" i="3" s="1"/>
  <c r="J336" i="3"/>
  <c r="I336" i="3"/>
  <c r="T335" i="3"/>
  <c r="P335" i="3"/>
  <c r="M335" i="3"/>
  <c r="N335" i="3" s="1"/>
  <c r="J335" i="3"/>
  <c r="I335" i="3"/>
  <c r="T334" i="3"/>
  <c r="P334" i="3"/>
  <c r="M334" i="3"/>
  <c r="N334" i="3" s="1"/>
  <c r="J334" i="3"/>
  <c r="I334" i="3"/>
  <c r="T333" i="3"/>
  <c r="P333" i="3"/>
  <c r="M333" i="3"/>
  <c r="N333" i="3" s="1"/>
  <c r="J333" i="3"/>
  <c r="I333" i="3"/>
  <c r="T332" i="3"/>
  <c r="P332" i="3"/>
  <c r="M332" i="3"/>
  <c r="N332" i="3" s="1"/>
  <c r="J332" i="3"/>
  <c r="I332" i="3"/>
  <c r="T331" i="3"/>
  <c r="P331" i="3"/>
  <c r="M331" i="3"/>
  <c r="N331" i="3" s="1"/>
  <c r="J331" i="3"/>
  <c r="I331" i="3"/>
  <c r="T330" i="3"/>
  <c r="P330" i="3"/>
  <c r="M330" i="3"/>
  <c r="N330" i="3" s="1"/>
  <c r="J330" i="3"/>
  <c r="I330" i="3"/>
  <c r="T329" i="3"/>
  <c r="P329" i="3"/>
  <c r="N329" i="3"/>
  <c r="M329" i="3"/>
  <c r="J329" i="3"/>
  <c r="I329" i="3"/>
  <c r="T328" i="3"/>
  <c r="P328" i="3"/>
  <c r="M328" i="3"/>
  <c r="N328" i="3" s="1"/>
  <c r="J328" i="3"/>
  <c r="I328" i="3"/>
  <c r="T327" i="3"/>
  <c r="P327" i="3"/>
  <c r="M327" i="3"/>
  <c r="N327" i="3" s="1"/>
  <c r="J327" i="3"/>
  <c r="I327" i="3"/>
  <c r="T326" i="3"/>
  <c r="P326" i="3"/>
  <c r="M326" i="3"/>
  <c r="N326" i="3" s="1"/>
  <c r="J326" i="3"/>
  <c r="I326" i="3"/>
  <c r="T325" i="3"/>
  <c r="P325" i="3"/>
  <c r="M325" i="3"/>
  <c r="N325" i="3" s="1"/>
  <c r="J325" i="3"/>
  <c r="I325" i="3"/>
  <c r="T324" i="3"/>
  <c r="J324" i="3"/>
  <c r="I324" i="3"/>
  <c r="T323" i="3"/>
  <c r="J323" i="3"/>
  <c r="I323" i="3"/>
  <c r="T322" i="3"/>
  <c r="J322" i="3"/>
  <c r="I322" i="3"/>
  <c r="T321" i="3"/>
  <c r="J321" i="3"/>
  <c r="I321" i="3"/>
  <c r="T320" i="3"/>
  <c r="J320" i="3"/>
  <c r="I320" i="3"/>
  <c r="T319" i="3"/>
  <c r="J319" i="3"/>
  <c r="I319" i="3"/>
  <c r="T318" i="3"/>
  <c r="J318" i="3"/>
  <c r="I318" i="3"/>
  <c r="T317" i="3"/>
  <c r="J317" i="3"/>
  <c r="I317" i="3"/>
  <c r="T316" i="3"/>
  <c r="J316" i="3"/>
  <c r="I316" i="3"/>
  <c r="T315" i="3"/>
  <c r="J315" i="3"/>
  <c r="I315" i="3"/>
  <c r="T314" i="3"/>
  <c r="J314" i="3"/>
  <c r="I314" i="3"/>
  <c r="T313" i="3"/>
  <c r="J313" i="3"/>
  <c r="I313" i="3"/>
  <c r="T312" i="3"/>
  <c r="J312" i="3"/>
  <c r="I312" i="3"/>
  <c r="T311" i="3"/>
  <c r="J311" i="3"/>
  <c r="I311" i="3"/>
  <c r="T310" i="3"/>
  <c r="P310" i="3"/>
  <c r="J310" i="3"/>
  <c r="I310" i="3"/>
  <c r="T309" i="3"/>
  <c r="P309" i="3"/>
  <c r="J309" i="3"/>
  <c r="I309" i="3"/>
  <c r="T308" i="3"/>
  <c r="P308" i="3"/>
  <c r="J308" i="3"/>
  <c r="I308" i="3"/>
  <c r="T307" i="3"/>
  <c r="P307" i="3"/>
  <c r="J307" i="3"/>
  <c r="I307" i="3"/>
  <c r="T306" i="3"/>
  <c r="P306" i="3"/>
  <c r="J306" i="3"/>
  <c r="I306" i="3"/>
  <c r="T305" i="3"/>
  <c r="P305" i="3"/>
  <c r="J305" i="3"/>
  <c r="I305" i="3"/>
  <c r="T304" i="3"/>
  <c r="P304" i="3"/>
  <c r="J304" i="3"/>
  <c r="I304" i="3"/>
  <c r="T303" i="3"/>
  <c r="P303" i="3"/>
  <c r="J303" i="3"/>
  <c r="I303" i="3"/>
  <c r="T302" i="3"/>
  <c r="P302" i="3"/>
  <c r="J302" i="3"/>
  <c r="I302" i="3"/>
  <c r="T301" i="3"/>
  <c r="P301" i="3"/>
  <c r="J301" i="3"/>
  <c r="I301" i="3"/>
  <c r="T300" i="3"/>
  <c r="P300" i="3"/>
  <c r="J300" i="3"/>
  <c r="I300" i="3"/>
  <c r="T299" i="3"/>
  <c r="P299" i="3"/>
  <c r="J299" i="3"/>
  <c r="I299" i="3"/>
  <c r="T298" i="3"/>
  <c r="P298" i="3"/>
  <c r="J298" i="3"/>
  <c r="I298" i="3"/>
  <c r="T297" i="3"/>
  <c r="P297" i="3"/>
  <c r="J297" i="3"/>
  <c r="I297" i="3"/>
  <c r="T296" i="3"/>
  <c r="P296" i="3"/>
  <c r="J296" i="3"/>
  <c r="I296" i="3"/>
  <c r="T295" i="3"/>
  <c r="P295" i="3"/>
  <c r="J295" i="3"/>
  <c r="I295" i="3"/>
  <c r="T294" i="3"/>
  <c r="P294" i="3"/>
  <c r="J294" i="3"/>
  <c r="I294" i="3"/>
  <c r="T293" i="3"/>
  <c r="P293" i="3"/>
  <c r="J293" i="3"/>
  <c r="I293" i="3"/>
  <c r="T292" i="3"/>
  <c r="P292" i="3"/>
  <c r="J292" i="3"/>
  <c r="I292" i="3"/>
  <c r="T291" i="3"/>
  <c r="P291" i="3"/>
  <c r="J291" i="3"/>
  <c r="I291" i="3"/>
  <c r="T290" i="3"/>
  <c r="P290" i="3"/>
  <c r="J290" i="3"/>
  <c r="I290" i="3"/>
  <c r="T289" i="3"/>
  <c r="P289" i="3"/>
  <c r="J289" i="3"/>
  <c r="I289" i="3"/>
  <c r="T288" i="3"/>
  <c r="P288" i="3"/>
  <c r="J288" i="3"/>
  <c r="I288" i="3"/>
  <c r="T287" i="3"/>
  <c r="P287" i="3"/>
  <c r="J287" i="3"/>
  <c r="I287" i="3"/>
  <c r="T286" i="3"/>
  <c r="P286" i="3"/>
  <c r="J286" i="3"/>
  <c r="I286" i="3"/>
  <c r="T285" i="3"/>
  <c r="P285" i="3"/>
  <c r="J285" i="3"/>
  <c r="I285" i="3"/>
  <c r="T284" i="3"/>
  <c r="J284" i="3"/>
  <c r="I284" i="3"/>
  <c r="T283" i="3"/>
  <c r="J283" i="3"/>
  <c r="I283" i="3"/>
  <c r="T282" i="3"/>
  <c r="J282" i="3"/>
  <c r="I282" i="3"/>
  <c r="T281" i="3"/>
  <c r="J281" i="3"/>
  <c r="I281" i="3"/>
  <c r="T280" i="3"/>
  <c r="J280" i="3"/>
  <c r="I280" i="3"/>
  <c r="T279" i="3"/>
  <c r="J279" i="3"/>
  <c r="I279" i="3"/>
  <c r="T278" i="3"/>
  <c r="J278" i="3"/>
  <c r="I278" i="3"/>
  <c r="T277" i="3"/>
  <c r="J277" i="3"/>
  <c r="I277" i="3"/>
  <c r="T276" i="3"/>
  <c r="J276" i="3"/>
  <c r="I276" i="3"/>
  <c r="T275" i="3"/>
  <c r="J275" i="3"/>
  <c r="I275" i="3"/>
  <c r="T274" i="3"/>
  <c r="J274" i="3"/>
  <c r="I274" i="3"/>
  <c r="T273" i="3"/>
  <c r="J273" i="3"/>
  <c r="I273" i="3"/>
  <c r="T272" i="3"/>
  <c r="J272" i="3"/>
  <c r="I272" i="3"/>
  <c r="T271" i="3"/>
  <c r="J271" i="3"/>
  <c r="I271" i="3"/>
  <c r="T270" i="3"/>
  <c r="P270" i="3"/>
  <c r="J270" i="3"/>
  <c r="I270" i="3"/>
  <c r="T269" i="3"/>
  <c r="P269" i="3"/>
  <c r="J269" i="3"/>
  <c r="I269" i="3"/>
  <c r="T268" i="3"/>
  <c r="P268" i="3"/>
  <c r="J268" i="3"/>
  <c r="I268" i="3"/>
  <c r="T267" i="3"/>
  <c r="P267" i="3"/>
  <c r="J267" i="3"/>
  <c r="I267" i="3"/>
  <c r="T266" i="3"/>
  <c r="P266" i="3"/>
  <c r="J266" i="3"/>
  <c r="I266" i="3"/>
  <c r="T265" i="3"/>
  <c r="P265" i="3"/>
  <c r="J265" i="3"/>
  <c r="I265" i="3"/>
  <c r="T264" i="3"/>
  <c r="P264" i="3"/>
  <c r="J264" i="3"/>
  <c r="I264" i="3"/>
  <c r="T263" i="3"/>
  <c r="P263" i="3"/>
  <c r="J263" i="3"/>
  <c r="I263" i="3"/>
  <c r="T262" i="3"/>
  <c r="P262" i="3"/>
  <c r="J262" i="3"/>
  <c r="I262" i="3"/>
  <c r="T261" i="3"/>
  <c r="P261" i="3"/>
  <c r="J261" i="3"/>
  <c r="I261" i="3"/>
  <c r="T260" i="3"/>
  <c r="P260" i="3"/>
  <c r="J260" i="3"/>
  <c r="I260" i="3"/>
  <c r="T259" i="3"/>
  <c r="P259" i="3"/>
  <c r="J259" i="3"/>
  <c r="I259" i="3"/>
  <c r="T258" i="3"/>
  <c r="P258" i="3"/>
  <c r="J258" i="3"/>
  <c r="I258" i="3"/>
  <c r="T257" i="3"/>
  <c r="P257" i="3"/>
  <c r="J257" i="3"/>
  <c r="I257" i="3"/>
  <c r="T256" i="3"/>
  <c r="P256" i="3"/>
  <c r="J256" i="3"/>
  <c r="I256" i="3"/>
  <c r="T255" i="3"/>
  <c r="P255" i="3"/>
  <c r="J255" i="3"/>
  <c r="I255" i="3"/>
  <c r="T254" i="3"/>
  <c r="P254" i="3"/>
  <c r="J254" i="3"/>
  <c r="I254" i="3"/>
  <c r="T253" i="3"/>
  <c r="P253" i="3"/>
  <c r="J253" i="3"/>
  <c r="I253" i="3"/>
  <c r="T252" i="3"/>
  <c r="P252" i="3"/>
  <c r="J252" i="3"/>
  <c r="I252" i="3"/>
  <c r="T251" i="3"/>
  <c r="P251" i="3"/>
  <c r="J251" i="3"/>
  <c r="I251" i="3"/>
  <c r="T250" i="3"/>
  <c r="P250" i="3"/>
  <c r="J250" i="3"/>
  <c r="I250" i="3"/>
  <c r="T249" i="3"/>
  <c r="P249" i="3"/>
  <c r="J249" i="3"/>
  <c r="I249" i="3"/>
  <c r="T248" i="3"/>
  <c r="P248" i="3"/>
  <c r="J248" i="3"/>
  <c r="I248" i="3"/>
  <c r="T247" i="3"/>
  <c r="P247" i="3"/>
  <c r="J247" i="3"/>
  <c r="I247" i="3"/>
  <c r="T246" i="3"/>
  <c r="P246" i="3"/>
  <c r="J246" i="3"/>
  <c r="I246" i="3"/>
  <c r="T245" i="3"/>
  <c r="P245" i="3"/>
  <c r="J245" i="3"/>
  <c r="I245" i="3"/>
  <c r="T244" i="3"/>
  <c r="J244" i="3"/>
  <c r="I244" i="3"/>
  <c r="T243" i="3"/>
  <c r="J243" i="3"/>
  <c r="I243" i="3"/>
  <c r="T242" i="3"/>
  <c r="J242" i="3"/>
  <c r="I242" i="3"/>
  <c r="T241" i="3"/>
  <c r="J241" i="3"/>
  <c r="I241" i="3"/>
  <c r="T240" i="3"/>
  <c r="J240" i="3"/>
  <c r="I240" i="3"/>
  <c r="T239" i="3"/>
  <c r="J239" i="3"/>
  <c r="I239" i="3"/>
  <c r="T238" i="3"/>
  <c r="J238" i="3"/>
  <c r="I238" i="3"/>
  <c r="T237" i="3"/>
  <c r="J237" i="3"/>
  <c r="I237" i="3"/>
  <c r="T236" i="3"/>
  <c r="J236" i="3"/>
  <c r="I236" i="3"/>
  <c r="T235" i="3"/>
  <c r="J235" i="3"/>
  <c r="I235" i="3"/>
  <c r="T234" i="3"/>
  <c r="J234" i="3"/>
  <c r="I234" i="3"/>
  <c r="T233" i="3"/>
  <c r="J233" i="3"/>
  <c r="I233" i="3"/>
  <c r="T232" i="3"/>
  <c r="J232" i="3"/>
  <c r="I232" i="3"/>
  <c r="T231" i="3"/>
  <c r="J231" i="3"/>
  <c r="I231" i="3"/>
  <c r="T230" i="3"/>
  <c r="P230" i="3"/>
  <c r="J230" i="3"/>
  <c r="I230" i="3"/>
  <c r="T229" i="3"/>
  <c r="P229" i="3"/>
  <c r="J229" i="3"/>
  <c r="I229" i="3"/>
  <c r="T228" i="3"/>
  <c r="P228" i="3"/>
  <c r="J228" i="3"/>
  <c r="I228" i="3"/>
  <c r="T227" i="3"/>
  <c r="P227" i="3"/>
  <c r="J227" i="3"/>
  <c r="I227" i="3"/>
  <c r="T226" i="3"/>
  <c r="P226" i="3"/>
  <c r="J226" i="3"/>
  <c r="I226" i="3"/>
  <c r="T225" i="3"/>
  <c r="P225" i="3"/>
  <c r="J225" i="3"/>
  <c r="I225" i="3"/>
  <c r="T224" i="3"/>
  <c r="P224" i="3"/>
  <c r="J224" i="3"/>
  <c r="I224" i="3"/>
  <c r="T223" i="3"/>
  <c r="P223" i="3"/>
  <c r="J223" i="3"/>
  <c r="I223" i="3"/>
  <c r="T222" i="3"/>
  <c r="P222" i="3"/>
  <c r="J222" i="3"/>
  <c r="I222" i="3"/>
  <c r="T221" i="3"/>
  <c r="P221" i="3"/>
  <c r="J221" i="3"/>
  <c r="I221" i="3"/>
  <c r="T220" i="3"/>
  <c r="P220" i="3"/>
  <c r="J220" i="3"/>
  <c r="I220" i="3"/>
  <c r="T219" i="3"/>
  <c r="P219" i="3"/>
  <c r="J219" i="3"/>
  <c r="I219" i="3"/>
  <c r="T218" i="3"/>
  <c r="P218" i="3"/>
  <c r="M218" i="3"/>
  <c r="N218" i="3" s="1"/>
  <c r="J218" i="3"/>
  <c r="I218" i="3"/>
  <c r="T217" i="3"/>
  <c r="P217" i="3"/>
  <c r="M217" i="3"/>
  <c r="N217" i="3" s="1"/>
  <c r="J217" i="3"/>
  <c r="I217" i="3"/>
  <c r="T216" i="3"/>
  <c r="P216" i="3"/>
  <c r="M216" i="3"/>
  <c r="N216" i="3" s="1"/>
  <c r="J216" i="3"/>
  <c r="I216" i="3"/>
  <c r="T215" i="3"/>
  <c r="P215" i="3"/>
  <c r="M215" i="3"/>
  <c r="N215" i="3" s="1"/>
  <c r="J215" i="3"/>
  <c r="I215" i="3"/>
  <c r="T214" i="3"/>
  <c r="P214" i="3"/>
  <c r="M214" i="3"/>
  <c r="N214" i="3" s="1"/>
  <c r="J214" i="3"/>
  <c r="I214" i="3"/>
  <c r="T213" i="3"/>
  <c r="P213" i="3"/>
  <c r="M213" i="3"/>
  <c r="N213" i="3" s="1"/>
  <c r="J213" i="3"/>
  <c r="I213" i="3"/>
  <c r="T212" i="3"/>
  <c r="P212" i="3"/>
  <c r="M212" i="3"/>
  <c r="N212" i="3" s="1"/>
  <c r="J212" i="3"/>
  <c r="I212" i="3"/>
  <c r="T211" i="3"/>
  <c r="P211" i="3"/>
  <c r="M211" i="3"/>
  <c r="N211" i="3" s="1"/>
  <c r="J211" i="3"/>
  <c r="I211" i="3"/>
  <c r="T210" i="3"/>
  <c r="P210" i="3"/>
  <c r="M210" i="3"/>
  <c r="N210" i="3" s="1"/>
  <c r="J210" i="3"/>
  <c r="I210" i="3"/>
  <c r="T209" i="3"/>
  <c r="P209" i="3"/>
  <c r="M209" i="3"/>
  <c r="N209" i="3" s="1"/>
  <c r="J209" i="3"/>
  <c r="I209" i="3"/>
  <c r="T208" i="3"/>
  <c r="P208" i="3"/>
  <c r="M208" i="3"/>
  <c r="N208" i="3" s="1"/>
  <c r="J208" i="3"/>
  <c r="I208" i="3"/>
  <c r="T207" i="3"/>
  <c r="P207" i="3"/>
  <c r="M207" i="3"/>
  <c r="N207" i="3" s="1"/>
  <c r="J207" i="3"/>
  <c r="I207" i="3"/>
  <c r="T206" i="3"/>
  <c r="P206" i="3"/>
  <c r="M206" i="3"/>
  <c r="N206" i="3" s="1"/>
  <c r="J206" i="3"/>
  <c r="I206" i="3"/>
  <c r="T205" i="3"/>
  <c r="P205" i="3"/>
  <c r="M205" i="3"/>
  <c r="N205" i="3" s="1"/>
  <c r="J205" i="3"/>
  <c r="I205" i="3"/>
  <c r="T204" i="3"/>
  <c r="J204" i="3"/>
  <c r="I204" i="3"/>
  <c r="T203" i="3"/>
  <c r="J203" i="3"/>
  <c r="I203" i="3"/>
  <c r="T202" i="3"/>
  <c r="J202" i="3"/>
  <c r="I202" i="3"/>
  <c r="T201" i="3"/>
  <c r="J201" i="3"/>
  <c r="I201" i="3"/>
  <c r="T200" i="3"/>
  <c r="J200" i="3"/>
  <c r="I200" i="3"/>
  <c r="T199" i="3"/>
  <c r="J199" i="3"/>
  <c r="I199" i="3"/>
  <c r="T198" i="3"/>
  <c r="J198" i="3"/>
  <c r="I198" i="3"/>
  <c r="T197" i="3"/>
  <c r="J197" i="3"/>
  <c r="I197" i="3"/>
  <c r="T196" i="3"/>
  <c r="J196" i="3"/>
  <c r="I196" i="3"/>
  <c r="T195" i="3"/>
  <c r="J195" i="3"/>
  <c r="I195" i="3"/>
  <c r="T194" i="3"/>
  <c r="J194" i="3"/>
  <c r="I194" i="3"/>
  <c r="T193" i="3"/>
  <c r="J193" i="3"/>
  <c r="I193" i="3"/>
  <c r="T192" i="3"/>
  <c r="J192" i="3"/>
  <c r="I192" i="3"/>
  <c r="T191" i="3"/>
  <c r="J191" i="3"/>
  <c r="I191" i="3"/>
  <c r="T190" i="3"/>
  <c r="P190" i="3"/>
  <c r="J190" i="3"/>
  <c r="I190" i="3"/>
  <c r="T189" i="3"/>
  <c r="P189" i="3"/>
  <c r="J189" i="3"/>
  <c r="I189" i="3"/>
  <c r="T188" i="3"/>
  <c r="P188" i="3"/>
  <c r="J188" i="3"/>
  <c r="I188" i="3"/>
  <c r="T187" i="3"/>
  <c r="P187" i="3"/>
  <c r="J187" i="3"/>
  <c r="I187" i="3"/>
  <c r="T186" i="3"/>
  <c r="P186" i="3"/>
  <c r="J186" i="3"/>
  <c r="I186" i="3"/>
  <c r="T185" i="3"/>
  <c r="P185" i="3"/>
  <c r="J185" i="3"/>
  <c r="I185" i="3"/>
  <c r="T184" i="3"/>
  <c r="P184" i="3"/>
  <c r="J184" i="3"/>
  <c r="I184" i="3"/>
  <c r="T183" i="3"/>
  <c r="P183" i="3"/>
  <c r="J183" i="3"/>
  <c r="I183" i="3"/>
  <c r="T182" i="3"/>
  <c r="P182" i="3"/>
  <c r="J182" i="3"/>
  <c r="I182" i="3"/>
  <c r="T181" i="3"/>
  <c r="P181" i="3"/>
  <c r="J181" i="3"/>
  <c r="I181" i="3"/>
  <c r="T180" i="3"/>
  <c r="P180" i="3"/>
  <c r="J180" i="3"/>
  <c r="I180" i="3"/>
  <c r="T179" i="3"/>
  <c r="P179" i="3"/>
  <c r="J179" i="3"/>
  <c r="I179" i="3"/>
  <c r="T178" i="3"/>
  <c r="P178" i="3"/>
  <c r="J178" i="3"/>
  <c r="I178" i="3"/>
  <c r="T177" i="3"/>
  <c r="P177" i="3"/>
  <c r="J177" i="3"/>
  <c r="I177" i="3"/>
  <c r="T176" i="3"/>
  <c r="P176" i="3"/>
  <c r="J176" i="3"/>
  <c r="I176" i="3"/>
  <c r="T175" i="3"/>
  <c r="P175" i="3"/>
  <c r="J175" i="3"/>
  <c r="I175" i="3"/>
  <c r="T174" i="3"/>
  <c r="P174" i="3"/>
  <c r="J174" i="3"/>
  <c r="I174" i="3"/>
  <c r="T173" i="3"/>
  <c r="P173" i="3"/>
  <c r="J173" i="3"/>
  <c r="I173" i="3"/>
  <c r="T172" i="3"/>
  <c r="P172" i="3"/>
  <c r="J172" i="3"/>
  <c r="I172" i="3"/>
  <c r="T171" i="3"/>
  <c r="P171" i="3"/>
  <c r="J171" i="3"/>
  <c r="I171" i="3"/>
  <c r="T170" i="3"/>
  <c r="P170" i="3"/>
  <c r="J170" i="3"/>
  <c r="I170" i="3"/>
  <c r="T169" i="3"/>
  <c r="P169" i="3"/>
  <c r="J169" i="3"/>
  <c r="I169" i="3"/>
  <c r="T168" i="3"/>
  <c r="P168" i="3"/>
  <c r="J168" i="3"/>
  <c r="I168" i="3"/>
  <c r="T167" i="3"/>
  <c r="P167" i="3"/>
  <c r="J167" i="3"/>
  <c r="I167" i="3"/>
  <c r="T166" i="3"/>
  <c r="P166" i="3"/>
  <c r="J166" i="3"/>
  <c r="I166" i="3"/>
  <c r="T165" i="3"/>
  <c r="P165" i="3"/>
  <c r="J165" i="3"/>
  <c r="I165" i="3"/>
  <c r="T164" i="3"/>
  <c r="J164" i="3"/>
  <c r="I164" i="3"/>
  <c r="T163" i="3"/>
  <c r="J163" i="3"/>
  <c r="I163" i="3"/>
  <c r="T162" i="3"/>
  <c r="J162" i="3"/>
  <c r="I162" i="3"/>
  <c r="T161" i="3"/>
  <c r="J161" i="3"/>
  <c r="I161" i="3"/>
  <c r="T160" i="3"/>
  <c r="J160" i="3"/>
  <c r="I160" i="3"/>
  <c r="T159" i="3"/>
  <c r="J159" i="3"/>
  <c r="I159" i="3"/>
  <c r="T158" i="3"/>
  <c r="J158" i="3"/>
  <c r="I158" i="3"/>
  <c r="T157" i="3"/>
  <c r="J157" i="3"/>
  <c r="I157" i="3"/>
  <c r="T156" i="3"/>
  <c r="J156" i="3"/>
  <c r="I156" i="3"/>
  <c r="T155" i="3"/>
  <c r="J155" i="3"/>
  <c r="I155" i="3"/>
  <c r="T154" i="3"/>
  <c r="J154" i="3"/>
  <c r="I154" i="3"/>
  <c r="T153" i="3"/>
  <c r="J153" i="3"/>
  <c r="I153" i="3"/>
  <c r="T152" i="3"/>
  <c r="J152" i="3"/>
  <c r="I152" i="3"/>
  <c r="T151" i="3"/>
  <c r="J151" i="3"/>
  <c r="I151" i="3"/>
  <c r="T150" i="3"/>
  <c r="P150" i="3"/>
  <c r="J150" i="3"/>
  <c r="I150" i="3"/>
  <c r="T149" i="3"/>
  <c r="P149" i="3"/>
  <c r="J149" i="3"/>
  <c r="I149" i="3"/>
  <c r="T148" i="3"/>
  <c r="P148" i="3"/>
  <c r="J148" i="3"/>
  <c r="I148" i="3"/>
  <c r="T147" i="3"/>
  <c r="P147" i="3"/>
  <c r="J147" i="3"/>
  <c r="I147" i="3"/>
  <c r="T146" i="3"/>
  <c r="P146" i="3"/>
  <c r="J146" i="3"/>
  <c r="I146" i="3"/>
  <c r="T145" i="3"/>
  <c r="P145" i="3"/>
  <c r="J145" i="3"/>
  <c r="I145" i="3"/>
  <c r="T144" i="3"/>
  <c r="J144" i="3"/>
  <c r="I144" i="3"/>
  <c r="T143" i="3"/>
  <c r="J143" i="3"/>
  <c r="I143" i="3"/>
  <c r="T142" i="3"/>
  <c r="J142" i="3"/>
  <c r="I142" i="3"/>
  <c r="T141" i="3"/>
  <c r="J141" i="3"/>
  <c r="I141" i="3"/>
  <c r="T140" i="3"/>
  <c r="J140" i="3"/>
  <c r="I140" i="3"/>
  <c r="T139" i="3"/>
  <c r="J139" i="3"/>
  <c r="I139" i="3"/>
  <c r="T138" i="3"/>
  <c r="J138" i="3"/>
  <c r="I138" i="3"/>
  <c r="T137" i="3"/>
  <c r="J137" i="3"/>
  <c r="I137" i="3"/>
  <c r="T136" i="3"/>
  <c r="J136" i="3"/>
  <c r="I136" i="3"/>
  <c r="T135" i="3"/>
  <c r="J135" i="3"/>
  <c r="I135" i="3"/>
  <c r="T134" i="3"/>
  <c r="J134" i="3"/>
  <c r="I134" i="3"/>
  <c r="T133" i="3"/>
  <c r="J133" i="3"/>
  <c r="I133" i="3"/>
  <c r="T132" i="3"/>
  <c r="J132" i="3"/>
  <c r="I132" i="3"/>
  <c r="T131" i="3"/>
  <c r="J131" i="3"/>
  <c r="I131" i="3"/>
  <c r="T130" i="3"/>
  <c r="P130" i="3"/>
  <c r="J130" i="3"/>
  <c r="I130" i="3"/>
  <c r="T129" i="3"/>
  <c r="P129" i="3"/>
  <c r="J129" i="3"/>
  <c r="I129" i="3"/>
  <c r="T128" i="3"/>
  <c r="P128" i="3"/>
  <c r="J128" i="3"/>
  <c r="I128" i="3"/>
  <c r="T127" i="3"/>
  <c r="P127" i="3"/>
  <c r="J127" i="3"/>
  <c r="I127" i="3"/>
  <c r="T126" i="3"/>
  <c r="P126" i="3"/>
  <c r="J126" i="3"/>
  <c r="I126" i="3"/>
  <c r="T125" i="3"/>
  <c r="P125" i="3"/>
  <c r="J125" i="3"/>
  <c r="I125" i="3"/>
  <c r="T124" i="3"/>
  <c r="J124" i="3"/>
  <c r="I124" i="3"/>
  <c r="T123" i="3"/>
  <c r="J123" i="3"/>
  <c r="I123" i="3"/>
  <c r="T122" i="3"/>
  <c r="J122" i="3"/>
  <c r="I122" i="3"/>
  <c r="T121" i="3"/>
  <c r="J121" i="3"/>
  <c r="I121" i="3"/>
  <c r="T120" i="3"/>
  <c r="J120" i="3"/>
  <c r="I120" i="3"/>
  <c r="T119" i="3"/>
  <c r="J119" i="3"/>
  <c r="I119" i="3"/>
  <c r="T118" i="3"/>
  <c r="J118" i="3"/>
  <c r="I118" i="3"/>
  <c r="T117" i="3"/>
  <c r="J117" i="3"/>
  <c r="I117" i="3"/>
  <c r="T116" i="3"/>
  <c r="J116" i="3"/>
  <c r="I116" i="3"/>
  <c r="T115" i="3"/>
  <c r="J115" i="3"/>
  <c r="I115" i="3"/>
  <c r="T114" i="3"/>
  <c r="J114" i="3"/>
  <c r="I114" i="3"/>
  <c r="T113" i="3"/>
  <c r="J113" i="3"/>
  <c r="I113" i="3"/>
  <c r="T112" i="3"/>
  <c r="J112" i="3"/>
  <c r="I112" i="3"/>
  <c r="T111" i="3"/>
  <c r="J111" i="3"/>
  <c r="I111" i="3"/>
  <c r="T110" i="3"/>
  <c r="J110" i="3"/>
  <c r="I110" i="3"/>
  <c r="T109" i="3"/>
  <c r="P109" i="3"/>
  <c r="J109" i="3"/>
  <c r="I109" i="3"/>
  <c r="T108" i="3"/>
  <c r="P108" i="3"/>
  <c r="J108" i="3"/>
  <c r="I108" i="3"/>
  <c r="T107" i="3"/>
  <c r="P107" i="3"/>
  <c r="J107" i="3"/>
  <c r="I107" i="3"/>
  <c r="T106" i="3"/>
  <c r="P106" i="3"/>
  <c r="J106" i="3"/>
  <c r="I106" i="3"/>
  <c r="T105" i="3"/>
  <c r="P105" i="3"/>
  <c r="J105" i="3"/>
  <c r="I105" i="3"/>
  <c r="T104" i="3"/>
  <c r="P104" i="3"/>
  <c r="J104" i="3"/>
  <c r="I104" i="3"/>
  <c r="T103" i="3"/>
  <c r="P103" i="3"/>
  <c r="J103" i="3"/>
  <c r="I103" i="3"/>
  <c r="T102" i="3"/>
  <c r="P102" i="3"/>
  <c r="J102" i="3"/>
  <c r="I102" i="3"/>
  <c r="T101" i="3"/>
  <c r="P101" i="3"/>
  <c r="J101" i="3"/>
  <c r="I101" i="3"/>
  <c r="T100" i="3"/>
  <c r="P100" i="3"/>
  <c r="J100" i="3"/>
  <c r="I100" i="3"/>
  <c r="T99" i="3"/>
  <c r="P99" i="3"/>
  <c r="J99" i="3"/>
  <c r="I99" i="3"/>
  <c r="T98" i="3"/>
  <c r="P98" i="3"/>
  <c r="J98" i="3"/>
  <c r="I98" i="3"/>
  <c r="T97" i="3"/>
  <c r="P97" i="3"/>
  <c r="J97" i="3"/>
  <c r="I97" i="3"/>
  <c r="T96" i="3"/>
  <c r="P96" i="3"/>
  <c r="J96" i="3"/>
  <c r="I96" i="3"/>
  <c r="T95" i="3"/>
  <c r="P95" i="3"/>
  <c r="J95" i="3"/>
  <c r="I95" i="3"/>
  <c r="T94" i="3"/>
  <c r="P94" i="3"/>
  <c r="J94" i="3"/>
  <c r="I94" i="3"/>
  <c r="T93" i="3"/>
  <c r="P93" i="3"/>
  <c r="J93" i="3"/>
  <c r="I93" i="3"/>
  <c r="T92" i="3"/>
  <c r="P92" i="3"/>
  <c r="J92" i="3"/>
  <c r="I92" i="3"/>
  <c r="T91" i="3"/>
  <c r="P91" i="3"/>
  <c r="J91" i="3"/>
  <c r="I91" i="3"/>
  <c r="T90" i="3"/>
  <c r="P90" i="3"/>
  <c r="J90" i="3"/>
  <c r="I90" i="3"/>
  <c r="T89" i="3"/>
  <c r="P89" i="3"/>
  <c r="J89" i="3"/>
  <c r="I89" i="3"/>
  <c r="T88" i="3"/>
  <c r="P88" i="3"/>
  <c r="J88" i="3"/>
  <c r="I88" i="3"/>
  <c r="T87" i="3"/>
  <c r="P87" i="3"/>
  <c r="J87" i="3"/>
  <c r="I87" i="3"/>
  <c r="T86" i="3"/>
  <c r="P86" i="3"/>
  <c r="J86" i="3"/>
  <c r="I86" i="3"/>
  <c r="T85" i="3"/>
  <c r="P85" i="3"/>
  <c r="J85" i="3"/>
  <c r="I85" i="3"/>
  <c r="T84" i="3"/>
  <c r="J84" i="3"/>
  <c r="I84" i="3"/>
  <c r="T83" i="3"/>
  <c r="J83" i="3"/>
  <c r="I83" i="3"/>
  <c r="T82" i="3"/>
  <c r="J82" i="3"/>
  <c r="I82" i="3"/>
  <c r="T81" i="3"/>
  <c r="J81" i="3"/>
  <c r="I81" i="3"/>
  <c r="T80" i="3"/>
  <c r="J80" i="3"/>
  <c r="I80" i="3"/>
  <c r="T79" i="3"/>
  <c r="J79" i="3"/>
  <c r="I79" i="3"/>
  <c r="T78" i="3"/>
  <c r="J78" i="3"/>
  <c r="I78" i="3"/>
  <c r="T77" i="3"/>
  <c r="J77" i="3"/>
  <c r="I77" i="3"/>
  <c r="T76" i="3"/>
  <c r="J76" i="3"/>
  <c r="I76" i="3"/>
  <c r="T75" i="3"/>
  <c r="J75" i="3"/>
  <c r="I75" i="3"/>
  <c r="T74" i="3"/>
  <c r="J74" i="3"/>
  <c r="I74" i="3"/>
  <c r="T73" i="3"/>
  <c r="J73" i="3"/>
  <c r="I73" i="3"/>
  <c r="T72" i="3"/>
  <c r="J72" i="3"/>
  <c r="I72" i="3"/>
  <c r="T71" i="3"/>
  <c r="J71" i="3"/>
  <c r="I71" i="3"/>
  <c r="T70" i="3"/>
  <c r="P70" i="3"/>
  <c r="J70" i="3"/>
  <c r="I70" i="3"/>
  <c r="T69" i="3"/>
  <c r="P69" i="3"/>
  <c r="J69" i="3"/>
  <c r="I69" i="3"/>
  <c r="T68" i="3"/>
  <c r="P68" i="3"/>
  <c r="J68" i="3"/>
  <c r="I68" i="3"/>
  <c r="T67" i="3"/>
  <c r="P67" i="3"/>
  <c r="J67" i="3"/>
  <c r="I67" i="3"/>
  <c r="T66" i="3"/>
  <c r="P66" i="3"/>
  <c r="J66" i="3"/>
  <c r="I66" i="3"/>
  <c r="T65" i="3"/>
  <c r="P65" i="3"/>
  <c r="J65" i="3"/>
  <c r="I65" i="3"/>
  <c r="T64" i="3"/>
  <c r="P64" i="3"/>
  <c r="J64" i="3"/>
  <c r="I64" i="3"/>
  <c r="T63" i="3"/>
  <c r="P63" i="3"/>
  <c r="J63" i="3"/>
  <c r="I63" i="3"/>
  <c r="T62" i="3"/>
  <c r="P62" i="3"/>
  <c r="J62" i="3"/>
  <c r="I62" i="3"/>
  <c r="T61" i="3"/>
  <c r="P61" i="3"/>
  <c r="J61" i="3"/>
  <c r="I61" i="3"/>
  <c r="T60" i="3"/>
  <c r="P60" i="3"/>
  <c r="J60" i="3"/>
  <c r="I60" i="3"/>
  <c r="T59" i="3"/>
  <c r="P59" i="3"/>
  <c r="J59" i="3"/>
  <c r="I59" i="3"/>
  <c r="T58" i="3"/>
  <c r="P58" i="3"/>
  <c r="J58" i="3"/>
  <c r="I58" i="3"/>
  <c r="T57" i="3"/>
  <c r="P57" i="3"/>
  <c r="J57" i="3"/>
  <c r="I57" i="3"/>
  <c r="T56" i="3"/>
  <c r="P56" i="3"/>
  <c r="J56" i="3"/>
  <c r="I56" i="3"/>
  <c r="T55" i="3"/>
  <c r="P55" i="3"/>
  <c r="J55" i="3"/>
  <c r="I55" i="3"/>
  <c r="T54" i="3"/>
  <c r="P54" i="3"/>
  <c r="J54" i="3"/>
  <c r="I54" i="3"/>
  <c r="T53" i="3"/>
  <c r="P53" i="3"/>
  <c r="J53" i="3"/>
  <c r="I53" i="3"/>
  <c r="T52" i="3"/>
  <c r="P52" i="3"/>
  <c r="J52" i="3"/>
  <c r="I52" i="3"/>
  <c r="T51" i="3"/>
  <c r="P51" i="3"/>
  <c r="J51" i="3"/>
  <c r="I51" i="3"/>
  <c r="T50" i="3"/>
  <c r="P50" i="3"/>
  <c r="J50" i="3"/>
  <c r="I50" i="3"/>
  <c r="T49" i="3"/>
  <c r="P49" i="3"/>
  <c r="J49" i="3"/>
  <c r="I49" i="3"/>
  <c r="T48" i="3"/>
  <c r="P48" i="3"/>
  <c r="J48" i="3"/>
  <c r="I48" i="3"/>
  <c r="T47" i="3"/>
  <c r="P47" i="3"/>
  <c r="J47" i="3"/>
  <c r="I47" i="3"/>
  <c r="T46" i="3"/>
  <c r="P46" i="3"/>
  <c r="J46" i="3"/>
  <c r="I46" i="3"/>
  <c r="T45" i="3"/>
  <c r="P45" i="3"/>
  <c r="J45" i="3"/>
  <c r="I45" i="3"/>
  <c r="T44" i="3"/>
  <c r="J44" i="3"/>
  <c r="I44" i="3"/>
  <c r="T43" i="3"/>
  <c r="J43" i="3"/>
  <c r="I43" i="3"/>
  <c r="T42" i="3"/>
  <c r="J42" i="3"/>
  <c r="I42" i="3"/>
  <c r="T41" i="3"/>
  <c r="J41" i="3"/>
  <c r="I41" i="3"/>
  <c r="T40" i="3"/>
  <c r="J40" i="3"/>
  <c r="I40" i="3"/>
  <c r="T39" i="3"/>
  <c r="J39" i="3"/>
  <c r="I39" i="3"/>
  <c r="T38" i="3"/>
  <c r="J38" i="3"/>
  <c r="I38" i="3"/>
  <c r="T37" i="3"/>
  <c r="J37" i="3"/>
  <c r="I37" i="3"/>
  <c r="T36" i="3"/>
  <c r="J36" i="3"/>
  <c r="I36" i="3"/>
  <c r="T35" i="3"/>
  <c r="J35" i="3"/>
  <c r="I35" i="3"/>
  <c r="T34" i="3"/>
  <c r="J34" i="3"/>
  <c r="I34" i="3"/>
  <c r="T33" i="3"/>
  <c r="J33" i="3"/>
  <c r="I33" i="3"/>
  <c r="T32" i="3"/>
  <c r="J32" i="3"/>
  <c r="I32" i="3"/>
  <c r="T31" i="3"/>
  <c r="J31" i="3"/>
  <c r="I31" i="3"/>
  <c r="T30" i="3"/>
  <c r="P30" i="3"/>
  <c r="J30" i="3"/>
  <c r="I30" i="3"/>
  <c r="T29" i="3"/>
  <c r="P29" i="3"/>
  <c r="J29" i="3"/>
  <c r="I29" i="3"/>
  <c r="T28" i="3"/>
  <c r="P28" i="3"/>
  <c r="J28" i="3"/>
  <c r="I28" i="3"/>
  <c r="T27" i="3"/>
  <c r="P27" i="3"/>
  <c r="J27" i="3"/>
  <c r="I27" i="3"/>
  <c r="T26" i="3"/>
  <c r="P26" i="3"/>
  <c r="J26" i="3"/>
  <c r="I26" i="3"/>
  <c r="T25" i="3"/>
  <c r="P25" i="3"/>
  <c r="J25" i="3"/>
  <c r="I25" i="3"/>
  <c r="T24" i="3"/>
  <c r="P24" i="3"/>
  <c r="J24" i="3"/>
  <c r="I24" i="3"/>
  <c r="T23" i="3"/>
  <c r="P23" i="3"/>
  <c r="J23" i="3"/>
  <c r="I23" i="3"/>
  <c r="T22" i="3"/>
  <c r="P22" i="3"/>
  <c r="J22" i="3"/>
  <c r="I22" i="3"/>
  <c r="T21" i="3"/>
  <c r="P21" i="3"/>
  <c r="J21" i="3"/>
  <c r="I21" i="3"/>
  <c r="T20" i="3"/>
  <c r="P20" i="3"/>
  <c r="J20" i="3"/>
  <c r="I20" i="3"/>
  <c r="T19" i="3"/>
  <c r="P19" i="3"/>
  <c r="J19" i="3"/>
  <c r="I19" i="3"/>
  <c r="T18" i="3"/>
  <c r="P18" i="3"/>
  <c r="J18" i="3"/>
  <c r="I18" i="3"/>
  <c r="T17" i="3"/>
  <c r="P17" i="3"/>
  <c r="J17" i="3"/>
  <c r="I17" i="3"/>
  <c r="T16" i="3"/>
  <c r="P16" i="3"/>
  <c r="J16" i="3"/>
  <c r="I16" i="3"/>
  <c r="T15" i="3"/>
  <c r="P15" i="3"/>
  <c r="J15" i="3"/>
  <c r="I15" i="3"/>
  <c r="T14" i="3"/>
  <c r="P14" i="3"/>
  <c r="J14" i="3"/>
  <c r="I14" i="3"/>
  <c r="T13" i="3"/>
  <c r="P13" i="3"/>
  <c r="J13" i="3"/>
  <c r="I13" i="3"/>
  <c r="T12" i="3"/>
  <c r="P12" i="3"/>
  <c r="J12" i="3"/>
  <c r="I12" i="3"/>
  <c r="T11" i="3"/>
  <c r="P11" i="3"/>
  <c r="J11" i="3"/>
  <c r="I11" i="3"/>
  <c r="T10" i="3"/>
  <c r="P10" i="3"/>
  <c r="J10" i="3"/>
  <c r="I10" i="3"/>
  <c r="T9" i="3"/>
  <c r="P9" i="3"/>
  <c r="J9" i="3"/>
  <c r="I9" i="3"/>
  <c r="T8" i="3"/>
  <c r="P8" i="3"/>
  <c r="J8" i="3"/>
  <c r="I8" i="3"/>
  <c r="T7" i="3"/>
  <c r="P7" i="3"/>
  <c r="J7" i="3"/>
  <c r="I7" i="3"/>
  <c r="T6" i="3"/>
  <c r="P6" i="3"/>
  <c r="J6" i="3"/>
  <c r="I6" i="3"/>
  <c r="T5" i="3"/>
  <c r="P5" i="3"/>
  <c r="J5" i="3"/>
  <c r="I5" i="3"/>
  <c r="E69" i="2"/>
  <c r="D69" i="2"/>
  <c r="C69" i="2"/>
  <c r="B69" i="2"/>
  <c r="A69" i="2"/>
  <c r="E68" i="2"/>
  <c r="D68" i="2"/>
  <c r="C68" i="2"/>
  <c r="B68" i="2"/>
  <c r="A68" i="2"/>
  <c r="E67" i="2"/>
  <c r="D67" i="2"/>
  <c r="C67" i="2"/>
  <c r="B67" i="2"/>
  <c r="A67" i="2"/>
  <c r="E66" i="2"/>
  <c r="D66" i="2"/>
  <c r="C66" i="2"/>
  <c r="B66" i="2"/>
  <c r="A66" i="2"/>
  <c r="E65" i="2"/>
  <c r="D65" i="2"/>
  <c r="C65" i="2"/>
  <c r="B65" i="2"/>
  <c r="A65" i="2"/>
  <c r="E64" i="2"/>
  <c r="D64" i="2"/>
  <c r="C64" i="2"/>
  <c r="B64" i="2"/>
  <c r="A64" i="2"/>
  <c r="E63" i="2"/>
  <c r="D63" i="2"/>
  <c r="C63" i="2"/>
  <c r="B63" i="2"/>
  <c r="A63" i="2"/>
  <c r="E62" i="2"/>
  <c r="D62" i="2"/>
  <c r="C62" i="2"/>
  <c r="B62" i="2"/>
  <c r="A62" i="2"/>
  <c r="E61" i="2"/>
  <c r="D61" i="2"/>
  <c r="C61" i="2"/>
  <c r="B61" i="2"/>
  <c r="A61" i="2"/>
  <c r="E60" i="2"/>
  <c r="D60" i="2"/>
  <c r="C60" i="2"/>
  <c r="B60" i="2"/>
  <c r="A60" i="2"/>
  <c r="E59" i="2"/>
  <c r="D59" i="2"/>
  <c r="C59" i="2"/>
  <c r="B59" i="2"/>
  <c r="A59" i="2"/>
  <c r="E58" i="2"/>
  <c r="D58" i="2"/>
  <c r="C58" i="2"/>
  <c r="B58" i="2"/>
  <c r="A58" i="2"/>
  <c r="E57" i="2"/>
  <c r="D57" i="2"/>
  <c r="C57" i="2"/>
  <c r="B57" i="2"/>
  <c r="A57" i="2"/>
  <c r="E56" i="2"/>
  <c r="D56" i="2"/>
  <c r="C56" i="2"/>
  <c r="B56" i="2"/>
  <c r="A56" i="2"/>
  <c r="E55" i="2"/>
  <c r="D55" i="2"/>
  <c r="C55" i="2"/>
  <c r="B55" i="2"/>
  <c r="A55" i="2"/>
  <c r="E54" i="2"/>
  <c r="D54" i="2"/>
  <c r="C54" i="2"/>
  <c r="B54" i="2"/>
  <c r="A54" i="2"/>
  <c r="E53" i="2"/>
  <c r="D53" i="2"/>
  <c r="C53" i="2"/>
  <c r="B53" i="2"/>
  <c r="A53" i="2"/>
  <c r="D46" i="2"/>
  <c r="D47" i="2" s="1"/>
  <c r="K47" i="2" s="1"/>
  <c r="D45" i="2"/>
  <c r="K45" i="2" s="1"/>
  <c r="D44" i="2"/>
  <c r="D42" i="2"/>
  <c r="D43" i="2" s="1"/>
  <c r="K43" i="2" s="1"/>
  <c r="K41" i="2"/>
  <c r="D40" i="2"/>
  <c r="D39" i="2"/>
  <c r="D41" i="2" s="1"/>
  <c r="K38" i="2"/>
  <c r="D37" i="2"/>
  <c r="D38" i="2" s="1"/>
  <c r="D35" i="2"/>
  <c r="D34" i="2"/>
  <c r="D36" i="2" s="1"/>
  <c r="K36" i="2" s="1"/>
  <c r="D32" i="2"/>
  <c r="D31" i="2"/>
  <c r="D33" i="2" s="1"/>
  <c r="K33" i="2" s="1"/>
  <c r="D29" i="2"/>
  <c r="D28" i="2"/>
  <c r="D27" i="2"/>
  <c r="D26" i="2"/>
  <c r="D25" i="2"/>
  <c r="K25" i="2" s="1"/>
  <c r="D24" i="2"/>
  <c r="D23" i="2"/>
  <c r="D21" i="2"/>
  <c r="D22" i="2" s="1"/>
  <c r="J16" i="2"/>
  <c r="H16" i="2"/>
  <c r="G16" i="2"/>
  <c r="D16" i="2"/>
  <c r="C16" i="2"/>
  <c r="J15" i="2"/>
  <c r="H15" i="2"/>
  <c r="G15" i="2"/>
  <c r="D15" i="2"/>
  <c r="C15" i="2"/>
  <c r="J14" i="2"/>
  <c r="H14" i="2"/>
  <c r="G14" i="2"/>
  <c r="D14" i="2"/>
  <c r="C14" i="2"/>
  <c r="J13" i="2"/>
  <c r="H13" i="2"/>
  <c r="D13" i="2"/>
  <c r="C13" i="2"/>
  <c r="J12" i="2"/>
  <c r="I12" i="2"/>
  <c r="H12" i="2"/>
  <c r="D12" i="2"/>
  <c r="C12" i="2"/>
  <c r="J11" i="2"/>
  <c r="H11" i="2"/>
  <c r="D11" i="2"/>
  <c r="C11" i="2"/>
  <c r="J10" i="2"/>
  <c r="H10" i="2"/>
  <c r="D10" i="2"/>
  <c r="C10" i="2"/>
  <c r="J9" i="2"/>
  <c r="H9" i="2"/>
  <c r="D9" i="2"/>
  <c r="C9" i="2"/>
  <c r="J8" i="2"/>
  <c r="H8" i="2"/>
  <c r="D8" i="2"/>
  <c r="C8" i="2"/>
  <c r="J7" i="2"/>
  <c r="H7" i="2"/>
  <c r="D7" i="2"/>
  <c r="C7" i="2"/>
  <c r="J6" i="2"/>
  <c r="I6" i="2"/>
  <c r="H6" i="2"/>
  <c r="D6" i="2"/>
  <c r="C6" i="2"/>
  <c r="C17" i="2" s="1"/>
  <c r="A3" i="2"/>
  <c r="K22" i="2" l="1"/>
  <c r="D30" i="2"/>
  <c r="K30" i="2" s="1"/>
  <c r="Q151" i="15"/>
  <c r="Q160" i="15"/>
  <c r="Q170" i="15"/>
  <c r="F63" i="15"/>
  <c r="F64" i="15" s="1"/>
  <c r="F62" i="15"/>
  <c r="O61" i="15"/>
  <c r="L628" i="3" s="1"/>
  <c r="L61" i="15"/>
  <c r="L658" i="3" s="1"/>
  <c r="O658" i="3" s="1"/>
  <c r="L62" i="15"/>
  <c r="L657" i="3" s="1"/>
  <c r="O657" i="3" s="1"/>
  <c r="S160" i="15"/>
  <c r="S151" i="15"/>
  <c r="S159" i="15"/>
  <c r="S149" i="15"/>
  <c r="O62" i="15"/>
  <c r="L627" i="3" s="1"/>
  <c r="O63" i="15"/>
  <c r="L626" i="3" s="1"/>
  <c r="O64" i="15"/>
  <c r="L625" i="3" s="1"/>
  <c r="H62" i="15"/>
  <c r="H63" i="15" s="1"/>
  <c r="Q142" i="15"/>
  <c r="Q134" i="15"/>
  <c r="Q143" i="15"/>
  <c r="Q133" i="15"/>
  <c r="Q178" i="15"/>
  <c r="Q162" i="15"/>
  <c r="Q158" i="15"/>
  <c r="S155" i="15"/>
  <c r="S152" i="15"/>
  <c r="S147" i="15"/>
  <c r="S161" i="15"/>
  <c r="S156" i="15"/>
  <c r="S146" i="15"/>
  <c r="S131" i="15"/>
  <c r="S167" i="15"/>
  <c r="S136" i="15"/>
  <c r="Q146" i="15"/>
  <c r="Q138" i="15"/>
  <c r="Q155" i="15"/>
  <c r="Q179" i="15"/>
  <c r="Q174" i="15"/>
  <c r="Q168" i="15"/>
  <c r="Q164" i="15"/>
  <c r="Q129" i="15"/>
  <c r="Q152" i="15"/>
  <c r="Q147" i="15"/>
  <c r="Q139" i="15"/>
  <c r="Q161" i="15"/>
  <c r="Q175" i="15"/>
  <c r="Q173" i="15"/>
  <c r="Q169" i="15"/>
  <c r="Q165" i="15"/>
  <c r="Q156" i="15"/>
  <c r="Q128" i="15"/>
  <c r="F61" i="15"/>
  <c r="Q150" i="15"/>
  <c r="Q157" i="15"/>
  <c r="Q137" i="15"/>
  <c r="Q180" i="15"/>
  <c r="Q130" i="15"/>
  <c r="Q145" i="15"/>
  <c r="Q56" i="15"/>
  <c r="S137" i="15"/>
  <c r="S180" i="15"/>
  <c r="S130" i="15"/>
  <c r="Q153" i="15"/>
  <c r="Q140" i="15"/>
  <c r="Q141" i="15"/>
  <c r="Q171" i="15"/>
  <c r="S162" i="15"/>
  <c r="S158" i="15"/>
  <c r="D61" i="15"/>
  <c r="Q166" i="15"/>
  <c r="Q135" i="15"/>
  <c r="Q181" i="15"/>
  <c r="Q159" i="15"/>
  <c r="Q149" i="15"/>
  <c r="S143" i="15"/>
  <c r="S133" i="15"/>
  <c r="S178" i="15"/>
  <c r="S142" i="15"/>
  <c r="S134" i="15"/>
  <c r="S141" i="15"/>
  <c r="S171" i="15"/>
  <c r="S140" i="15"/>
  <c r="J61" i="15"/>
  <c r="Q177" i="15"/>
  <c r="Q144" i="15"/>
  <c r="Q132" i="15"/>
  <c r="Q172" i="15"/>
  <c r="Q176" i="15"/>
  <c r="Q127" i="15"/>
  <c r="Q154" i="15"/>
  <c r="Q163" i="15"/>
  <c r="H61" i="15"/>
  <c r="Q136" i="15"/>
  <c r="Q131" i="15"/>
  <c r="Q167" i="15"/>
  <c r="S179" i="15"/>
  <c r="S174" i="15"/>
  <c r="S168" i="15"/>
  <c r="S164" i="15"/>
  <c r="S129" i="15"/>
  <c r="S139" i="15"/>
  <c r="S175" i="15"/>
  <c r="S173" i="15"/>
  <c r="S169" i="15"/>
  <c r="S165" i="15"/>
  <c r="S128" i="15"/>
  <c r="S138" i="15"/>
  <c r="S172" i="15"/>
  <c r="S176" i="15"/>
  <c r="S127" i="15"/>
  <c r="S163" i="15"/>
  <c r="S177" i="15"/>
  <c r="S144" i="15"/>
  <c r="S132" i="15"/>
  <c r="J151" i="15"/>
  <c r="AH151" i="15"/>
  <c r="J174" i="15"/>
  <c r="AI164" i="15" s="1"/>
  <c r="AH174" i="15"/>
  <c r="S150" i="15"/>
  <c r="S157" i="15"/>
  <c r="S166" i="15"/>
  <c r="S135" i="15"/>
  <c r="S181" i="15"/>
  <c r="AH158" i="15"/>
  <c r="J158" i="15"/>
  <c r="J166" i="15"/>
  <c r="AF135" i="15" s="1"/>
  <c r="AH166" i="15"/>
  <c r="AF153" i="15"/>
  <c r="AK153" i="15"/>
  <c r="AI153" i="15"/>
  <c r="J164" i="15"/>
  <c r="AI174" i="15" s="1"/>
  <c r="AH164" i="15"/>
  <c r="AI170" i="15"/>
  <c r="AF170" i="15"/>
  <c r="AK170" i="15"/>
  <c r="AI179" i="15"/>
  <c r="AI168" i="15"/>
  <c r="AK139" i="15"/>
  <c r="AI129" i="15"/>
  <c r="AF179" i="15"/>
  <c r="AF168" i="15"/>
  <c r="AK173" i="15"/>
  <c r="AK169" i="15"/>
  <c r="AK165" i="15"/>
  <c r="AI175" i="15"/>
  <c r="AF139" i="15"/>
  <c r="AK128" i="15"/>
  <c r="AK138" i="15"/>
  <c r="AF175" i="15"/>
  <c r="AI138" i="15"/>
  <c r="AK179" i="15"/>
  <c r="AK174" i="15"/>
  <c r="AK164" i="15"/>
  <c r="AK137" i="15"/>
  <c r="AI137" i="15"/>
  <c r="AK180" i="15"/>
  <c r="AF137" i="15"/>
  <c r="AK130" i="15"/>
  <c r="AI180" i="15"/>
  <c r="AI130" i="15"/>
  <c r="AF180" i="15"/>
  <c r="AF130" i="15"/>
  <c r="J133" i="15"/>
  <c r="AH133" i="15"/>
  <c r="AF146" i="15"/>
  <c r="AK156" i="15"/>
  <c r="AI146" i="15"/>
  <c r="AF140" i="15"/>
  <c r="AK141" i="15"/>
  <c r="AI141" i="15"/>
  <c r="AK171" i="15"/>
  <c r="AI171" i="15"/>
  <c r="AF141" i="15"/>
  <c r="AK140" i="15"/>
  <c r="AF171" i="15"/>
  <c r="AI140" i="15"/>
  <c r="AF177" i="15"/>
  <c r="AK176" i="15"/>
  <c r="AI172" i="15"/>
  <c r="AF144" i="15"/>
  <c r="AF132" i="15"/>
  <c r="AK127" i="15"/>
  <c r="Q49" i="15" s="1"/>
  <c r="AI176" i="15"/>
  <c r="AI127" i="15"/>
  <c r="AF172" i="15"/>
  <c r="AF176" i="15"/>
  <c r="AK163" i="15"/>
  <c r="AF127" i="15"/>
  <c r="AI163" i="15"/>
  <c r="AK177" i="15"/>
  <c r="AK144" i="15"/>
  <c r="AK132" i="15"/>
  <c r="AI177" i="15"/>
  <c r="AF163" i="15"/>
  <c r="AI144" i="15"/>
  <c r="AI132" i="15"/>
  <c r="AK172" i="15"/>
  <c r="AF136" i="15"/>
  <c r="AK131" i="15"/>
  <c r="AI131" i="15"/>
  <c r="AK167" i="15"/>
  <c r="AF131" i="15"/>
  <c r="AI167" i="15"/>
  <c r="AK136" i="15"/>
  <c r="AF167" i="15"/>
  <c r="AI136" i="15"/>
  <c r="AF148" i="15"/>
  <c r="AK148" i="15"/>
  <c r="Q55" i="15" s="1"/>
  <c r="AI148" i="15"/>
  <c r="AL127" i="15"/>
  <c r="AL129" i="15"/>
  <c r="AL131" i="15"/>
  <c r="AH132" i="15"/>
  <c r="AM133" i="15"/>
  <c r="AH134" i="15"/>
  <c r="AM135" i="15"/>
  <c r="AH136" i="15"/>
  <c r="AH138" i="15"/>
  <c r="AM139" i="15"/>
  <c r="AH140" i="15"/>
  <c r="AM141" i="15"/>
  <c r="AH142" i="15"/>
  <c r="AH144" i="15"/>
  <c r="AH146" i="15"/>
  <c r="AM147" i="15"/>
  <c r="AH148" i="15"/>
  <c r="J150" i="15"/>
  <c r="AM152" i="15"/>
  <c r="AH153" i="15"/>
  <c r="J160" i="15"/>
  <c r="J162" i="15"/>
  <c r="AK166" i="15"/>
  <c r="AL176" i="15"/>
  <c r="J179" i="15"/>
  <c r="AM127" i="15"/>
  <c r="AH128" i="15"/>
  <c r="AM129" i="15"/>
  <c r="AH130" i="15"/>
  <c r="AM131" i="15"/>
  <c r="J155" i="15"/>
  <c r="AF155" i="15" s="1"/>
  <c r="AM157" i="15"/>
  <c r="AL164" i="15"/>
  <c r="AL166" i="15"/>
  <c r="AL168" i="15"/>
  <c r="AL174" i="15"/>
  <c r="AM176" i="15"/>
  <c r="AL179" i="15"/>
  <c r="AL155" i="15"/>
  <c r="AL158" i="15"/>
  <c r="AF159" i="15"/>
  <c r="AM164" i="15"/>
  <c r="AM172" i="15"/>
  <c r="AM174" i="15"/>
  <c r="AM179" i="15"/>
  <c r="AL132" i="15"/>
  <c r="AL138" i="15"/>
  <c r="AL144" i="15"/>
  <c r="AL177" i="15"/>
  <c r="AH181" i="15"/>
  <c r="AL128" i="15"/>
  <c r="AL130" i="15"/>
  <c r="AI159" i="15"/>
  <c r="AM177" i="15"/>
  <c r="AL180" i="15"/>
  <c r="AI145" i="15"/>
  <c r="AK149" i="15"/>
  <c r="AI154" i="15"/>
  <c r="AL156" i="15"/>
  <c r="AL165" i="15"/>
  <c r="AL169" i="15"/>
  <c r="AL171" i="15"/>
  <c r="AL173" i="15"/>
  <c r="AL175" i="15"/>
  <c r="AK181" i="15"/>
  <c r="AL149" i="15"/>
  <c r="AM156" i="15"/>
  <c r="AL161" i="15"/>
  <c r="AM165" i="15"/>
  <c r="AH168" i="15"/>
  <c r="AM169" i="15"/>
  <c r="AH170" i="15"/>
  <c r="AM173" i="15"/>
  <c r="AL178" i="15"/>
  <c r="AL181" i="15"/>
  <c r="AL133" i="15"/>
  <c r="AL147" i="15"/>
  <c r="AM149" i="15"/>
  <c r="L743" i="3" l="1"/>
  <c r="L535" i="3"/>
  <c r="F65" i="15"/>
  <c r="AC49" i="15"/>
  <c r="AB49" i="15"/>
  <c r="L566" i="3"/>
  <c r="L832" i="3"/>
  <c r="H64" i="15"/>
  <c r="AC55" i="15"/>
  <c r="AB55" i="15"/>
  <c r="D10" i="7"/>
  <c r="M1272" i="3"/>
  <c r="N1272" i="3" s="1"/>
  <c r="M48" i="3"/>
  <c r="N48" i="3" s="1"/>
  <c r="M45" i="3"/>
  <c r="N45" i="3" s="1"/>
  <c r="M50" i="3"/>
  <c r="N50" i="3" s="1"/>
  <c r="M47" i="3"/>
  <c r="N47" i="3" s="1"/>
  <c r="M49" i="3"/>
  <c r="N49" i="3" s="1"/>
  <c r="M46" i="3"/>
  <c r="N46" i="3" s="1"/>
  <c r="E15" i="10"/>
  <c r="P627" i="3"/>
  <c r="M615" i="3"/>
  <c r="N615" i="3" s="1"/>
  <c r="P614" i="3"/>
  <c r="M612" i="3"/>
  <c r="N612" i="3" s="1"/>
  <c r="P611" i="3"/>
  <c r="M599" i="3"/>
  <c r="N599" i="3" s="1"/>
  <c r="M621" i="3"/>
  <c r="N621" i="3" s="1"/>
  <c r="P620" i="3"/>
  <c r="M618" i="3"/>
  <c r="N618" i="3" s="1"/>
  <c r="P617" i="3"/>
  <c r="M605" i="3"/>
  <c r="N605" i="3" s="1"/>
  <c r="M602" i="3"/>
  <c r="N602" i="3" s="1"/>
  <c r="M627" i="3"/>
  <c r="N627" i="3" s="1"/>
  <c r="P626" i="3"/>
  <c r="M624" i="3"/>
  <c r="N624" i="3" s="1"/>
  <c r="P623" i="3"/>
  <c r="M611" i="3"/>
  <c r="N611" i="3" s="1"/>
  <c r="P610" i="3"/>
  <c r="M608" i="3"/>
  <c r="N608" i="3" s="1"/>
  <c r="M617" i="3"/>
  <c r="N617" i="3" s="1"/>
  <c r="P616" i="3"/>
  <c r="M614" i="3"/>
  <c r="N614" i="3" s="1"/>
  <c r="P613" i="3"/>
  <c r="M601" i="3"/>
  <c r="N601" i="3" s="1"/>
  <c r="M623" i="3"/>
  <c r="N623" i="3" s="1"/>
  <c r="P621" i="3"/>
  <c r="P615" i="3"/>
  <c r="M622" i="3"/>
  <c r="N622" i="3" s="1"/>
  <c r="M616" i="3"/>
  <c r="N616" i="3" s="1"/>
  <c r="M610" i="3"/>
  <c r="N610" i="3" s="1"/>
  <c r="M609" i="3"/>
  <c r="N609" i="3" s="1"/>
  <c r="M600" i="3"/>
  <c r="N600" i="3" s="1"/>
  <c r="P619" i="3"/>
  <c r="M603" i="3"/>
  <c r="N603" i="3" s="1"/>
  <c r="P625" i="3"/>
  <c r="P624" i="3"/>
  <c r="P618" i="3"/>
  <c r="P612" i="3"/>
  <c r="M604" i="3"/>
  <c r="N604" i="3" s="1"/>
  <c r="M606" i="3"/>
  <c r="N606" i="3" s="1"/>
  <c r="P628" i="3"/>
  <c r="M620" i="3"/>
  <c r="N620" i="3" s="1"/>
  <c r="M613" i="3"/>
  <c r="N613" i="3" s="1"/>
  <c r="M625" i="3"/>
  <c r="N625" i="3" s="1"/>
  <c r="P622" i="3"/>
  <c r="M626" i="3"/>
  <c r="N626" i="3" s="1"/>
  <c r="P609" i="3"/>
  <c r="M607" i="3"/>
  <c r="N607" i="3" s="1"/>
  <c r="M619" i="3"/>
  <c r="N619" i="3" s="1"/>
  <c r="M296" i="3"/>
  <c r="N296" i="3" s="1"/>
  <c r="M288" i="3"/>
  <c r="N288" i="3" s="1"/>
  <c r="M293" i="3"/>
  <c r="N293" i="3" s="1"/>
  <c r="M285" i="3"/>
  <c r="N285" i="3" s="1"/>
  <c r="M298" i="3"/>
  <c r="N298" i="3" s="1"/>
  <c r="M290" i="3"/>
  <c r="N290" i="3" s="1"/>
  <c r="M295" i="3"/>
  <c r="N295" i="3" s="1"/>
  <c r="M287" i="3"/>
  <c r="N287" i="3" s="1"/>
  <c r="M297" i="3"/>
  <c r="N297" i="3" s="1"/>
  <c r="M286" i="3"/>
  <c r="N286" i="3" s="1"/>
  <c r="M289" i="3"/>
  <c r="N289" i="3" s="1"/>
  <c r="M292" i="3"/>
  <c r="N292" i="3" s="1"/>
  <c r="M294" i="3"/>
  <c r="N294" i="3" s="1"/>
  <c r="M291" i="3"/>
  <c r="N291" i="3" s="1"/>
  <c r="C15" i="8"/>
  <c r="M123" i="3"/>
  <c r="N123" i="3" s="1"/>
  <c r="M121" i="3"/>
  <c r="N121" i="3" s="1"/>
  <c r="M119" i="3"/>
  <c r="N119" i="3" s="1"/>
  <c r="M117" i="3"/>
  <c r="N117" i="3" s="1"/>
  <c r="P124" i="3"/>
  <c r="P121" i="3"/>
  <c r="P120" i="3"/>
  <c r="P117" i="3"/>
  <c r="M112" i="3"/>
  <c r="N112" i="3" s="1"/>
  <c r="P116" i="3"/>
  <c r="P111" i="3"/>
  <c r="M109" i="3"/>
  <c r="N109" i="3" s="1"/>
  <c r="M114" i="3"/>
  <c r="N114" i="3" s="1"/>
  <c r="M106" i="3"/>
  <c r="N106" i="3" s="1"/>
  <c r="M120" i="3"/>
  <c r="N120" i="3" s="1"/>
  <c r="P113" i="3"/>
  <c r="M111" i="3"/>
  <c r="N111" i="3" s="1"/>
  <c r="P110" i="3"/>
  <c r="P123" i="3"/>
  <c r="P122" i="3"/>
  <c r="P119" i="3"/>
  <c r="P115" i="3"/>
  <c r="P114" i="3"/>
  <c r="M105" i="3"/>
  <c r="N105" i="3" s="1"/>
  <c r="M116" i="3"/>
  <c r="N116" i="3" s="1"/>
  <c r="M115" i="3"/>
  <c r="N115" i="3" s="1"/>
  <c r="M108" i="3"/>
  <c r="N108" i="3" s="1"/>
  <c r="P118" i="3"/>
  <c r="M107" i="3"/>
  <c r="N107" i="3" s="1"/>
  <c r="M110" i="3"/>
  <c r="N110" i="3" s="1"/>
  <c r="P112" i="3"/>
  <c r="M122" i="3"/>
  <c r="N122" i="3" s="1"/>
  <c r="M118" i="3"/>
  <c r="N118" i="3" s="1"/>
  <c r="M113" i="3"/>
  <c r="N113" i="3" s="1"/>
  <c r="F10" i="8"/>
  <c r="M1092" i="3"/>
  <c r="N1092" i="3" s="1"/>
  <c r="M1090" i="3"/>
  <c r="N1090" i="3" s="1"/>
  <c r="M1088" i="3"/>
  <c r="N1088" i="3" s="1"/>
  <c r="M1086" i="3"/>
  <c r="N1086" i="3" s="1"/>
  <c r="M1091" i="3"/>
  <c r="N1091" i="3" s="1"/>
  <c r="M1089" i="3"/>
  <c r="N1089" i="3" s="1"/>
  <c r="M1087" i="3"/>
  <c r="N1087" i="3" s="1"/>
  <c r="AK155" i="15"/>
  <c r="AI161" i="15"/>
  <c r="AI166" i="15"/>
  <c r="M10" i="5"/>
  <c r="M1232" i="3"/>
  <c r="N1232" i="3" s="1"/>
  <c r="M1231" i="3"/>
  <c r="N1231" i="3" s="1"/>
  <c r="M1230" i="3"/>
  <c r="N1230" i="3" s="1"/>
  <c r="M1229" i="3"/>
  <c r="N1229" i="3" s="1"/>
  <c r="M1228" i="3"/>
  <c r="N1228" i="3" s="1"/>
  <c r="B10" i="5"/>
  <c r="M44" i="3"/>
  <c r="N44" i="3" s="1"/>
  <c r="I10" i="5"/>
  <c r="M1027" i="3"/>
  <c r="N1027" i="3" s="1"/>
  <c r="M1032" i="3"/>
  <c r="N1032" i="3" s="1"/>
  <c r="M1029" i="3"/>
  <c r="N1029" i="3" s="1"/>
  <c r="M1031" i="3"/>
  <c r="N1031" i="3" s="1"/>
  <c r="M1030" i="3"/>
  <c r="N1030" i="3" s="1"/>
  <c r="M1028" i="3"/>
  <c r="N1028" i="3" s="1"/>
  <c r="G10" i="6"/>
  <c r="M1052" i="3"/>
  <c r="N1052" i="3" s="1"/>
  <c r="C15" i="7"/>
  <c r="M971" i="3"/>
  <c r="N971" i="3" s="1"/>
  <c r="M963" i="3"/>
  <c r="N963" i="3" s="1"/>
  <c r="M955" i="3"/>
  <c r="N955" i="3" s="1"/>
  <c r="P970" i="3"/>
  <c r="M968" i="3"/>
  <c r="N968" i="3" s="1"/>
  <c r="P967" i="3"/>
  <c r="P962" i="3"/>
  <c r="M960" i="3"/>
  <c r="N960" i="3" s="1"/>
  <c r="P959" i="3"/>
  <c r="M965" i="3"/>
  <c r="N965" i="3" s="1"/>
  <c r="M957" i="3"/>
  <c r="N957" i="3" s="1"/>
  <c r="P965" i="3"/>
  <c r="M964" i="3"/>
  <c r="N964" i="3" s="1"/>
  <c r="P969" i="3"/>
  <c r="P966" i="3"/>
  <c r="M961" i="3"/>
  <c r="N961" i="3" s="1"/>
  <c r="P960" i="3"/>
  <c r="M956" i="3"/>
  <c r="N956" i="3" s="1"/>
  <c r="P968" i="3"/>
  <c r="M967" i="3"/>
  <c r="N967" i="3" s="1"/>
  <c r="M966" i="3"/>
  <c r="N966" i="3" s="1"/>
  <c r="M959" i="3"/>
  <c r="N959" i="3" s="1"/>
  <c r="M954" i="3"/>
  <c r="N954" i="3" s="1"/>
  <c r="P972" i="3"/>
  <c r="P971" i="3"/>
  <c r="M970" i="3"/>
  <c r="N970" i="3" s="1"/>
  <c r="M969" i="3"/>
  <c r="N969" i="3" s="1"/>
  <c r="M958" i="3"/>
  <c r="N958" i="3" s="1"/>
  <c r="M962" i="3"/>
  <c r="N962" i="3" s="1"/>
  <c r="P963" i="3"/>
  <c r="P964" i="3"/>
  <c r="M953" i="3"/>
  <c r="N953" i="3" s="1"/>
  <c r="P961" i="3"/>
  <c r="K102" i="3"/>
  <c r="K94" i="3"/>
  <c r="K86" i="3"/>
  <c r="K99" i="3"/>
  <c r="K91" i="3"/>
  <c r="K104" i="3"/>
  <c r="K96" i="3"/>
  <c r="K88" i="3"/>
  <c r="K101" i="3"/>
  <c r="K93" i="3"/>
  <c r="K85" i="3"/>
  <c r="K100" i="3"/>
  <c r="K103" i="3"/>
  <c r="K87" i="3"/>
  <c r="K90" i="3"/>
  <c r="K89" i="3"/>
  <c r="K92" i="3"/>
  <c r="K95" i="3"/>
  <c r="K98" i="3"/>
  <c r="K97" i="3"/>
  <c r="K22" i="3"/>
  <c r="K14" i="3"/>
  <c r="K6" i="3"/>
  <c r="K19" i="3"/>
  <c r="K11" i="3"/>
  <c r="K24" i="3"/>
  <c r="K16" i="3"/>
  <c r="K8" i="3"/>
  <c r="K21" i="3"/>
  <c r="K13" i="3"/>
  <c r="K5" i="3"/>
  <c r="K18" i="3"/>
  <c r="K17" i="3"/>
  <c r="K20" i="3"/>
  <c r="K23" i="3"/>
  <c r="K7" i="3"/>
  <c r="K15" i="3"/>
  <c r="K10" i="3"/>
  <c r="K9" i="3"/>
  <c r="K12" i="3"/>
  <c r="K182" i="3"/>
  <c r="K184" i="3"/>
  <c r="K181" i="3"/>
  <c r="K179" i="3"/>
  <c r="K177" i="3"/>
  <c r="K175" i="3"/>
  <c r="K173" i="3"/>
  <c r="K171" i="3"/>
  <c r="K169" i="3"/>
  <c r="K167" i="3"/>
  <c r="K165" i="3"/>
  <c r="K180" i="3"/>
  <c r="K178" i="3"/>
  <c r="K176" i="3"/>
  <c r="K174" i="3"/>
  <c r="K172" i="3"/>
  <c r="K170" i="3"/>
  <c r="K168" i="3"/>
  <c r="K166" i="3"/>
  <c r="K183" i="3"/>
  <c r="K1065" i="3"/>
  <c r="K1057" i="3"/>
  <c r="K1070" i="3"/>
  <c r="K1062" i="3"/>
  <c r="K1054" i="3"/>
  <c r="K1067" i="3"/>
  <c r="K1059" i="3"/>
  <c r="K1071" i="3"/>
  <c r="K1063" i="3"/>
  <c r="K1055" i="3"/>
  <c r="K1069" i="3"/>
  <c r="K1058" i="3"/>
  <c r="K1056" i="3"/>
  <c r="K1060" i="3"/>
  <c r="K1072" i="3"/>
  <c r="K1061" i="3"/>
  <c r="K1064" i="3"/>
  <c r="K1068" i="3"/>
  <c r="K1066" i="3"/>
  <c r="K1053" i="3"/>
  <c r="K78" i="3"/>
  <c r="K70" i="3"/>
  <c r="K83" i="3"/>
  <c r="K75" i="3"/>
  <c r="K67" i="3"/>
  <c r="K80" i="3"/>
  <c r="K72" i="3"/>
  <c r="K77" i="3"/>
  <c r="K69" i="3"/>
  <c r="K68" i="3"/>
  <c r="K79" i="3"/>
  <c r="K71" i="3"/>
  <c r="K84" i="3"/>
  <c r="K76" i="3"/>
  <c r="K66" i="3"/>
  <c r="K65" i="3"/>
  <c r="K81" i="3"/>
  <c r="K73" i="3"/>
  <c r="K82" i="3"/>
  <c r="K74" i="3"/>
  <c r="K1145" i="3"/>
  <c r="K1144" i="3"/>
  <c r="K1143" i="3"/>
  <c r="K1142" i="3"/>
  <c r="K1135" i="3"/>
  <c r="K1141" i="3"/>
  <c r="K1140" i="3"/>
  <c r="K1134" i="3"/>
  <c r="K1149" i="3"/>
  <c r="K1148" i="3"/>
  <c r="K1137" i="3"/>
  <c r="K1152" i="3"/>
  <c r="K1146" i="3"/>
  <c r="K1138" i="3"/>
  <c r="K1147" i="3"/>
  <c r="K1139" i="3"/>
  <c r="K1136" i="3"/>
  <c r="K1151" i="3"/>
  <c r="K1133" i="3"/>
  <c r="K1150" i="3"/>
  <c r="K1115" i="3"/>
  <c r="K1114" i="3"/>
  <c r="K1126" i="3"/>
  <c r="K1117" i="3"/>
  <c r="K1129" i="3"/>
  <c r="K1121" i="3"/>
  <c r="K1118" i="3"/>
  <c r="K1132" i="3"/>
  <c r="K1124" i="3"/>
  <c r="K1113" i="3"/>
  <c r="K1130" i="3"/>
  <c r="K1122" i="3"/>
  <c r="K1128" i="3"/>
  <c r="K1120" i="3"/>
  <c r="K1131" i="3"/>
  <c r="K1127" i="3"/>
  <c r="K1125" i="3"/>
  <c r="K1123" i="3"/>
  <c r="K1119" i="3"/>
  <c r="K1116" i="3"/>
  <c r="K344" i="3"/>
  <c r="K342" i="3"/>
  <c r="K340" i="3"/>
  <c r="K338" i="3"/>
  <c r="K336" i="3"/>
  <c r="K334" i="3"/>
  <c r="K332" i="3"/>
  <c r="K330" i="3"/>
  <c r="K328" i="3"/>
  <c r="K326" i="3"/>
  <c r="K337" i="3"/>
  <c r="K329" i="3"/>
  <c r="K335" i="3"/>
  <c r="K327" i="3"/>
  <c r="K339" i="3"/>
  <c r="K331" i="3"/>
  <c r="K333" i="3"/>
  <c r="K325" i="3"/>
  <c r="K341" i="3"/>
  <c r="K343" i="3"/>
  <c r="O626" i="3"/>
  <c r="L745" i="3"/>
  <c r="L537" i="3"/>
  <c r="G15" i="6"/>
  <c r="M1051" i="3"/>
  <c r="N1051" i="3" s="1"/>
  <c r="M1043" i="3"/>
  <c r="N1043" i="3" s="1"/>
  <c r="M1035" i="3"/>
  <c r="N1035" i="3" s="1"/>
  <c r="P1050" i="3"/>
  <c r="M1048" i="3"/>
  <c r="N1048" i="3" s="1"/>
  <c r="P1047" i="3"/>
  <c r="P1042" i="3"/>
  <c r="M1040" i="3"/>
  <c r="N1040" i="3" s="1"/>
  <c r="P1039" i="3"/>
  <c r="M1045" i="3"/>
  <c r="N1045" i="3" s="1"/>
  <c r="M1037" i="3"/>
  <c r="N1037" i="3" s="1"/>
  <c r="M1049" i="3"/>
  <c r="N1049" i="3" s="1"/>
  <c r="M1041" i="3"/>
  <c r="N1041" i="3" s="1"/>
  <c r="M1033" i="3"/>
  <c r="N1033" i="3" s="1"/>
  <c r="P1049" i="3"/>
  <c r="M1047" i="3"/>
  <c r="N1047" i="3" s="1"/>
  <c r="M1046" i="3"/>
  <c r="N1046" i="3" s="1"/>
  <c r="P1041" i="3"/>
  <c r="M1039" i="3"/>
  <c r="N1039" i="3" s="1"/>
  <c r="M1038" i="3"/>
  <c r="N1038" i="3" s="1"/>
  <c r="P1048" i="3"/>
  <c r="P1040" i="3"/>
  <c r="M1050" i="3"/>
  <c r="N1050" i="3" s="1"/>
  <c r="M1042" i="3"/>
  <c r="N1042" i="3" s="1"/>
  <c r="P1051" i="3"/>
  <c r="P1043" i="3"/>
  <c r="M1034" i="3"/>
  <c r="N1034" i="3" s="1"/>
  <c r="P1046" i="3"/>
  <c r="P1052" i="3"/>
  <c r="P1044" i="3"/>
  <c r="P1045" i="3"/>
  <c r="M1036" i="3"/>
  <c r="N1036" i="3" s="1"/>
  <c r="M1044" i="3"/>
  <c r="N1044" i="3" s="1"/>
  <c r="M1156" i="3"/>
  <c r="N1156" i="3" s="1"/>
  <c r="M1154" i="3"/>
  <c r="N1154" i="3" s="1"/>
  <c r="M1157" i="3"/>
  <c r="N1157" i="3" s="1"/>
  <c r="M1155" i="3"/>
  <c r="N1155" i="3" s="1"/>
  <c r="M1153" i="3"/>
  <c r="N1153" i="3" s="1"/>
  <c r="B15" i="6"/>
  <c r="M80" i="3"/>
  <c r="N80" i="3" s="1"/>
  <c r="M72" i="3"/>
  <c r="N72" i="3" s="1"/>
  <c r="P84" i="3"/>
  <c r="P79" i="3"/>
  <c r="M77" i="3"/>
  <c r="N77" i="3" s="1"/>
  <c r="P76" i="3"/>
  <c r="P71" i="3"/>
  <c r="M69" i="3"/>
  <c r="N69" i="3" s="1"/>
  <c r="M82" i="3"/>
  <c r="N82" i="3" s="1"/>
  <c r="M74" i="3"/>
  <c r="N74" i="3" s="1"/>
  <c r="M66" i="3"/>
  <c r="N66" i="3" s="1"/>
  <c r="P81" i="3"/>
  <c r="M79" i="3"/>
  <c r="N79" i="3" s="1"/>
  <c r="P78" i="3"/>
  <c r="P73" i="3"/>
  <c r="M71" i="3"/>
  <c r="N71" i="3" s="1"/>
  <c r="M78" i="3"/>
  <c r="N78" i="3" s="1"/>
  <c r="P77" i="3"/>
  <c r="M67" i="3"/>
  <c r="N67" i="3" s="1"/>
  <c r="P80" i="3"/>
  <c r="P72" i="3"/>
  <c r="M70" i="3"/>
  <c r="N70" i="3" s="1"/>
  <c r="M81" i="3"/>
  <c r="N81" i="3" s="1"/>
  <c r="M73" i="3"/>
  <c r="N73" i="3" s="1"/>
  <c r="M68" i="3"/>
  <c r="N68" i="3" s="1"/>
  <c r="P83" i="3"/>
  <c r="P82" i="3"/>
  <c r="P75" i="3"/>
  <c r="P74" i="3"/>
  <c r="M76" i="3"/>
  <c r="N76" i="3" s="1"/>
  <c r="M65" i="3"/>
  <c r="N65" i="3" s="1"/>
  <c r="M83" i="3"/>
  <c r="N83" i="3" s="1"/>
  <c r="M75" i="3"/>
  <c r="N75" i="3" s="1"/>
  <c r="D15" i="4"/>
  <c r="M318" i="3"/>
  <c r="N318" i="3" s="1"/>
  <c r="M316" i="3"/>
  <c r="N316" i="3" s="1"/>
  <c r="M314" i="3"/>
  <c r="N314" i="3" s="1"/>
  <c r="M312" i="3"/>
  <c r="N312" i="3" s="1"/>
  <c r="M310" i="3"/>
  <c r="N310" i="3" s="1"/>
  <c r="M308" i="3"/>
  <c r="N308" i="3" s="1"/>
  <c r="M306" i="3"/>
  <c r="N306" i="3" s="1"/>
  <c r="M315" i="3"/>
  <c r="N315" i="3" s="1"/>
  <c r="M311" i="3"/>
  <c r="N311" i="3" s="1"/>
  <c r="M307" i="3"/>
  <c r="N307" i="3" s="1"/>
  <c r="P323" i="3"/>
  <c r="P318" i="3"/>
  <c r="P317" i="3"/>
  <c r="P314" i="3"/>
  <c r="P313" i="3"/>
  <c r="P324" i="3"/>
  <c r="P321" i="3"/>
  <c r="P320" i="3"/>
  <c r="P315" i="3"/>
  <c r="M309" i="3"/>
  <c r="N309" i="3" s="1"/>
  <c r="P322" i="3"/>
  <c r="M317" i="3"/>
  <c r="N317" i="3" s="1"/>
  <c r="P316" i="3"/>
  <c r="P311" i="3"/>
  <c r="M313" i="3"/>
  <c r="N313" i="3" s="1"/>
  <c r="P312" i="3"/>
  <c r="M305" i="3"/>
  <c r="N305" i="3" s="1"/>
  <c r="P319" i="3"/>
  <c r="H10" i="8"/>
  <c r="M1188" i="3"/>
  <c r="N1188" i="3" s="1"/>
  <c r="M1189" i="3"/>
  <c r="N1189" i="3" s="1"/>
  <c r="M1185" i="3"/>
  <c r="N1185" i="3" s="1"/>
  <c r="M1190" i="3"/>
  <c r="N1190" i="3" s="1"/>
  <c r="M1186" i="3"/>
  <c r="N1186" i="3" s="1"/>
  <c r="M1191" i="3"/>
  <c r="N1191" i="3" s="1"/>
  <c r="M1192" i="3"/>
  <c r="N1192" i="3" s="1"/>
  <c r="M1187" i="3"/>
  <c r="N1187" i="3" s="1"/>
  <c r="M1106" i="3"/>
  <c r="N1106" i="3" s="1"/>
  <c r="M1104" i="3"/>
  <c r="N1104" i="3" s="1"/>
  <c r="M1102" i="3"/>
  <c r="N1102" i="3" s="1"/>
  <c r="M1100" i="3"/>
  <c r="N1100" i="3" s="1"/>
  <c r="M1105" i="3"/>
  <c r="N1105" i="3" s="1"/>
  <c r="M1103" i="3"/>
  <c r="N1103" i="3" s="1"/>
  <c r="M1101" i="3"/>
  <c r="N1101" i="3" s="1"/>
  <c r="M1099" i="3"/>
  <c r="N1099" i="3" s="1"/>
  <c r="D15" i="7"/>
  <c r="P1272" i="3"/>
  <c r="P1271" i="3"/>
  <c r="M1269" i="3"/>
  <c r="N1269" i="3" s="1"/>
  <c r="P1268" i="3"/>
  <c r="M1256" i="3"/>
  <c r="N1256" i="3" s="1"/>
  <c r="M1253" i="3"/>
  <c r="N1253" i="3" s="1"/>
  <c r="M1270" i="3"/>
  <c r="N1270" i="3" s="1"/>
  <c r="P1269" i="3"/>
  <c r="M1265" i="3"/>
  <c r="N1265" i="3" s="1"/>
  <c r="M1260" i="3"/>
  <c r="N1260" i="3" s="1"/>
  <c r="M1264" i="3"/>
  <c r="N1264" i="3" s="1"/>
  <c r="P1263" i="3"/>
  <c r="M1259" i="3"/>
  <c r="N1259" i="3" s="1"/>
  <c r="M1255" i="3"/>
  <c r="N1255" i="3" s="1"/>
  <c r="P1267" i="3"/>
  <c r="M1258" i="3"/>
  <c r="N1258" i="3" s="1"/>
  <c r="M1254" i="3"/>
  <c r="N1254" i="3" s="1"/>
  <c r="M1268" i="3"/>
  <c r="N1268" i="3" s="1"/>
  <c r="P1264" i="3"/>
  <c r="P1266" i="3"/>
  <c r="P1265" i="3"/>
  <c r="P1270" i="3"/>
  <c r="M1262" i="3"/>
  <c r="N1262" i="3" s="1"/>
  <c r="M1271" i="3"/>
  <c r="N1271" i="3" s="1"/>
  <c r="M1263" i="3"/>
  <c r="N1263" i="3" s="1"/>
  <c r="M1257" i="3"/>
  <c r="N1257" i="3" s="1"/>
  <c r="M1267" i="3"/>
  <c r="N1267" i="3" s="1"/>
  <c r="M1261" i="3"/>
  <c r="N1261" i="3" s="1"/>
  <c r="M1266" i="3"/>
  <c r="N1266" i="3" s="1"/>
  <c r="M584" i="3"/>
  <c r="N584" i="3" s="1"/>
  <c r="M582" i="3"/>
  <c r="N582" i="3" s="1"/>
  <c r="M580" i="3"/>
  <c r="N580" i="3" s="1"/>
  <c r="M578" i="3"/>
  <c r="N578" i="3" s="1"/>
  <c r="M576" i="3"/>
  <c r="N576" i="3" s="1"/>
  <c r="M574" i="3"/>
  <c r="N574" i="3" s="1"/>
  <c r="M572" i="3"/>
  <c r="N572" i="3" s="1"/>
  <c r="M570" i="3"/>
  <c r="N570" i="3" s="1"/>
  <c r="M575" i="3"/>
  <c r="N575" i="3" s="1"/>
  <c r="M581" i="3"/>
  <c r="N581" i="3" s="1"/>
  <c r="M571" i="3"/>
  <c r="N571" i="3" s="1"/>
  <c r="M577" i="3"/>
  <c r="N577" i="3" s="1"/>
  <c r="M583" i="3"/>
  <c r="N583" i="3" s="1"/>
  <c r="M569" i="3"/>
  <c r="N569" i="3" s="1"/>
  <c r="M579" i="3"/>
  <c r="N579" i="3" s="1"/>
  <c r="M573" i="3"/>
  <c r="N573" i="3" s="1"/>
  <c r="B15" i="10"/>
  <c r="P282" i="3"/>
  <c r="M280" i="3"/>
  <c r="N280" i="3" s="1"/>
  <c r="P279" i="3"/>
  <c r="P274" i="3"/>
  <c r="M272" i="3"/>
  <c r="N272" i="3" s="1"/>
  <c r="P271" i="3"/>
  <c r="M277" i="3"/>
  <c r="N277" i="3" s="1"/>
  <c r="M269" i="3"/>
  <c r="N269" i="3" s="1"/>
  <c r="P284" i="3"/>
  <c r="M282" i="3"/>
  <c r="N282" i="3" s="1"/>
  <c r="P281" i="3"/>
  <c r="P276" i="3"/>
  <c r="M274" i="3"/>
  <c r="N274" i="3" s="1"/>
  <c r="P273" i="3"/>
  <c r="M266" i="3"/>
  <c r="N266" i="3" s="1"/>
  <c r="M279" i="3"/>
  <c r="N279" i="3" s="1"/>
  <c r="M271" i="3"/>
  <c r="N271" i="3" s="1"/>
  <c r="M276" i="3"/>
  <c r="N276" i="3" s="1"/>
  <c r="M265" i="3"/>
  <c r="N265" i="3" s="1"/>
  <c r="M283" i="3"/>
  <c r="N283" i="3" s="1"/>
  <c r="P278" i="3"/>
  <c r="M275" i="3"/>
  <c r="N275" i="3" s="1"/>
  <c r="M268" i="3"/>
  <c r="N268" i="3" s="1"/>
  <c r="P277" i="3"/>
  <c r="M267" i="3"/>
  <c r="N267" i="3" s="1"/>
  <c r="M278" i="3"/>
  <c r="N278" i="3" s="1"/>
  <c r="M270" i="3"/>
  <c r="N270" i="3" s="1"/>
  <c r="M281" i="3"/>
  <c r="N281" i="3" s="1"/>
  <c r="P280" i="3"/>
  <c r="M273" i="3"/>
  <c r="N273" i="3" s="1"/>
  <c r="P272" i="3"/>
  <c r="P283" i="3"/>
  <c r="P275" i="3"/>
  <c r="C10" i="9"/>
  <c r="M204" i="3"/>
  <c r="N204" i="3" s="1"/>
  <c r="AF156" i="15"/>
  <c r="E10" i="5"/>
  <c r="M264" i="3"/>
  <c r="N264" i="3" s="1"/>
  <c r="M261" i="3"/>
  <c r="N261" i="3" s="1"/>
  <c r="M263" i="3"/>
  <c r="N263" i="3" s="1"/>
  <c r="M260" i="3"/>
  <c r="N260" i="3" s="1"/>
  <c r="M262" i="3"/>
  <c r="N262" i="3" s="1"/>
  <c r="M259" i="3"/>
  <c r="N259" i="3" s="1"/>
  <c r="D48" i="2"/>
  <c r="K48" i="2" s="1"/>
  <c r="R10" i="5"/>
  <c r="M715" i="3"/>
  <c r="N715" i="3" s="1"/>
  <c r="M708" i="3"/>
  <c r="N708" i="3" s="1"/>
  <c r="M716" i="3"/>
  <c r="N716" i="3" s="1"/>
  <c r="M710" i="3"/>
  <c r="N710" i="3" s="1"/>
  <c r="M707" i="3"/>
  <c r="N707" i="3" s="1"/>
  <c r="M713" i="3"/>
  <c r="N713" i="3" s="1"/>
  <c r="M712" i="3"/>
  <c r="N712" i="3" s="1"/>
  <c r="M711" i="3"/>
  <c r="N711" i="3" s="1"/>
  <c r="M714" i="3"/>
  <c r="N714" i="3" s="1"/>
  <c r="M709" i="3"/>
  <c r="N709" i="3" s="1"/>
  <c r="M705" i="3"/>
  <c r="N705" i="3" s="1"/>
  <c r="M706" i="3"/>
  <c r="N706" i="3" s="1"/>
  <c r="E10" i="7"/>
  <c r="M508" i="3"/>
  <c r="N508" i="3" s="1"/>
  <c r="M506" i="3"/>
  <c r="N506" i="3" s="1"/>
  <c r="M504" i="3"/>
  <c r="N504" i="3" s="1"/>
  <c r="M503" i="3"/>
  <c r="N503" i="3" s="1"/>
  <c r="M507" i="3"/>
  <c r="N507" i="3" s="1"/>
  <c r="M505" i="3"/>
  <c r="N505" i="3" s="1"/>
  <c r="M96" i="3"/>
  <c r="N96" i="3" s="1"/>
  <c r="M93" i="3"/>
  <c r="N93" i="3" s="1"/>
  <c r="M95" i="3"/>
  <c r="N95" i="3" s="1"/>
  <c r="M92" i="3"/>
  <c r="N92" i="3" s="1"/>
  <c r="M91" i="3"/>
  <c r="N91" i="3" s="1"/>
  <c r="M97" i="3"/>
  <c r="N97" i="3" s="1"/>
  <c r="M94" i="3"/>
  <c r="N94" i="3" s="1"/>
  <c r="AI147" i="15"/>
  <c r="B15" i="4"/>
  <c r="M137" i="3"/>
  <c r="N137" i="3" s="1"/>
  <c r="M135" i="3"/>
  <c r="N135" i="3" s="1"/>
  <c r="M133" i="3"/>
  <c r="N133" i="3" s="1"/>
  <c r="M131" i="3"/>
  <c r="N131" i="3" s="1"/>
  <c r="M129" i="3"/>
  <c r="N129" i="3" s="1"/>
  <c r="M127" i="3"/>
  <c r="N127" i="3" s="1"/>
  <c r="M125" i="3"/>
  <c r="N125" i="3" s="1"/>
  <c r="P141" i="3"/>
  <c r="P140" i="3"/>
  <c r="P137" i="3"/>
  <c r="P136" i="3"/>
  <c r="P133" i="3"/>
  <c r="P132" i="3"/>
  <c r="P144" i="3"/>
  <c r="M136" i="3"/>
  <c r="N136" i="3" s="1"/>
  <c r="M132" i="3"/>
  <c r="N132" i="3" s="1"/>
  <c r="M128" i="3"/>
  <c r="N128" i="3" s="1"/>
  <c r="P143" i="3"/>
  <c r="P142" i="3"/>
  <c r="P139" i="3"/>
  <c r="P138" i="3"/>
  <c r="P135" i="3"/>
  <c r="P134" i="3"/>
  <c r="P131" i="3"/>
  <c r="M134" i="3"/>
  <c r="N134" i="3" s="1"/>
  <c r="M130" i="3"/>
  <c r="N130" i="3" s="1"/>
  <c r="M138" i="3"/>
  <c r="N138" i="3" s="1"/>
  <c r="M126" i="3"/>
  <c r="N126" i="3" s="1"/>
  <c r="H15" i="6"/>
  <c r="M562" i="3"/>
  <c r="N562" i="3" s="1"/>
  <c r="M560" i="3"/>
  <c r="N560" i="3" s="1"/>
  <c r="M558" i="3"/>
  <c r="N558" i="3" s="1"/>
  <c r="M556" i="3"/>
  <c r="N556" i="3" s="1"/>
  <c r="M554" i="3"/>
  <c r="N554" i="3" s="1"/>
  <c r="M552" i="3"/>
  <c r="N552" i="3" s="1"/>
  <c r="M550" i="3"/>
  <c r="N550" i="3" s="1"/>
  <c r="M548" i="3"/>
  <c r="N548" i="3" s="1"/>
  <c r="M546" i="3"/>
  <c r="N546" i="3" s="1"/>
  <c r="M544" i="3"/>
  <c r="N544" i="3" s="1"/>
  <c r="M542" i="3"/>
  <c r="N542" i="3" s="1"/>
  <c r="M540" i="3"/>
  <c r="N540" i="3" s="1"/>
  <c r="P567" i="3"/>
  <c r="P565" i="3"/>
  <c r="P563" i="3"/>
  <c r="P561" i="3"/>
  <c r="P559" i="3"/>
  <c r="P557" i="3"/>
  <c r="P555" i="3"/>
  <c r="P553" i="3"/>
  <c r="P551" i="3"/>
  <c r="P549" i="3"/>
  <c r="P560" i="3"/>
  <c r="M559" i="3"/>
  <c r="N559" i="3" s="1"/>
  <c r="P562" i="3"/>
  <c r="M561" i="3"/>
  <c r="N561" i="3" s="1"/>
  <c r="P564" i="3"/>
  <c r="M563" i="3"/>
  <c r="N563" i="3" s="1"/>
  <c r="P548" i="3"/>
  <c r="P566" i="3"/>
  <c r="P550" i="3"/>
  <c r="M549" i="3"/>
  <c r="N549" i="3" s="1"/>
  <c r="M547" i="3"/>
  <c r="N547" i="3" s="1"/>
  <c r="M545" i="3"/>
  <c r="N545" i="3" s="1"/>
  <c r="M543" i="3"/>
  <c r="N543" i="3" s="1"/>
  <c r="M541" i="3"/>
  <c r="N541" i="3" s="1"/>
  <c r="M539" i="3"/>
  <c r="N539" i="3" s="1"/>
  <c r="P552" i="3"/>
  <c r="M557" i="3"/>
  <c r="N557" i="3" s="1"/>
  <c r="M553" i="3"/>
  <c r="N553" i="3" s="1"/>
  <c r="P568" i="3"/>
  <c r="P558" i="3"/>
  <c r="P556" i="3"/>
  <c r="M551" i="3"/>
  <c r="N551" i="3" s="1"/>
  <c r="P554" i="3"/>
  <c r="M555" i="3"/>
  <c r="N555" i="3" s="1"/>
  <c r="K1161" i="3"/>
  <c r="K1160" i="3"/>
  <c r="K1159" i="3"/>
  <c r="K1158" i="3"/>
  <c r="K1172" i="3"/>
  <c r="K1157" i="3"/>
  <c r="K1156" i="3"/>
  <c r="K1169" i="3"/>
  <c r="K1168" i="3"/>
  <c r="K1153" i="3"/>
  <c r="K1167" i="3"/>
  <c r="K1166" i="3"/>
  <c r="K1165" i="3"/>
  <c r="K1164" i="3"/>
  <c r="K1170" i="3"/>
  <c r="K1162" i="3"/>
  <c r="K1171" i="3"/>
  <c r="K1163" i="3"/>
  <c r="K1154" i="3"/>
  <c r="K1155" i="3"/>
  <c r="K163" i="3"/>
  <c r="K161" i="3"/>
  <c r="K159" i="3"/>
  <c r="K157" i="3"/>
  <c r="K155" i="3"/>
  <c r="K153" i="3"/>
  <c r="K151" i="3"/>
  <c r="K149" i="3"/>
  <c r="K147" i="3"/>
  <c r="K145" i="3"/>
  <c r="K156" i="3"/>
  <c r="K154" i="3"/>
  <c r="K152" i="3"/>
  <c r="K150" i="3"/>
  <c r="K148" i="3"/>
  <c r="K164" i="3"/>
  <c r="K162" i="3"/>
  <c r="K160" i="3"/>
  <c r="K146" i="3"/>
  <c r="K158" i="3"/>
  <c r="M1059" i="3"/>
  <c r="N1059" i="3" s="1"/>
  <c r="M1064" i="3"/>
  <c r="N1064" i="3" s="1"/>
  <c r="M1061" i="3"/>
  <c r="N1061" i="3" s="1"/>
  <c r="M1065" i="3"/>
  <c r="N1065" i="3" s="1"/>
  <c r="M1060" i="3"/>
  <c r="N1060" i="3" s="1"/>
  <c r="M1066" i="3"/>
  <c r="N1066" i="3" s="1"/>
  <c r="M1062" i="3"/>
  <c r="N1062" i="3" s="1"/>
  <c r="M1063" i="3"/>
  <c r="N1063" i="3" s="1"/>
  <c r="AI135" i="15"/>
  <c r="M8" i="3"/>
  <c r="N8" i="3" s="1"/>
  <c r="M5" i="3"/>
  <c r="N5" i="3" s="1"/>
  <c r="M7" i="3"/>
  <c r="N7" i="3" s="1"/>
  <c r="M9" i="3"/>
  <c r="N9" i="3" s="1"/>
  <c r="M6" i="3"/>
  <c r="N6" i="3" s="1"/>
  <c r="AK157" i="15"/>
  <c r="AI150" i="15"/>
  <c r="AI157" i="15"/>
  <c r="AF150" i="15"/>
  <c r="AF157" i="15"/>
  <c r="AK150" i="15"/>
  <c r="E10" i="8"/>
  <c r="M912" i="3"/>
  <c r="N912" i="3" s="1"/>
  <c r="M910" i="3"/>
  <c r="N910" i="3" s="1"/>
  <c r="M908" i="3"/>
  <c r="N908" i="3" s="1"/>
  <c r="M906" i="3"/>
  <c r="N906" i="3" s="1"/>
  <c r="M909" i="3"/>
  <c r="N909" i="3" s="1"/>
  <c r="M907" i="3"/>
  <c r="N907" i="3" s="1"/>
  <c r="M911" i="3"/>
  <c r="N911" i="3" s="1"/>
  <c r="M905" i="3"/>
  <c r="N905" i="3" s="1"/>
  <c r="D10" i="10"/>
  <c r="M1067" i="3"/>
  <c r="N1067" i="3" s="1"/>
  <c r="M1072" i="3"/>
  <c r="N1072" i="3" s="1"/>
  <c r="M1069" i="3"/>
  <c r="N1069" i="3" s="1"/>
  <c r="M1071" i="3"/>
  <c r="N1071" i="3" s="1"/>
  <c r="M1070" i="3"/>
  <c r="N1070" i="3" s="1"/>
  <c r="M1068" i="3"/>
  <c r="N1068" i="3" s="1"/>
  <c r="AK146" i="15"/>
  <c r="AI152" i="15"/>
  <c r="AF142" i="15"/>
  <c r="AF134" i="15"/>
  <c r="AK143" i="15"/>
  <c r="AK133" i="15"/>
  <c r="M143" i="3" s="1"/>
  <c r="N143" i="3" s="1"/>
  <c r="AK178" i="15"/>
  <c r="AI143" i="15"/>
  <c r="AI133" i="15"/>
  <c r="AI178" i="15"/>
  <c r="AF143" i="15"/>
  <c r="AF133" i="15"/>
  <c r="AF178" i="15"/>
  <c r="AK142" i="15"/>
  <c r="M319" i="3" s="1"/>
  <c r="N319" i="3" s="1"/>
  <c r="AK134" i="15"/>
  <c r="AI142" i="15"/>
  <c r="AI134" i="15"/>
  <c r="AF165" i="15"/>
  <c r="AI165" i="15"/>
  <c r="AK175" i="15"/>
  <c r="AK129" i="15"/>
  <c r="AF162" i="15"/>
  <c r="AF158" i="15"/>
  <c r="AK162" i="15"/>
  <c r="AK158" i="15"/>
  <c r="M766" i="3" s="1"/>
  <c r="N766" i="3" s="1"/>
  <c r="AI162" i="15"/>
  <c r="AI158" i="15"/>
  <c r="AF151" i="15"/>
  <c r="AF160" i="15"/>
  <c r="AK151" i="15"/>
  <c r="AK160" i="15"/>
  <c r="AI151" i="15"/>
  <c r="AI160" i="15"/>
  <c r="K1079" i="3"/>
  <c r="K1073" i="3"/>
  <c r="K1092" i="3"/>
  <c r="K1078" i="3"/>
  <c r="K1091" i="3"/>
  <c r="K1090" i="3"/>
  <c r="K1075" i="3"/>
  <c r="K1083" i="3"/>
  <c r="K1082" i="3"/>
  <c r="K1085" i="3"/>
  <c r="K1086" i="3"/>
  <c r="K1080" i="3"/>
  <c r="K1081" i="3"/>
  <c r="K1088" i="3"/>
  <c r="K1074" i="3"/>
  <c r="K1089" i="3"/>
  <c r="K1087" i="3"/>
  <c r="K1077" i="3"/>
  <c r="K1076" i="3"/>
  <c r="K1084" i="3"/>
  <c r="K278" i="3"/>
  <c r="K270" i="3"/>
  <c r="K283" i="3"/>
  <c r="K275" i="3"/>
  <c r="K267" i="3"/>
  <c r="K280" i="3"/>
  <c r="K272" i="3"/>
  <c r="K277" i="3"/>
  <c r="K269" i="3"/>
  <c r="K282" i="3"/>
  <c r="K274" i="3"/>
  <c r="K284" i="3"/>
  <c r="K276" i="3"/>
  <c r="K266" i="3"/>
  <c r="K265" i="3"/>
  <c r="K268" i="3"/>
  <c r="K279" i="3"/>
  <c r="K271" i="3"/>
  <c r="K281" i="3"/>
  <c r="K273" i="3"/>
  <c r="K222" i="3"/>
  <c r="K214" i="3"/>
  <c r="K206" i="3"/>
  <c r="K219" i="3"/>
  <c r="K211" i="3"/>
  <c r="K224" i="3"/>
  <c r="K216" i="3"/>
  <c r="K208" i="3"/>
  <c r="K221" i="3"/>
  <c r="K213" i="3"/>
  <c r="K205" i="3"/>
  <c r="K220" i="3"/>
  <c r="K218" i="3"/>
  <c r="K217" i="3"/>
  <c r="K212" i="3"/>
  <c r="K210" i="3"/>
  <c r="K209" i="3"/>
  <c r="K215" i="3"/>
  <c r="K207" i="3"/>
  <c r="K223" i="3"/>
  <c r="L538" i="3"/>
  <c r="L746" i="3"/>
  <c r="K262" i="3"/>
  <c r="K254" i="3"/>
  <c r="K246" i="3"/>
  <c r="K259" i="3"/>
  <c r="K251" i="3"/>
  <c r="K264" i="3"/>
  <c r="K256" i="3"/>
  <c r="K248" i="3"/>
  <c r="K261" i="3"/>
  <c r="K253" i="3"/>
  <c r="K245" i="3"/>
  <c r="K263" i="3"/>
  <c r="K247" i="3"/>
  <c r="K250" i="3"/>
  <c r="K249" i="3"/>
  <c r="K252" i="3"/>
  <c r="K255" i="3"/>
  <c r="K257" i="3"/>
  <c r="K260" i="3"/>
  <c r="K258" i="3"/>
  <c r="K688" i="3"/>
  <c r="K686" i="3"/>
  <c r="K684" i="3"/>
  <c r="K682" i="3"/>
  <c r="K680" i="3"/>
  <c r="K678" i="3"/>
  <c r="K676" i="3"/>
  <c r="K674" i="3"/>
  <c r="K672" i="3"/>
  <c r="K670" i="3"/>
  <c r="K668" i="3"/>
  <c r="K666" i="3"/>
  <c r="K664" i="3"/>
  <c r="K662" i="3"/>
  <c r="K660" i="3"/>
  <c r="K683" i="3"/>
  <c r="K667" i="3"/>
  <c r="K673" i="3"/>
  <c r="K679" i="3"/>
  <c r="K663" i="3"/>
  <c r="K685" i="3"/>
  <c r="K669" i="3"/>
  <c r="K681" i="3"/>
  <c r="K665" i="3"/>
  <c r="K661" i="3"/>
  <c r="K671" i="3"/>
  <c r="K659" i="3"/>
  <c r="K677" i="3"/>
  <c r="K675" i="3"/>
  <c r="K687" i="3"/>
  <c r="K324" i="3"/>
  <c r="K322" i="3"/>
  <c r="K320" i="3"/>
  <c r="K316" i="3"/>
  <c r="K312" i="3"/>
  <c r="K308" i="3"/>
  <c r="K319" i="3"/>
  <c r="K315" i="3"/>
  <c r="K311" i="3"/>
  <c r="K307" i="3"/>
  <c r="K321" i="3"/>
  <c r="K310" i="3"/>
  <c r="K309" i="3"/>
  <c r="K317" i="3"/>
  <c r="K323" i="3"/>
  <c r="K318" i="3"/>
  <c r="K314" i="3"/>
  <c r="K305" i="3"/>
  <c r="K313" i="3"/>
  <c r="K306" i="3"/>
  <c r="O65" i="15"/>
  <c r="O627" i="3"/>
  <c r="B10" i="8"/>
  <c r="M24" i="3"/>
  <c r="N24" i="3" s="1"/>
  <c r="M21" i="3"/>
  <c r="N21" i="3" s="1"/>
  <c r="M18" i="3"/>
  <c r="N18" i="3" s="1"/>
  <c r="M23" i="3"/>
  <c r="N23" i="3" s="1"/>
  <c r="M20" i="3"/>
  <c r="N20" i="3" s="1"/>
  <c r="M19" i="3"/>
  <c r="N19" i="3" s="1"/>
  <c r="M22" i="3"/>
  <c r="N22" i="3" s="1"/>
  <c r="B10" i="6"/>
  <c r="M84" i="3"/>
  <c r="N84" i="3" s="1"/>
  <c r="G10" i="5"/>
  <c r="M947" i="3"/>
  <c r="N947" i="3" s="1"/>
  <c r="M952" i="3"/>
  <c r="N952" i="3" s="1"/>
  <c r="M951" i="3"/>
  <c r="N951" i="3" s="1"/>
  <c r="M950" i="3"/>
  <c r="N950" i="3" s="1"/>
  <c r="M948" i="3"/>
  <c r="N948" i="3" s="1"/>
  <c r="M949" i="3"/>
  <c r="N949" i="3" s="1"/>
  <c r="K15" i="5"/>
  <c r="M1130" i="3"/>
  <c r="N1130" i="3" s="1"/>
  <c r="M1128" i="3"/>
  <c r="N1128" i="3" s="1"/>
  <c r="M1126" i="3"/>
  <c r="N1126" i="3" s="1"/>
  <c r="M1124" i="3"/>
  <c r="N1124" i="3" s="1"/>
  <c r="M1122" i="3"/>
  <c r="N1122" i="3" s="1"/>
  <c r="M1120" i="3"/>
  <c r="N1120" i="3" s="1"/>
  <c r="M1118" i="3"/>
  <c r="N1118" i="3" s="1"/>
  <c r="M1116" i="3"/>
  <c r="N1116" i="3" s="1"/>
  <c r="M1114" i="3"/>
  <c r="N1114" i="3" s="1"/>
  <c r="P1131" i="3"/>
  <c r="P1129" i="3"/>
  <c r="P1127" i="3"/>
  <c r="P1125" i="3"/>
  <c r="P1123" i="3"/>
  <c r="P1121" i="3"/>
  <c r="P1119" i="3"/>
  <c r="M1131" i="3"/>
  <c r="N1131" i="3" s="1"/>
  <c r="M1129" i="3"/>
  <c r="N1129" i="3" s="1"/>
  <c r="M1127" i="3"/>
  <c r="N1127" i="3" s="1"/>
  <c r="M1125" i="3"/>
  <c r="N1125" i="3" s="1"/>
  <c r="M1123" i="3"/>
  <c r="N1123" i="3" s="1"/>
  <c r="M1121" i="3"/>
  <c r="N1121" i="3" s="1"/>
  <c r="M1119" i="3"/>
  <c r="N1119" i="3" s="1"/>
  <c r="M1117" i="3"/>
  <c r="N1117" i="3" s="1"/>
  <c r="M1115" i="3"/>
  <c r="N1115" i="3" s="1"/>
  <c r="M1113" i="3"/>
  <c r="N1113" i="3" s="1"/>
  <c r="P1132" i="3"/>
  <c r="P1130" i="3"/>
  <c r="P1128" i="3"/>
  <c r="P1126" i="3"/>
  <c r="P1124" i="3"/>
  <c r="P1122" i="3"/>
  <c r="P1120" i="3"/>
  <c r="K985" i="3"/>
  <c r="K977" i="3"/>
  <c r="K990" i="3"/>
  <c r="K982" i="3"/>
  <c r="K974" i="3"/>
  <c r="K987" i="3"/>
  <c r="K979" i="3"/>
  <c r="K991" i="3"/>
  <c r="K983" i="3"/>
  <c r="K976" i="3"/>
  <c r="K992" i="3"/>
  <c r="K975" i="3"/>
  <c r="K978" i="3"/>
  <c r="K988" i="3"/>
  <c r="K980" i="3"/>
  <c r="K984" i="3"/>
  <c r="K981" i="3"/>
  <c r="K986" i="3"/>
  <c r="K973" i="3"/>
  <c r="K989" i="3"/>
  <c r="K658" i="3"/>
  <c r="K656" i="3"/>
  <c r="K654" i="3"/>
  <c r="K652" i="3"/>
  <c r="K650" i="3"/>
  <c r="K648" i="3"/>
  <c r="K646" i="3"/>
  <c r="K644" i="3"/>
  <c r="K642" i="3"/>
  <c r="K640" i="3"/>
  <c r="K638" i="3"/>
  <c r="K636" i="3"/>
  <c r="K634" i="3"/>
  <c r="K632" i="3"/>
  <c r="K630" i="3"/>
  <c r="K651" i="3"/>
  <c r="K635" i="3"/>
  <c r="K657" i="3"/>
  <c r="K641" i="3"/>
  <c r="K647" i="3"/>
  <c r="K631" i="3"/>
  <c r="K653" i="3"/>
  <c r="K637" i="3"/>
  <c r="K633" i="3"/>
  <c r="K629" i="3"/>
  <c r="K639" i="3"/>
  <c r="K655" i="3"/>
  <c r="K643" i="3"/>
  <c r="K649" i="3"/>
  <c r="K645" i="3"/>
  <c r="L804" i="3"/>
  <c r="O804" i="3" s="1"/>
  <c r="L508" i="3"/>
  <c r="O508" i="3" s="1"/>
  <c r="K1271" i="3"/>
  <c r="K1269" i="3"/>
  <c r="K1267" i="3"/>
  <c r="K1265" i="3"/>
  <c r="K1263" i="3"/>
  <c r="K1261" i="3"/>
  <c r="K1259" i="3"/>
  <c r="K1257" i="3"/>
  <c r="K1255" i="3"/>
  <c r="K1253" i="3"/>
  <c r="K1260" i="3"/>
  <c r="K1266" i="3"/>
  <c r="K1256" i="3"/>
  <c r="K1270" i="3"/>
  <c r="K1264" i="3"/>
  <c r="K1258" i="3"/>
  <c r="K1262" i="3"/>
  <c r="K1254" i="3"/>
  <c r="K1272" i="3"/>
  <c r="K1268" i="3"/>
  <c r="M1146" i="3"/>
  <c r="N1146" i="3" s="1"/>
  <c r="M1144" i="3"/>
  <c r="N1144" i="3" s="1"/>
  <c r="M1142" i="3"/>
  <c r="N1142" i="3" s="1"/>
  <c r="M1140" i="3"/>
  <c r="N1140" i="3" s="1"/>
  <c r="M1145" i="3"/>
  <c r="N1145" i="3" s="1"/>
  <c r="M1143" i="3"/>
  <c r="N1143" i="3" s="1"/>
  <c r="M1141" i="3"/>
  <c r="N1141" i="3" s="1"/>
  <c r="M1139" i="3"/>
  <c r="N1139" i="3" s="1"/>
  <c r="M488" i="3"/>
  <c r="N488" i="3" s="1"/>
  <c r="M486" i="3"/>
  <c r="N486" i="3" s="1"/>
  <c r="M484" i="3"/>
  <c r="N484" i="3" s="1"/>
  <c r="M482" i="3"/>
  <c r="N482" i="3" s="1"/>
  <c r="M480" i="3"/>
  <c r="N480" i="3" s="1"/>
  <c r="M479" i="3"/>
  <c r="N479" i="3" s="1"/>
  <c r="M481" i="3"/>
  <c r="N481" i="3" s="1"/>
  <c r="M487" i="3"/>
  <c r="N487" i="3" s="1"/>
  <c r="M483" i="3"/>
  <c r="N483" i="3" s="1"/>
  <c r="M485" i="3"/>
  <c r="N485" i="3" s="1"/>
  <c r="H15" i="5"/>
  <c r="M1003" i="3"/>
  <c r="N1003" i="3" s="1"/>
  <c r="M995" i="3"/>
  <c r="N995" i="3" s="1"/>
  <c r="P1010" i="3"/>
  <c r="P1007" i="3"/>
  <c r="P1002" i="3"/>
  <c r="M1000" i="3"/>
  <c r="N1000" i="3" s="1"/>
  <c r="P999" i="3"/>
  <c r="M1005" i="3"/>
  <c r="N1005" i="3" s="1"/>
  <c r="M997" i="3"/>
  <c r="N997" i="3" s="1"/>
  <c r="M1001" i="3"/>
  <c r="N1001" i="3" s="1"/>
  <c r="M993" i="3"/>
  <c r="N993" i="3" s="1"/>
  <c r="M1002" i="3"/>
  <c r="N1002" i="3" s="1"/>
  <c r="P1012" i="3"/>
  <c r="P1004" i="3"/>
  <c r="M994" i="3"/>
  <c r="N994" i="3" s="1"/>
  <c r="P1011" i="3"/>
  <c r="P1003" i="3"/>
  <c r="P1008" i="3"/>
  <c r="P1005" i="3"/>
  <c r="P1000" i="3"/>
  <c r="P1009" i="3"/>
  <c r="P1001" i="3"/>
  <c r="P1006" i="3"/>
  <c r="M1004" i="3"/>
  <c r="N1004" i="3" s="1"/>
  <c r="M1006" i="3"/>
  <c r="N1006" i="3" s="1"/>
  <c r="M998" i="3"/>
  <c r="N998" i="3" s="1"/>
  <c r="M996" i="3"/>
  <c r="N996" i="3" s="1"/>
  <c r="M999" i="3"/>
  <c r="N999" i="3" s="1"/>
  <c r="M1084" i="3"/>
  <c r="N1084" i="3" s="1"/>
  <c r="M1082" i="3"/>
  <c r="N1082" i="3" s="1"/>
  <c r="M1080" i="3"/>
  <c r="N1080" i="3" s="1"/>
  <c r="M1078" i="3"/>
  <c r="N1078" i="3" s="1"/>
  <c r="M1085" i="3"/>
  <c r="N1085" i="3" s="1"/>
  <c r="M1083" i="3"/>
  <c r="N1083" i="3" s="1"/>
  <c r="M1081" i="3"/>
  <c r="N1081" i="3" s="1"/>
  <c r="M1079" i="3"/>
  <c r="N1079" i="3" s="1"/>
  <c r="M1075" i="3"/>
  <c r="N1075" i="3" s="1"/>
  <c r="M1077" i="3"/>
  <c r="N1077" i="3" s="1"/>
  <c r="M1073" i="3"/>
  <c r="N1073" i="3" s="1"/>
  <c r="M1074" i="3"/>
  <c r="N1074" i="3" s="1"/>
  <c r="M1076" i="3"/>
  <c r="N1076" i="3" s="1"/>
  <c r="J10" i="5"/>
  <c r="M1112" i="3"/>
  <c r="N1112" i="3" s="1"/>
  <c r="M1110" i="3"/>
  <c r="N1110" i="3" s="1"/>
  <c r="M1108" i="3"/>
  <c r="N1108" i="3" s="1"/>
  <c r="M1111" i="3"/>
  <c r="N1111" i="3" s="1"/>
  <c r="M1109" i="3"/>
  <c r="N1109" i="3" s="1"/>
  <c r="M1107" i="3"/>
  <c r="N1107" i="3" s="1"/>
  <c r="M1182" i="3"/>
  <c r="N1182" i="3" s="1"/>
  <c r="M1180" i="3"/>
  <c r="N1180" i="3" s="1"/>
  <c r="M1178" i="3"/>
  <c r="N1178" i="3" s="1"/>
  <c r="M1184" i="3"/>
  <c r="N1184" i="3" s="1"/>
  <c r="M1183" i="3"/>
  <c r="N1183" i="3" s="1"/>
  <c r="M1181" i="3"/>
  <c r="N1181" i="3" s="1"/>
  <c r="M1179" i="3"/>
  <c r="N1179" i="3" s="1"/>
  <c r="B15" i="12"/>
  <c r="M476" i="3"/>
  <c r="N476" i="3" s="1"/>
  <c r="M474" i="3"/>
  <c r="N474" i="3" s="1"/>
  <c r="M472" i="3"/>
  <c r="N472" i="3" s="1"/>
  <c r="M470" i="3"/>
  <c r="N470" i="3" s="1"/>
  <c r="M468" i="3"/>
  <c r="N468" i="3" s="1"/>
  <c r="M466" i="3"/>
  <c r="N466" i="3" s="1"/>
  <c r="M464" i="3"/>
  <c r="N464" i="3" s="1"/>
  <c r="M462" i="3"/>
  <c r="N462" i="3" s="1"/>
  <c r="M460" i="3"/>
  <c r="N460" i="3" s="1"/>
  <c r="M458" i="3"/>
  <c r="N458" i="3" s="1"/>
  <c r="M456" i="3"/>
  <c r="N456" i="3" s="1"/>
  <c r="M454" i="3"/>
  <c r="N454" i="3" s="1"/>
  <c r="M452" i="3"/>
  <c r="N452" i="3" s="1"/>
  <c r="P477" i="3"/>
  <c r="P475" i="3"/>
  <c r="P473" i="3"/>
  <c r="P471" i="3"/>
  <c r="P466" i="3"/>
  <c r="P463" i="3"/>
  <c r="M469" i="3"/>
  <c r="N469" i="3" s="1"/>
  <c r="M461" i="3"/>
  <c r="N461" i="3" s="1"/>
  <c r="M453" i="3"/>
  <c r="N453" i="3" s="1"/>
  <c r="M475" i="3"/>
  <c r="N475" i="3" s="1"/>
  <c r="P468" i="3"/>
  <c r="P465" i="3"/>
  <c r="P478" i="3"/>
  <c r="P474" i="3"/>
  <c r="M471" i="3"/>
  <c r="N471" i="3" s="1"/>
  <c r="M463" i="3"/>
  <c r="N463" i="3" s="1"/>
  <c r="M455" i="3"/>
  <c r="N455" i="3" s="1"/>
  <c r="P461" i="3"/>
  <c r="M457" i="3"/>
  <c r="N457" i="3" s="1"/>
  <c r="M477" i="3"/>
  <c r="N477" i="3" s="1"/>
  <c r="P467" i="3"/>
  <c r="M465" i="3"/>
  <c r="N465" i="3" s="1"/>
  <c r="P464" i="3"/>
  <c r="M459" i="3"/>
  <c r="N459" i="3" s="1"/>
  <c r="M451" i="3"/>
  <c r="N451" i="3" s="1"/>
  <c r="P476" i="3"/>
  <c r="P470" i="3"/>
  <c r="M473" i="3"/>
  <c r="N473" i="3" s="1"/>
  <c r="P472" i="3"/>
  <c r="P469" i="3"/>
  <c r="P462" i="3"/>
  <c r="M467" i="3"/>
  <c r="N467" i="3" s="1"/>
  <c r="D15" i="5"/>
  <c r="P242" i="3"/>
  <c r="M240" i="3"/>
  <c r="N240" i="3" s="1"/>
  <c r="P239" i="3"/>
  <c r="P234" i="3"/>
  <c r="M232" i="3"/>
  <c r="N232" i="3" s="1"/>
  <c r="P231" i="3"/>
  <c r="M237" i="3"/>
  <c r="N237" i="3" s="1"/>
  <c r="M229" i="3"/>
  <c r="N229" i="3" s="1"/>
  <c r="P244" i="3"/>
  <c r="M242" i="3"/>
  <c r="N242" i="3" s="1"/>
  <c r="P241" i="3"/>
  <c r="P236" i="3"/>
  <c r="M234" i="3"/>
  <c r="N234" i="3" s="1"/>
  <c r="P233" i="3"/>
  <c r="M226" i="3"/>
  <c r="N226" i="3" s="1"/>
  <c r="M239" i="3"/>
  <c r="N239" i="3" s="1"/>
  <c r="M231" i="3"/>
  <c r="N231" i="3" s="1"/>
  <c r="M241" i="3"/>
  <c r="N241" i="3" s="1"/>
  <c r="P240" i="3"/>
  <c r="M233" i="3"/>
  <c r="N233" i="3" s="1"/>
  <c r="P232" i="3"/>
  <c r="P243" i="3"/>
  <c r="P235" i="3"/>
  <c r="M236" i="3"/>
  <c r="N236" i="3" s="1"/>
  <c r="M225" i="3"/>
  <c r="N225" i="3" s="1"/>
  <c r="M243" i="3"/>
  <c r="N243" i="3" s="1"/>
  <c r="P238" i="3"/>
  <c r="M235" i="3"/>
  <c r="N235" i="3" s="1"/>
  <c r="M228" i="3"/>
  <c r="N228" i="3" s="1"/>
  <c r="M230" i="3"/>
  <c r="N230" i="3" s="1"/>
  <c r="M227" i="3"/>
  <c r="N227" i="3" s="1"/>
  <c r="P237" i="3"/>
  <c r="M238" i="3"/>
  <c r="N238" i="3" s="1"/>
  <c r="AF161" i="15"/>
  <c r="AK161" i="15"/>
  <c r="C10" i="6"/>
  <c r="M224" i="3"/>
  <c r="N224" i="3" s="1"/>
  <c r="M221" i="3"/>
  <c r="N221" i="3" s="1"/>
  <c r="M223" i="3"/>
  <c r="N223" i="3" s="1"/>
  <c r="M220" i="3"/>
  <c r="N220" i="3" s="1"/>
  <c r="M219" i="3"/>
  <c r="N219" i="3" s="1"/>
  <c r="M222" i="3"/>
  <c r="N222" i="3" s="1"/>
  <c r="AF169" i="15"/>
  <c r="AI169" i="15"/>
  <c r="AI139" i="15"/>
  <c r="AF138" i="15"/>
  <c r="F15" i="5"/>
  <c r="M930" i="3"/>
  <c r="N930" i="3" s="1"/>
  <c r="M928" i="3"/>
  <c r="N928" i="3" s="1"/>
  <c r="M926" i="3"/>
  <c r="N926" i="3" s="1"/>
  <c r="M924" i="3"/>
  <c r="N924" i="3" s="1"/>
  <c r="M922" i="3"/>
  <c r="N922" i="3" s="1"/>
  <c r="M920" i="3"/>
  <c r="N920" i="3" s="1"/>
  <c r="M918" i="3"/>
  <c r="N918" i="3" s="1"/>
  <c r="M916" i="3"/>
  <c r="N916" i="3" s="1"/>
  <c r="M914" i="3"/>
  <c r="N914" i="3" s="1"/>
  <c r="P931" i="3"/>
  <c r="P929" i="3"/>
  <c r="P927" i="3"/>
  <c r="P925" i="3"/>
  <c r="P923" i="3"/>
  <c r="P921" i="3"/>
  <c r="P919" i="3"/>
  <c r="P930" i="3"/>
  <c r="P926" i="3"/>
  <c r="P922" i="3"/>
  <c r="M921" i="3"/>
  <c r="N921" i="3" s="1"/>
  <c r="P920" i="3"/>
  <c r="P932" i="3"/>
  <c r="M927" i="3"/>
  <c r="N927" i="3" s="1"/>
  <c r="M915" i="3"/>
  <c r="N915" i="3" s="1"/>
  <c r="M925" i="3"/>
  <c r="N925" i="3" s="1"/>
  <c r="M931" i="3"/>
  <c r="N931" i="3" s="1"/>
  <c r="P924" i="3"/>
  <c r="M917" i="3"/>
  <c r="N917" i="3" s="1"/>
  <c r="M919" i="3"/>
  <c r="N919" i="3" s="1"/>
  <c r="P928" i="3"/>
  <c r="M929" i="3"/>
  <c r="N929" i="3" s="1"/>
  <c r="M913" i="3"/>
  <c r="N913" i="3" s="1"/>
  <c r="M923" i="3"/>
  <c r="N923" i="3" s="1"/>
  <c r="B15" i="11"/>
  <c r="P774" i="3"/>
  <c r="P772" i="3"/>
  <c r="P770" i="3"/>
  <c r="P768" i="3"/>
  <c r="P766" i="3"/>
  <c r="P764" i="3"/>
  <c r="P762" i="3"/>
  <c r="P760" i="3"/>
  <c r="P758" i="3"/>
  <c r="P773" i="3"/>
  <c r="M763" i="3"/>
  <c r="N763" i="3" s="1"/>
  <c r="M760" i="3"/>
  <c r="N760" i="3" s="1"/>
  <c r="M747" i="3"/>
  <c r="N747" i="3" s="1"/>
  <c r="P771" i="3"/>
  <c r="M761" i="3"/>
  <c r="N761" i="3" s="1"/>
  <c r="M758" i="3"/>
  <c r="N758" i="3" s="1"/>
  <c r="M749" i="3"/>
  <c r="N749" i="3" s="1"/>
  <c r="M772" i="3"/>
  <c r="N772" i="3" s="1"/>
  <c r="P769" i="3"/>
  <c r="M759" i="3"/>
  <c r="N759" i="3" s="1"/>
  <c r="M751" i="3"/>
  <c r="N751" i="3" s="1"/>
  <c r="M773" i="3"/>
  <c r="N773" i="3" s="1"/>
  <c r="M770" i="3"/>
  <c r="N770" i="3" s="1"/>
  <c r="P767" i="3"/>
  <c r="M757" i="3"/>
  <c r="N757" i="3" s="1"/>
  <c r="M756" i="3"/>
  <c r="N756" i="3" s="1"/>
  <c r="M753" i="3"/>
  <c r="N753" i="3" s="1"/>
  <c r="M769" i="3"/>
  <c r="N769" i="3" s="1"/>
  <c r="M764" i="3"/>
  <c r="N764" i="3" s="1"/>
  <c r="P759" i="3"/>
  <c r="M765" i="3"/>
  <c r="N765" i="3" s="1"/>
  <c r="P761" i="3"/>
  <c r="P765" i="3"/>
  <c r="M750" i="3"/>
  <c r="N750" i="3" s="1"/>
  <c r="M767" i="3"/>
  <c r="N767" i="3" s="1"/>
  <c r="M754" i="3"/>
  <c r="N754" i="3" s="1"/>
  <c r="M748" i="3"/>
  <c r="N748" i="3" s="1"/>
  <c r="M762" i="3"/>
  <c r="N762" i="3" s="1"/>
  <c r="M752" i="3"/>
  <c r="N752" i="3" s="1"/>
  <c r="M755" i="3"/>
  <c r="N755" i="3" s="1"/>
  <c r="P763" i="3"/>
  <c r="K110" i="3"/>
  <c r="K122" i="3"/>
  <c r="K118" i="3"/>
  <c r="K115" i="3"/>
  <c r="K107" i="3"/>
  <c r="K112" i="3"/>
  <c r="K121" i="3"/>
  <c r="K117" i="3"/>
  <c r="K109" i="3"/>
  <c r="K123" i="3"/>
  <c r="K113" i="3"/>
  <c r="K120" i="3"/>
  <c r="K114" i="3"/>
  <c r="K124" i="3"/>
  <c r="K106" i="3"/>
  <c r="K105" i="3"/>
  <c r="K116" i="3"/>
  <c r="K119" i="3"/>
  <c r="K108" i="3"/>
  <c r="K111" i="3"/>
  <c r="K628" i="3"/>
  <c r="K626" i="3"/>
  <c r="K624" i="3"/>
  <c r="K622" i="3"/>
  <c r="K620" i="3"/>
  <c r="K618" i="3"/>
  <c r="K616" i="3"/>
  <c r="K614" i="3"/>
  <c r="K612" i="3"/>
  <c r="K610" i="3"/>
  <c r="K608" i="3"/>
  <c r="K606" i="3"/>
  <c r="K604" i="3"/>
  <c r="K602" i="3"/>
  <c r="K600" i="3"/>
  <c r="K619" i="3"/>
  <c r="K603" i="3"/>
  <c r="K625" i="3"/>
  <c r="K609" i="3"/>
  <c r="K615" i="3"/>
  <c r="K599" i="3"/>
  <c r="K621" i="3"/>
  <c r="K605" i="3"/>
  <c r="K627" i="3"/>
  <c r="K623" i="3"/>
  <c r="K601" i="3"/>
  <c r="K617" i="3"/>
  <c r="K607" i="3"/>
  <c r="K613" i="3"/>
  <c r="K611" i="3"/>
  <c r="K745" i="3"/>
  <c r="K736" i="3"/>
  <c r="K729" i="3"/>
  <c r="K720" i="3"/>
  <c r="K738" i="3"/>
  <c r="K740" i="3"/>
  <c r="K733" i="3"/>
  <c r="K742" i="3"/>
  <c r="K735" i="3"/>
  <c r="K730" i="3"/>
  <c r="K717" i="3"/>
  <c r="K723" i="3"/>
  <c r="K737" i="3"/>
  <c r="K734" i="3"/>
  <c r="K726" i="3"/>
  <c r="K739" i="3"/>
  <c r="K732" i="3"/>
  <c r="K719" i="3"/>
  <c r="K722" i="3"/>
  <c r="K721" i="3"/>
  <c r="K725" i="3"/>
  <c r="K724" i="3"/>
  <c r="K728" i="3"/>
  <c r="K743" i="3"/>
  <c r="K731" i="3"/>
  <c r="K718" i="3"/>
  <c r="K727" i="3"/>
  <c r="K741" i="3"/>
  <c r="K746" i="3"/>
  <c r="K744" i="3"/>
  <c r="K38" i="3"/>
  <c r="K30" i="3"/>
  <c r="K43" i="3"/>
  <c r="K35" i="3"/>
  <c r="K27" i="3"/>
  <c r="K40" i="3"/>
  <c r="K32" i="3"/>
  <c r="K37" i="3"/>
  <c r="K29" i="3"/>
  <c r="K41" i="3"/>
  <c r="K33" i="3"/>
  <c r="K42" i="3"/>
  <c r="K34" i="3"/>
  <c r="K39" i="3"/>
  <c r="K31" i="3"/>
  <c r="K44" i="3"/>
  <c r="K36" i="3"/>
  <c r="K26" i="3"/>
  <c r="K25" i="3"/>
  <c r="K28" i="3"/>
  <c r="K446" i="3"/>
  <c r="K438" i="3"/>
  <c r="K430" i="3"/>
  <c r="K443" i="3"/>
  <c r="K435" i="3"/>
  <c r="K427" i="3"/>
  <c r="K448" i="3"/>
  <c r="K440" i="3"/>
  <c r="K432" i="3"/>
  <c r="K424" i="3"/>
  <c r="K445" i="3"/>
  <c r="K437" i="3"/>
  <c r="K429" i="3"/>
  <c r="K447" i="3"/>
  <c r="K431" i="3"/>
  <c r="K450" i="3"/>
  <c r="K449" i="3"/>
  <c r="K434" i="3"/>
  <c r="K433" i="3"/>
  <c r="K436" i="3"/>
  <c r="K439" i="3"/>
  <c r="K444" i="3"/>
  <c r="K425" i="3"/>
  <c r="K426" i="3"/>
  <c r="K423" i="3"/>
  <c r="K441" i="3"/>
  <c r="K428" i="3"/>
  <c r="K442" i="3"/>
  <c r="K238" i="3"/>
  <c r="K230" i="3"/>
  <c r="K243" i="3"/>
  <c r="K235" i="3"/>
  <c r="K227" i="3"/>
  <c r="K240" i="3"/>
  <c r="K232" i="3"/>
  <c r="K237" i="3"/>
  <c r="K229" i="3"/>
  <c r="K239" i="3"/>
  <c r="K231" i="3"/>
  <c r="K241" i="3"/>
  <c r="K233" i="3"/>
  <c r="K242" i="3"/>
  <c r="K234" i="3"/>
  <c r="K244" i="3"/>
  <c r="K236" i="3"/>
  <c r="K225" i="3"/>
  <c r="K228" i="3"/>
  <c r="K226" i="3"/>
  <c r="Q45" i="15"/>
  <c r="K10" i="5"/>
  <c r="M1132" i="3"/>
  <c r="N1132" i="3" s="1"/>
  <c r="B15" i="5"/>
  <c r="M40" i="3"/>
  <c r="N40" i="3" s="1"/>
  <c r="M32" i="3"/>
  <c r="N32" i="3" s="1"/>
  <c r="P44" i="3"/>
  <c r="P39" i="3"/>
  <c r="M37" i="3"/>
  <c r="N37" i="3" s="1"/>
  <c r="P36" i="3"/>
  <c r="P31" i="3"/>
  <c r="M29" i="3"/>
  <c r="N29" i="3" s="1"/>
  <c r="M42" i="3"/>
  <c r="N42" i="3" s="1"/>
  <c r="M34" i="3"/>
  <c r="N34" i="3" s="1"/>
  <c r="M26" i="3"/>
  <c r="N26" i="3" s="1"/>
  <c r="P41" i="3"/>
  <c r="M39" i="3"/>
  <c r="N39" i="3" s="1"/>
  <c r="P38" i="3"/>
  <c r="P33" i="3"/>
  <c r="M31" i="3"/>
  <c r="N31" i="3" s="1"/>
  <c r="P43" i="3"/>
  <c r="P42" i="3"/>
  <c r="P35" i="3"/>
  <c r="P34" i="3"/>
  <c r="M36" i="3"/>
  <c r="N36" i="3" s="1"/>
  <c r="M25" i="3"/>
  <c r="N25" i="3" s="1"/>
  <c r="M43" i="3"/>
  <c r="N43" i="3" s="1"/>
  <c r="M35" i="3"/>
  <c r="N35" i="3" s="1"/>
  <c r="M41" i="3"/>
  <c r="N41" i="3" s="1"/>
  <c r="M33" i="3"/>
  <c r="N33" i="3" s="1"/>
  <c r="M28" i="3"/>
  <c r="N28" i="3" s="1"/>
  <c r="M38" i="3"/>
  <c r="N38" i="3" s="1"/>
  <c r="P37" i="3"/>
  <c r="M27" i="3"/>
  <c r="N27" i="3" s="1"/>
  <c r="P40" i="3"/>
  <c r="P32" i="3"/>
  <c r="M30" i="3"/>
  <c r="N30" i="3" s="1"/>
  <c r="M1251" i="3"/>
  <c r="N1251" i="3" s="1"/>
  <c r="M1250" i="3"/>
  <c r="N1250" i="3" s="1"/>
  <c r="M1249" i="3"/>
  <c r="N1249" i="3" s="1"/>
  <c r="D10" i="6"/>
  <c r="M1252" i="3"/>
  <c r="N1252" i="3" s="1"/>
  <c r="M1248" i="3"/>
  <c r="N1248" i="3" s="1"/>
  <c r="K198" i="3"/>
  <c r="K190" i="3"/>
  <c r="K203" i="3"/>
  <c r="K195" i="3"/>
  <c r="K187" i="3"/>
  <c r="K200" i="3"/>
  <c r="K192" i="3"/>
  <c r="K197" i="3"/>
  <c r="K189" i="3"/>
  <c r="K202" i="3"/>
  <c r="K194" i="3"/>
  <c r="K204" i="3"/>
  <c r="K196" i="3"/>
  <c r="K186" i="3"/>
  <c r="K185" i="3"/>
  <c r="K188" i="3"/>
  <c r="K199" i="3"/>
  <c r="K191" i="3"/>
  <c r="K201" i="3"/>
  <c r="K193" i="3"/>
  <c r="L568" i="3"/>
  <c r="L834" i="3"/>
  <c r="K969" i="3"/>
  <c r="K961" i="3"/>
  <c r="K953" i="3"/>
  <c r="K966" i="3"/>
  <c r="K958" i="3"/>
  <c r="K967" i="3"/>
  <c r="K959" i="3"/>
  <c r="K971" i="3"/>
  <c r="K963" i="3"/>
  <c r="K962" i="3"/>
  <c r="K965" i="3"/>
  <c r="K964" i="3"/>
  <c r="K960" i="3"/>
  <c r="K957" i="3"/>
  <c r="K956" i="3"/>
  <c r="K955" i="3"/>
  <c r="K954" i="3"/>
  <c r="K972" i="3"/>
  <c r="K968" i="3"/>
  <c r="K970" i="3"/>
  <c r="L864" i="3"/>
  <c r="L688" i="3"/>
  <c r="L598" i="3"/>
  <c r="L422" i="3"/>
  <c r="K302" i="3"/>
  <c r="K294" i="3"/>
  <c r="K286" i="3"/>
  <c r="K299" i="3"/>
  <c r="K291" i="3"/>
  <c r="K304" i="3"/>
  <c r="K296" i="3"/>
  <c r="K288" i="3"/>
  <c r="K301" i="3"/>
  <c r="K293" i="3"/>
  <c r="K285" i="3"/>
  <c r="K295" i="3"/>
  <c r="K298" i="3"/>
  <c r="K297" i="3"/>
  <c r="K300" i="3"/>
  <c r="K303" i="3"/>
  <c r="K287" i="3"/>
  <c r="K289" i="3"/>
  <c r="K292" i="3"/>
  <c r="K290" i="3"/>
  <c r="K1251" i="3"/>
  <c r="K1249" i="3"/>
  <c r="K1247" i="3"/>
  <c r="K1245" i="3"/>
  <c r="K1243" i="3"/>
  <c r="K1241" i="3"/>
  <c r="K1239" i="3"/>
  <c r="K1237" i="3"/>
  <c r="K1235" i="3"/>
  <c r="K1233" i="3"/>
  <c r="K1244" i="3"/>
  <c r="K1252" i="3"/>
  <c r="K1246" i="3"/>
  <c r="K1250" i="3"/>
  <c r="K1240" i="3"/>
  <c r="K1234" i="3"/>
  <c r="K1238" i="3"/>
  <c r="K1248" i="3"/>
  <c r="K1242" i="3"/>
  <c r="K1236" i="3"/>
  <c r="K863" i="3"/>
  <c r="K861" i="3"/>
  <c r="K859" i="3"/>
  <c r="K857" i="3"/>
  <c r="K855" i="3"/>
  <c r="K853" i="3"/>
  <c r="K851" i="3"/>
  <c r="K849" i="3"/>
  <c r="K847" i="3"/>
  <c r="K845" i="3"/>
  <c r="K843" i="3"/>
  <c r="K841" i="3"/>
  <c r="K839" i="3"/>
  <c r="K837" i="3"/>
  <c r="K835" i="3"/>
  <c r="K864" i="3"/>
  <c r="K862" i="3"/>
  <c r="K860" i="3"/>
  <c r="K858" i="3"/>
  <c r="K856" i="3"/>
  <c r="K854" i="3"/>
  <c r="K852" i="3"/>
  <c r="K850" i="3"/>
  <c r="K848" i="3"/>
  <c r="K846" i="3"/>
  <c r="K844" i="3"/>
  <c r="K842" i="3"/>
  <c r="K840" i="3"/>
  <c r="K836" i="3"/>
  <c r="K838" i="3"/>
  <c r="K1231" i="3"/>
  <c r="K1229" i="3"/>
  <c r="K1227" i="3"/>
  <c r="K1225" i="3"/>
  <c r="K1223" i="3"/>
  <c r="K1221" i="3"/>
  <c r="K1219" i="3"/>
  <c r="K1217" i="3"/>
  <c r="K1215" i="3"/>
  <c r="K1213" i="3"/>
  <c r="K1228" i="3"/>
  <c r="K1232" i="3"/>
  <c r="K1214" i="3"/>
  <c r="K1226" i="3"/>
  <c r="K1220" i="3"/>
  <c r="K1218" i="3"/>
  <c r="K1230" i="3"/>
  <c r="K1216" i="3"/>
  <c r="K1224" i="3"/>
  <c r="K1222" i="3"/>
  <c r="M438" i="3"/>
  <c r="N438" i="3" s="1"/>
  <c r="M436" i="3"/>
  <c r="N436" i="3" s="1"/>
  <c r="M434" i="3"/>
  <c r="N434" i="3" s="1"/>
  <c r="M432" i="3"/>
  <c r="N432" i="3" s="1"/>
  <c r="M437" i="3"/>
  <c r="N437" i="3" s="1"/>
  <c r="M433" i="3"/>
  <c r="N433" i="3" s="1"/>
  <c r="M435" i="3"/>
  <c r="N435" i="3" s="1"/>
  <c r="M938" i="3"/>
  <c r="N938" i="3" s="1"/>
  <c r="M936" i="3"/>
  <c r="N936" i="3" s="1"/>
  <c r="M934" i="3"/>
  <c r="N934" i="3" s="1"/>
  <c r="M933" i="3"/>
  <c r="N933" i="3" s="1"/>
  <c r="M937" i="3"/>
  <c r="N937" i="3" s="1"/>
  <c r="M935" i="3"/>
  <c r="N935" i="3" s="1"/>
  <c r="M256" i="3"/>
  <c r="N256" i="3" s="1"/>
  <c r="M248" i="3"/>
  <c r="N248" i="3" s="1"/>
  <c r="M253" i="3"/>
  <c r="N253" i="3" s="1"/>
  <c r="M245" i="3"/>
  <c r="N245" i="3" s="1"/>
  <c r="M258" i="3"/>
  <c r="N258" i="3" s="1"/>
  <c r="M250" i="3"/>
  <c r="N250" i="3" s="1"/>
  <c r="M255" i="3"/>
  <c r="N255" i="3" s="1"/>
  <c r="M247" i="3"/>
  <c r="N247" i="3" s="1"/>
  <c r="M249" i="3"/>
  <c r="N249" i="3" s="1"/>
  <c r="M252" i="3"/>
  <c r="N252" i="3" s="1"/>
  <c r="M251" i="3"/>
  <c r="N251" i="3" s="1"/>
  <c r="M254" i="3"/>
  <c r="N254" i="3" s="1"/>
  <c r="M257" i="3"/>
  <c r="N257" i="3" s="1"/>
  <c r="M246" i="3"/>
  <c r="N246" i="3" s="1"/>
  <c r="M56" i="3"/>
  <c r="N56" i="3" s="1"/>
  <c r="M53" i="3"/>
  <c r="N53" i="3" s="1"/>
  <c r="M58" i="3"/>
  <c r="N58" i="3" s="1"/>
  <c r="M55" i="3"/>
  <c r="N55" i="3" s="1"/>
  <c r="M51" i="3"/>
  <c r="N51" i="3" s="1"/>
  <c r="M57" i="3"/>
  <c r="N57" i="3" s="1"/>
  <c r="M54" i="3"/>
  <c r="N54" i="3" s="1"/>
  <c r="M52" i="3"/>
  <c r="N52" i="3" s="1"/>
  <c r="M850" i="3"/>
  <c r="N850" i="3" s="1"/>
  <c r="M848" i="3"/>
  <c r="N848" i="3" s="1"/>
  <c r="M846" i="3"/>
  <c r="N846" i="3" s="1"/>
  <c r="M844" i="3"/>
  <c r="N844" i="3" s="1"/>
  <c r="M849" i="3"/>
  <c r="N849" i="3" s="1"/>
  <c r="M847" i="3"/>
  <c r="N847" i="3" s="1"/>
  <c r="M845" i="3"/>
  <c r="N845" i="3" s="1"/>
  <c r="M1019" i="3"/>
  <c r="N1019" i="3" s="1"/>
  <c r="M1024" i="3"/>
  <c r="N1024" i="3" s="1"/>
  <c r="M1021" i="3"/>
  <c r="N1021" i="3" s="1"/>
  <c r="M1025" i="3"/>
  <c r="N1025" i="3" s="1"/>
  <c r="M1020" i="3"/>
  <c r="N1020" i="3" s="1"/>
  <c r="M1023" i="3"/>
  <c r="N1023" i="3" s="1"/>
  <c r="M1022" i="3"/>
  <c r="N1022" i="3" s="1"/>
  <c r="M1026" i="3"/>
  <c r="N1026" i="3" s="1"/>
  <c r="AI181" i="15"/>
  <c r="M16" i="3"/>
  <c r="N16" i="3" s="1"/>
  <c r="M13" i="3"/>
  <c r="N13" i="3" s="1"/>
  <c r="M10" i="3"/>
  <c r="N10" i="3" s="1"/>
  <c r="M15" i="3"/>
  <c r="N15" i="3" s="1"/>
  <c r="M12" i="3"/>
  <c r="N12" i="3" s="1"/>
  <c r="M11" i="3"/>
  <c r="N11" i="3" s="1"/>
  <c r="M17" i="3"/>
  <c r="N17" i="3" s="1"/>
  <c r="M14" i="3"/>
  <c r="N14" i="3" s="1"/>
  <c r="G10" i="8"/>
  <c r="M1172" i="3"/>
  <c r="N1172" i="3" s="1"/>
  <c r="M1170" i="3"/>
  <c r="N1170" i="3" s="1"/>
  <c r="M1168" i="3"/>
  <c r="N1168" i="3" s="1"/>
  <c r="M1166" i="3"/>
  <c r="N1166" i="3" s="1"/>
  <c r="M1171" i="3"/>
  <c r="N1171" i="3" s="1"/>
  <c r="M1169" i="3"/>
  <c r="N1169" i="3" s="1"/>
  <c r="M1167" i="3"/>
  <c r="N1167" i="3" s="1"/>
  <c r="M1165" i="3"/>
  <c r="N1165" i="3" s="1"/>
  <c r="M699" i="3"/>
  <c r="N699" i="3" s="1"/>
  <c r="M692" i="3"/>
  <c r="N692" i="3" s="1"/>
  <c r="M698" i="3"/>
  <c r="N698" i="3" s="1"/>
  <c r="M695" i="3"/>
  <c r="N695" i="3" s="1"/>
  <c r="M689" i="3"/>
  <c r="N689" i="3" s="1"/>
  <c r="M694" i="3"/>
  <c r="N694" i="3" s="1"/>
  <c r="M691" i="3"/>
  <c r="N691" i="3" s="1"/>
  <c r="M693" i="3"/>
  <c r="N693" i="3" s="1"/>
  <c r="M696" i="3"/>
  <c r="N696" i="3" s="1"/>
  <c r="M697" i="3"/>
  <c r="N697" i="3" s="1"/>
  <c r="M690" i="3"/>
  <c r="N690" i="3" s="1"/>
  <c r="AF166" i="15"/>
  <c r="M1240" i="3"/>
  <c r="N1240" i="3" s="1"/>
  <c r="M1241" i="3"/>
  <c r="N1241" i="3" s="1"/>
  <c r="M1245" i="3"/>
  <c r="N1245" i="3" s="1"/>
  <c r="M1244" i="3"/>
  <c r="N1244" i="3" s="1"/>
  <c r="M1239" i="3"/>
  <c r="N1239" i="3" s="1"/>
  <c r="M1246" i="3"/>
  <c r="N1246" i="3" s="1"/>
  <c r="M1247" i="3"/>
  <c r="N1247" i="3" s="1"/>
  <c r="M1243" i="3"/>
  <c r="N1243" i="3" s="1"/>
  <c r="M1242" i="3"/>
  <c r="N1242" i="3" s="1"/>
  <c r="M731" i="3"/>
  <c r="N731" i="3" s="1"/>
  <c r="M724" i="3"/>
  <c r="N724" i="3" s="1"/>
  <c r="M733" i="3"/>
  <c r="N733" i="3" s="1"/>
  <c r="M735" i="3"/>
  <c r="N735" i="3" s="1"/>
  <c r="M734" i="3"/>
  <c r="N734" i="3" s="1"/>
  <c r="M726" i="3"/>
  <c r="N726" i="3" s="1"/>
  <c r="M723" i="3"/>
  <c r="N723" i="3" s="1"/>
  <c r="M720" i="3"/>
  <c r="N720" i="3" s="1"/>
  <c r="M732" i="3"/>
  <c r="N732" i="3" s="1"/>
  <c r="M729" i="3"/>
  <c r="N729" i="3" s="1"/>
  <c r="M719" i="3"/>
  <c r="N719" i="3" s="1"/>
  <c r="M728" i="3"/>
  <c r="N728" i="3" s="1"/>
  <c r="M725" i="3"/>
  <c r="N725" i="3" s="1"/>
  <c r="M722" i="3"/>
  <c r="N722" i="3" s="1"/>
  <c r="M721" i="3"/>
  <c r="N721" i="3" s="1"/>
  <c r="M727" i="3"/>
  <c r="N727" i="3" s="1"/>
  <c r="M730" i="3"/>
  <c r="N730" i="3" s="1"/>
  <c r="M718" i="3"/>
  <c r="N718" i="3" s="1"/>
  <c r="M717" i="3"/>
  <c r="N717" i="3" s="1"/>
  <c r="M1164" i="3"/>
  <c r="N1164" i="3" s="1"/>
  <c r="M1162" i="3"/>
  <c r="N1162" i="3" s="1"/>
  <c r="M1160" i="3"/>
  <c r="N1160" i="3" s="1"/>
  <c r="M1158" i="3"/>
  <c r="N1158" i="3" s="1"/>
  <c r="M1163" i="3"/>
  <c r="N1163" i="3" s="1"/>
  <c r="M1161" i="3"/>
  <c r="N1161" i="3" s="1"/>
  <c r="M1159" i="3"/>
  <c r="N1159" i="3" s="1"/>
  <c r="M430" i="3"/>
  <c r="N430" i="3" s="1"/>
  <c r="M428" i="3"/>
  <c r="N428" i="3" s="1"/>
  <c r="M426" i="3"/>
  <c r="N426" i="3" s="1"/>
  <c r="M424" i="3"/>
  <c r="N424" i="3" s="1"/>
  <c r="M429" i="3"/>
  <c r="N429" i="3" s="1"/>
  <c r="M431" i="3"/>
  <c r="N431" i="3" s="1"/>
  <c r="M423" i="3"/>
  <c r="N423" i="3" s="1"/>
  <c r="M427" i="3"/>
  <c r="N427" i="3" s="1"/>
  <c r="M425" i="3"/>
  <c r="N425" i="3" s="1"/>
  <c r="C15" i="9"/>
  <c r="P202" i="3"/>
  <c r="M200" i="3"/>
  <c r="N200" i="3" s="1"/>
  <c r="P199" i="3"/>
  <c r="P194" i="3"/>
  <c r="M192" i="3"/>
  <c r="N192" i="3" s="1"/>
  <c r="P191" i="3"/>
  <c r="M197" i="3"/>
  <c r="N197" i="3" s="1"/>
  <c r="M189" i="3"/>
  <c r="N189" i="3" s="1"/>
  <c r="P204" i="3"/>
  <c r="M202" i="3"/>
  <c r="N202" i="3" s="1"/>
  <c r="P201" i="3"/>
  <c r="P196" i="3"/>
  <c r="M194" i="3"/>
  <c r="N194" i="3" s="1"/>
  <c r="P193" i="3"/>
  <c r="M186" i="3"/>
  <c r="N186" i="3" s="1"/>
  <c r="M199" i="3"/>
  <c r="N199" i="3" s="1"/>
  <c r="M191" i="3"/>
  <c r="N191" i="3" s="1"/>
  <c r="M196" i="3"/>
  <c r="N196" i="3" s="1"/>
  <c r="M185" i="3"/>
  <c r="N185" i="3" s="1"/>
  <c r="M203" i="3"/>
  <c r="N203" i="3" s="1"/>
  <c r="P198" i="3"/>
  <c r="M195" i="3"/>
  <c r="N195" i="3" s="1"/>
  <c r="M188" i="3"/>
  <c r="N188" i="3" s="1"/>
  <c r="P197" i="3"/>
  <c r="M187" i="3"/>
  <c r="N187" i="3" s="1"/>
  <c r="M198" i="3"/>
  <c r="N198" i="3" s="1"/>
  <c r="M190" i="3"/>
  <c r="N190" i="3" s="1"/>
  <c r="M201" i="3"/>
  <c r="N201" i="3" s="1"/>
  <c r="P200" i="3"/>
  <c r="M193" i="3"/>
  <c r="N193" i="3" s="1"/>
  <c r="P192" i="3"/>
  <c r="P203" i="3"/>
  <c r="P195" i="3"/>
  <c r="D10" i="9"/>
  <c r="M987" i="3"/>
  <c r="N987" i="3" s="1"/>
  <c r="M992" i="3"/>
  <c r="N992" i="3" s="1"/>
  <c r="M989" i="3"/>
  <c r="N989" i="3" s="1"/>
  <c r="M991" i="3"/>
  <c r="N991" i="3" s="1"/>
  <c r="M990" i="3"/>
  <c r="N990" i="3" s="1"/>
  <c r="M988" i="3"/>
  <c r="N988" i="3" s="1"/>
  <c r="M986" i="3"/>
  <c r="N986" i="3" s="1"/>
  <c r="C10" i="10"/>
  <c r="M304" i="3"/>
  <c r="N304" i="3" s="1"/>
  <c r="M301" i="3"/>
  <c r="N301" i="3" s="1"/>
  <c r="M303" i="3"/>
  <c r="N303" i="3" s="1"/>
  <c r="M300" i="3"/>
  <c r="N300" i="3" s="1"/>
  <c r="M299" i="3"/>
  <c r="N299" i="3" s="1"/>
  <c r="M302" i="3"/>
  <c r="N302" i="3" s="1"/>
  <c r="AF147" i="15"/>
  <c r="AK147" i="15"/>
  <c r="AF128" i="15"/>
  <c r="AF173" i="15"/>
  <c r="AI173" i="15"/>
  <c r="AF164" i="15"/>
  <c r="K364" i="3"/>
  <c r="K362" i="3"/>
  <c r="K360" i="3"/>
  <c r="K358" i="3"/>
  <c r="K356" i="3"/>
  <c r="K354" i="3"/>
  <c r="K352" i="3"/>
  <c r="K350" i="3"/>
  <c r="K348" i="3"/>
  <c r="K346" i="3"/>
  <c r="K361" i="3"/>
  <c r="K353" i="3"/>
  <c r="K363" i="3"/>
  <c r="K351" i="3"/>
  <c r="K349" i="3"/>
  <c r="K347" i="3"/>
  <c r="K357" i="3"/>
  <c r="K345" i="3"/>
  <c r="K359" i="3"/>
  <c r="K355" i="3"/>
  <c r="K538" i="3"/>
  <c r="K536" i="3"/>
  <c r="K534" i="3"/>
  <c r="K532" i="3"/>
  <c r="K530" i="3"/>
  <c r="K528" i="3"/>
  <c r="K526" i="3"/>
  <c r="K524" i="3"/>
  <c r="K522" i="3"/>
  <c r="K520" i="3"/>
  <c r="K518" i="3"/>
  <c r="K516" i="3"/>
  <c r="K514" i="3"/>
  <c r="K512" i="3"/>
  <c r="K510" i="3"/>
  <c r="K527" i="3"/>
  <c r="K511" i="3"/>
  <c r="K525" i="3"/>
  <c r="K509" i="3"/>
  <c r="K523" i="3"/>
  <c r="K521" i="3"/>
  <c r="K533" i="3"/>
  <c r="K517" i="3"/>
  <c r="K529" i="3"/>
  <c r="K519" i="3"/>
  <c r="K515" i="3"/>
  <c r="K537" i="3"/>
  <c r="K531" i="3"/>
  <c r="K535" i="3"/>
  <c r="K513" i="3"/>
  <c r="K713" i="3"/>
  <c r="K704" i="3"/>
  <c r="K697" i="3"/>
  <c r="K711" i="3"/>
  <c r="K708" i="3"/>
  <c r="K705" i="3"/>
  <c r="K714" i="3"/>
  <c r="K701" i="3"/>
  <c r="K695" i="3"/>
  <c r="K692" i="3"/>
  <c r="K689" i="3"/>
  <c r="K707" i="3"/>
  <c r="K698" i="3"/>
  <c r="K716" i="3"/>
  <c r="K710" i="3"/>
  <c r="K691" i="3"/>
  <c r="K700" i="3"/>
  <c r="K690" i="3"/>
  <c r="K712" i="3"/>
  <c r="K703" i="3"/>
  <c r="K702" i="3"/>
  <c r="K693" i="3"/>
  <c r="K715" i="3"/>
  <c r="K696" i="3"/>
  <c r="K706" i="3"/>
  <c r="K699" i="3"/>
  <c r="K694" i="3"/>
  <c r="K709" i="3"/>
  <c r="K598" i="3"/>
  <c r="K596" i="3"/>
  <c r="K594" i="3"/>
  <c r="K592" i="3"/>
  <c r="K590" i="3"/>
  <c r="K588" i="3"/>
  <c r="K586" i="3"/>
  <c r="K587" i="3"/>
  <c r="K593" i="3"/>
  <c r="K584" i="3"/>
  <c r="K582" i="3"/>
  <c r="K580" i="3"/>
  <c r="K578" i="3"/>
  <c r="K576" i="3"/>
  <c r="K574" i="3"/>
  <c r="K572" i="3"/>
  <c r="K570" i="3"/>
  <c r="K589" i="3"/>
  <c r="K597" i="3"/>
  <c r="K591" i="3"/>
  <c r="K579" i="3"/>
  <c r="K585" i="3"/>
  <c r="K569" i="3"/>
  <c r="K575" i="3"/>
  <c r="K581" i="3"/>
  <c r="K573" i="3"/>
  <c r="K571" i="3"/>
  <c r="K577" i="3"/>
  <c r="K583" i="3"/>
  <c r="K595" i="3"/>
  <c r="K422" i="3"/>
  <c r="K414" i="3"/>
  <c r="K406" i="3"/>
  <c r="K398" i="3"/>
  <c r="K419" i="3"/>
  <c r="K411" i="3"/>
  <c r="K403" i="3"/>
  <c r="K395" i="3"/>
  <c r="K416" i="3"/>
  <c r="K408" i="3"/>
  <c r="K400" i="3"/>
  <c r="K421" i="3"/>
  <c r="K413" i="3"/>
  <c r="K405" i="3"/>
  <c r="K397" i="3"/>
  <c r="K418" i="3"/>
  <c r="K410" i="3"/>
  <c r="K402" i="3"/>
  <c r="K401" i="3"/>
  <c r="K420" i="3"/>
  <c r="K412" i="3"/>
  <c r="K404" i="3"/>
  <c r="K393" i="3"/>
  <c r="K417" i="3"/>
  <c r="K409" i="3"/>
  <c r="K396" i="3"/>
  <c r="K394" i="3"/>
  <c r="K415" i="3"/>
  <c r="K407" i="3"/>
  <c r="K399" i="3"/>
  <c r="K773" i="3"/>
  <c r="K771" i="3"/>
  <c r="K769" i="3"/>
  <c r="K767" i="3"/>
  <c r="K765" i="3"/>
  <c r="K763" i="3"/>
  <c r="K761" i="3"/>
  <c r="K759" i="3"/>
  <c r="K757" i="3"/>
  <c r="K755" i="3"/>
  <c r="K764" i="3"/>
  <c r="K752" i="3"/>
  <c r="K762" i="3"/>
  <c r="K754" i="3"/>
  <c r="K747" i="3"/>
  <c r="K760" i="3"/>
  <c r="K749" i="3"/>
  <c r="K758" i="3"/>
  <c r="K751" i="3"/>
  <c r="K756" i="3"/>
  <c r="K774" i="3"/>
  <c r="K772" i="3"/>
  <c r="K770" i="3"/>
  <c r="K766" i="3"/>
  <c r="K748" i="3"/>
  <c r="K753" i="3"/>
  <c r="K768" i="3"/>
  <c r="K750" i="3"/>
  <c r="Q658" i="3"/>
  <c r="O628" i="3"/>
  <c r="Q628" i="3" s="1"/>
  <c r="K1049" i="3"/>
  <c r="K1041" i="3"/>
  <c r="K1033" i="3"/>
  <c r="K1046" i="3"/>
  <c r="K1038" i="3"/>
  <c r="K1051" i="3"/>
  <c r="K1043" i="3"/>
  <c r="K1035" i="3"/>
  <c r="K1047" i="3"/>
  <c r="K1039" i="3"/>
  <c r="K1048" i="3"/>
  <c r="K1040" i="3"/>
  <c r="K1050" i="3"/>
  <c r="K1042" i="3"/>
  <c r="K1034" i="3"/>
  <c r="K1036" i="3"/>
  <c r="K1045" i="3"/>
  <c r="K1037" i="3"/>
  <c r="K1052" i="3"/>
  <c r="K1044" i="3"/>
  <c r="M1016" i="3"/>
  <c r="N1016" i="3" s="1"/>
  <c r="M1013" i="3"/>
  <c r="N1013" i="3" s="1"/>
  <c r="M1017" i="3"/>
  <c r="N1017" i="3" s="1"/>
  <c r="M1018" i="3"/>
  <c r="N1018" i="3" s="1"/>
  <c r="M1014" i="3"/>
  <c r="N1014" i="3" s="1"/>
  <c r="M1015" i="3"/>
  <c r="N1015" i="3" s="1"/>
  <c r="M1176" i="3"/>
  <c r="N1176" i="3" s="1"/>
  <c r="M1174" i="3"/>
  <c r="N1174" i="3" s="1"/>
  <c r="M1177" i="3"/>
  <c r="N1177" i="3" s="1"/>
  <c r="M1175" i="3"/>
  <c r="N1175" i="3" s="1"/>
  <c r="M1173" i="3"/>
  <c r="N1173" i="3" s="1"/>
  <c r="C10" i="7"/>
  <c r="M972" i="3"/>
  <c r="N972" i="3" s="1"/>
  <c r="N15" i="5"/>
  <c r="M420" i="3"/>
  <c r="N420" i="3" s="1"/>
  <c r="M418" i="3"/>
  <c r="N418" i="3" s="1"/>
  <c r="M416" i="3"/>
  <c r="N416" i="3" s="1"/>
  <c r="M414" i="3"/>
  <c r="N414" i="3" s="1"/>
  <c r="M412" i="3"/>
  <c r="N412" i="3" s="1"/>
  <c r="M410" i="3"/>
  <c r="N410" i="3" s="1"/>
  <c r="M408" i="3"/>
  <c r="N408" i="3" s="1"/>
  <c r="M406" i="3"/>
  <c r="N406" i="3" s="1"/>
  <c r="M404" i="3"/>
  <c r="N404" i="3" s="1"/>
  <c r="M402" i="3"/>
  <c r="N402" i="3" s="1"/>
  <c r="M400" i="3"/>
  <c r="N400" i="3" s="1"/>
  <c r="M398" i="3"/>
  <c r="N398" i="3" s="1"/>
  <c r="M396" i="3"/>
  <c r="N396" i="3" s="1"/>
  <c r="M394" i="3"/>
  <c r="N394" i="3" s="1"/>
  <c r="P418" i="3"/>
  <c r="P415" i="3"/>
  <c r="P410" i="3"/>
  <c r="P407" i="3"/>
  <c r="P402" i="3"/>
  <c r="M421" i="3"/>
  <c r="N421" i="3" s="1"/>
  <c r="M413" i="3"/>
  <c r="N413" i="3" s="1"/>
  <c r="M405" i="3"/>
  <c r="N405" i="3" s="1"/>
  <c r="M397" i="3"/>
  <c r="N397" i="3" s="1"/>
  <c r="P420" i="3"/>
  <c r="P417" i="3"/>
  <c r="P412" i="3"/>
  <c r="P409" i="3"/>
  <c r="P404" i="3"/>
  <c r="M415" i="3"/>
  <c r="N415" i="3" s="1"/>
  <c r="M407" i="3"/>
  <c r="N407" i="3" s="1"/>
  <c r="M399" i="3"/>
  <c r="N399" i="3" s="1"/>
  <c r="P422" i="3"/>
  <c r="M419" i="3"/>
  <c r="N419" i="3" s="1"/>
  <c r="P414" i="3"/>
  <c r="M411" i="3"/>
  <c r="N411" i="3" s="1"/>
  <c r="P406" i="3"/>
  <c r="M403" i="3"/>
  <c r="N403" i="3" s="1"/>
  <c r="P421" i="3"/>
  <c r="P413" i="3"/>
  <c r="P405" i="3"/>
  <c r="M393" i="3"/>
  <c r="N393" i="3" s="1"/>
  <c r="M401" i="3"/>
  <c r="N401" i="3" s="1"/>
  <c r="P419" i="3"/>
  <c r="P411" i="3"/>
  <c r="P403" i="3"/>
  <c r="M395" i="3"/>
  <c r="N395" i="3" s="1"/>
  <c r="M417" i="3"/>
  <c r="N417" i="3" s="1"/>
  <c r="P408" i="3"/>
  <c r="P416" i="3"/>
  <c r="M409" i="3"/>
  <c r="N409" i="3" s="1"/>
  <c r="AF152" i="15"/>
  <c r="AK152" i="15"/>
  <c r="K885" i="3"/>
  <c r="K880" i="3"/>
  <c r="K890" i="3"/>
  <c r="K882" i="3"/>
  <c r="K875" i="3"/>
  <c r="K873" i="3"/>
  <c r="K871" i="3"/>
  <c r="K869" i="3"/>
  <c r="K867" i="3"/>
  <c r="K865" i="3"/>
  <c r="K887" i="3"/>
  <c r="K877" i="3"/>
  <c r="K892" i="3"/>
  <c r="K884" i="3"/>
  <c r="K879" i="3"/>
  <c r="K889" i="3"/>
  <c r="K888" i="3"/>
  <c r="K874" i="3"/>
  <c r="K866" i="3"/>
  <c r="K891" i="3"/>
  <c r="K872" i="3"/>
  <c r="K876" i="3"/>
  <c r="K878" i="3"/>
  <c r="K868" i="3"/>
  <c r="K886" i="3"/>
  <c r="K883" i="3"/>
  <c r="K870" i="3"/>
  <c r="K881" i="3"/>
  <c r="K833" i="3"/>
  <c r="K831" i="3"/>
  <c r="K829" i="3"/>
  <c r="K827" i="3"/>
  <c r="K825" i="3"/>
  <c r="K823" i="3"/>
  <c r="K821" i="3"/>
  <c r="K819" i="3"/>
  <c r="K817" i="3"/>
  <c r="K815" i="3"/>
  <c r="K813" i="3"/>
  <c r="K811" i="3"/>
  <c r="K809" i="3"/>
  <c r="K807" i="3"/>
  <c r="K805" i="3"/>
  <c r="K818" i="3"/>
  <c r="K816" i="3"/>
  <c r="K814" i="3"/>
  <c r="K812" i="3"/>
  <c r="K826" i="3"/>
  <c r="K808" i="3"/>
  <c r="K830" i="3"/>
  <c r="K824" i="3"/>
  <c r="K810" i="3"/>
  <c r="K834" i="3"/>
  <c r="K820" i="3"/>
  <c r="K832" i="3"/>
  <c r="K822" i="3"/>
  <c r="K806" i="3"/>
  <c r="K828" i="3"/>
  <c r="Q43" i="15"/>
  <c r="M1218" i="3"/>
  <c r="N1218" i="3" s="1"/>
  <c r="M1213" i="3"/>
  <c r="N1213" i="3" s="1"/>
  <c r="M1215" i="3"/>
  <c r="N1215" i="3" s="1"/>
  <c r="M1214" i="3"/>
  <c r="N1214" i="3" s="1"/>
  <c r="M1216" i="3"/>
  <c r="N1216" i="3" s="1"/>
  <c r="M1217" i="3"/>
  <c r="N1217" i="3" s="1"/>
  <c r="Q52" i="15"/>
  <c r="B10" i="10"/>
  <c r="M284" i="3"/>
  <c r="N284" i="3" s="1"/>
  <c r="D10" i="5"/>
  <c r="M244" i="3"/>
  <c r="N244" i="3" s="1"/>
  <c r="K392" i="3"/>
  <c r="K390" i="3"/>
  <c r="K388" i="3"/>
  <c r="K386" i="3"/>
  <c r="K384" i="3"/>
  <c r="K382" i="3"/>
  <c r="K380" i="3"/>
  <c r="K378" i="3"/>
  <c r="K376" i="3"/>
  <c r="K374" i="3"/>
  <c r="K372" i="3"/>
  <c r="K370" i="3"/>
  <c r="K368" i="3"/>
  <c r="K366" i="3"/>
  <c r="K385" i="3"/>
  <c r="K369" i="3"/>
  <c r="K383" i="3"/>
  <c r="K367" i="3"/>
  <c r="K381" i="3"/>
  <c r="K365" i="3"/>
  <c r="K379" i="3"/>
  <c r="K375" i="3"/>
  <c r="K389" i="3"/>
  <c r="K371" i="3"/>
  <c r="K391" i="3"/>
  <c r="K377" i="3"/>
  <c r="K373" i="3"/>
  <c r="K387" i="3"/>
  <c r="K1111" i="3"/>
  <c r="K1110" i="3"/>
  <c r="K1095" i="3"/>
  <c r="K1094" i="3"/>
  <c r="K1109" i="3"/>
  <c r="K1108" i="3"/>
  <c r="K1093" i="3"/>
  <c r="K1107" i="3"/>
  <c r="K1106" i="3"/>
  <c r="K1099" i="3"/>
  <c r="K1098" i="3"/>
  <c r="K1104" i="3"/>
  <c r="K1112" i="3"/>
  <c r="K1105" i="3"/>
  <c r="K1100" i="3"/>
  <c r="K1101" i="3"/>
  <c r="K1103" i="3"/>
  <c r="K1102" i="3"/>
  <c r="K1096" i="3"/>
  <c r="K1097" i="3"/>
  <c r="K1009" i="3"/>
  <c r="K1001" i="3"/>
  <c r="K993" i="3"/>
  <c r="K1006" i="3"/>
  <c r="K998" i="3"/>
  <c r="K1011" i="3"/>
  <c r="K1003" i="3"/>
  <c r="K995" i="3"/>
  <c r="K1007" i="3"/>
  <c r="K999" i="3"/>
  <c r="K1008" i="3"/>
  <c r="K1000" i="3"/>
  <c r="K1010" i="3"/>
  <c r="K1002" i="3"/>
  <c r="K1012" i="3"/>
  <c r="K1004" i="3"/>
  <c r="K996" i="3"/>
  <c r="K1005" i="3"/>
  <c r="K997" i="3"/>
  <c r="K994" i="3"/>
  <c r="K142" i="3"/>
  <c r="K138" i="3"/>
  <c r="K134" i="3"/>
  <c r="K130" i="3"/>
  <c r="K126" i="3"/>
  <c r="K141" i="3"/>
  <c r="K137" i="3"/>
  <c r="K133" i="3"/>
  <c r="K129" i="3"/>
  <c r="K125" i="3"/>
  <c r="K140" i="3"/>
  <c r="K128" i="3"/>
  <c r="K144" i="3"/>
  <c r="K143" i="3"/>
  <c r="K136" i="3"/>
  <c r="K127" i="3"/>
  <c r="K131" i="3"/>
  <c r="K135" i="3"/>
  <c r="K139" i="3"/>
  <c r="K132" i="3"/>
  <c r="L833" i="3"/>
  <c r="L567" i="3"/>
  <c r="L744" i="3"/>
  <c r="L536" i="3"/>
  <c r="M1204" i="3"/>
  <c r="N1204" i="3" s="1"/>
  <c r="M1201" i="3"/>
  <c r="N1201" i="3" s="1"/>
  <c r="M1199" i="3"/>
  <c r="N1199" i="3" s="1"/>
  <c r="M1207" i="3"/>
  <c r="N1207" i="3" s="1"/>
  <c r="M1203" i="3"/>
  <c r="N1203" i="3" s="1"/>
  <c r="M1206" i="3"/>
  <c r="N1206" i="3" s="1"/>
  <c r="M1202" i="3"/>
  <c r="N1202" i="3" s="1"/>
  <c r="M1205" i="3"/>
  <c r="N1205" i="3" s="1"/>
  <c r="M1200" i="3"/>
  <c r="N1200" i="3" s="1"/>
  <c r="M502" i="3"/>
  <c r="N502" i="3" s="1"/>
  <c r="M500" i="3"/>
  <c r="N500" i="3" s="1"/>
  <c r="M498" i="3"/>
  <c r="N498" i="3" s="1"/>
  <c r="M496" i="3"/>
  <c r="N496" i="3" s="1"/>
  <c r="M494" i="3"/>
  <c r="N494" i="3" s="1"/>
  <c r="M492" i="3"/>
  <c r="N492" i="3" s="1"/>
  <c r="M490" i="3"/>
  <c r="N490" i="3" s="1"/>
  <c r="M497" i="3"/>
  <c r="N497" i="3" s="1"/>
  <c r="M493" i="3"/>
  <c r="N493" i="3" s="1"/>
  <c r="M499" i="3"/>
  <c r="N499" i="3" s="1"/>
  <c r="M489" i="3"/>
  <c r="N489" i="3" s="1"/>
  <c r="M495" i="3"/>
  <c r="N495" i="3" s="1"/>
  <c r="M501" i="3"/>
  <c r="N501" i="3" s="1"/>
  <c r="M491" i="3"/>
  <c r="N491" i="3" s="1"/>
  <c r="M942" i="3"/>
  <c r="N942" i="3" s="1"/>
  <c r="M940" i="3"/>
  <c r="N940" i="3" s="1"/>
  <c r="M944" i="3"/>
  <c r="N944" i="3" s="1"/>
  <c r="M945" i="3"/>
  <c r="N945" i="3" s="1"/>
  <c r="M943" i="3"/>
  <c r="N943" i="3" s="1"/>
  <c r="M946" i="3"/>
  <c r="N946" i="3" s="1"/>
  <c r="M941" i="3"/>
  <c r="N941" i="3" s="1"/>
  <c r="M939" i="3"/>
  <c r="N939" i="3" s="1"/>
  <c r="M672" i="3"/>
  <c r="N672" i="3" s="1"/>
  <c r="M670" i="3"/>
  <c r="N670" i="3" s="1"/>
  <c r="M674" i="3"/>
  <c r="N674" i="3" s="1"/>
  <c r="M673" i="3"/>
  <c r="N673" i="3" s="1"/>
  <c r="M671" i="3"/>
  <c r="N671" i="3" s="1"/>
  <c r="M177" i="3"/>
  <c r="N177" i="3" s="1"/>
  <c r="M175" i="3"/>
  <c r="N175" i="3" s="1"/>
  <c r="M173" i="3"/>
  <c r="N173" i="3" s="1"/>
  <c r="M171" i="3"/>
  <c r="N171" i="3" s="1"/>
  <c r="M169" i="3"/>
  <c r="N169" i="3" s="1"/>
  <c r="M167" i="3"/>
  <c r="N167" i="3" s="1"/>
  <c r="M165" i="3"/>
  <c r="N165" i="3" s="1"/>
  <c r="M170" i="3"/>
  <c r="N170" i="3" s="1"/>
  <c r="M176" i="3"/>
  <c r="N176" i="3" s="1"/>
  <c r="M166" i="3"/>
  <c r="N166" i="3" s="1"/>
  <c r="M174" i="3"/>
  <c r="N174" i="3" s="1"/>
  <c r="M172" i="3"/>
  <c r="N172" i="3" s="1"/>
  <c r="M168" i="3"/>
  <c r="N168" i="3" s="1"/>
  <c r="B10" i="12"/>
  <c r="M478" i="3"/>
  <c r="N478" i="3" s="1"/>
  <c r="C10" i="8"/>
  <c r="M124" i="3"/>
  <c r="N124" i="3" s="1"/>
  <c r="F10" i="5"/>
  <c r="M932" i="3"/>
  <c r="N932" i="3" s="1"/>
  <c r="K1191" i="3"/>
  <c r="K1189" i="3"/>
  <c r="K1187" i="3"/>
  <c r="K1185" i="3"/>
  <c r="K1192" i="3"/>
  <c r="K1190" i="3"/>
  <c r="K1177" i="3"/>
  <c r="K1176" i="3"/>
  <c r="K1175" i="3"/>
  <c r="K1174" i="3"/>
  <c r="K1173" i="3"/>
  <c r="K1186" i="3"/>
  <c r="K1184" i="3"/>
  <c r="K1183" i="3"/>
  <c r="K1182" i="3"/>
  <c r="K1181" i="3"/>
  <c r="K1180" i="3"/>
  <c r="K1188" i="3"/>
  <c r="K1178" i="3"/>
  <c r="K1179" i="3"/>
  <c r="L63" i="15"/>
  <c r="K508" i="3"/>
  <c r="Q508" i="3" s="1"/>
  <c r="K506" i="3"/>
  <c r="K504" i="3"/>
  <c r="K502" i="3"/>
  <c r="K500" i="3"/>
  <c r="K498" i="3"/>
  <c r="K496" i="3"/>
  <c r="K494" i="3"/>
  <c r="K492" i="3"/>
  <c r="K490" i="3"/>
  <c r="K488" i="3"/>
  <c r="K486" i="3"/>
  <c r="K484" i="3"/>
  <c r="K482" i="3"/>
  <c r="K480" i="3"/>
  <c r="K507" i="3"/>
  <c r="K505" i="3"/>
  <c r="K503" i="3"/>
  <c r="K501" i="3"/>
  <c r="K499" i="3"/>
  <c r="K497" i="3"/>
  <c r="K495" i="3"/>
  <c r="K493" i="3"/>
  <c r="K491" i="3"/>
  <c r="K489" i="3"/>
  <c r="K487" i="3"/>
  <c r="K485" i="3"/>
  <c r="K483" i="3"/>
  <c r="K481" i="3"/>
  <c r="K479" i="3"/>
  <c r="K945" i="3"/>
  <c r="K950" i="3"/>
  <c r="K952" i="3"/>
  <c r="K946" i="3"/>
  <c r="K938" i="3"/>
  <c r="K935" i="3"/>
  <c r="K934" i="3"/>
  <c r="K944" i="3"/>
  <c r="K939" i="3"/>
  <c r="K943" i="3"/>
  <c r="K942" i="3"/>
  <c r="K933" i="3"/>
  <c r="K949" i="3"/>
  <c r="K936" i="3"/>
  <c r="K937" i="3"/>
  <c r="K951" i="3"/>
  <c r="K940" i="3"/>
  <c r="K947" i="3"/>
  <c r="K941" i="3"/>
  <c r="K948" i="3"/>
  <c r="K62" i="3"/>
  <c r="K54" i="3"/>
  <c r="K46" i="3"/>
  <c r="K59" i="3"/>
  <c r="K51" i="3"/>
  <c r="K64" i="3"/>
  <c r="K56" i="3"/>
  <c r="K48" i="3"/>
  <c r="K61" i="3"/>
  <c r="K53" i="3"/>
  <c r="K45" i="3"/>
  <c r="K52" i="3"/>
  <c r="K55" i="3"/>
  <c r="K58" i="3"/>
  <c r="K57" i="3"/>
  <c r="K50" i="3"/>
  <c r="K49" i="3"/>
  <c r="K60" i="3"/>
  <c r="K63" i="3"/>
  <c r="K47" i="3"/>
  <c r="O625" i="3"/>
  <c r="M1098" i="3"/>
  <c r="N1098" i="3" s="1"/>
  <c r="M1096" i="3"/>
  <c r="N1096" i="3" s="1"/>
  <c r="M1094" i="3"/>
  <c r="N1094" i="3" s="1"/>
  <c r="M1097" i="3"/>
  <c r="N1097" i="3" s="1"/>
  <c r="M1095" i="3"/>
  <c r="N1095" i="3" s="1"/>
  <c r="M1093" i="3"/>
  <c r="N1093" i="3" s="1"/>
  <c r="AK135" i="15"/>
  <c r="M701" i="3"/>
  <c r="N701" i="3" s="1"/>
  <c r="M704" i="3"/>
  <c r="N704" i="3" s="1"/>
  <c r="M700" i="3"/>
  <c r="N700" i="3" s="1"/>
  <c r="M703" i="3"/>
  <c r="N703" i="3" s="1"/>
  <c r="M702" i="3"/>
  <c r="N702" i="3" s="1"/>
  <c r="AF181" i="15"/>
  <c r="M1224" i="3"/>
  <c r="N1224" i="3" s="1"/>
  <c r="M1221" i="3"/>
  <c r="N1221" i="3" s="1"/>
  <c r="M1227" i="3"/>
  <c r="N1227" i="3" s="1"/>
  <c r="M1223" i="3"/>
  <c r="N1223" i="3" s="1"/>
  <c r="M1226" i="3"/>
  <c r="N1226" i="3" s="1"/>
  <c r="M1222" i="3"/>
  <c r="N1222" i="3" s="1"/>
  <c r="M1225" i="3"/>
  <c r="N1225" i="3" s="1"/>
  <c r="M1219" i="3"/>
  <c r="N1219" i="3" s="1"/>
  <c r="M1220" i="3"/>
  <c r="N1220" i="3" s="1"/>
  <c r="M88" i="3"/>
  <c r="N88" i="3" s="1"/>
  <c r="M85" i="3"/>
  <c r="N85" i="3" s="1"/>
  <c r="M90" i="3"/>
  <c r="N90" i="3" s="1"/>
  <c r="M87" i="3"/>
  <c r="N87" i="3" s="1"/>
  <c r="M89" i="3"/>
  <c r="N89" i="3" s="1"/>
  <c r="M86" i="3"/>
  <c r="N86" i="3" s="1"/>
  <c r="D15" i="8"/>
  <c r="M362" i="3"/>
  <c r="N362" i="3" s="1"/>
  <c r="M360" i="3"/>
  <c r="N360" i="3" s="1"/>
  <c r="M358" i="3"/>
  <c r="N358" i="3" s="1"/>
  <c r="M356" i="3"/>
  <c r="N356" i="3" s="1"/>
  <c r="M354" i="3"/>
  <c r="N354" i="3" s="1"/>
  <c r="M352" i="3"/>
  <c r="N352" i="3" s="1"/>
  <c r="M350" i="3"/>
  <c r="N350" i="3" s="1"/>
  <c r="M348" i="3"/>
  <c r="N348" i="3" s="1"/>
  <c r="M346" i="3"/>
  <c r="N346" i="3" s="1"/>
  <c r="P363" i="3"/>
  <c r="P361" i="3"/>
  <c r="P359" i="3"/>
  <c r="P357" i="3"/>
  <c r="P364" i="3"/>
  <c r="M349" i="3"/>
  <c r="N349" i="3" s="1"/>
  <c r="M347" i="3"/>
  <c r="N347" i="3" s="1"/>
  <c r="M345" i="3"/>
  <c r="N345" i="3" s="1"/>
  <c r="P355" i="3"/>
  <c r="P353" i="3"/>
  <c r="M363" i="3"/>
  <c r="N363" i="3" s="1"/>
  <c r="P358" i="3"/>
  <c r="P352" i="3"/>
  <c r="M351" i="3"/>
  <c r="N351" i="3" s="1"/>
  <c r="M359" i="3"/>
  <c r="N359" i="3" s="1"/>
  <c r="P354" i="3"/>
  <c r="M353" i="3"/>
  <c r="N353" i="3" s="1"/>
  <c r="M355" i="3"/>
  <c r="N355" i="3" s="1"/>
  <c r="P360" i="3"/>
  <c r="P356" i="3"/>
  <c r="M361" i="3"/>
  <c r="N361" i="3" s="1"/>
  <c r="P350" i="3"/>
  <c r="P362" i="3"/>
  <c r="P351" i="3"/>
  <c r="M357" i="3"/>
  <c r="N357" i="3" s="1"/>
  <c r="C15" i="4"/>
  <c r="M163" i="3"/>
  <c r="N163" i="3" s="1"/>
  <c r="M161" i="3"/>
  <c r="N161" i="3" s="1"/>
  <c r="M159" i="3"/>
  <c r="N159" i="3" s="1"/>
  <c r="M157" i="3"/>
  <c r="N157" i="3" s="1"/>
  <c r="M155" i="3"/>
  <c r="N155" i="3" s="1"/>
  <c r="M153" i="3"/>
  <c r="N153" i="3" s="1"/>
  <c r="M151" i="3"/>
  <c r="N151" i="3" s="1"/>
  <c r="M149" i="3"/>
  <c r="N149" i="3" s="1"/>
  <c r="M147" i="3"/>
  <c r="N147" i="3" s="1"/>
  <c r="M145" i="3"/>
  <c r="N145" i="3" s="1"/>
  <c r="P164" i="3"/>
  <c r="P162" i="3"/>
  <c r="M152" i="3"/>
  <c r="N152" i="3" s="1"/>
  <c r="P151" i="3"/>
  <c r="M150" i="3"/>
  <c r="N150" i="3" s="1"/>
  <c r="P160" i="3"/>
  <c r="M148" i="3"/>
  <c r="N148" i="3" s="1"/>
  <c r="P158" i="3"/>
  <c r="M146" i="3"/>
  <c r="N146" i="3" s="1"/>
  <c r="M162" i="3"/>
  <c r="N162" i="3" s="1"/>
  <c r="P161" i="3"/>
  <c r="M160" i="3"/>
  <c r="N160" i="3" s="1"/>
  <c r="P159" i="3"/>
  <c r="P156" i="3"/>
  <c r="M156" i="3"/>
  <c r="N156" i="3" s="1"/>
  <c r="P152" i="3"/>
  <c r="P157" i="3"/>
  <c r="P155" i="3"/>
  <c r="P163" i="3"/>
  <c r="M158" i="3"/>
  <c r="N158" i="3" s="1"/>
  <c r="P154" i="3"/>
  <c r="P153" i="3"/>
  <c r="M154" i="3"/>
  <c r="N154" i="3" s="1"/>
  <c r="Q51" i="15"/>
  <c r="B10" i="9"/>
  <c r="M104" i="3"/>
  <c r="N104" i="3" s="1"/>
  <c r="M101" i="3"/>
  <c r="N101" i="3" s="1"/>
  <c r="M98" i="3"/>
  <c r="N98" i="3" s="1"/>
  <c r="M103" i="3"/>
  <c r="N103" i="3" s="1"/>
  <c r="M102" i="3"/>
  <c r="N102" i="3" s="1"/>
  <c r="M99" i="3"/>
  <c r="N99" i="3" s="1"/>
  <c r="M100" i="3"/>
  <c r="N100" i="3" s="1"/>
  <c r="D10" i="8"/>
  <c r="M364" i="3"/>
  <c r="N364" i="3" s="1"/>
  <c r="AI155" i="15"/>
  <c r="AI156" i="15"/>
  <c r="AK168" i="15"/>
  <c r="M1009" i="3" s="1"/>
  <c r="N1009" i="3" s="1"/>
  <c r="AI128" i="15"/>
  <c r="AF129" i="15"/>
  <c r="AF174" i="15"/>
  <c r="E10" i="10"/>
  <c r="M628" i="3"/>
  <c r="N628" i="3" s="1"/>
  <c r="D62" i="15"/>
  <c r="K899" i="3"/>
  <c r="K912" i="3"/>
  <c r="K908" i="3"/>
  <c r="K898" i="3"/>
  <c r="K893" i="3"/>
  <c r="K895" i="3"/>
  <c r="K907" i="3"/>
  <c r="K903" i="3"/>
  <c r="K897" i="3"/>
  <c r="K911" i="3"/>
  <c r="K906" i="3"/>
  <c r="K900" i="3"/>
  <c r="K902" i="3"/>
  <c r="K901" i="3"/>
  <c r="K896" i="3"/>
  <c r="K910" i="3"/>
  <c r="K909" i="3"/>
  <c r="K894" i="3"/>
  <c r="K904" i="3"/>
  <c r="K905" i="3"/>
  <c r="K803" i="3"/>
  <c r="K801" i="3"/>
  <c r="K799" i="3"/>
  <c r="K797" i="3"/>
  <c r="K795" i="3"/>
  <c r="K793" i="3"/>
  <c r="K791" i="3"/>
  <c r="K789" i="3"/>
  <c r="K787" i="3"/>
  <c r="K785" i="3"/>
  <c r="K783" i="3"/>
  <c r="K781" i="3"/>
  <c r="K779" i="3"/>
  <c r="K777" i="3"/>
  <c r="K775" i="3"/>
  <c r="K802" i="3"/>
  <c r="K786" i="3"/>
  <c r="K800" i="3"/>
  <c r="K784" i="3"/>
  <c r="K798" i="3"/>
  <c r="K782" i="3"/>
  <c r="K796" i="3"/>
  <c r="K780" i="3"/>
  <c r="K794" i="3"/>
  <c r="K804" i="3"/>
  <c r="K790" i="3"/>
  <c r="K776" i="3"/>
  <c r="K792" i="3"/>
  <c r="K778" i="3"/>
  <c r="K788" i="3"/>
  <c r="AB56" i="15"/>
  <c r="AC56" i="15"/>
  <c r="J62" i="15"/>
  <c r="K1025" i="3"/>
  <c r="K1017" i="3"/>
  <c r="K1030" i="3"/>
  <c r="K1022" i="3"/>
  <c r="K1014" i="3"/>
  <c r="K1027" i="3"/>
  <c r="K1019" i="3"/>
  <c r="K1031" i="3"/>
  <c r="K1023" i="3"/>
  <c r="K1015" i="3"/>
  <c r="K1028" i="3"/>
  <c r="K1029" i="3"/>
  <c r="K1018" i="3"/>
  <c r="K1020" i="3"/>
  <c r="K1013" i="3"/>
  <c r="K1021" i="3"/>
  <c r="K1032" i="3"/>
  <c r="K1024" i="3"/>
  <c r="K1026" i="3"/>
  <c r="K1016" i="3"/>
  <c r="K916" i="3"/>
  <c r="K913" i="3"/>
  <c r="K929" i="3"/>
  <c r="K923" i="3"/>
  <c r="K922" i="3"/>
  <c r="K917" i="3"/>
  <c r="K928" i="3"/>
  <c r="K921" i="3"/>
  <c r="K927" i="3"/>
  <c r="K915" i="3"/>
  <c r="K930" i="3"/>
  <c r="K926" i="3"/>
  <c r="K931" i="3"/>
  <c r="K918" i="3"/>
  <c r="K914" i="3"/>
  <c r="K924" i="3"/>
  <c r="K920" i="3"/>
  <c r="K932" i="3"/>
  <c r="K919" i="3"/>
  <c r="K925" i="3"/>
  <c r="K1211" i="3"/>
  <c r="K1209" i="3"/>
  <c r="K1207" i="3"/>
  <c r="K1205" i="3"/>
  <c r="K1203" i="3"/>
  <c r="K1201" i="3"/>
  <c r="K1199" i="3"/>
  <c r="K1197" i="3"/>
  <c r="K1195" i="3"/>
  <c r="K1193" i="3"/>
  <c r="K1208" i="3"/>
  <c r="K1204" i="3"/>
  <c r="K1200" i="3"/>
  <c r="K1194" i="3"/>
  <c r="K1212" i="3"/>
  <c r="K1206" i="3"/>
  <c r="K1198" i="3"/>
  <c r="K1210" i="3"/>
  <c r="K1202" i="3"/>
  <c r="K1196" i="3"/>
  <c r="K568" i="3"/>
  <c r="K566" i="3"/>
  <c r="K564" i="3"/>
  <c r="K562" i="3"/>
  <c r="K560" i="3"/>
  <c r="K558" i="3"/>
  <c r="K556" i="3"/>
  <c r="K554" i="3"/>
  <c r="K552" i="3"/>
  <c r="K550" i="3"/>
  <c r="K548" i="3"/>
  <c r="K546" i="3"/>
  <c r="K544" i="3"/>
  <c r="K542" i="3"/>
  <c r="K540" i="3"/>
  <c r="K555" i="3"/>
  <c r="K557" i="3"/>
  <c r="K559" i="3"/>
  <c r="K561" i="3"/>
  <c r="K545" i="3"/>
  <c r="K551" i="3"/>
  <c r="K539" i="3"/>
  <c r="K549" i="3"/>
  <c r="K543" i="3"/>
  <c r="K541" i="3"/>
  <c r="K553" i="3"/>
  <c r="K547" i="3"/>
  <c r="K563" i="3"/>
  <c r="K567" i="3"/>
  <c r="K565" i="3"/>
  <c r="E82" i="7" l="1"/>
  <c r="S508" i="3"/>
  <c r="R508" i="3"/>
  <c r="Q804" i="3"/>
  <c r="E82" i="10"/>
  <c r="R628" i="3"/>
  <c r="I82" i="8"/>
  <c r="S658" i="3"/>
  <c r="R658" i="3"/>
  <c r="L803" i="3"/>
  <c r="O803" i="3" s="1"/>
  <c r="Q803" i="3" s="1"/>
  <c r="L507" i="3"/>
  <c r="O507" i="3" s="1"/>
  <c r="Q507" i="3" s="1"/>
  <c r="J63" i="15"/>
  <c r="AB43" i="15"/>
  <c r="AC43" i="15"/>
  <c r="M768" i="3"/>
  <c r="N768" i="3" s="1"/>
  <c r="Q41" i="15"/>
  <c r="L10" i="5"/>
  <c r="M1152" i="3"/>
  <c r="N1152" i="3" s="1"/>
  <c r="M1150" i="3"/>
  <c r="N1150" i="3" s="1"/>
  <c r="M1148" i="3"/>
  <c r="N1148" i="3" s="1"/>
  <c r="M1151" i="3"/>
  <c r="N1151" i="3" s="1"/>
  <c r="M1149" i="3"/>
  <c r="N1149" i="3" s="1"/>
  <c r="M1147" i="3"/>
  <c r="N1147" i="3" s="1"/>
  <c r="M141" i="3"/>
  <c r="N141" i="3" s="1"/>
  <c r="Q10" i="5"/>
  <c r="M679" i="3"/>
  <c r="N679" i="3" s="1"/>
  <c r="M676" i="3"/>
  <c r="N676" i="3" s="1"/>
  <c r="M685" i="3"/>
  <c r="N685" i="3" s="1"/>
  <c r="M682" i="3"/>
  <c r="N682" i="3" s="1"/>
  <c r="M688" i="3"/>
  <c r="N688" i="3" s="1"/>
  <c r="O688" i="3" s="1"/>
  <c r="Q688" i="3" s="1"/>
  <c r="M675" i="3"/>
  <c r="N675" i="3" s="1"/>
  <c r="M681" i="3"/>
  <c r="N681" i="3" s="1"/>
  <c r="M678" i="3"/>
  <c r="N678" i="3" s="1"/>
  <c r="M683" i="3"/>
  <c r="N683" i="3" s="1"/>
  <c r="M684" i="3"/>
  <c r="N684" i="3" s="1"/>
  <c r="M687" i="3"/>
  <c r="N687" i="3" s="1"/>
  <c r="M677" i="3"/>
  <c r="N677" i="3" s="1"/>
  <c r="M686" i="3"/>
  <c r="N686" i="3" s="1"/>
  <c r="M680" i="3"/>
  <c r="N680" i="3" s="1"/>
  <c r="L831" i="3"/>
  <c r="L565" i="3"/>
  <c r="H65" i="15"/>
  <c r="Q47" i="15"/>
  <c r="B10" i="7"/>
  <c r="M184" i="3"/>
  <c r="N184" i="3" s="1"/>
  <c r="M181" i="3"/>
  <c r="N181" i="3" s="1"/>
  <c r="M179" i="3"/>
  <c r="N179" i="3" s="1"/>
  <c r="M183" i="3"/>
  <c r="N183" i="3" s="1"/>
  <c r="M180" i="3"/>
  <c r="N180" i="3" s="1"/>
  <c r="M182" i="3"/>
  <c r="N182" i="3" s="1"/>
  <c r="M178" i="3"/>
  <c r="N178" i="3" s="1"/>
  <c r="L656" i="3"/>
  <c r="O656" i="3" s="1"/>
  <c r="L64" i="15"/>
  <c r="O744" i="3"/>
  <c r="AC51" i="15"/>
  <c r="AB51" i="15"/>
  <c r="AC52" i="15"/>
  <c r="AB52" i="15"/>
  <c r="I10" i="6"/>
  <c r="M834" i="3"/>
  <c r="N834" i="3" s="1"/>
  <c r="M832" i="3"/>
  <c r="N832" i="3" s="1"/>
  <c r="M830" i="3"/>
  <c r="N830" i="3" s="1"/>
  <c r="M828" i="3"/>
  <c r="N828" i="3" s="1"/>
  <c r="M826" i="3"/>
  <c r="N826" i="3" s="1"/>
  <c r="M824" i="3"/>
  <c r="N824" i="3" s="1"/>
  <c r="M833" i="3"/>
  <c r="N833" i="3" s="1"/>
  <c r="O833" i="3" s="1"/>
  <c r="Q833" i="3" s="1"/>
  <c r="M827" i="3"/>
  <c r="N827" i="3" s="1"/>
  <c r="M829" i="3"/>
  <c r="N829" i="3" s="1"/>
  <c r="M825" i="3"/>
  <c r="N825" i="3" s="1"/>
  <c r="M831" i="3"/>
  <c r="N831" i="3" s="1"/>
  <c r="F10" i="6"/>
  <c r="M740" i="3"/>
  <c r="N740" i="3" s="1"/>
  <c r="M742" i="3"/>
  <c r="N742" i="3" s="1"/>
  <c r="M744" i="3"/>
  <c r="N744" i="3" s="1"/>
  <c r="M746" i="3"/>
  <c r="N746" i="3" s="1"/>
  <c r="O746" i="3" s="1"/>
  <c r="Q746" i="3" s="1"/>
  <c r="M737" i="3"/>
  <c r="N737" i="3" s="1"/>
  <c r="M736" i="3"/>
  <c r="N736" i="3" s="1"/>
  <c r="M739" i="3"/>
  <c r="N739" i="3" s="1"/>
  <c r="M738" i="3"/>
  <c r="N738" i="3" s="1"/>
  <c r="M741" i="3"/>
  <c r="N741" i="3" s="1"/>
  <c r="M745" i="3"/>
  <c r="N745" i="3" s="1"/>
  <c r="M743" i="3"/>
  <c r="N743" i="3" s="1"/>
  <c r="M142" i="3"/>
  <c r="N142" i="3" s="1"/>
  <c r="M140" i="3"/>
  <c r="N140" i="3" s="1"/>
  <c r="O832" i="3"/>
  <c r="O538" i="3"/>
  <c r="Q538" i="3" s="1"/>
  <c r="H10" i="6"/>
  <c r="M568" i="3"/>
  <c r="N568" i="3" s="1"/>
  <c r="M565" i="3"/>
  <c r="N565" i="3" s="1"/>
  <c r="M564" i="3"/>
  <c r="N564" i="3" s="1"/>
  <c r="O566" i="3"/>
  <c r="B10" i="11"/>
  <c r="M774" i="3"/>
  <c r="N774" i="3" s="1"/>
  <c r="Q54" i="15"/>
  <c r="N10" i="5"/>
  <c r="M422" i="3"/>
  <c r="N422" i="3" s="1"/>
  <c r="O422" i="3" s="1"/>
  <c r="Q422" i="3" s="1"/>
  <c r="M566" i="3"/>
  <c r="N566" i="3" s="1"/>
  <c r="O745" i="3"/>
  <c r="C10" i="11"/>
  <c r="M892" i="3"/>
  <c r="N892" i="3" s="1"/>
  <c r="M890" i="3"/>
  <c r="N890" i="3" s="1"/>
  <c r="M888" i="3"/>
  <c r="N888" i="3" s="1"/>
  <c r="M886" i="3"/>
  <c r="N886" i="3" s="1"/>
  <c r="M884" i="3"/>
  <c r="N884" i="3" s="1"/>
  <c r="M882" i="3"/>
  <c r="N882" i="3" s="1"/>
  <c r="M887" i="3"/>
  <c r="N887" i="3" s="1"/>
  <c r="M889" i="3"/>
  <c r="N889" i="3" s="1"/>
  <c r="M881" i="3"/>
  <c r="N881" i="3" s="1"/>
  <c r="M891" i="3"/>
  <c r="N891" i="3" s="1"/>
  <c r="M883" i="3"/>
  <c r="N883" i="3" s="1"/>
  <c r="M885" i="3"/>
  <c r="N885" i="3" s="1"/>
  <c r="E10" i="6"/>
  <c r="M538" i="3"/>
  <c r="N538" i="3" s="1"/>
  <c r="M536" i="3"/>
  <c r="N536" i="3" s="1"/>
  <c r="O536" i="3" s="1"/>
  <c r="Q536" i="3" s="1"/>
  <c r="M534" i="3"/>
  <c r="N534" i="3" s="1"/>
  <c r="M537" i="3"/>
  <c r="N537" i="3" s="1"/>
  <c r="O537" i="3" s="1"/>
  <c r="Q537" i="3" s="1"/>
  <c r="M535" i="3"/>
  <c r="N535" i="3" s="1"/>
  <c r="M533" i="3"/>
  <c r="N533" i="3" s="1"/>
  <c r="S628" i="3"/>
  <c r="K61" i="15"/>
  <c r="K62" i="15" s="1"/>
  <c r="H10" i="5"/>
  <c r="M1012" i="3"/>
  <c r="N1012" i="3" s="1"/>
  <c r="O834" i="3"/>
  <c r="Q834" i="3" s="1"/>
  <c r="AB45" i="15"/>
  <c r="AC45" i="15"/>
  <c r="O567" i="3"/>
  <c r="Q567" i="3" s="1"/>
  <c r="O10" i="5"/>
  <c r="M450" i="3"/>
  <c r="N450" i="3" s="1"/>
  <c r="M448" i="3"/>
  <c r="N448" i="3" s="1"/>
  <c r="M446" i="3"/>
  <c r="N446" i="3" s="1"/>
  <c r="M444" i="3"/>
  <c r="N444" i="3" s="1"/>
  <c r="M442" i="3"/>
  <c r="N442" i="3" s="1"/>
  <c r="M440" i="3"/>
  <c r="N440" i="3" s="1"/>
  <c r="M445" i="3"/>
  <c r="N445" i="3" s="1"/>
  <c r="M447" i="3"/>
  <c r="N447" i="3" s="1"/>
  <c r="M439" i="3"/>
  <c r="N439" i="3" s="1"/>
  <c r="M449" i="3"/>
  <c r="N449" i="3" s="1"/>
  <c r="M443" i="3"/>
  <c r="N443" i="3" s="1"/>
  <c r="M441" i="3"/>
  <c r="N441" i="3" s="1"/>
  <c r="O568" i="3"/>
  <c r="Q568" i="3" s="1"/>
  <c r="S10" i="5"/>
  <c r="M864" i="3"/>
  <c r="N864" i="3" s="1"/>
  <c r="O864" i="3" s="1"/>
  <c r="Q864" i="3" s="1"/>
  <c r="M862" i="3"/>
  <c r="N862" i="3" s="1"/>
  <c r="M860" i="3"/>
  <c r="N860" i="3" s="1"/>
  <c r="M858" i="3"/>
  <c r="N858" i="3" s="1"/>
  <c r="M856" i="3"/>
  <c r="N856" i="3" s="1"/>
  <c r="M854" i="3"/>
  <c r="N854" i="3" s="1"/>
  <c r="M852" i="3"/>
  <c r="N852" i="3" s="1"/>
  <c r="M863" i="3"/>
  <c r="N863" i="3" s="1"/>
  <c r="M861" i="3"/>
  <c r="N861" i="3" s="1"/>
  <c r="M859" i="3"/>
  <c r="N859" i="3" s="1"/>
  <c r="M857" i="3"/>
  <c r="N857" i="3" s="1"/>
  <c r="M855" i="3"/>
  <c r="N855" i="3" s="1"/>
  <c r="M853" i="3"/>
  <c r="N853" i="3" s="1"/>
  <c r="M851" i="3"/>
  <c r="N851" i="3" s="1"/>
  <c r="M1010" i="3"/>
  <c r="N1010" i="3" s="1"/>
  <c r="C10" i="4"/>
  <c r="M164" i="3"/>
  <c r="N164" i="3" s="1"/>
  <c r="F10" i="4"/>
  <c r="M1208" i="3"/>
  <c r="N1208" i="3" s="1"/>
  <c r="M1212" i="3"/>
  <c r="N1212" i="3" s="1"/>
  <c r="M1210" i="3"/>
  <c r="N1210" i="3" s="1"/>
  <c r="M1211" i="3"/>
  <c r="N1211" i="3" s="1"/>
  <c r="M1209" i="3"/>
  <c r="N1209" i="3" s="1"/>
  <c r="L742" i="3"/>
  <c r="L534" i="3"/>
  <c r="O534" i="3" s="1"/>
  <c r="F66" i="15"/>
  <c r="M1011" i="3"/>
  <c r="N1011" i="3" s="1"/>
  <c r="Q627" i="3"/>
  <c r="D10" i="4"/>
  <c r="M324" i="3"/>
  <c r="N324" i="3" s="1"/>
  <c r="B10" i="4"/>
  <c r="M144" i="3"/>
  <c r="N144" i="3" s="1"/>
  <c r="Q40" i="15"/>
  <c r="M567" i="3"/>
  <c r="N567" i="3" s="1"/>
  <c r="M323" i="3"/>
  <c r="N323" i="3" s="1"/>
  <c r="M320" i="3"/>
  <c r="N320" i="3" s="1"/>
  <c r="O535" i="3"/>
  <c r="Q657" i="3"/>
  <c r="M1007" i="3"/>
  <c r="N1007" i="3" s="1"/>
  <c r="R62" i="15"/>
  <c r="R63" i="15" s="1"/>
  <c r="R61" i="15"/>
  <c r="L863" i="3"/>
  <c r="O863" i="3" s="1"/>
  <c r="L421" i="3"/>
  <c r="O421" i="3" s="1"/>
  <c r="L597" i="3"/>
  <c r="O597" i="3" s="1"/>
  <c r="L687" i="3"/>
  <c r="O687" i="3" s="1"/>
  <c r="D63" i="15"/>
  <c r="P10" i="5"/>
  <c r="M596" i="3"/>
  <c r="N596" i="3" s="1"/>
  <c r="M589" i="3"/>
  <c r="N589" i="3" s="1"/>
  <c r="M586" i="3"/>
  <c r="N586" i="3" s="1"/>
  <c r="M595" i="3"/>
  <c r="N595" i="3" s="1"/>
  <c r="M592" i="3"/>
  <c r="N592" i="3" s="1"/>
  <c r="M598" i="3"/>
  <c r="N598" i="3" s="1"/>
  <c r="O598" i="3" s="1"/>
  <c r="Q598" i="3" s="1"/>
  <c r="M591" i="3"/>
  <c r="N591" i="3" s="1"/>
  <c r="M590" i="3"/>
  <c r="N590" i="3" s="1"/>
  <c r="M597" i="3"/>
  <c r="N597" i="3" s="1"/>
  <c r="M587" i="3"/>
  <c r="N587" i="3" s="1"/>
  <c r="M585" i="3"/>
  <c r="N585" i="3" s="1"/>
  <c r="M593" i="3"/>
  <c r="N593" i="3" s="1"/>
  <c r="M588" i="3"/>
  <c r="N588" i="3" s="1"/>
  <c r="M594" i="3"/>
  <c r="N594" i="3" s="1"/>
  <c r="M771" i="3"/>
  <c r="N771" i="3" s="1"/>
  <c r="M1008" i="3"/>
  <c r="N1008" i="3" s="1"/>
  <c r="L624" i="3"/>
  <c r="O624" i="3" s="1"/>
  <c r="O66" i="15"/>
  <c r="C10" i="5"/>
  <c r="M64" i="3"/>
  <c r="N64" i="3" s="1"/>
  <c r="M61" i="3"/>
  <c r="N61" i="3" s="1"/>
  <c r="M63" i="3"/>
  <c r="N63" i="3" s="1"/>
  <c r="M60" i="3"/>
  <c r="N60" i="3" s="1"/>
  <c r="M59" i="3"/>
  <c r="N59" i="3" s="1"/>
  <c r="M62" i="3"/>
  <c r="N62" i="3" s="1"/>
  <c r="E10" i="4"/>
  <c r="M344" i="3"/>
  <c r="N344" i="3" s="1"/>
  <c r="M342" i="3"/>
  <c r="N342" i="3" s="1"/>
  <c r="M340" i="3"/>
  <c r="N340" i="3" s="1"/>
  <c r="M343" i="3"/>
  <c r="N343" i="3" s="1"/>
  <c r="M341" i="3"/>
  <c r="N341" i="3" s="1"/>
  <c r="M339" i="3"/>
  <c r="N339" i="3" s="1"/>
  <c r="M139" i="3"/>
  <c r="N139" i="3" s="1"/>
  <c r="M321" i="3"/>
  <c r="N321" i="3" s="1"/>
  <c r="M322" i="3"/>
  <c r="N322" i="3" s="1"/>
  <c r="Q61" i="15"/>
  <c r="Q62" i="15"/>
  <c r="Q63" i="15" s="1"/>
  <c r="O743" i="3"/>
  <c r="L1172" i="3" l="1"/>
  <c r="O1172" i="3" s="1"/>
  <c r="Q1172" i="3" s="1"/>
  <c r="L1092" i="3"/>
  <c r="O1092" i="3" s="1"/>
  <c r="Q1092" i="3" s="1"/>
  <c r="L912" i="3"/>
  <c r="O912" i="3" s="1"/>
  <c r="Q912" i="3" s="1"/>
  <c r="L364" i="3"/>
  <c r="O364" i="3" s="1"/>
  <c r="Q364" i="3" s="1"/>
  <c r="L1192" i="3"/>
  <c r="O1192" i="3" s="1"/>
  <c r="Q1192" i="3" s="1"/>
  <c r="L24" i="3"/>
  <c r="O24" i="3" s="1"/>
  <c r="Q24" i="3" s="1"/>
  <c r="L124" i="3"/>
  <c r="O124" i="3" s="1"/>
  <c r="Q124" i="3" s="1"/>
  <c r="K63" i="15"/>
  <c r="S82" i="5"/>
  <c r="S864" i="3"/>
  <c r="R864" i="3"/>
  <c r="Q82" i="5"/>
  <c r="S688" i="3"/>
  <c r="R688" i="3"/>
  <c r="N82" i="5"/>
  <c r="R422" i="3"/>
  <c r="S422" i="3"/>
  <c r="L392" i="3"/>
  <c r="O392" i="3" s="1"/>
  <c r="Q392" i="3" s="1"/>
  <c r="R64" i="15"/>
  <c r="E81" i="6"/>
  <c r="S537" i="3"/>
  <c r="R537" i="3"/>
  <c r="E49" i="6" s="1"/>
  <c r="F82" i="6"/>
  <c r="S746" i="3"/>
  <c r="R746" i="3"/>
  <c r="P82" i="5"/>
  <c r="S598" i="3"/>
  <c r="R598" i="3"/>
  <c r="E80" i="6"/>
  <c r="S536" i="3"/>
  <c r="R536" i="3"/>
  <c r="E48" i="6" s="1"/>
  <c r="I81" i="6"/>
  <c r="S833" i="3"/>
  <c r="R833" i="3"/>
  <c r="I49" i="6" s="1"/>
  <c r="L478" i="3"/>
  <c r="O478" i="3" s="1"/>
  <c r="Q478" i="3" s="1"/>
  <c r="Q64" i="15"/>
  <c r="F95" i="15"/>
  <c r="I81" i="8"/>
  <c r="S657" i="3"/>
  <c r="R657" i="3"/>
  <c r="I49" i="8" s="1"/>
  <c r="H82" i="6"/>
  <c r="R568" i="3"/>
  <c r="S568" i="3"/>
  <c r="G61" i="15"/>
  <c r="G62" i="15" s="1"/>
  <c r="L655" i="3"/>
  <c r="O655" i="3" s="1"/>
  <c r="L65" i="15"/>
  <c r="E61" i="15"/>
  <c r="E62" i="15"/>
  <c r="L862" i="3"/>
  <c r="O862" i="3" s="1"/>
  <c r="Q862" i="3" s="1"/>
  <c r="L686" i="3"/>
  <c r="O686" i="3" s="1"/>
  <c r="L596" i="3"/>
  <c r="O596" i="3" s="1"/>
  <c r="L716" i="3"/>
  <c r="O716" i="3" s="1"/>
  <c r="Q716" i="3" s="1"/>
  <c r="L450" i="3"/>
  <c r="O450" i="3" s="1"/>
  <c r="Q450" i="3" s="1"/>
  <c r="L420" i="3"/>
  <c r="O420" i="3" s="1"/>
  <c r="D64" i="15"/>
  <c r="Q535" i="3"/>
  <c r="I82" i="6"/>
  <c r="S834" i="3"/>
  <c r="R834" i="3"/>
  <c r="AC54" i="15"/>
  <c r="AB54" i="15"/>
  <c r="Q656" i="3"/>
  <c r="E50" i="10"/>
  <c r="E17" i="10"/>
  <c r="Q687" i="3"/>
  <c r="E81" i="10"/>
  <c r="R627" i="3"/>
  <c r="E49" i="10" s="1"/>
  <c r="S627" i="3"/>
  <c r="AB47" i="15"/>
  <c r="AC47" i="15"/>
  <c r="L506" i="3"/>
  <c r="O506" i="3" s="1"/>
  <c r="Q506" i="3" s="1"/>
  <c r="L802" i="3"/>
  <c r="O802" i="3" s="1"/>
  <c r="Q802" i="3" s="1"/>
  <c r="J64" i="15"/>
  <c r="N61" i="15"/>
  <c r="N62" i="15" s="1"/>
  <c r="L830" i="3"/>
  <c r="O830" i="3" s="1"/>
  <c r="L564" i="3"/>
  <c r="O564" i="3" s="1"/>
  <c r="H66" i="15"/>
  <c r="E81" i="7"/>
  <c r="R507" i="3"/>
  <c r="E49" i="7" s="1"/>
  <c r="S507" i="3"/>
  <c r="F82" i="7"/>
  <c r="S804" i="3"/>
  <c r="R804" i="3"/>
  <c r="Q597" i="3"/>
  <c r="E82" i="6"/>
  <c r="S538" i="3"/>
  <c r="R538" i="3"/>
  <c r="Q421" i="3"/>
  <c r="L741" i="3"/>
  <c r="O741" i="3" s="1"/>
  <c r="L533" i="3"/>
  <c r="O533" i="3" s="1"/>
  <c r="F67" i="15"/>
  <c r="Q566" i="3"/>
  <c r="O565" i="3"/>
  <c r="F81" i="7"/>
  <c r="S803" i="3"/>
  <c r="R803" i="3"/>
  <c r="F49" i="7" s="1"/>
  <c r="E17" i="7"/>
  <c r="E50" i="7"/>
  <c r="Q863" i="3"/>
  <c r="AC40" i="15"/>
  <c r="AB40" i="15"/>
  <c r="H81" i="6"/>
  <c r="R567" i="3"/>
  <c r="H49" i="6" s="1"/>
  <c r="S567" i="3"/>
  <c r="Q745" i="3"/>
  <c r="Q626" i="3"/>
  <c r="Q832" i="3"/>
  <c r="M61" i="15"/>
  <c r="M62" i="15" s="1"/>
  <c r="O831" i="3"/>
  <c r="AB41" i="15"/>
  <c r="AC41" i="15"/>
  <c r="I17" i="8"/>
  <c r="I50" i="8"/>
  <c r="L623" i="3"/>
  <c r="O623" i="3" s="1"/>
  <c r="O67" i="15"/>
  <c r="O742" i="3"/>
  <c r="L992" i="3" l="1"/>
  <c r="O992" i="3" s="1"/>
  <c r="Q992" i="3" s="1"/>
  <c r="L204" i="3"/>
  <c r="O204" i="3" s="1"/>
  <c r="Q204" i="3" s="1"/>
  <c r="L104" i="3"/>
  <c r="O104" i="3" s="1"/>
  <c r="Q104" i="3" s="1"/>
  <c r="M63" i="15"/>
  <c r="L1052" i="3"/>
  <c r="O1052" i="3" s="1"/>
  <c r="Q1052" i="3" s="1"/>
  <c r="G63" i="15"/>
  <c r="L1072" i="3"/>
  <c r="O1072" i="3" s="1"/>
  <c r="Q1072" i="3" s="1"/>
  <c r="L304" i="3"/>
  <c r="O304" i="3" s="1"/>
  <c r="Q304" i="3" s="1"/>
  <c r="L284" i="3"/>
  <c r="O284" i="3" s="1"/>
  <c r="Q284" i="3" s="1"/>
  <c r="N63" i="15"/>
  <c r="F80" i="7"/>
  <c r="S802" i="3"/>
  <c r="R802" i="3"/>
  <c r="F48" i="7" s="1"/>
  <c r="Q81" i="5"/>
  <c r="R687" i="3"/>
  <c r="Q49" i="5" s="1"/>
  <c r="S687" i="3"/>
  <c r="S80" i="5"/>
  <c r="S862" i="3"/>
  <c r="R862" i="3"/>
  <c r="S48" i="5" s="1"/>
  <c r="Q17" i="5"/>
  <c r="Q50" i="5"/>
  <c r="B81" i="8"/>
  <c r="R24" i="3"/>
  <c r="S24" i="3"/>
  <c r="C61" i="15"/>
  <c r="C62" i="15"/>
  <c r="E80" i="10"/>
  <c r="R626" i="3"/>
  <c r="E48" i="10" s="1"/>
  <c r="S626" i="3"/>
  <c r="Q625" i="3"/>
  <c r="B61" i="15"/>
  <c r="B62" i="15" s="1"/>
  <c r="N17" i="5"/>
  <c r="N50" i="5"/>
  <c r="Q830" i="3"/>
  <c r="I80" i="8"/>
  <c r="S656" i="3"/>
  <c r="R656" i="3"/>
  <c r="I48" i="8" s="1"/>
  <c r="Q420" i="3"/>
  <c r="H17" i="6"/>
  <c r="H50" i="6"/>
  <c r="B80" i="12"/>
  <c r="R478" i="3"/>
  <c r="S478" i="3"/>
  <c r="P17" i="5"/>
  <c r="P50" i="5"/>
  <c r="H81" i="8"/>
  <c r="R1192" i="3"/>
  <c r="S1192" i="3"/>
  <c r="D81" i="8"/>
  <c r="R364" i="3"/>
  <c r="S364" i="3"/>
  <c r="P61" i="15"/>
  <c r="P62" i="15" s="1"/>
  <c r="P63" i="15" s="1"/>
  <c r="R80" i="5"/>
  <c r="S716" i="3"/>
  <c r="R716" i="3"/>
  <c r="Q655" i="3"/>
  <c r="L391" i="3"/>
  <c r="O391" i="3" s="1"/>
  <c r="Q391" i="3" s="1"/>
  <c r="R65" i="15"/>
  <c r="S17" i="5"/>
  <c r="S50" i="5"/>
  <c r="E81" i="8"/>
  <c r="S912" i="3"/>
  <c r="R912" i="3"/>
  <c r="L1191" i="3"/>
  <c r="O1191" i="3" s="1"/>
  <c r="Q1191" i="3" s="1"/>
  <c r="L1091" i="3"/>
  <c r="O1091" i="3" s="1"/>
  <c r="Q1091" i="3" s="1"/>
  <c r="L1171" i="3"/>
  <c r="O1171" i="3" s="1"/>
  <c r="Q1171" i="3" s="1"/>
  <c r="L911" i="3"/>
  <c r="O911" i="3" s="1"/>
  <c r="Q911" i="3" s="1"/>
  <c r="L363" i="3"/>
  <c r="O363" i="3" s="1"/>
  <c r="Q363" i="3" s="1"/>
  <c r="L23" i="3"/>
  <c r="O23" i="3" s="1"/>
  <c r="Q23" i="3" s="1"/>
  <c r="L123" i="3"/>
  <c r="O123" i="3" s="1"/>
  <c r="Q123" i="3" s="1"/>
  <c r="K64" i="15"/>
  <c r="F81" i="6"/>
  <c r="S745" i="3"/>
  <c r="R745" i="3"/>
  <c r="F49" i="6" s="1"/>
  <c r="S81" i="5"/>
  <c r="S863" i="3"/>
  <c r="R863" i="3"/>
  <c r="S49" i="5" s="1"/>
  <c r="L740" i="3"/>
  <c r="O740" i="3" s="1"/>
  <c r="L532" i="3"/>
  <c r="O532" i="3" s="1"/>
  <c r="Q532" i="3" s="1"/>
  <c r="F68" i="15"/>
  <c r="P81" i="5"/>
  <c r="S597" i="3"/>
  <c r="R597" i="3"/>
  <c r="P49" i="5" s="1"/>
  <c r="L829" i="3"/>
  <c r="O829" i="3" s="1"/>
  <c r="L563" i="3"/>
  <c r="O563" i="3" s="1"/>
  <c r="Q563" i="3" s="1"/>
  <c r="H67" i="15"/>
  <c r="E80" i="7"/>
  <c r="S506" i="3"/>
  <c r="R506" i="3"/>
  <c r="E48" i="7" s="1"/>
  <c r="E79" i="6"/>
  <c r="S535" i="3"/>
  <c r="R535" i="3"/>
  <c r="E47" i="6" s="1"/>
  <c r="L1252" i="3"/>
  <c r="O1252" i="3" s="1"/>
  <c r="Q1252" i="3" s="1"/>
  <c r="L224" i="3"/>
  <c r="O224" i="3" s="1"/>
  <c r="Q224" i="3" s="1"/>
  <c r="L84" i="3"/>
  <c r="O84" i="3" s="1"/>
  <c r="Q84" i="3" s="1"/>
  <c r="C81" i="8"/>
  <c r="R124" i="3"/>
  <c r="S124" i="3"/>
  <c r="Q831" i="3"/>
  <c r="Q533" i="3"/>
  <c r="F17" i="7"/>
  <c r="F50" i="7"/>
  <c r="Q564" i="3"/>
  <c r="I61" i="15"/>
  <c r="I62" i="15" s="1"/>
  <c r="L861" i="3"/>
  <c r="O861" i="3" s="1"/>
  <c r="Q861" i="3" s="1"/>
  <c r="L715" i="3"/>
  <c r="O715" i="3" s="1"/>
  <c r="Q715" i="3" s="1"/>
  <c r="L685" i="3"/>
  <c r="O685" i="3" s="1"/>
  <c r="Q685" i="3" s="1"/>
  <c r="L595" i="3"/>
  <c r="O595" i="3" s="1"/>
  <c r="L419" i="3"/>
  <c r="O419" i="3" s="1"/>
  <c r="L449" i="3"/>
  <c r="O449" i="3" s="1"/>
  <c r="Q449" i="3" s="1"/>
  <c r="D65" i="15"/>
  <c r="L477" i="3"/>
  <c r="O477" i="3" s="1"/>
  <c r="Q477" i="3" s="1"/>
  <c r="Q65" i="15"/>
  <c r="L622" i="3"/>
  <c r="O622" i="3" s="1"/>
  <c r="O68" i="15"/>
  <c r="N81" i="5"/>
  <c r="R421" i="3"/>
  <c r="N49" i="5" s="1"/>
  <c r="S421" i="3"/>
  <c r="O80" i="5"/>
  <c r="S450" i="3"/>
  <c r="R450" i="3"/>
  <c r="L654" i="3"/>
  <c r="O654" i="3" s="1"/>
  <c r="Q654" i="3" s="1"/>
  <c r="L66" i="15"/>
  <c r="Q534" i="3"/>
  <c r="E50" i="6"/>
  <c r="E17" i="6"/>
  <c r="I50" i="6"/>
  <c r="I17" i="6"/>
  <c r="Q596" i="3"/>
  <c r="E63" i="15"/>
  <c r="Q744" i="3"/>
  <c r="F50" i="6"/>
  <c r="F17" i="6"/>
  <c r="B80" i="13"/>
  <c r="S392" i="3"/>
  <c r="R392" i="3"/>
  <c r="F81" i="8"/>
  <c r="R1092" i="3"/>
  <c r="S1092" i="3"/>
  <c r="H80" i="6"/>
  <c r="R566" i="3"/>
  <c r="H48" i="6" s="1"/>
  <c r="S566" i="3"/>
  <c r="I80" i="6"/>
  <c r="S832" i="3"/>
  <c r="R832" i="3"/>
  <c r="I48" i="6" s="1"/>
  <c r="Q565" i="3"/>
  <c r="L801" i="3"/>
  <c r="O801" i="3" s="1"/>
  <c r="Q801" i="3" s="1"/>
  <c r="L505" i="3"/>
  <c r="O505" i="3" s="1"/>
  <c r="Q505" i="3" s="1"/>
  <c r="J65" i="15"/>
  <c r="Q686" i="3"/>
  <c r="G81" i="8"/>
  <c r="S1172" i="3"/>
  <c r="R1172" i="3"/>
  <c r="L1212" i="3" l="1"/>
  <c r="O1212" i="3" s="1"/>
  <c r="Q1212" i="3" s="1"/>
  <c r="L344" i="3"/>
  <c r="O344" i="3" s="1"/>
  <c r="Q344" i="3" s="1"/>
  <c r="L144" i="3"/>
  <c r="O144" i="3" s="1"/>
  <c r="Q144" i="3" s="1"/>
  <c r="L324" i="3"/>
  <c r="O324" i="3" s="1"/>
  <c r="Q324" i="3" s="1"/>
  <c r="L164" i="3"/>
  <c r="O164" i="3" s="1"/>
  <c r="Q164" i="3" s="1"/>
  <c r="B63" i="15"/>
  <c r="L1272" i="3"/>
  <c r="O1272" i="3" s="1"/>
  <c r="Q1272" i="3" s="1"/>
  <c r="L972" i="3"/>
  <c r="O972" i="3" s="1"/>
  <c r="Q972" i="3" s="1"/>
  <c r="L184" i="3"/>
  <c r="O184" i="3" s="1"/>
  <c r="Q184" i="3" s="1"/>
  <c r="I63" i="15"/>
  <c r="L892" i="3"/>
  <c r="O892" i="3" s="1"/>
  <c r="Q892" i="3" s="1"/>
  <c r="L774" i="3"/>
  <c r="O774" i="3" s="1"/>
  <c r="Q774" i="3" s="1"/>
  <c r="P64" i="15"/>
  <c r="N80" i="5"/>
  <c r="R420" i="3"/>
  <c r="N48" i="5" s="1"/>
  <c r="S420" i="3"/>
  <c r="G81" i="6"/>
  <c r="R1052" i="3"/>
  <c r="S1052" i="3"/>
  <c r="D95" i="15"/>
  <c r="G49" i="8"/>
  <c r="G17" i="8"/>
  <c r="F49" i="8"/>
  <c r="F17" i="8"/>
  <c r="L1251" i="3"/>
  <c r="O1251" i="3" s="1"/>
  <c r="Q1251" i="3" s="1"/>
  <c r="L83" i="3"/>
  <c r="O83" i="3" s="1"/>
  <c r="Q83" i="3" s="1"/>
  <c r="L223" i="3"/>
  <c r="O223" i="3" s="1"/>
  <c r="Q223" i="3" s="1"/>
  <c r="E64" i="15"/>
  <c r="L653" i="3"/>
  <c r="O653" i="3" s="1"/>
  <c r="Q653" i="3" s="1"/>
  <c r="L67" i="15"/>
  <c r="P80" i="5"/>
  <c r="S596" i="3"/>
  <c r="R596" i="3"/>
  <c r="P48" i="5" s="1"/>
  <c r="I78" i="8"/>
  <c r="S654" i="3"/>
  <c r="R654" i="3"/>
  <c r="I46" i="8" s="1"/>
  <c r="L621" i="3"/>
  <c r="O621" i="3" s="1"/>
  <c r="O69" i="15"/>
  <c r="Q79" i="5"/>
  <c r="S685" i="3"/>
  <c r="R685" i="3"/>
  <c r="Q47" i="5" s="1"/>
  <c r="C81" i="6"/>
  <c r="S224" i="3"/>
  <c r="R224" i="3"/>
  <c r="L739" i="3"/>
  <c r="O739" i="3" s="1"/>
  <c r="L531" i="3"/>
  <c r="O531" i="3" s="1"/>
  <c r="Q531" i="3" s="1"/>
  <c r="F69" i="15"/>
  <c r="S1191" i="3"/>
  <c r="H80" i="8"/>
  <c r="R1191" i="3"/>
  <c r="H48" i="8" s="1"/>
  <c r="B79" i="13"/>
  <c r="R391" i="3"/>
  <c r="B47" i="13" s="1"/>
  <c r="S391" i="3"/>
  <c r="I78" i="6"/>
  <c r="S830" i="3"/>
  <c r="R830" i="3"/>
  <c r="I46" i="6" s="1"/>
  <c r="E79" i="10"/>
  <c r="R625" i="3"/>
  <c r="E47" i="10" s="1"/>
  <c r="S625" i="3"/>
  <c r="Q624" i="3"/>
  <c r="C81" i="10"/>
  <c r="S304" i="3"/>
  <c r="R304" i="3"/>
  <c r="B48" i="13"/>
  <c r="B17" i="13"/>
  <c r="O48" i="5"/>
  <c r="O17" i="5"/>
  <c r="R79" i="5"/>
  <c r="R715" i="3"/>
  <c r="R47" i="5" s="1"/>
  <c r="S715" i="3"/>
  <c r="D81" i="6"/>
  <c r="S1252" i="3"/>
  <c r="R1252" i="3"/>
  <c r="E76" i="6"/>
  <c r="S532" i="3"/>
  <c r="R532" i="3"/>
  <c r="E44" i="6" s="1"/>
  <c r="L1170" i="3"/>
  <c r="O1170" i="3" s="1"/>
  <c r="Q1170" i="3" s="1"/>
  <c r="L1090" i="3"/>
  <c r="O1090" i="3" s="1"/>
  <c r="Q1090" i="3" s="1"/>
  <c r="L910" i="3"/>
  <c r="O910" i="3" s="1"/>
  <c r="Q910" i="3" s="1"/>
  <c r="L362" i="3"/>
  <c r="O362" i="3" s="1"/>
  <c r="Q362" i="3" s="1"/>
  <c r="L1190" i="3"/>
  <c r="O1190" i="3" s="1"/>
  <c r="Q1190" i="3" s="1"/>
  <c r="L122" i="3"/>
  <c r="O122" i="3" s="1"/>
  <c r="Q122" i="3" s="1"/>
  <c r="L22" i="3"/>
  <c r="O22" i="3" s="1"/>
  <c r="Q22" i="3" s="1"/>
  <c r="F97" i="15" s="1"/>
  <c r="K65" i="15"/>
  <c r="L476" i="3"/>
  <c r="O476" i="3" s="1"/>
  <c r="Q476" i="3" s="1"/>
  <c r="Q66" i="15"/>
  <c r="S79" i="5"/>
  <c r="S861" i="3"/>
  <c r="R861" i="3"/>
  <c r="S47" i="5" s="1"/>
  <c r="E77" i="6"/>
  <c r="S533" i="3"/>
  <c r="R533" i="3"/>
  <c r="E45" i="6" s="1"/>
  <c r="L562" i="3"/>
  <c r="O562" i="3" s="1"/>
  <c r="Q562" i="3" s="1"/>
  <c r="L828" i="3"/>
  <c r="O828" i="3" s="1"/>
  <c r="H68" i="15"/>
  <c r="C80" i="8"/>
  <c r="R123" i="3"/>
  <c r="C48" i="8" s="1"/>
  <c r="S123" i="3"/>
  <c r="R17" i="5"/>
  <c r="R48" i="5"/>
  <c r="H49" i="8"/>
  <c r="H17" i="8"/>
  <c r="L1051" i="3"/>
  <c r="O1051" i="3" s="1"/>
  <c r="Q1051" i="3" s="1"/>
  <c r="G64" i="15"/>
  <c r="L800" i="3"/>
  <c r="O800" i="3" s="1"/>
  <c r="Q800" i="3" s="1"/>
  <c r="L504" i="3"/>
  <c r="O504" i="3" s="1"/>
  <c r="Q504" i="3" s="1"/>
  <c r="J66" i="15"/>
  <c r="H77" i="6"/>
  <c r="R563" i="3"/>
  <c r="H45" i="6" s="1"/>
  <c r="S563" i="3"/>
  <c r="B80" i="8"/>
  <c r="R23" i="3"/>
  <c r="B48" i="8" s="1"/>
  <c r="S23" i="3"/>
  <c r="E79" i="7"/>
  <c r="S505" i="3"/>
  <c r="R505" i="3"/>
  <c r="E47" i="7" s="1"/>
  <c r="L1232" i="3"/>
  <c r="O1232" i="3" s="1"/>
  <c r="Q1232" i="3" s="1"/>
  <c r="L1152" i="3"/>
  <c r="O1152" i="3" s="1"/>
  <c r="Q1152" i="3" s="1"/>
  <c r="L1132" i="3"/>
  <c r="O1132" i="3" s="1"/>
  <c r="Q1132" i="3" s="1"/>
  <c r="L1112" i="3"/>
  <c r="O1112" i="3" s="1"/>
  <c r="Q1112" i="3" s="1"/>
  <c r="L932" i="3"/>
  <c r="O932" i="3" s="1"/>
  <c r="Q932" i="3" s="1"/>
  <c r="L1032" i="3"/>
  <c r="O1032" i="3" s="1"/>
  <c r="Q1032" i="3" s="1"/>
  <c r="L1012" i="3"/>
  <c r="O1012" i="3" s="1"/>
  <c r="Q1012" i="3" s="1"/>
  <c r="L952" i="3"/>
  <c r="O952" i="3" s="1"/>
  <c r="Q952" i="3" s="1"/>
  <c r="L264" i="3"/>
  <c r="O264" i="3" s="1"/>
  <c r="Q264" i="3" s="1"/>
  <c r="L64" i="3"/>
  <c r="O64" i="3" s="1"/>
  <c r="Q64" i="3" s="1"/>
  <c r="L244" i="3"/>
  <c r="O244" i="3" s="1"/>
  <c r="Q244" i="3" s="1"/>
  <c r="L44" i="3"/>
  <c r="O44" i="3" s="1"/>
  <c r="Q44" i="3" s="1"/>
  <c r="L991" i="3"/>
  <c r="O991" i="3" s="1"/>
  <c r="Q991" i="3" s="1"/>
  <c r="L203" i="3"/>
  <c r="O203" i="3" s="1"/>
  <c r="Q203" i="3" s="1"/>
  <c r="L103" i="3"/>
  <c r="O103" i="3" s="1"/>
  <c r="Q103" i="3" s="1"/>
  <c r="M64" i="15"/>
  <c r="I79" i="8"/>
  <c r="R655" i="3"/>
  <c r="I47" i="8" s="1"/>
  <c r="S655" i="3"/>
  <c r="B17" i="8"/>
  <c r="B49" i="8"/>
  <c r="D81" i="10"/>
  <c r="R1072" i="3"/>
  <c r="S1072" i="3"/>
  <c r="Q80" i="5"/>
  <c r="S686" i="3"/>
  <c r="R686" i="3"/>
  <c r="Q48" i="5" s="1"/>
  <c r="E49" i="8"/>
  <c r="E17" i="8"/>
  <c r="B79" i="12"/>
  <c r="R477" i="3"/>
  <c r="B47" i="12" s="1"/>
  <c r="S477" i="3"/>
  <c r="I79" i="6"/>
  <c r="S831" i="3"/>
  <c r="R831" i="3"/>
  <c r="I47" i="6" s="1"/>
  <c r="L860" i="3"/>
  <c r="O860" i="3" s="1"/>
  <c r="Q860" i="3" s="1"/>
  <c r="L714" i="3"/>
  <c r="O714" i="3" s="1"/>
  <c r="Q714" i="3" s="1"/>
  <c r="L448" i="3"/>
  <c r="O448" i="3" s="1"/>
  <c r="Q448" i="3" s="1"/>
  <c r="L684" i="3"/>
  <c r="O684" i="3" s="1"/>
  <c r="Q684" i="3" s="1"/>
  <c r="L418" i="3"/>
  <c r="O418" i="3" s="1"/>
  <c r="L594" i="3"/>
  <c r="O594" i="3" s="1"/>
  <c r="Q594" i="3" s="1"/>
  <c r="D66" i="15"/>
  <c r="Q829" i="3"/>
  <c r="D80" i="8"/>
  <c r="R363" i="3"/>
  <c r="D48" i="8" s="1"/>
  <c r="S363" i="3"/>
  <c r="F79" i="7"/>
  <c r="S801" i="3"/>
  <c r="R801" i="3"/>
  <c r="F47" i="7" s="1"/>
  <c r="E80" i="8"/>
  <c r="S911" i="3"/>
  <c r="R911" i="3"/>
  <c r="E48" i="8" s="1"/>
  <c r="B81" i="9"/>
  <c r="R104" i="3"/>
  <c r="S104" i="3"/>
  <c r="E78" i="6"/>
  <c r="S534" i="3"/>
  <c r="R534" i="3"/>
  <c r="E46" i="6" s="1"/>
  <c r="O79" i="5"/>
  <c r="S449" i="3"/>
  <c r="R449" i="3"/>
  <c r="O47" i="5" s="1"/>
  <c r="C17" i="8"/>
  <c r="C49" i="8"/>
  <c r="H79" i="6"/>
  <c r="R565" i="3"/>
  <c r="H47" i="6" s="1"/>
  <c r="S565" i="3"/>
  <c r="F80" i="6"/>
  <c r="S744" i="3"/>
  <c r="R744" i="3"/>
  <c r="F48" i="6" s="1"/>
  <c r="Q743" i="3"/>
  <c r="C96" i="15"/>
  <c r="Q419" i="3"/>
  <c r="G80" i="8"/>
  <c r="R1171" i="3"/>
  <c r="G48" i="8" s="1"/>
  <c r="S1171" i="3"/>
  <c r="L1071" i="3"/>
  <c r="O1071" i="3" s="1"/>
  <c r="Q1071" i="3" s="1"/>
  <c r="L283" i="3"/>
  <c r="O283" i="3" s="1"/>
  <c r="Q283" i="3" s="1"/>
  <c r="L303" i="3"/>
  <c r="O303" i="3" s="1"/>
  <c r="Q303" i="3" s="1"/>
  <c r="N64" i="15"/>
  <c r="C81" i="9"/>
  <c r="R204" i="3"/>
  <c r="S204" i="3"/>
  <c r="Q595" i="3"/>
  <c r="H78" i="6"/>
  <c r="R564" i="3"/>
  <c r="H46" i="6" s="1"/>
  <c r="S564" i="3"/>
  <c r="B81" i="6"/>
  <c r="R84" i="3"/>
  <c r="S84" i="3"/>
  <c r="C95" i="15"/>
  <c r="F80" i="8"/>
  <c r="R1091" i="3"/>
  <c r="F48" i="8" s="1"/>
  <c r="S1091" i="3"/>
  <c r="L390" i="3"/>
  <c r="O390" i="3" s="1"/>
  <c r="Q390" i="3" s="1"/>
  <c r="R66" i="15"/>
  <c r="D17" i="8"/>
  <c r="D49" i="8"/>
  <c r="B48" i="12"/>
  <c r="B17" i="12"/>
  <c r="F96" i="15"/>
  <c r="C63" i="15"/>
  <c r="B81" i="10"/>
  <c r="R284" i="3"/>
  <c r="S284" i="3"/>
  <c r="G95" i="15"/>
  <c r="D81" i="9"/>
  <c r="S992" i="3"/>
  <c r="R992" i="3"/>
  <c r="P78" i="5" l="1"/>
  <c r="S594" i="3"/>
  <c r="R594" i="3"/>
  <c r="P46" i="5" s="1"/>
  <c r="D81" i="5"/>
  <c r="R244" i="3"/>
  <c r="S244" i="3"/>
  <c r="K81" i="5"/>
  <c r="R1132" i="3"/>
  <c r="S1132" i="3"/>
  <c r="F78" i="7"/>
  <c r="S800" i="3"/>
  <c r="R800" i="3"/>
  <c r="F46" i="7" s="1"/>
  <c r="L773" i="3"/>
  <c r="O773" i="3" s="1"/>
  <c r="Q773" i="3" s="1"/>
  <c r="L891" i="3"/>
  <c r="O891" i="3" s="1"/>
  <c r="Q891" i="3" s="1"/>
  <c r="P65" i="15"/>
  <c r="C81" i="4"/>
  <c r="R164" i="3"/>
  <c r="S164" i="3"/>
  <c r="D80" i="10"/>
  <c r="R1071" i="3"/>
  <c r="D48" i="10" s="1"/>
  <c r="S1071" i="3"/>
  <c r="B49" i="9"/>
  <c r="B17" i="9"/>
  <c r="O78" i="5"/>
  <c r="S448" i="3"/>
  <c r="R448" i="3"/>
  <c r="O46" i="5" s="1"/>
  <c r="D17" i="10"/>
  <c r="D49" i="10"/>
  <c r="L990" i="3"/>
  <c r="O990" i="3" s="1"/>
  <c r="Q990" i="3" s="1"/>
  <c r="L202" i="3"/>
  <c r="O202" i="3" s="1"/>
  <c r="Q202" i="3" s="1"/>
  <c r="L102" i="3"/>
  <c r="O102" i="3" s="1"/>
  <c r="Q102" i="3" s="1"/>
  <c r="M65" i="15"/>
  <c r="G81" i="5"/>
  <c r="S952" i="3"/>
  <c r="R952" i="3"/>
  <c r="Q828" i="3"/>
  <c r="E79" i="8"/>
  <c r="R910" i="3"/>
  <c r="E47" i="8" s="1"/>
  <c r="S910" i="3"/>
  <c r="C80" i="6"/>
  <c r="R223" i="3"/>
  <c r="C48" i="6" s="1"/>
  <c r="S223" i="3"/>
  <c r="B80" i="11"/>
  <c r="R774" i="3"/>
  <c r="S774" i="3"/>
  <c r="D81" i="4"/>
  <c r="R324" i="3"/>
  <c r="S324" i="3"/>
  <c r="C17" i="6"/>
  <c r="C49" i="6"/>
  <c r="I77" i="8"/>
  <c r="S653" i="3"/>
  <c r="R653" i="3"/>
  <c r="I45" i="8" s="1"/>
  <c r="E81" i="5"/>
  <c r="S264" i="3"/>
  <c r="R264" i="3"/>
  <c r="M81" i="5"/>
  <c r="R1232" i="3"/>
  <c r="S1232" i="3"/>
  <c r="G80" i="6"/>
  <c r="R1051" i="3"/>
  <c r="G48" i="6" s="1"/>
  <c r="S1051" i="3"/>
  <c r="D96" i="15"/>
  <c r="L827" i="3"/>
  <c r="O827" i="3" s="1"/>
  <c r="L561" i="3"/>
  <c r="O561" i="3" s="1"/>
  <c r="Q561" i="3" s="1"/>
  <c r="H69" i="15"/>
  <c r="D79" i="8"/>
  <c r="R362" i="3"/>
  <c r="D47" i="8" s="1"/>
  <c r="S362" i="3"/>
  <c r="D49" i="6"/>
  <c r="D17" i="6"/>
  <c r="L1250" i="3"/>
  <c r="O1250" i="3" s="1"/>
  <c r="Q1250" i="3" s="1"/>
  <c r="L82" i="3"/>
  <c r="O82" i="3" s="1"/>
  <c r="Q82" i="3" s="1"/>
  <c r="L222" i="3"/>
  <c r="O222" i="3" s="1"/>
  <c r="Q222" i="3" s="1"/>
  <c r="E65" i="15"/>
  <c r="B80" i="6"/>
  <c r="R83" i="3"/>
  <c r="B48" i="6" s="1"/>
  <c r="S83" i="3"/>
  <c r="G49" i="6"/>
  <c r="G17" i="6"/>
  <c r="C80" i="11"/>
  <c r="R892" i="3"/>
  <c r="S892" i="3"/>
  <c r="B81" i="4"/>
  <c r="R144" i="3"/>
  <c r="S144" i="3"/>
  <c r="B49" i="10"/>
  <c r="B17" i="10"/>
  <c r="L389" i="3"/>
  <c r="O389" i="3" s="1"/>
  <c r="Q389" i="3" s="1"/>
  <c r="R67" i="15"/>
  <c r="N79" i="5"/>
  <c r="R419" i="3"/>
  <c r="N47" i="5" s="1"/>
  <c r="S419" i="3"/>
  <c r="L859" i="3"/>
  <c r="O859" i="3" s="1"/>
  <c r="Q859" i="3" s="1"/>
  <c r="L713" i="3"/>
  <c r="O713" i="3" s="1"/>
  <c r="Q713" i="3" s="1"/>
  <c r="L593" i="3"/>
  <c r="O593" i="3" s="1"/>
  <c r="Q593" i="3" s="1"/>
  <c r="L683" i="3"/>
  <c r="O683" i="3" s="1"/>
  <c r="Q683" i="3" s="1"/>
  <c r="L447" i="3"/>
  <c r="O447" i="3" s="1"/>
  <c r="Q447" i="3" s="1"/>
  <c r="L417" i="3"/>
  <c r="O417" i="3" s="1"/>
  <c r="D67" i="15"/>
  <c r="B81" i="5"/>
  <c r="R44" i="3"/>
  <c r="S44" i="3"/>
  <c r="B95" i="15"/>
  <c r="J81" i="5"/>
  <c r="S1112" i="3"/>
  <c r="R1112" i="3"/>
  <c r="E78" i="7"/>
  <c r="S504" i="3"/>
  <c r="R504" i="3"/>
  <c r="E46" i="7" s="1"/>
  <c r="B79" i="8"/>
  <c r="R22" i="3"/>
  <c r="B47" i="8" s="1"/>
  <c r="S22" i="3"/>
  <c r="E75" i="6"/>
  <c r="S531" i="3"/>
  <c r="R531" i="3"/>
  <c r="E43" i="6" s="1"/>
  <c r="L620" i="3"/>
  <c r="O620" i="3" s="1"/>
  <c r="O70" i="15"/>
  <c r="C81" i="7"/>
  <c r="R972" i="3"/>
  <c r="S972" i="3"/>
  <c r="B78" i="13"/>
  <c r="S390" i="3"/>
  <c r="R390" i="3"/>
  <c r="B46" i="13" s="1"/>
  <c r="L1070" i="3"/>
  <c r="O1070" i="3" s="1"/>
  <c r="Q1070" i="3" s="1"/>
  <c r="L282" i="3"/>
  <c r="O282" i="3" s="1"/>
  <c r="Q282" i="3" s="1"/>
  <c r="L302" i="3"/>
  <c r="O302" i="3" s="1"/>
  <c r="Q302" i="3" s="1"/>
  <c r="N65" i="15"/>
  <c r="Q418" i="3"/>
  <c r="C81" i="5"/>
  <c r="R64" i="3"/>
  <c r="S64" i="3"/>
  <c r="L81" i="5"/>
  <c r="S1152" i="3"/>
  <c r="R1152" i="3"/>
  <c r="L1050" i="3"/>
  <c r="O1050" i="3" s="1"/>
  <c r="Q1050" i="3" s="1"/>
  <c r="G65" i="15"/>
  <c r="H79" i="8"/>
  <c r="S1190" i="3"/>
  <c r="R1190" i="3"/>
  <c r="H47" i="8" s="1"/>
  <c r="B80" i="10"/>
  <c r="R283" i="3"/>
  <c r="B48" i="10" s="1"/>
  <c r="S283" i="3"/>
  <c r="G96" i="15"/>
  <c r="Q78" i="5"/>
  <c r="S684" i="3"/>
  <c r="R684" i="3"/>
  <c r="Q46" i="5" s="1"/>
  <c r="S78" i="5"/>
  <c r="R860" i="3"/>
  <c r="S46" i="5" s="1"/>
  <c r="S860" i="3"/>
  <c r="C80" i="9"/>
  <c r="R203" i="3"/>
  <c r="C48" i="9" s="1"/>
  <c r="S203" i="3"/>
  <c r="I81" i="5"/>
  <c r="S1032" i="3"/>
  <c r="R1032" i="3"/>
  <c r="B78" i="12"/>
  <c r="R476" i="3"/>
  <c r="B46" i="12" s="1"/>
  <c r="S476" i="3"/>
  <c r="G79" i="8"/>
  <c r="R1170" i="3"/>
  <c r="G47" i="8" s="1"/>
  <c r="S1170" i="3"/>
  <c r="C17" i="10"/>
  <c r="C49" i="10"/>
  <c r="D80" i="6"/>
  <c r="S1251" i="3"/>
  <c r="R1251" i="3"/>
  <c r="D48" i="6" s="1"/>
  <c r="L1271" i="3"/>
  <c r="O1271" i="3" s="1"/>
  <c r="Q1271" i="3" s="1"/>
  <c r="L971" i="3"/>
  <c r="O971" i="3" s="1"/>
  <c r="Q971" i="3" s="1"/>
  <c r="L183" i="3"/>
  <c r="O183" i="3" s="1"/>
  <c r="Q183" i="3" s="1"/>
  <c r="I64" i="15"/>
  <c r="E81" i="4"/>
  <c r="S344" i="3"/>
  <c r="R344" i="3"/>
  <c r="C79" i="8"/>
  <c r="R122" i="3"/>
  <c r="C47" i="8" s="1"/>
  <c r="S122" i="3"/>
  <c r="E78" i="10"/>
  <c r="R624" i="3"/>
  <c r="E46" i="10" s="1"/>
  <c r="S624" i="3"/>
  <c r="Q623" i="3"/>
  <c r="L652" i="3"/>
  <c r="O652" i="3" s="1"/>
  <c r="Q652" i="3" s="1"/>
  <c r="L68" i="15"/>
  <c r="D81" i="7"/>
  <c r="R1272" i="3"/>
  <c r="S1272" i="3"/>
  <c r="L1231" i="3"/>
  <c r="O1231" i="3" s="1"/>
  <c r="Q1231" i="3" s="1"/>
  <c r="L1011" i="3"/>
  <c r="O1011" i="3" s="1"/>
  <c r="Q1011" i="3" s="1"/>
  <c r="L1111" i="3"/>
  <c r="O1111" i="3" s="1"/>
  <c r="Q1111" i="3" s="1"/>
  <c r="L931" i="3"/>
  <c r="O931" i="3" s="1"/>
  <c r="Q931" i="3" s="1"/>
  <c r="L1151" i="3"/>
  <c r="O1151" i="3" s="1"/>
  <c r="Q1151" i="3" s="1"/>
  <c r="L1031" i="3"/>
  <c r="O1031" i="3" s="1"/>
  <c r="Q1031" i="3" s="1"/>
  <c r="L1131" i="3"/>
  <c r="O1131" i="3" s="1"/>
  <c r="Q1131" i="3" s="1"/>
  <c r="L951" i="3"/>
  <c r="O951" i="3" s="1"/>
  <c r="Q951" i="3" s="1"/>
  <c r="L243" i="3"/>
  <c r="O243" i="3" s="1"/>
  <c r="Q243" i="3" s="1"/>
  <c r="L263" i="3"/>
  <c r="O263" i="3" s="1"/>
  <c r="Q263" i="3" s="1"/>
  <c r="L43" i="3"/>
  <c r="O43" i="3" s="1"/>
  <c r="Q43" i="3" s="1"/>
  <c r="L63" i="3"/>
  <c r="O63" i="3" s="1"/>
  <c r="Q63" i="3" s="1"/>
  <c r="C64" i="15"/>
  <c r="C80" i="10"/>
  <c r="R303" i="3"/>
  <c r="C48" i="10" s="1"/>
  <c r="S303" i="3"/>
  <c r="F79" i="6"/>
  <c r="S743" i="3"/>
  <c r="R743" i="3"/>
  <c r="F47" i="6" s="1"/>
  <c r="C97" i="15"/>
  <c r="Q742" i="3"/>
  <c r="L1211" i="3"/>
  <c r="O1211" i="3" s="1"/>
  <c r="Q1211" i="3" s="1"/>
  <c r="L163" i="3"/>
  <c r="O163" i="3" s="1"/>
  <c r="Q163" i="3" s="1"/>
  <c r="L323" i="3"/>
  <c r="O323" i="3" s="1"/>
  <c r="Q323" i="3" s="1"/>
  <c r="L343" i="3"/>
  <c r="O343" i="3" s="1"/>
  <c r="Q343" i="3" s="1"/>
  <c r="L143" i="3"/>
  <c r="O143" i="3" s="1"/>
  <c r="Q143" i="3" s="1"/>
  <c r="B64" i="15"/>
  <c r="D17" i="9"/>
  <c r="D49" i="9"/>
  <c r="P79" i="5"/>
  <c r="S595" i="3"/>
  <c r="R595" i="3"/>
  <c r="P47" i="5" s="1"/>
  <c r="R78" i="5"/>
  <c r="S714" i="3"/>
  <c r="R714" i="3"/>
  <c r="R46" i="5" s="1"/>
  <c r="B80" i="9"/>
  <c r="S103" i="3"/>
  <c r="R103" i="3"/>
  <c r="B48" i="9" s="1"/>
  <c r="H81" i="5"/>
  <c r="R1012" i="3"/>
  <c r="S1012" i="3"/>
  <c r="H76" i="6"/>
  <c r="R562" i="3"/>
  <c r="H44" i="6" s="1"/>
  <c r="S562" i="3"/>
  <c r="L475" i="3"/>
  <c r="O475" i="3" s="1"/>
  <c r="Q475" i="3" s="1"/>
  <c r="Q67" i="15"/>
  <c r="F79" i="8"/>
  <c r="S1090" i="3"/>
  <c r="R1090" i="3"/>
  <c r="F47" i="8" s="1"/>
  <c r="B17" i="6"/>
  <c r="B49" i="6"/>
  <c r="C49" i="9"/>
  <c r="C17" i="9"/>
  <c r="I77" i="6"/>
  <c r="S829" i="3"/>
  <c r="R829" i="3"/>
  <c r="I45" i="6" s="1"/>
  <c r="D80" i="9"/>
  <c r="R991" i="3"/>
  <c r="D48" i="9" s="1"/>
  <c r="S991" i="3"/>
  <c r="F81" i="5"/>
  <c r="R932" i="3"/>
  <c r="S932" i="3"/>
  <c r="L799" i="3"/>
  <c r="O799" i="3" s="1"/>
  <c r="Q799" i="3" s="1"/>
  <c r="L503" i="3"/>
  <c r="O503" i="3" s="1"/>
  <c r="Q503" i="3" s="1"/>
  <c r="J67" i="15"/>
  <c r="L1189" i="3"/>
  <c r="O1189" i="3" s="1"/>
  <c r="Q1189" i="3" s="1"/>
  <c r="L1089" i="3"/>
  <c r="O1089" i="3" s="1"/>
  <c r="Q1089" i="3" s="1"/>
  <c r="L1169" i="3"/>
  <c r="O1169" i="3" s="1"/>
  <c r="Q1169" i="3" s="1"/>
  <c r="L909" i="3"/>
  <c r="O909" i="3" s="1"/>
  <c r="Q909" i="3" s="1"/>
  <c r="L121" i="3"/>
  <c r="O121" i="3" s="1"/>
  <c r="Q121" i="3" s="1"/>
  <c r="L21" i="3"/>
  <c r="O21" i="3" s="1"/>
  <c r="Q21" i="3" s="1"/>
  <c r="L361" i="3"/>
  <c r="O361" i="3" s="1"/>
  <c r="Q361" i="3" s="1"/>
  <c r="K66" i="15"/>
  <c r="L738" i="3"/>
  <c r="O738" i="3" s="1"/>
  <c r="L530" i="3"/>
  <c r="O530" i="3" s="1"/>
  <c r="Q530" i="3" s="1"/>
  <c r="F70" i="15"/>
  <c r="B81" i="7"/>
  <c r="S184" i="3"/>
  <c r="R184" i="3"/>
  <c r="E95" i="15"/>
  <c r="R1212" i="3"/>
  <c r="F81" i="4"/>
  <c r="S1212" i="3"/>
  <c r="L1049" i="3" l="1"/>
  <c r="O1049" i="3" s="1"/>
  <c r="Q1049" i="3" s="1"/>
  <c r="G66" i="15"/>
  <c r="N78" i="5"/>
  <c r="R418" i="3"/>
  <c r="N46" i="5" s="1"/>
  <c r="S418" i="3"/>
  <c r="L858" i="3"/>
  <c r="O858" i="3" s="1"/>
  <c r="Q858" i="3" s="1"/>
  <c r="L682" i="3"/>
  <c r="O682" i="3" s="1"/>
  <c r="Q682" i="3" s="1"/>
  <c r="L592" i="3"/>
  <c r="O592" i="3" s="1"/>
  <c r="Q592" i="3" s="1"/>
  <c r="L712" i="3"/>
  <c r="O712" i="3" s="1"/>
  <c r="Q712" i="3" s="1"/>
  <c r="L416" i="3"/>
  <c r="O416" i="3" s="1"/>
  <c r="Q416" i="3" s="1"/>
  <c r="L446" i="3"/>
  <c r="O446" i="3" s="1"/>
  <c r="Q446" i="3" s="1"/>
  <c r="D68" i="15"/>
  <c r="B17" i="4"/>
  <c r="B49" i="4"/>
  <c r="C79" i="9"/>
  <c r="R202" i="3"/>
  <c r="C47" i="9" s="1"/>
  <c r="S202" i="3"/>
  <c r="C79" i="11"/>
  <c r="R891" i="3"/>
  <c r="C47" i="11" s="1"/>
  <c r="S891" i="3"/>
  <c r="J17" i="5"/>
  <c r="J49" i="5"/>
  <c r="Q417" i="3"/>
  <c r="D79" i="9"/>
  <c r="S990" i="3"/>
  <c r="R990" i="3"/>
  <c r="D47" i="9" s="1"/>
  <c r="B79" i="11"/>
  <c r="R773" i="3"/>
  <c r="B47" i="11" s="1"/>
  <c r="S773" i="3"/>
  <c r="B17" i="7"/>
  <c r="B49" i="7"/>
  <c r="B78" i="8"/>
  <c r="R21" i="3"/>
  <c r="B46" i="8" s="1"/>
  <c r="S21" i="3"/>
  <c r="F98" i="15"/>
  <c r="F77" i="7"/>
  <c r="S799" i="3"/>
  <c r="R799" i="3"/>
  <c r="F45" i="7" s="1"/>
  <c r="H49" i="5"/>
  <c r="H17" i="5"/>
  <c r="E80" i="4"/>
  <c r="R343" i="3"/>
  <c r="E48" i="4" s="1"/>
  <c r="S343" i="3"/>
  <c r="D80" i="5"/>
  <c r="R243" i="3"/>
  <c r="D48" i="5" s="1"/>
  <c r="S243" i="3"/>
  <c r="S1231" i="3"/>
  <c r="M80" i="5"/>
  <c r="R1231" i="3"/>
  <c r="M48" i="5" s="1"/>
  <c r="E77" i="10"/>
  <c r="R623" i="3"/>
  <c r="E45" i="10" s="1"/>
  <c r="S623" i="3"/>
  <c r="Q622" i="3"/>
  <c r="E17" i="4"/>
  <c r="E49" i="4"/>
  <c r="G79" i="6"/>
  <c r="R1050" i="3"/>
  <c r="G47" i="6" s="1"/>
  <c r="S1050" i="3"/>
  <c r="D97" i="15"/>
  <c r="L1069" i="3"/>
  <c r="O1069" i="3" s="1"/>
  <c r="Q1069" i="3" s="1"/>
  <c r="L301" i="3"/>
  <c r="O301" i="3" s="1"/>
  <c r="Q301" i="3" s="1"/>
  <c r="L281" i="3"/>
  <c r="O281" i="3" s="1"/>
  <c r="Q281" i="3" s="1"/>
  <c r="N66" i="15"/>
  <c r="C49" i="7"/>
  <c r="C17" i="7"/>
  <c r="O77" i="5"/>
  <c r="S447" i="3"/>
  <c r="R447" i="3"/>
  <c r="O45" i="5" s="1"/>
  <c r="G17" i="5"/>
  <c r="G49" i="5"/>
  <c r="L1210" i="3"/>
  <c r="O1210" i="3" s="1"/>
  <c r="Q1210" i="3" s="1"/>
  <c r="L142" i="3"/>
  <c r="O142" i="3" s="1"/>
  <c r="Q142" i="3" s="1"/>
  <c r="L322" i="3"/>
  <c r="O322" i="3" s="1"/>
  <c r="Q322" i="3" s="1"/>
  <c r="L342" i="3"/>
  <c r="O342" i="3" s="1"/>
  <c r="Q342" i="3" s="1"/>
  <c r="L162" i="3"/>
  <c r="O162" i="3" s="1"/>
  <c r="Q162" i="3" s="1"/>
  <c r="B65" i="15"/>
  <c r="B80" i="5"/>
  <c r="R43" i="3"/>
  <c r="B48" i="5" s="1"/>
  <c r="S43" i="3"/>
  <c r="B96" i="15"/>
  <c r="J80" i="5"/>
  <c r="R1111" i="3"/>
  <c r="J48" i="5" s="1"/>
  <c r="S1111" i="3"/>
  <c r="D80" i="7"/>
  <c r="R1271" i="3"/>
  <c r="D48" i="7" s="1"/>
  <c r="S1271" i="3"/>
  <c r="H75" i="6"/>
  <c r="R561" i="3"/>
  <c r="H43" i="6" s="1"/>
  <c r="S561" i="3"/>
  <c r="D78" i="8"/>
  <c r="R361" i="3"/>
  <c r="D46" i="8" s="1"/>
  <c r="S361" i="3"/>
  <c r="E77" i="7"/>
  <c r="S503" i="3"/>
  <c r="R503" i="3"/>
  <c r="E45" i="7" s="1"/>
  <c r="B80" i="4"/>
  <c r="R143" i="3"/>
  <c r="B48" i="4" s="1"/>
  <c r="S143" i="3"/>
  <c r="E80" i="5"/>
  <c r="R263" i="3"/>
  <c r="E48" i="5" s="1"/>
  <c r="S263" i="3"/>
  <c r="H80" i="5"/>
  <c r="R1011" i="3"/>
  <c r="H48" i="5" s="1"/>
  <c r="S1011" i="3"/>
  <c r="L1249" i="3"/>
  <c r="O1249" i="3" s="1"/>
  <c r="Q1249" i="3" s="1"/>
  <c r="L221" i="3"/>
  <c r="O221" i="3" s="1"/>
  <c r="Q221" i="3" s="1"/>
  <c r="L81" i="3"/>
  <c r="O81" i="3" s="1"/>
  <c r="Q81" i="3" s="1"/>
  <c r="E66" i="15"/>
  <c r="B48" i="11"/>
  <c r="B17" i="11"/>
  <c r="I76" i="6"/>
  <c r="S828" i="3"/>
  <c r="R828" i="3"/>
  <c r="I44" i="6" s="1"/>
  <c r="D49" i="5"/>
  <c r="D17" i="5"/>
  <c r="C78" i="8"/>
  <c r="R121" i="3"/>
  <c r="C46" i="8" s="1"/>
  <c r="S121" i="3"/>
  <c r="L474" i="3"/>
  <c r="O474" i="3" s="1"/>
  <c r="Q474" i="3" s="1"/>
  <c r="Q68" i="15"/>
  <c r="D80" i="4"/>
  <c r="R323" i="3"/>
  <c r="D48" i="4" s="1"/>
  <c r="S323" i="3"/>
  <c r="G80" i="5"/>
  <c r="R951" i="3"/>
  <c r="G48" i="5" s="1"/>
  <c r="S951" i="3"/>
  <c r="L17" i="5"/>
  <c r="L49" i="5"/>
  <c r="C79" i="10"/>
  <c r="S302" i="3"/>
  <c r="R302" i="3"/>
  <c r="C47" i="10" s="1"/>
  <c r="Q77" i="5"/>
  <c r="S683" i="3"/>
  <c r="R683" i="3"/>
  <c r="Q45" i="5" s="1"/>
  <c r="L388" i="3"/>
  <c r="O388" i="3" s="1"/>
  <c r="Q388" i="3" s="1"/>
  <c r="R68" i="15"/>
  <c r="C48" i="11"/>
  <c r="C17" i="11"/>
  <c r="C79" i="6"/>
  <c r="S222" i="3"/>
  <c r="R222" i="3"/>
  <c r="C47" i="6" s="1"/>
  <c r="L560" i="3"/>
  <c r="O560" i="3" s="1"/>
  <c r="Q560" i="3" s="1"/>
  <c r="L826" i="3"/>
  <c r="O826" i="3" s="1"/>
  <c r="Q826" i="3" s="1"/>
  <c r="H70" i="15"/>
  <c r="M49" i="5"/>
  <c r="M17" i="5"/>
  <c r="E78" i="8"/>
  <c r="S909" i="3"/>
  <c r="R909" i="3"/>
  <c r="E46" i="8" s="1"/>
  <c r="F49" i="5"/>
  <c r="F17" i="5"/>
  <c r="B77" i="12"/>
  <c r="R475" i="3"/>
  <c r="B45" i="12" s="1"/>
  <c r="S475" i="3"/>
  <c r="C80" i="4"/>
  <c r="R163" i="3"/>
  <c r="C48" i="4" s="1"/>
  <c r="S163" i="3"/>
  <c r="K80" i="5"/>
  <c r="R1131" i="3"/>
  <c r="K48" i="5" s="1"/>
  <c r="S1131" i="3"/>
  <c r="D17" i="7"/>
  <c r="D49" i="7"/>
  <c r="I49" i="5"/>
  <c r="I17" i="5"/>
  <c r="B79" i="10"/>
  <c r="R282" i="3"/>
  <c r="B47" i="10" s="1"/>
  <c r="S282" i="3"/>
  <c r="G97" i="15"/>
  <c r="L619" i="3"/>
  <c r="O619" i="3" s="1"/>
  <c r="O71" i="15"/>
  <c r="P77" i="5"/>
  <c r="S593" i="3"/>
  <c r="R593" i="3"/>
  <c r="P45" i="5" s="1"/>
  <c r="B77" i="13"/>
  <c r="R389" i="3"/>
  <c r="B45" i="13" s="1"/>
  <c r="S389" i="3"/>
  <c r="B79" i="6"/>
  <c r="R82" i="3"/>
  <c r="B47" i="6" s="1"/>
  <c r="S82" i="3"/>
  <c r="L737" i="3"/>
  <c r="O737" i="3" s="1"/>
  <c r="L529" i="3"/>
  <c r="O529" i="3" s="1"/>
  <c r="Q529" i="3" s="1"/>
  <c r="F71" i="15"/>
  <c r="G78" i="8"/>
  <c r="R1169" i="3"/>
  <c r="G46" i="8" s="1"/>
  <c r="S1169" i="3"/>
  <c r="S1211" i="3"/>
  <c r="F80" i="4"/>
  <c r="R1211" i="3"/>
  <c r="F48" i="4" s="1"/>
  <c r="I80" i="5"/>
  <c r="R1031" i="3"/>
  <c r="I48" i="5" s="1"/>
  <c r="S1031" i="3"/>
  <c r="L1270" i="3"/>
  <c r="O1270" i="3" s="1"/>
  <c r="Q1270" i="3" s="1"/>
  <c r="L970" i="3"/>
  <c r="O970" i="3" s="1"/>
  <c r="Q970" i="3" s="1"/>
  <c r="L182" i="3"/>
  <c r="O182" i="3" s="1"/>
  <c r="Q182" i="3" s="1"/>
  <c r="I65" i="15"/>
  <c r="D79" i="10"/>
  <c r="S1070" i="3"/>
  <c r="R1070" i="3"/>
  <c r="D47" i="10" s="1"/>
  <c r="R77" i="5"/>
  <c r="R713" i="3"/>
  <c r="R45" i="5" s="1"/>
  <c r="S713" i="3"/>
  <c r="D79" i="6"/>
  <c r="S1250" i="3"/>
  <c r="R1250" i="3"/>
  <c r="D47" i="6" s="1"/>
  <c r="Q827" i="3"/>
  <c r="E49" i="5"/>
  <c r="E17" i="5"/>
  <c r="C49" i="4"/>
  <c r="C17" i="4"/>
  <c r="B80" i="7"/>
  <c r="R183" i="3"/>
  <c r="B48" i="7" s="1"/>
  <c r="S183" i="3"/>
  <c r="E96" i="15"/>
  <c r="B17" i="5"/>
  <c r="B49" i="5"/>
  <c r="S77" i="5"/>
  <c r="S859" i="3"/>
  <c r="R859" i="3"/>
  <c r="S45" i="5" s="1"/>
  <c r="L989" i="3"/>
  <c r="O989" i="3" s="1"/>
  <c r="Q989" i="3" s="1"/>
  <c r="L101" i="3"/>
  <c r="O101" i="3" s="1"/>
  <c r="Q101" i="3" s="1"/>
  <c r="L201" i="3"/>
  <c r="O201" i="3" s="1"/>
  <c r="Q201" i="3" s="1"/>
  <c r="M66" i="15"/>
  <c r="F17" i="4"/>
  <c r="F49" i="4"/>
  <c r="L1188" i="3"/>
  <c r="O1188" i="3" s="1"/>
  <c r="Q1188" i="3" s="1"/>
  <c r="L1168" i="3"/>
  <c r="O1168" i="3" s="1"/>
  <c r="Q1168" i="3" s="1"/>
  <c r="L1088" i="3"/>
  <c r="O1088" i="3" s="1"/>
  <c r="Q1088" i="3" s="1"/>
  <c r="L908" i="3"/>
  <c r="O908" i="3" s="1"/>
  <c r="Q908" i="3" s="1"/>
  <c r="L360" i="3"/>
  <c r="O360" i="3" s="1"/>
  <c r="Q360" i="3" s="1"/>
  <c r="L120" i="3"/>
  <c r="O120" i="3" s="1"/>
  <c r="Q120" i="3" s="1"/>
  <c r="L20" i="3"/>
  <c r="O20" i="3" s="1"/>
  <c r="Q20" i="3" s="1"/>
  <c r="K67" i="15"/>
  <c r="L798" i="3"/>
  <c r="O798" i="3" s="1"/>
  <c r="Q798" i="3" s="1"/>
  <c r="L502" i="3"/>
  <c r="O502" i="3" s="1"/>
  <c r="Q502" i="3" s="1"/>
  <c r="J68" i="15"/>
  <c r="E74" i="6"/>
  <c r="S530" i="3"/>
  <c r="R530" i="3"/>
  <c r="E42" i="6" s="1"/>
  <c r="F78" i="8"/>
  <c r="R1089" i="3"/>
  <c r="F46" i="8" s="1"/>
  <c r="S1089" i="3"/>
  <c r="F78" i="6"/>
  <c r="S742" i="3"/>
  <c r="R742" i="3"/>
  <c r="F46" i="6" s="1"/>
  <c r="Q741" i="3"/>
  <c r="C98" i="15"/>
  <c r="L1150" i="3"/>
  <c r="O1150" i="3" s="1"/>
  <c r="Q1150" i="3" s="1"/>
  <c r="L1130" i="3"/>
  <c r="O1130" i="3" s="1"/>
  <c r="Q1130" i="3" s="1"/>
  <c r="L1110" i="3"/>
  <c r="O1110" i="3" s="1"/>
  <c r="Q1110" i="3" s="1"/>
  <c r="L1030" i="3"/>
  <c r="O1030" i="3" s="1"/>
  <c r="Q1030" i="3" s="1"/>
  <c r="L950" i="3"/>
  <c r="O950" i="3" s="1"/>
  <c r="Q950" i="3" s="1"/>
  <c r="L930" i="3"/>
  <c r="O930" i="3" s="1"/>
  <c r="Q930" i="3" s="1"/>
  <c r="L1010" i="3"/>
  <c r="O1010" i="3" s="1"/>
  <c r="Q1010" i="3" s="1"/>
  <c r="L1230" i="3"/>
  <c r="O1230" i="3" s="1"/>
  <c r="Q1230" i="3" s="1"/>
  <c r="L242" i="3"/>
  <c r="O242" i="3" s="1"/>
  <c r="Q242" i="3" s="1"/>
  <c r="L262" i="3"/>
  <c r="O262" i="3" s="1"/>
  <c r="Q262" i="3" s="1"/>
  <c r="L42" i="3"/>
  <c r="O42" i="3" s="1"/>
  <c r="Q42" i="3" s="1"/>
  <c r="L62" i="3"/>
  <c r="O62" i="3" s="1"/>
  <c r="Q62" i="3" s="1"/>
  <c r="C65" i="15"/>
  <c r="L80" i="5"/>
  <c r="R1151" i="3"/>
  <c r="L48" i="5" s="1"/>
  <c r="S1151" i="3"/>
  <c r="L651" i="3"/>
  <c r="O651" i="3" s="1"/>
  <c r="Q651" i="3" s="1"/>
  <c r="L69" i="15"/>
  <c r="H78" i="8"/>
  <c r="S1189" i="3"/>
  <c r="R1189" i="3"/>
  <c r="H46" i="8" s="1"/>
  <c r="C80" i="5"/>
  <c r="S63" i="3"/>
  <c r="R63" i="3"/>
  <c r="C48" i="5" s="1"/>
  <c r="F80" i="5"/>
  <c r="R931" i="3"/>
  <c r="F48" i="5" s="1"/>
  <c r="S931" i="3"/>
  <c r="I76" i="8"/>
  <c r="S652" i="3"/>
  <c r="R652" i="3"/>
  <c r="I44" i="8" s="1"/>
  <c r="C80" i="7"/>
  <c r="R971" i="3"/>
  <c r="C48" i="7" s="1"/>
  <c r="S971" i="3"/>
  <c r="C49" i="5"/>
  <c r="C17" i="5"/>
  <c r="D17" i="4"/>
  <c r="D49" i="4"/>
  <c r="B79" i="9"/>
  <c r="R102" i="3"/>
  <c r="B47" i="9" s="1"/>
  <c r="S102" i="3"/>
  <c r="L890" i="3"/>
  <c r="O890" i="3" s="1"/>
  <c r="Q890" i="3" s="1"/>
  <c r="L772" i="3"/>
  <c r="O772" i="3" s="1"/>
  <c r="Q772" i="3" s="1"/>
  <c r="P66" i="15"/>
  <c r="K17" i="5"/>
  <c r="K49" i="5"/>
  <c r="L1109" i="3" l="1"/>
  <c r="O1109" i="3" s="1"/>
  <c r="Q1109" i="3" s="1"/>
  <c r="L1229" i="3"/>
  <c r="O1229" i="3" s="1"/>
  <c r="Q1229" i="3" s="1"/>
  <c r="L1129" i="3"/>
  <c r="O1129" i="3" s="1"/>
  <c r="Q1129" i="3" s="1"/>
  <c r="L1029" i="3"/>
  <c r="O1029" i="3" s="1"/>
  <c r="Q1029" i="3" s="1"/>
  <c r="L1009" i="3"/>
  <c r="O1009" i="3" s="1"/>
  <c r="Q1009" i="3" s="1"/>
  <c r="L1149" i="3"/>
  <c r="O1149" i="3" s="1"/>
  <c r="Q1149" i="3" s="1"/>
  <c r="L929" i="3"/>
  <c r="O929" i="3" s="1"/>
  <c r="Q929" i="3" s="1"/>
  <c r="L949" i="3"/>
  <c r="O949" i="3" s="1"/>
  <c r="Q949" i="3" s="1"/>
  <c r="L261" i="3"/>
  <c r="O261" i="3" s="1"/>
  <c r="Q261" i="3" s="1"/>
  <c r="L241" i="3"/>
  <c r="O241" i="3" s="1"/>
  <c r="Q241" i="3" s="1"/>
  <c r="L61" i="3"/>
  <c r="O61" i="3" s="1"/>
  <c r="Q61" i="3" s="1"/>
  <c r="L41" i="3"/>
  <c r="O41" i="3" s="1"/>
  <c r="Q41" i="3" s="1"/>
  <c r="C66" i="15"/>
  <c r="G79" i="5"/>
  <c r="S950" i="3"/>
  <c r="R950" i="3"/>
  <c r="G47" i="5" s="1"/>
  <c r="E77" i="8"/>
  <c r="S908" i="3"/>
  <c r="R908" i="3"/>
  <c r="E45" i="8" s="1"/>
  <c r="N76" i="5"/>
  <c r="R416" i="3"/>
  <c r="N44" i="5" s="1"/>
  <c r="S416" i="3"/>
  <c r="L857" i="3"/>
  <c r="O857" i="3" s="1"/>
  <c r="Q857" i="3" s="1"/>
  <c r="L711" i="3"/>
  <c r="O711" i="3" s="1"/>
  <c r="Q711" i="3" s="1"/>
  <c r="L591" i="3"/>
  <c r="O591" i="3" s="1"/>
  <c r="Q591" i="3" s="1"/>
  <c r="L445" i="3"/>
  <c r="O445" i="3" s="1"/>
  <c r="Q445" i="3" s="1"/>
  <c r="L415" i="3"/>
  <c r="O415" i="3" s="1"/>
  <c r="Q415" i="3" s="1"/>
  <c r="L681" i="3"/>
  <c r="O681" i="3" s="1"/>
  <c r="Q681" i="3" s="1"/>
  <c r="D69" i="15"/>
  <c r="F79" i="5"/>
  <c r="R930" i="3"/>
  <c r="F47" i="5" s="1"/>
  <c r="S930" i="3"/>
  <c r="D77" i="8"/>
  <c r="R360" i="3"/>
  <c r="D45" i="8" s="1"/>
  <c r="S360" i="3"/>
  <c r="C78" i="9"/>
  <c r="R201" i="3"/>
  <c r="C46" i="9" s="1"/>
  <c r="S201" i="3"/>
  <c r="B78" i="9"/>
  <c r="S101" i="3"/>
  <c r="R101" i="3"/>
  <c r="B46" i="9" s="1"/>
  <c r="E73" i="6"/>
  <c r="S529" i="3"/>
  <c r="R529" i="3"/>
  <c r="E41" i="6" s="1"/>
  <c r="D79" i="4"/>
  <c r="R322" i="3"/>
  <c r="D47" i="4" s="1"/>
  <c r="S322" i="3"/>
  <c r="B79" i="4"/>
  <c r="R142" i="3"/>
  <c r="B47" i="4" s="1"/>
  <c r="S142" i="3"/>
  <c r="R76" i="5"/>
  <c r="R712" i="3"/>
  <c r="R44" i="5" s="1"/>
  <c r="S712" i="3"/>
  <c r="J79" i="5"/>
  <c r="S1110" i="3"/>
  <c r="R1110" i="3"/>
  <c r="J47" i="5" s="1"/>
  <c r="B78" i="6"/>
  <c r="R81" i="3"/>
  <c r="B46" i="6" s="1"/>
  <c r="S81" i="3"/>
  <c r="F79" i="4"/>
  <c r="S1210" i="3"/>
  <c r="R1210" i="3"/>
  <c r="F47" i="4" s="1"/>
  <c r="L1068" i="3"/>
  <c r="O1068" i="3" s="1"/>
  <c r="Q1068" i="3" s="1"/>
  <c r="L280" i="3"/>
  <c r="O280" i="3" s="1"/>
  <c r="Q280" i="3" s="1"/>
  <c r="L300" i="3"/>
  <c r="O300" i="3" s="1"/>
  <c r="Q300" i="3" s="1"/>
  <c r="N67" i="15"/>
  <c r="P76" i="5"/>
  <c r="S592" i="3"/>
  <c r="R592" i="3"/>
  <c r="P44" i="5" s="1"/>
  <c r="G78" i="6"/>
  <c r="R1049" i="3"/>
  <c r="G46" i="6" s="1"/>
  <c r="S1049" i="3"/>
  <c r="D98" i="15"/>
  <c r="L650" i="3"/>
  <c r="O650" i="3" s="1"/>
  <c r="Q650" i="3" s="1"/>
  <c r="L70" i="15"/>
  <c r="E79" i="5"/>
  <c r="S262" i="3"/>
  <c r="R262" i="3"/>
  <c r="E47" i="5" s="1"/>
  <c r="K79" i="5"/>
  <c r="R1130" i="3"/>
  <c r="K47" i="5" s="1"/>
  <c r="S1130" i="3"/>
  <c r="F76" i="7"/>
  <c r="S798" i="3"/>
  <c r="R798" i="3"/>
  <c r="F44" i="7" s="1"/>
  <c r="H77" i="8"/>
  <c r="S1188" i="3"/>
  <c r="R1188" i="3"/>
  <c r="H45" i="8" s="1"/>
  <c r="B79" i="7"/>
  <c r="S182" i="3"/>
  <c r="R182" i="3"/>
  <c r="B47" i="7" s="1"/>
  <c r="E97" i="15"/>
  <c r="L618" i="3"/>
  <c r="O618" i="3" s="1"/>
  <c r="O72" i="15"/>
  <c r="C78" i="6"/>
  <c r="R221" i="3"/>
  <c r="C46" i="6" s="1"/>
  <c r="S221" i="3"/>
  <c r="B78" i="10"/>
  <c r="R281" i="3"/>
  <c r="B46" i="10" s="1"/>
  <c r="S281" i="3"/>
  <c r="G98" i="15"/>
  <c r="N77" i="5"/>
  <c r="R417" i="3"/>
  <c r="N45" i="5" s="1"/>
  <c r="S417" i="3"/>
  <c r="Q76" i="5"/>
  <c r="S682" i="3"/>
  <c r="R682" i="3"/>
  <c r="Q44" i="5" s="1"/>
  <c r="H79" i="5"/>
  <c r="R1010" i="3"/>
  <c r="H47" i="5" s="1"/>
  <c r="S1010" i="3"/>
  <c r="F77" i="6"/>
  <c r="R741" i="3"/>
  <c r="F45" i="6" s="1"/>
  <c r="S741" i="3"/>
  <c r="Q740" i="3"/>
  <c r="C99" i="15"/>
  <c r="C77" i="8"/>
  <c r="R120" i="3"/>
  <c r="C45" i="8" s="1"/>
  <c r="S120" i="3"/>
  <c r="L988" i="3"/>
  <c r="O988" i="3" s="1"/>
  <c r="Q988" i="3" s="1"/>
  <c r="L200" i="3"/>
  <c r="O200" i="3" s="1"/>
  <c r="Q200" i="3" s="1"/>
  <c r="L100" i="3"/>
  <c r="O100" i="3" s="1"/>
  <c r="Q100" i="3" s="1"/>
  <c r="M67" i="15"/>
  <c r="I74" i="6"/>
  <c r="S826" i="3"/>
  <c r="R826" i="3"/>
  <c r="I42" i="6" s="1"/>
  <c r="B76" i="13"/>
  <c r="S388" i="3"/>
  <c r="R388" i="3"/>
  <c r="B44" i="13" s="1"/>
  <c r="B76" i="12"/>
  <c r="R474" i="3"/>
  <c r="B44" i="12" s="1"/>
  <c r="S474" i="3"/>
  <c r="C79" i="4"/>
  <c r="R162" i="3"/>
  <c r="C47" i="4" s="1"/>
  <c r="S162" i="3"/>
  <c r="O76" i="5"/>
  <c r="S446" i="3"/>
  <c r="R446" i="3"/>
  <c r="O44" i="5" s="1"/>
  <c r="L771" i="3"/>
  <c r="O771" i="3" s="1"/>
  <c r="Q771" i="3" s="1"/>
  <c r="L889" i="3"/>
  <c r="O889" i="3" s="1"/>
  <c r="Q889" i="3" s="1"/>
  <c r="P67" i="15"/>
  <c r="B78" i="11"/>
  <c r="R772" i="3"/>
  <c r="B46" i="11" s="1"/>
  <c r="S772" i="3"/>
  <c r="C79" i="5"/>
  <c r="R62" i="3"/>
  <c r="C47" i="5" s="1"/>
  <c r="S62" i="3"/>
  <c r="I79" i="5"/>
  <c r="S1030" i="3"/>
  <c r="R1030" i="3"/>
  <c r="I47" i="5" s="1"/>
  <c r="L797" i="3"/>
  <c r="O797" i="3" s="1"/>
  <c r="Q797" i="3" s="1"/>
  <c r="L501" i="3"/>
  <c r="O501" i="3" s="1"/>
  <c r="Q501" i="3" s="1"/>
  <c r="J69" i="15"/>
  <c r="F77" i="8"/>
  <c r="R1088" i="3"/>
  <c r="F45" i="8" s="1"/>
  <c r="S1088" i="3"/>
  <c r="D78" i="9"/>
  <c r="R989" i="3"/>
  <c r="D46" i="9" s="1"/>
  <c r="S989" i="3"/>
  <c r="L1248" i="3"/>
  <c r="O1248" i="3" s="1"/>
  <c r="Q1248" i="3" s="1"/>
  <c r="L80" i="3"/>
  <c r="O80" i="3" s="1"/>
  <c r="Q80" i="3" s="1"/>
  <c r="L220" i="3"/>
  <c r="O220" i="3" s="1"/>
  <c r="Q220" i="3" s="1"/>
  <c r="E67" i="15"/>
  <c r="L1048" i="3"/>
  <c r="O1048" i="3" s="1"/>
  <c r="Q1048" i="3" s="1"/>
  <c r="G67" i="15"/>
  <c r="C78" i="11"/>
  <c r="S890" i="3"/>
  <c r="R890" i="3"/>
  <c r="C46" i="11" s="1"/>
  <c r="B79" i="5"/>
  <c r="R42" i="3"/>
  <c r="B47" i="5" s="1"/>
  <c r="S42" i="3"/>
  <c r="B97" i="15"/>
  <c r="E76" i="7"/>
  <c r="S502" i="3"/>
  <c r="R502" i="3"/>
  <c r="E44" i="7" s="1"/>
  <c r="G77" i="8"/>
  <c r="S1168" i="3"/>
  <c r="R1168" i="3"/>
  <c r="G45" i="8" s="1"/>
  <c r="L1269" i="3"/>
  <c r="O1269" i="3" s="1"/>
  <c r="Q1269" i="3" s="1"/>
  <c r="L969" i="3"/>
  <c r="O969" i="3" s="1"/>
  <c r="Q969" i="3" s="1"/>
  <c r="L181" i="3"/>
  <c r="O181" i="3" s="1"/>
  <c r="Q181" i="3" s="1"/>
  <c r="I66" i="15"/>
  <c r="I75" i="8"/>
  <c r="S651" i="3"/>
  <c r="R651" i="3"/>
  <c r="I43" i="8" s="1"/>
  <c r="D79" i="5"/>
  <c r="R242" i="3"/>
  <c r="D47" i="5" s="1"/>
  <c r="S242" i="3"/>
  <c r="L79" i="5"/>
  <c r="S1150" i="3"/>
  <c r="R1150" i="3"/>
  <c r="L47" i="5" s="1"/>
  <c r="L1187" i="3"/>
  <c r="O1187" i="3" s="1"/>
  <c r="Q1187" i="3" s="1"/>
  <c r="L1167" i="3"/>
  <c r="O1167" i="3" s="1"/>
  <c r="Q1167" i="3" s="1"/>
  <c r="L1087" i="3"/>
  <c r="O1087" i="3" s="1"/>
  <c r="Q1087" i="3" s="1"/>
  <c r="L907" i="3"/>
  <c r="O907" i="3" s="1"/>
  <c r="Q907" i="3" s="1"/>
  <c r="L19" i="3"/>
  <c r="O19" i="3" s="1"/>
  <c r="Q19" i="3" s="1"/>
  <c r="L359" i="3"/>
  <c r="O359" i="3" s="1"/>
  <c r="Q359" i="3" s="1"/>
  <c r="L119" i="3"/>
  <c r="O119" i="3" s="1"/>
  <c r="Q119" i="3" s="1"/>
  <c r="K68" i="15"/>
  <c r="C79" i="7"/>
  <c r="R970" i="3"/>
  <c r="C47" i="7" s="1"/>
  <c r="S970" i="3"/>
  <c r="D78" i="6"/>
  <c r="S1249" i="3"/>
  <c r="R1249" i="3"/>
  <c r="D46" i="6" s="1"/>
  <c r="C78" i="10"/>
  <c r="R301" i="3"/>
  <c r="C46" i="10" s="1"/>
  <c r="S301" i="3"/>
  <c r="E76" i="10"/>
  <c r="R622" i="3"/>
  <c r="E44" i="10" s="1"/>
  <c r="S622" i="3"/>
  <c r="Q621" i="3"/>
  <c r="S76" i="5"/>
  <c r="S858" i="3"/>
  <c r="R858" i="3"/>
  <c r="S44" i="5" s="1"/>
  <c r="I75" i="6"/>
  <c r="S827" i="3"/>
  <c r="R827" i="3"/>
  <c r="I43" i="6" s="1"/>
  <c r="L528" i="3"/>
  <c r="O528" i="3" s="1"/>
  <c r="Q528" i="3" s="1"/>
  <c r="L736" i="3"/>
  <c r="O736" i="3" s="1"/>
  <c r="F72" i="15"/>
  <c r="H74" i="6"/>
  <c r="R560" i="3"/>
  <c r="H42" i="6" s="1"/>
  <c r="S560" i="3"/>
  <c r="E79" i="4"/>
  <c r="S342" i="3"/>
  <c r="R342" i="3"/>
  <c r="E47" i="4" s="1"/>
  <c r="M79" i="5"/>
  <c r="R1230" i="3"/>
  <c r="M47" i="5" s="1"/>
  <c r="S1230" i="3"/>
  <c r="B77" i="8"/>
  <c r="R20" i="3"/>
  <c r="B45" i="8" s="1"/>
  <c r="S20" i="3"/>
  <c r="F99" i="15"/>
  <c r="D79" i="7"/>
  <c r="R1270" i="3"/>
  <c r="D47" i="7" s="1"/>
  <c r="S1270" i="3"/>
  <c r="L825" i="3"/>
  <c r="O825" i="3" s="1"/>
  <c r="Q825" i="3" s="1"/>
  <c r="L559" i="3"/>
  <c r="O559" i="3" s="1"/>
  <c r="Q559" i="3" s="1"/>
  <c r="H71" i="15"/>
  <c r="L387" i="3"/>
  <c r="O387" i="3" s="1"/>
  <c r="Q387" i="3" s="1"/>
  <c r="R69" i="15"/>
  <c r="L473" i="3"/>
  <c r="O473" i="3" s="1"/>
  <c r="Q473" i="3" s="1"/>
  <c r="Q69" i="15"/>
  <c r="L1209" i="3"/>
  <c r="O1209" i="3" s="1"/>
  <c r="Q1209" i="3" s="1"/>
  <c r="L161" i="3"/>
  <c r="O161" i="3" s="1"/>
  <c r="Q161" i="3" s="1"/>
  <c r="L321" i="3"/>
  <c r="O321" i="3" s="1"/>
  <c r="Q321" i="3" s="1"/>
  <c r="L341" i="3"/>
  <c r="O341" i="3" s="1"/>
  <c r="Q341" i="3" s="1"/>
  <c r="L141" i="3"/>
  <c r="O141" i="3" s="1"/>
  <c r="Q141" i="3" s="1"/>
  <c r="B66" i="15"/>
  <c r="D78" i="10"/>
  <c r="R1069" i="3"/>
  <c r="D46" i="10" s="1"/>
  <c r="S1069" i="3"/>
  <c r="E72" i="6" l="1"/>
  <c r="S528" i="3"/>
  <c r="R528" i="3"/>
  <c r="D76" i="8"/>
  <c r="R359" i="3"/>
  <c r="D44" i="8" s="1"/>
  <c r="S359" i="3"/>
  <c r="L1268" i="3"/>
  <c r="O1268" i="3" s="1"/>
  <c r="Q1268" i="3" s="1"/>
  <c r="L968" i="3"/>
  <c r="O968" i="3" s="1"/>
  <c r="Q968" i="3" s="1"/>
  <c r="L180" i="3"/>
  <c r="O180" i="3" s="1"/>
  <c r="Q180" i="3" s="1"/>
  <c r="I67" i="15"/>
  <c r="C77" i="9"/>
  <c r="R200" i="3"/>
  <c r="C45" i="9" s="1"/>
  <c r="S200" i="3"/>
  <c r="P75" i="5"/>
  <c r="R591" i="3"/>
  <c r="P43" i="5" s="1"/>
  <c r="S591" i="3"/>
  <c r="B78" i="4"/>
  <c r="R141" i="3"/>
  <c r="B46" i="4" s="1"/>
  <c r="S141" i="3"/>
  <c r="D77" i="10"/>
  <c r="S1068" i="3"/>
  <c r="R1068" i="3"/>
  <c r="D45" i="10" s="1"/>
  <c r="R75" i="5"/>
  <c r="S711" i="3"/>
  <c r="R711" i="3"/>
  <c r="R43" i="5" s="1"/>
  <c r="E78" i="5"/>
  <c r="R261" i="3"/>
  <c r="E46" i="5" s="1"/>
  <c r="S261" i="3"/>
  <c r="J78" i="5"/>
  <c r="R1109" i="3"/>
  <c r="J46" i="5" s="1"/>
  <c r="S1109" i="3"/>
  <c r="S1209" i="3"/>
  <c r="F78" i="4"/>
  <c r="R1209" i="3"/>
  <c r="F46" i="4" s="1"/>
  <c r="B75" i="12"/>
  <c r="R473" i="3"/>
  <c r="B43" i="12" s="1"/>
  <c r="S473" i="3"/>
  <c r="E75" i="10"/>
  <c r="R621" i="3"/>
  <c r="E43" i="10" s="1"/>
  <c r="S621" i="3"/>
  <c r="Q620" i="3"/>
  <c r="C76" i="8"/>
  <c r="R119" i="3"/>
  <c r="C44" i="8" s="1"/>
  <c r="S119" i="3"/>
  <c r="L1208" i="3"/>
  <c r="O1208" i="3" s="1"/>
  <c r="Q1208" i="3" s="1"/>
  <c r="L320" i="3"/>
  <c r="O320" i="3" s="1"/>
  <c r="Q320" i="3" s="1"/>
  <c r="L340" i="3"/>
  <c r="O340" i="3" s="1"/>
  <c r="Q340" i="3" s="1"/>
  <c r="L140" i="3"/>
  <c r="O140" i="3" s="1"/>
  <c r="Q140" i="3" s="1"/>
  <c r="L160" i="3"/>
  <c r="O160" i="3" s="1"/>
  <c r="Q160" i="3" s="1"/>
  <c r="B67" i="15"/>
  <c r="L386" i="3"/>
  <c r="O386" i="3" s="1"/>
  <c r="Q386" i="3" s="1"/>
  <c r="R70" i="15"/>
  <c r="L1047" i="3"/>
  <c r="O1047" i="3" s="1"/>
  <c r="Q1047" i="3" s="1"/>
  <c r="G68" i="15"/>
  <c r="S75" i="5"/>
  <c r="S857" i="3"/>
  <c r="R857" i="3"/>
  <c r="S43" i="5" s="1"/>
  <c r="G78" i="5"/>
  <c r="R949" i="3"/>
  <c r="G46" i="5" s="1"/>
  <c r="S949" i="3"/>
  <c r="D78" i="7"/>
  <c r="R1269" i="3"/>
  <c r="D46" i="7" s="1"/>
  <c r="S1269" i="3"/>
  <c r="L617" i="3"/>
  <c r="O617" i="3" s="1"/>
  <c r="O73" i="15"/>
  <c r="F78" i="5"/>
  <c r="R929" i="3"/>
  <c r="F46" i="5" s="1"/>
  <c r="S929" i="3"/>
  <c r="E75" i="7"/>
  <c r="S501" i="3"/>
  <c r="R501" i="3"/>
  <c r="E43" i="7" s="1"/>
  <c r="B77" i="10"/>
  <c r="R280" i="3"/>
  <c r="B45" i="10" s="1"/>
  <c r="S280" i="3"/>
  <c r="G99" i="15"/>
  <c r="D78" i="5"/>
  <c r="R241" i="3"/>
  <c r="D46" i="5" s="1"/>
  <c r="S241" i="3"/>
  <c r="M78" i="5"/>
  <c r="S1229" i="3"/>
  <c r="R1229" i="3"/>
  <c r="M46" i="5" s="1"/>
  <c r="B75" i="13"/>
  <c r="R387" i="3"/>
  <c r="B43" i="13" s="1"/>
  <c r="S387" i="3"/>
  <c r="B76" i="8"/>
  <c r="S19" i="3"/>
  <c r="R19" i="3"/>
  <c r="B44" i="8" s="1"/>
  <c r="F100" i="15"/>
  <c r="B78" i="7"/>
  <c r="R181" i="3"/>
  <c r="B46" i="7" s="1"/>
  <c r="S181" i="3"/>
  <c r="E98" i="15"/>
  <c r="F75" i="7"/>
  <c r="S797" i="3"/>
  <c r="R797" i="3"/>
  <c r="F43" i="7" s="1"/>
  <c r="D77" i="9"/>
  <c r="S988" i="3"/>
  <c r="R988" i="3"/>
  <c r="D45" i="9" s="1"/>
  <c r="E78" i="4"/>
  <c r="R341" i="3"/>
  <c r="E46" i="4" s="1"/>
  <c r="S341" i="3"/>
  <c r="L558" i="3"/>
  <c r="O558" i="3" s="1"/>
  <c r="Q558" i="3" s="1"/>
  <c r="L824" i="3"/>
  <c r="O824" i="3" s="1"/>
  <c r="Q824" i="3" s="1"/>
  <c r="H72" i="15"/>
  <c r="E76" i="8"/>
  <c r="S907" i="3"/>
  <c r="R907" i="3"/>
  <c r="E44" i="8" s="1"/>
  <c r="C78" i="7"/>
  <c r="R969" i="3"/>
  <c r="C46" i="7" s="1"/>
  <c r="S969" i="3"/>
  <c r="D78" i="4"/>
  <c r="R321" i="3"/>
  <c r="D46" i="4" s="1"/>
  <c r="S321" i="3"/>
  <c r="H73" i="6"/>
  <c r="R559" i="3"/>
  <c r="H41" i="6" s="1"/>
  <c r="S559" i="3"/>
  <c r="F76" i="8"/>
  <c r="R1087" i="3"/>
  <c r="F44" i="8" s="1"/>
  <c r="S1087" i="3"/>
  <c r="G77" i="6"/>
  <c r="R1048" i="3"/>
  <c r="G45" i="6" s="1"/>
  <c r="S1048" i="3"/>
  <c r="D99" i="15"/>
  <c r="L888" i="3"/>
  <c r="O888" i="3" s="1"/>
  <c r="Q888" i="3" s="1"/>
  <c r="L770" i="3"/>
  <c r="O770" i="3" s="1"/>
  <c r="Q770" i="3" s="1"/>
  <c r="P68" i="15"/>
  <c r="C78" i="4"/>
  <c r="R161" i="3"/>
  <c r="C46" i="4" s="1"/>
  <c r="S161" i="3"/>
  <c r="I73" i="6"/>
  <c r="S825" i="3"/>
  <c r="R825" i="3"/>
  <c r="I41" i="6" s="1"/>
  <c r="G76" i="8"/>
  <c r="R1167" i="3"/>
  <c r="G44" i="8" s="1"/>
  <c r="S1167" i="3"/>
  <c r="L1247" i="3"/>
  <c r="O1247" i="3" s="1"/>
  <c r="Q1247" i="3" s="1"/>
  <c r="L219" i="3"/>
  <c r="O219" i="3" s="1"/>
  <c r="Q219" i="3" s="1"/>
  <c r="L79" i="3"/>
  <c r="O79" i="3" s="1"/>
  <c r="Q79" i="3" s="1"/>
  <c r="C100" i="15" s="1"/>
  <c r="E68" i="15"/>
  <c r="C77" i="11"/>
  <c r="S889" i="3"/>
  <c r="R889" i="3"/>
  <c r="C45" i="11" s="1"/>
  <c r="L856" i="3"/>
  <c r="O856" i="3" s="1"/>
  <c r="Q856" i="3" s="1"/>
  <c r="L590" i="3"/>
  <c r="O590" i="3" s="1"/>
  <c r="Q590" i="3" s="1"/>
  <c r="L710" i="3"/>
  <c r="O710" i="3" s="1"/>
  <c r="Q710" i="3" s="1"/>
  <c r="L680" i="3"/>
  <c r="O680" i="3" s="1"/>
  <c r="Q680" i="3" s="1"/>
  <c r="L444" i="3"/>
  <c r="O444" i="3" s="1"/>
  <c r="Q444" i="3" s="1"/>
  <c r="L414" i="3"/>
  <c r="O414" i="3" s="1"/>
  <c r="Q414" i="3" s="1"/>
  <c r="D70" i="15"/>
  <c r="L78" i="5"/>
  <c r="R1149" i="3"/>
  <c r="L46" i="5" s="1"/>
  <c r="S1149" i="3"/>
  <c r="L649" i="3"/>
  <c r="O649" i="3" s="1"/>
  <c r="Q649" i="3" s="1"/>
  <c r="L71" i="15"/>
  <c r="Q75" i="5"/>
  <c r="S681" i="3"/>
  <c r="R681" i="3"/>
  <c r="Q43" i="5" s="1"/>
  <c r="L1228" i="3"/>
  <c r="O1228" i="3" s="1"/>
  <c r="Q1228" i="3" s="1"/>
  <c r="L1148" i="3"/>
  <c r="O1148" i="3" s="1"/>
  <c r="Q1148" i="3" s="1"/>
  <c r="L1128" i="3"/>
  <c r="O1128" i="3" s="1"/>
  <c r="Q1128" i="3" s="1"/>
  <c r="L1108" i="3"/>
  <c r="O1108" i="3" s="1"/>
  <c r="Q1108" i="3" s="1"/>
  <c r="L928" i="3"/>
  <c r="O928" i="3" s="1"/>
  <c r="Q928" i="3" s="1"/>
  <c r="L1008" i="3"/>
  <c r="O1008" i="3" s="1"/>
  <c r="Q1008" i="3" s="1"/>
  <c r="L1028" i="3"/>
  <c r="O1028" i="3" s="1"/>
  <c r="Q1028" i="3" s="1"/>
  <c r="L948" i="3"/>
  <c r="O948" i="3" s="1"/>
  <c r="Q948" i="3" s="1"/>
  <c r="L240" i="3"/>
  <c r="O240" i="3" s="1"/>
  <c r="Q240" i="3" s="1"/>
  <c r="L40" i="3"/>
  <c r="O40" i="3" s="1"/>
  <c r="Q40" i="3" s="1"/>
  <c r="L260" i="3"/>
  <c r="O260" i="3" s="1"/>
  <c r="Q260" i="3" s="1"/>
  <c r="L60" i="3"/>
  <c r="O60" i="3" s="1"/>
  <c r="Q60" i="3" s="1"/>
  <c r="C67" i="15"/>
  <c r="H78" i="5"/>
  <c r="R1009" i="3"/>
  <c r="H46" i="5" s="1"/>
  <c r="S1009" i="3"/>
  <c r="S1187" i="3"/>
  <c r="H76" i="8"/>
  <c r="R1187" i="3"/>
  <c r="H44" i="8" s="1"/>
  <c r="C77" i="6"/>
  <c r="R220" i="3"/>
  <c r="C45" i="6" s="1"/>
  <c r="S220" i="3"/>
  <c r="B77" i="11"/>
  <c r="R771" i="3"/>
  <c r="B45" i="11" s="1"/>
  <c r="S771" i="3"/>
  <c r="L472" i="3"/>
  <c r="O472" i="3" s="1"/>
  <c r="Q472" i="3" s="1"/>
  <c r="Q70" i="15"/>
  <c r="L735" i="3"/>
  <c r="O735" i="3" s="1"/>
  <c r="L527" i="3"/>
  <c r="O527" i="3" s="1"/>
  <c r="Q527" i="3" s="1"/>
  <c r="F73" i="15"/>
  <c r="L1166" i="3"/>
  <c r="O1166" i="3" s="1"/>
  <c r="Q1166" i="3" s="1"/>
  <c r="L1086" i="3"/>
  <c r="O1086" i="3" s="1"/>
  <c r="Q1086" i="3" s="1"/>
  <c r="L906" i="3"/>
  <c r="O906" i="3" s="1"/>
  <c r="Q906" i="3" s="1"/>
  <c r="L1186" i="3"/>
  <c r="O1186" i="3" s="1"/>
  <c r="Q1186" i="3" s="1"/>
  <c r="L358" i="3"/>
  <c r="O358" i="3" s="1"/>
  <c r="Q358" i="3" s="1"/>
  <c r="L118" i="3"/>
  <c r="O118" i="3" s="1"/>
  <c r="Q118" i="3" s="1"/>
  <c r="L18" i="3"/>
  <c r="O18" i="3" s="1"/>
  <c r="Q18" i="3" s="1"/>
  <c r="K69" i="15"/>
  <c r="B77" i="6"/>
  <c r="R80" i="3"/>
  <c r="B45" i="6" s="1"/>
  <c r="S80" i="3"/>
  <c r="L987" i="3"/>
  <c r="O987" i="3" s="1"/>
  <c r="Q987" i="3" s="1"/>
  <c r="L99" i="3"/>
  <c r="O99" i="3" s="1"/>
  <c r="Q99" i="3" s="1"/>
  <c r="L199" i="3"/>
  <c r="O199" i="3" s="1"/>
  <c r="Q199" i="3" s="1"/>
  <c r="M68" i="15"/>
  <c r="F76" i="6"/>
  <c r="S740" i="3"/>
  <c r="R740" i="3"/>
  <c r="F44" i="6" s="1"/>
  <c r="Q739" i="3"/>
  <c r="I74" i="8"/>
  <c r="S650" i="3"/>
  <c r="R650" i="3"/>
  <c r="I42" i="8" s="1"/>
  <c r="L1067" i="3"/>
  <c r="O1067" i="3" s="1"/>
  <c r="Q1067" i="3" s="1"/>
  <c r="L299" i="3"/>
  <c r="O299" i="3" s="1"/>
  <c r="Q299" i="3" s="1"/>
  <c r="L279" i="3"/>
  <c r="O279" i="3" s="1"/>
  <c r="Q279" i="3" s="1"/>
  <c r="N68" i="15"/>
  <c r="N75" i="5"/>
  <c r="R415" i="3"/>
  <c r="N43" i="5" s="1"/>
  <c r="S415" i="3"/>
  <c r="B78" i="5"/>
  <c r="R41" i="3"/>
  <c r="B46" i="5" s="1"/>
  <c r="S41" i="3"/>
  <c r="B98" i="15"/>
  <c r="I78" i="5"/>
  <c r="R1029" i="3"/>
  <c r="I46" i="5" s="1"/>
  <c r="S1029" i="3"/>
  <c r="D77" i="6"/>
  <c r="R1248" i="3"/>
  <c r="D45" i="6" s="1"/>
  <c r="S1248" i="3"/>
  <c r="L796" i="3"/>
  <c r="O796" i="3" s="1"/>
  <c r="Q796" i="3" s="1"/>
  <c r="L500" i="3"/>
  <c r="O500" i="3" s="1"/>
  <c r="Q500" i="3" s="1"/>
  <c r="J70" i="15"/>
  <c r="B77" i="9"/>
  <c r="R100" i="3"/>
  <c r="B45" i="9" s="1"/>
  <c r="S100" i="3"/>
  <c r="C77" i="10"/>
  <c r="R300" i="3"/>
  <c r="C45" i="10" s="1"/>
  <c r="S300" i="3"/>
  <c r="O75" i="5"/>
  <c r="R445" i="3"/>
  <c r="O43" i="5" s="1"/>
  <c r="S445" i="3"/>
  <c r="C78" i="5"/>
  <c r="S61" i="3"/>
  <c r="R61" i="3"/>
  <c r="C46" i="5" s="1"/>
  <c r="K78" i="5"/>
  <c r="R1129" i="3"/>
  <c r="K46" i="5" s="1"/>
  <c r="S1129" i="3"/>
  <c r="D76" i="9" l="1"/>
  <c r="R987" i="3"/>
  <c r="D44" i="9" s="1"/>
  <c r="S987" i="3"/>
  <c r="B74" i="12"/>
  <c r="R472" i="3"/>
  <c r="B42" i="12" s="1"/>
  <c r="S472" i="3"/>
  <c r="B77" i="5"/>
  <c r="R40" i="3"/>
  <c r="B45" i="5" s="1"/>
  <c r="S40" i="3"/>
  <c r="B99" i="15"/>
  <c r="L1207" i="3"/>
  <c r="O1207" i="3" s="1"/>
  <c r="Q1207" i="3" s="1"/>
  <c r="L319" i="3"/>
  <c r="O319" i="3" s="1"/>
  <c r="Q319" i="3" s="1"/>
  <c r="L339" i="3"/>
  <c r="O339" i="3" s="1"/>
  <c r="Q339" i="3" s="1"/>
  <c r="L159" i="3"/>
  <c r="O159" i="3" s="1"/>
  <c r="Q159" i="3" s="1"/>
  <c r="L139" i="3"/>
  <c r="O139" i="3" s="1"/>
  <c r="Q139" i="3" s="1"/>
  <c r="B68" i="15"/>
  <c r="B76" i="9"/>
  <c r="S99" i="3"/>
  <c r="R99" i="3"/>
  <c r="B44" i="9" s="1"/>
  <c r="D75" i="8"/>
  <c r="R358" i="3"/>
  <c r="D43" i="8" s="1"/>
  <c r="S358" i="3"/>
  <c r="L471" i="3"/>
  <c r="O471" i="3" s="1"/>
  <c r="Q471" i="3" s="1"/>
  <c r="Q71" i="15"/>
  <c r="E77" i="5"/>
  <c r="R260" i="3"/>
  <c r="E45" i="5" s="1"/>
  <c r="S260" i="3"/>
  <c r="K77" i="5"/>
  <c r="R1128" i="3"/>
  <c r="K45" i="5" s="1"/>
  <c r="S1128" i="3"/>
  <c r="P74" i="5"/>
  <c r="S590" i="3"/>
  <c r="R590" i="3"/>
  <c r="P42" i="5" s="1"/>
  <c r="C76" i="6"/>
  <c r="R219" i="3"/>
  <c r="C44" i="6" s="1"/>
  <c r="S219" i="3"/>
  <c r="L1066" i="3"/>
  <c r="O1066" i="3" s="1"/>
  <c r="Q1066" i="3" s="1"/>
  <c r="L298" i="3"/>
  <c r="O298" i="3" s="1"/>
  <c r="Q298" i="3" s="1"/>
  <c r="L278" i="3"/>
  <c r="O278" i="3" s="1"/>
  <c r="Q278" i="3" s="1"/>
  <c r="N69" i="15"/>
  <c r="L77" i="5"/>
  <c r="S1148" i="3"/>
  <c r="R1148" i="3"/>
  <c r="L45" i="5" s="1"/>
  <c r="S74" i="5"/>
  <c r="S856" i="3"/>
  <c r="R856" i="3"/>
  <c r="S42" i="5" s="1"/>
  <c r="S1247" i="3"/>
  <c r="D76" i="6"/>
  <c r="R1247" i="3"/>
  <c r="D44" i="6" s="1"/>
  <c r="E74" i="7"/>
  <c r="S500" i="3"/>
  <c r="R500" i="3"/>
  <c r="E42" i="7" s="1"/>
  <c r="F75" i="6"/>
  <c r="R739" i="3"/>
  <c r="F43" i="6" s="1"/>
  <c r="S739" i="3"/>
  <c r="C101" i="15"/>
  <c r="Q738" i="3"/>
  <c r="H75" i="8"/>
  <c r="S1186" i="3"/>
  <c r="R1186" i="3"/>
  <c r="H43" i="8" s="1"/>
  <c r="F74" i="7"/>
  <c r="S796" i="3"/>
  <c r="R796" i="3"/>
  <c r="F42" i="7" s="1"/>
  <c r="B76" i="10"/>
  <c r="R279" i="3"/>
  <c r="S52" i="15"/>
  <c r="F65" i="2" s="1"/>
  <c r="S279" i="3"/>
  <c r="G100" i="15"/>
  <c r="E75" i="8"/>
  <c r="R906" i="3"/>
  <c r="E43" i="8" s="1"/>
  <c r="S906" i="3"/>
  <c r="L1267" i="3"/>
  <c r="O1267" i="3" s="1"/>
  <c r="Q1267" i="3" s="1"/>
  <c r="L967" i="3"/>
  <c r="O967" i="3" s="1"/>
  <c r="Q967" i="3" s="1"/>
  <c r="L179" i="3"/>
  <c r="O179" i="3" s="1"/>
  <c r="Q179" i="3" s="1"/>
  <c r="I68" i="15"/>
  <c r="E40" i="6"/>
  <c r="L385" i="3"/>
  <c r="O385" i="3" s="1"/>
  <c r="Q385" i="3" s="1"/>
  <c r="R71" i="15"/>
  <c r="J71" i="15"/>
  <c r="L795" i="3"/>
  <c r="O795" i="3" s="1"/>
  <c r="Q795" i="3" s="1"/>
  <c r="L499" i="3"/>
  <c r="O499" i="3" s="1"/>
  <c r="Q499" i="3" s="1"/>
  <c r="D77" i="5"/>
  <c r="R240" i="3"/>
  <c r="D45" i="5" s="1"/>
  <c r="S240" i="3"/>
  <c r="R1228" i="3"/>
  <c r="M45" i="5" s="1"/>
  <c r="M77" i="5"/>
  <c r="S1228" i="3"/>
  <c r="L823" i="3"/>
  <c r="O823" i="3" s="1"/>
  <c r="Q823" i="3" s="1"/>
  <c r="L557" i="3"/>
  <c r="O557" i="3" s="1"/>
  <c r="Q557" i="3" s="1"/>
  <c r="H73" i="15"/>
  <c r="C76" i="10"/>
  <c r="R299" i="3"/>
  <c r="C44" i="10" s="1"/>
  <c r="S299" i="3"/>
  <c r="F75" i="8"/>
  <c r="S1086" i="3"/>
  <c r="R1086" i="3"/>
  <c r="F43" i="8" s="1"/>
  <c r="G77" i="5"/>
  <c r="S948" i="3"/>
  <c r="R948" i="3"/>
  <c r="G45" i="5" s="1"/>
  <c r="L855" i="3"/>
  <c r="O855" i="3" s="1"/>
  <c r="Q855" i="3" s="1"/>
  <c r="L709" i="3"/>
  <c r="O709" i="3" s="1"/>
  <c r="Q709" i="3" s="1"/>
  <c r="L679" i="3"/>
  <c r="O679" i="3" s="1"/>
  <c r="Q679" i="3" s="1"/>
  <c r="L589" i="3"/>
  <c r="O589" i="3" s="1"/>
  <c r="Q589" i="3" s="1"/>
  <c r="L443" i="3"/>
  <c r="O443" i="3" s="1"/>
  <c r="Q443" i="3" s="1"/>
  <c r="L413" i="3"/>
  <c r="O413" i="3" s="1"/>
  <c r="Q413" i="3" s="1"/>
  <c r="D71" i="15"/>
  <c r="L769" i="3"/>
  <c r="O769" i="3" s="1"/>
  <c r="Q769" i="3" s="1"/>
  <c r="L887" i="3"/>
  <c r="O887" i="3" s="1"/>
  <c r="Q887" i="3" s="1"/>
  <c r="P69" i="15"/>
  <c r="I72" i="6"/>
  <c r="S824" i="3"/>
  <c r="R824" i="3"/>
  <c r="I40" i="6" s="1"/>
  <c r="B77" i="4"/>
  <c r="R140" i="3"/>
  <c r="B45" i="4" s="1"/>
  <c r="S140" i="3"/>
  <c r="D76" i="10"/>
  <c r="R1067" i="3"/>
  <c r="D44" i="10" s="1"/>
  <c r="S1067" i="3"/>
  <c r="G75" i="8"/>
  <c r="S1166" i="3"/>
  <c r="R1166" i="3"/>
  <c r="G43" i="8" s="1"/>
  <c r="I77" i="5"/>
  <c r="S1028" i="3"/>
  <c r="R1028" i="3"/>
  <c r="I45" i="5" s="1"/>
  <c r="N74" i="5"/>
  <c r="R414" i="3"/>
  <c r="N42" i="5" s="1"/>
  <c r="S414" i="3"/>
  <c r="B76" i="11"/>
  <c r="R770" i="3"/>
  <c r="B44" i="11" s="1"/>
  <c r="S770" i="3"/>
  <c r="H72" i="6"/>
  <c r="R558" i="3"/>
  <c r="S46" i="15"/>
  <c r="F59" i="2" s="1"/>
  <c r="S558" i="3"/>
  <c r="E77" i="4"/>
  <c r="S340" i="3"/>
  <c r="R340" i="3"/>
  <c r="E45" i="4" s="1"/>
  <c r="B77" i="7"/>
  <c r="R180" i="3"/>
  <c r="B45" i="7" s="1"/>
  <c r="S180" i="3"/>
  <c r="E99" i="15"/>
  <c r="C76" i="9"/>
  <c r="R199" i="3"/>
  <c r="C44" i="9" s="1"/>
  <c r="S199" i="3"/>
  <c r="C75" i="8"/>
  <c r="R118" i="3"/>
  <c r="C43" i="8" s="1"/>
  <c r="S118" i="3"/>
  <c r="C77" i="5"/>
  <c r="R60" i="3"/>
  <c r="C45" i="5" s="1"/>
  <c r="S60" i="3"/>
  <c r="J77" i="5"/>
  <c r="R1108" i="3"/>
  <c r="J45" i="5" s="1"/>
  <c r="S1108" i="3"/>
  <c r="I73" i="8"/>
  <c r="R649" i="3"/>
  <c r="I41" i="8" s="1"/>
  <c r="S649" i="3"/>
  <c r="R74" i="5"/>
  <c r="S710" i="3"/>
  <c r="R710" i="3"/>
  <c r="R42" i="5" s="1"/>
  <c r="B76" i="6"/>
  <c r="R79" i="3"/>
  <c r="S43" i="15"/>
  <c r="F56" i="2" s="1"/>
  <c r="S79" i="3"/>
  <c r="L616" i="3"/>
  <c r="O616" i="3" s="1"/>
  <c r="O74" i="15"/>
  <c r="C77" i="4"/>
  <c r="R160" i="3"/>
  <c r="C45" i="4" s="1"/>
  <c r="S160" i="3"/>
  <c r="E74" i="10"/>
  <c r="R620" i="3"/>
  <c r="E42" i="10" s="1"/>
  <c r="S620" i="3"/>
  <c r="Q619" i="3"/>
  <c r="L1185" i="3"/>
  <c r="O1185" i="3" s="1"/>
  <c r="Q1185" i="3" s="1"/>
  <c r="L1165" i="3"/>
  <c r="O1165" i="3" s="1"/>
  <c r="Q1165" i="3" s="1"/>
  <c r="L1085" i="3"/>
  <c r="O1085" i="3" s="1"/>
  <c r="Q1085" i="3" s="1"/>
  <c r="L905" i="3"/>
  <c r="O905" i="3" s="1"/>
  <c r="Q905" i="3" s="1"/>
  <c r="L117" i="3"/>
  <c r="O117" i="3" s="1"/>
  <c r="Q117" i="3" s="1"/>
  <c r="L357" i="3"/>
  <c r="O357" i="3" s="1"/>
  <c r="Q357" i="3" s="1"/>
  <c r="L17" i="3"/>
  <c r="O17" i="3" s="1"/>
  <c r="Q17" i="3" s="1"/>
  <c r="K70" i="15"/>
  <c r="L734" i="3"/>
  <c r="O734" i="3" s="1"/>
  <c r="L526" i="3"/>
  <c r="O526" i="3" s="1"/>
  <c r="Q526" i="3" s="1"/>
  <c r="F74" i="15"/>
  <c r="H77" i="5"/>
  <c r="R1008" i="3"/>
  <c r="H45" i="5" s="1"/>
  <c r="S1008" i="3"/>
  <c r="O74" i="5"/>
  <c r="R444" i="3"/>
  <c r="O42" i="5" s="1"/>
  <c r="S444" i="3"/>
  <c r="C76" i="11"/>
  <c r="S888" i="3"/>
  <c r="R888" i="3"/>
  <c r="C44" i="11" s="1"/>
  <c r="L1046" i="3"/>
  <c r="O1046" i="3" s="1"/>
  <c r="Q1046" i="3" s="1"/>
  <c r="G69" i="15"/>
  <c r="D77" i="4"/>
  <c r="R320" i="3"/>
  <c r="D45" i="4" s="1"/>
  <c r="S320" i="3"/>
  <c r="C77" i="7"/>
  <c r="R968" i="3"/>
  <c r="C45" i="7" s="1"/>
  <c r="S968" i="3"/>
  <c r="L986" i="3"/>
  <c r="O986" i="3" s="1"/>
  <c r="Q986" i="3" s="1"/>
  <c r="L98" i="3"/>
  <c r="O98" i="3" s="1"/>
  <c r="Q98" i="3" s="1"/>
  <c r="L198" i="3"/>
  <c r="O198" i="3" s="1"/>
  <c r="Q198" i="3" s="1"/>
  <c r="M69" i="15"/>
  <c r="B75" i="8"/>
  <c r="R18" i="3"/>
  <c r="S18" i="3"/>
  <c r="S49" i="15"/>
  <c r="F62" i="2" s="1"/>
  <c r="F101" i="15"/>
  <c r="E71" i="6"/>
  <c r="S527" i="3"/>
  <c r="R527" i="3"/>
  <c r="E39" i="6" s="1"/>
  <c r="L1227" i="3"/>
  <c r="O1227" i="3" s="1"/>
  <c r="Q1227" i="3" s="1"/>
  <c r="L1107" i="3"/>
  <c r="O1107" i="3" s="1"/>
  <c r="Q1107" i="3" s="1"/>
  <c r="L1027" i="3"/>
  <c r="O1027" i="3" s="1"/>
  <c r="Q1027" i="3" s="1"/>
  <c r="L947" i="3"/>
  <c r="O947" i="3" s="1"/>
  <c r="Q947" i="3" s="1"/>
  <c r="L1147" i="3"/>
  <c r="O1147" i="3" s="1"/>
  <c r="Q1147" i="3" s="1"/>
  <c r="L927" i="3"/>
  <c r="O927" i="3" s="1"/>
  <c r="Q927" i="3" s="1"/>
  <c r="L1127" i="3"/>
  <c r="O1127" i="3" s="1"/>
  <c r="Q1127" i="3" s="1"/>
  <c r="L1007" i="3"/>
  <c r="O1007" i="3" s="1"/>
  <c r="Q1007" i="3" s="1"/>
  <c r="L259" i="3"/>
  <c r="O259" i="3" s="1"/>
  <c r="Q259" i="3" s="1"/>
  <c r="L239" i="3"/>
  <c r="O239" i="3" s="1"/>
  <c r="Q239" i="3" s="1"/>
  <c r="L59" i="3"/>
  <c r="O59" i="3" s="1"/>
  <c r="Q59" i="3" s="1"/>
  <c r="L39" i="3"/>
  <c r="O39" i="3" s="1"/>
  <c r="Q39" i="3" s="1"/>
  <c r="C68" i="15"/>
  <c r="F77" i="5"/>
  <c r="R928" i="3"/>
  <c r="F45" i="5" s="1"/>
  <c r="S928" i="3"/>
  <c r="L648" i="3"/>
  <c r="O648" i="3" s="1"/>
  <c r="Q648" i="3" s="1"/>
  <c r="L72" i="15"/>
  <c r="Q74" i="5"/>
  <c r="S680" i="3"/>
  <c r="R680" i="3"/>
  <c r="Q42" i="5" s="1"/>
  <c r="L1246" i="3"/>
  <c r="O1246" i="3" s="1"/>
  <c r="Q1246" i="3" s="1"/>
  <c r="L218" i="3"/>
  <c r="O218" i="3" s="1"/>
  <c r="Q218" i="3" s="1"/>
  <c r="L78" i="3"/>
  <c r="O78" i="3" s="1"/>
  <c r="Q78" i="3" s="1"/>
  <c r="E69" i="15"/>
  <c r="G76" i="6"/>
  <c r="R1047" i="3"/>
  <c r="S45" i="15"/>
  <c r="F58" i="2" s="1"/>
  <c r="S1047" i="3"/>
  <c r="D100" i="15"/>
  <c r="F77" i="4"/>
  <c r="S1208" i="3"/>
  <c r="R1208" i="3"/>
  <c r="F45" i="4" s="1"/>
  <c r="D77" i="7"/>
  <c r="R1268" i="3"/>
  <c r="D45" i="7" s="1"/>
  <c r="S1268" i="3"/>
  <c r="B74" i="13"/>
  <c r="S386" i="3"/>
  <c r="R386" i="3"/>
  <c r="B42" i="13" s="1"/>
  <c r="L1226" i="3" l="1"/>
  <c r="O1226" i="3" s="1"/>
  <c r="Q1226" i="3" s="1"/>
  <c r="L1146" i="3"/>
  <c r="O1146" i="3" s="1"/>
  <c r="Q1146" i="3" s="1"/>
  <c r="L1126" i="3"/>
  <c r="O1126" i="3" s="1"/>
  <c r="Q1126" i="3" s="1"/>
  <c r="L1106" i="3"/>
  <c r="O1106" i="3" s="1"/>
  <c r="Q1106" i="3" s="1"/>
  <c r="L1006" i="3"/>
  <c r="O1006" i="3" s="1"/>
  <c r="Q1006" i="3" s="1"/>
  <c r="L926" i="3"/>
  <c r="O926" i="3" s="1"/>
  <c r="Q926" i="3" s="1"/>
  <c r="L946" i="3"/>
  <c r="O946" i="3" s="1"/>
  <c r="Q946" i="3" s="1"/>
  <c r="L1026" i="3"/>
  <c r="O1026" i="3" s="1"/>
  <c r="Q1026" i="3" s="1"/>
  <c r="L258" i="3"/>
  <c r="O258" i="3" s="1"/>
  <c r="Q258" i="3" s="1"/>
  <c r="L238" i="3"/>
  <c r="O238" i="3" s="1"/>
  <c r="Q238" i="3" s="1"/>
  <c r="L58" i="3"/>
  <c r="O58" i="3" s="1"/>
  <c r="Q58" i="3" s="1"/>
  <c r="L38" i="3"/>
  <c r="O38" i="3" s="1"/>
  <c r="Q38" i="3" s="1"/>
  <c r="C69" i="15"/>
  <c r="L76" i="5"/>
  <c r="R1147" i="3"/>
  <c r="L44" i="5" s="1"/>
  <c r="S1147" i="3"/>
  <c r="B44" i="6"/>
  <c r="E26" i="2"/>
  <c r="L886" i="3"/>
  <c r="O886" i="3" s="1"/>
  <c r="Q886" i="3" s="1"/>
  <c r="L768" i="3"/>
  <c r="O768" i="3" s="1"/>
  <c r="Q768" i="3" s="1"/>
  <c r="P70" i="15"/>
  <c r="R73" i="5"/>
  <c r="R709" i="3"/>
  <c r="R41" i="5" s="1"/>
  <c r="S709" i="3"/>
  <c r="B73" i="13"/>
  <c r="R385" i="3"/>
  <c r="B41" i="13" s="1"/>
  <c r="S385" i="3"/>
  <c r="B75" i="10"/>
  <c r="R278" i="3"/>
  <c r="B43" i="10" s="1"/>
  <c r="S278" i="3"/>
  <c r="G101" i="15"/>
  <c r="B73" i="12"/>
  <c r="R471" i="3"/>
  <c r="B41" i="12" s="1"/>
  <c r="S471" i="3"/>
  <c r="B76" i="4"/>
  <c r="R139" i="3"/>
  <c r="S40" i="15"/>
  <c r="F53" i="2" s="1"/>
  <c r="S139" i="3"/>
  <c r="L1245" i="3"/>
  <c r="O1245" i="3" s="1"/>
  <c r="Q1245" i="3" s="1"/>
  <c r="L217" i="3"/>
  <c r="O217" i="3" s="1"/>
  <c r="Q217" i="3" s="1"/>
  <c r="L77" i="3"/>
  <c r="O77" i="3" s="1"/>
  <c r="Q77" i="3" s="1"/>
  <c r="E70" i="15"/>
  <c r="I72" i="8"/>
  <c r="S648" i="3"/>
  <c r="R648" i="3"/>
  <c r="S50" i="15"/>
  <c r="F63" i="2" s="1"/>
  <c r="E76" i="5"/>
  <c r="R259" i="3"/>
  <c r="E44" i="5" s="1"/>
  <c r="S259" i="3"/>
  <c r="M76" i="5"/>
  <c r="S1227" i="3"/>
  <c r="R1227" i="3"/>
  <c r="M44" i="5" s="1"/>
  <c r="B43" i="8"/>
  <c r="E34" i="2"/>
  <c r="E70" i="6"/>
  <c r="S526" i="3"/>
  <c r="R526" i="3"/>
  <c r="E38" i="6" s="1"/>
  <c r="G74" i="8"/>
  <c r="R1165" i="3"/>
  <c r="G42" i="8" s="1"/>
  <c r="S1165" i="3"/>
  <c r="C75" i="11"/>
  <c r="S887" i="3"/>
  <c r="R887" i="3"/>
  <c r="C43" i="11" s="1"/>
  <c r="S73" i="5"/>
  <c r="S855" i="3"/>
  <c r="R855" i="3"/>
  <c r="S41" i="5" s="1"/>
  <c r="C75" i="10"/>
  <c r="R298" i="3"/>
  <c r="C43" i="10" s="1"/>
  <c r="S298" i="3"/>
  <c r="C76" i="4"/>
  <c r="R159" i="3"/>
  <c r="C44" i="4" s="1"/>
  <c r="S159" i="3"/>
  <c r="B76" i="5"/>
  <c r="R39" i="3"/>
  <c r="S41" i="15"/>
  <c r="F54" i="2" s="1"/>
  <c r="S39" i="3"/>
  <c r="B100" i="15"/>
  <c r="G76" i="5"/>
  <c r="R947" i="3"/>
  <c r="G44" i="5" s="1"/>
  <c r="S947" i="3"/>
  <c r="G44" i="6"/>
  <c r="E28" i="2"/>
  <c r="C76" i="5"/>
  <c r="S59" i="3"/>
  <c r="R59" i="3"/>
  <c r="C44" i="5" s="1"/>
  <c r="I76" i="5"/>
  <c r="R1027" i="3"/>
  <c r="I44" i="5" s="1"/>
  <c r="S1027" i="3"/>
  <c r="D75" i="10"/>
  <c r="S1066" i="3"/>
  <c r="R1066" i="3"/>
  <c r="D43" i="10" s="1"/>
  <c r="E76" i="4"/>
  <c r="R339" i="3"/>
  <c r="E44" i="4" s="1"/>
  <c r="S339" i="3"/>
  <c r="Q73" i="5"/>
  <c r="S679" i="3"/>
  <c r="R679" i="3"/>
  <c r="Q41" i="5" s="1"/>
  <c r="L384" i="3"/>
  <c r="O384" i="3" s="1"/>
  <c r="Q384" i="3" s="1"/>
  <c r="R72" i="15"/>
  <c r="L1065" i="3"/>
  <c r="O1065" i="3" s="1"/>
  <c r="Q1065" i="3" s="1"/>
  <c r="L277" i="3"/>
  <c r="O277" i="3" s="1"/>
  <c r="Q277" i="3" s="1"/>
  <c r="L297" i="3"/>
  <c r="O297" i="3" s="1"/>
  <c r="Q297" i="3" s="1"/>
  <c r="N70" i="15"/>
  <c r="L470" i="3"/>
  <c r="O470" i="3" s="1"/>
  <c r="Q470" i="3" s="1"/>
  <c r="Q72" i="15"/>
  <c r="L1206" i="3"/>
  <c r="O1206" i="3" s="1"/>
  <c r="Q1206" i="3" s="1"/>
  <c r="L338" i="3"/>
  <c r="O338" i="3" s="1"/>
  <c r="Q338" i="3" s="1"/>
  <c r="L138" i="3"/>
  <c r="O138" i="3" s="1"/>
  <c r="Q138" i="3" s="1"/>
  <c r="L318" i="3"/>
  <c r="O318" i="3" s="1"/>
  <c r="Q318" i="3" s="1"/>
  <c r="L158" i="3"/>
  <c r="O158" i="3" s="1"/>
  <c r="Q158" i="3" s="1"/>
  <c r="B69" i="15"/>
  <c r="L647" i="3"/>
  <c r="O647" i="3" s="1"/>
  <c r="Q647" i="3" s="1"/>
  <c r="L73" i="15"/>
  <c r="D76" i="5"/>
  <c r="R239" i="3"/>
  <c r="D44" i="5" s="1"/>
  <c r="S239" i="3"/>
  <c r="J76" i="5"/>
  <c r="R1107" i="3"/>
  <c r="J44" i="5" s="1"/>
  <c r="S1107" i="3"/>
  <c r="L733" i="3"/>
  <c r="O733" i="3" s="1"/>
  <c r="L525" i="3"/>
  <c r="O525" i="3" s="1"/>
  <c r="Q525" i="3" s="1"/>
  <c r="F75" i="15"/>
  <c r="F74" i="8"/>
  <c r="R1085" i="3"/>
  <c r="F42" i="8" s="1"/>
  <c r="S1085" i="3"/>
  <c r="B75" i="6"/>
  <c r="R78" i="3"/>
  <c r="B43" i="6" s="1"/>
  <c r="S78" i="3"/>
  <c r="H76" i="5"/>
  <c r="R1007" i="3"/>
  <c r="H44" i="5" s="1"/>
  <c r="S1007" i="3"/>
  <c r="S1185" i="3"/>
  <c r="H74" i="8"/>
  <c r="R1185" i="3"/>
  <c r="H42" i="8" s="1"/>
  <c r="B75" i="11"/>
  <c r="R769" i="3"/>
  <c r="B43" i="11" s="1"/>
  <c r="S769" i="3"/>
  <c r="C75" i="6"/>
  <c r="R218" i="3"/>
  <c r="C43" i="6" s="1"/>
  <c r="S218" i="3"/>
  <c r="K76" i="5"/>
  <c r="R1127" i="3"/>
  <c r="K44" i="5" s="1"/>
  <c r="S1127" i="3"/>
  <c r="L985" i="3"/>
  <c r="O985" i="3" s="1"/>
  <c r="Q985" i="3" s="1"/>
  <c r="L197" i="3"/>
  <c r="O197" i="3" s="1"/>
  <c r="Q197" i="3" s="1"/>
  <c r="L97" i="3"/>
  <c r="O97" i="3" s="1"/>
  <c r="Q97" i="3" s="1"/>
  <c r="M70" i="15"/>
  <c r="L1164" i="3"/>
  <c r="O1164" i="3" s="1"/>
  <c r="Q1164" i="3" s="1"/>
  <c r="L1084" i="3"/>
  <c r="O1084" i="3" s="1"/>
  <c r="Q1084" i="3" s="1"/>
  <c r="L904" i="3"/>
  <c r="O904" i="3" s="1"/>
  <c r="Q904" i="3" s="1"/>
  <c r="L1184" i="3"/>
  <c r="O1184" i="3" s="1"/>
  <c r="Q1184" i="3" s="1"/>
  <c r="L16" i="3"/>
  <c r="O16" i="3" s="1"/>
  <c r="Q16" i="3" s="1"/>
  <c r="L116" i="3"/>
  <c r="O116" i="3" s="1"/>
  <c r="Q116" i="3" s="1"/>
  <c r="L356" i="3"/>
  <c r="O356" i="3" s="1"/>
  <c r="Q356" i="3" s="1"/>
  <c r="K71" i="15"/>
  <c r="E73" i="10"/>
  <c r="R619" i="3"/>
  <c r="E41" i="10" s="1"/>
  <c r="S619" i="3"/>
  <c r="Q618" i="3"/>
  <c r="O75" i="15"/>
  <c r="L615" i="3"/>
  <c r="O615" i="3" s="1"/>
  <c r="L854" i="3"/>
  <c r="O854" i="3" s="1"/>
  <c r="Q854" i="3" s="1"/>
  <c r="L588" i="3"/>
  <c r="O588" i="3" s="1"/>
  <c r="Q588" i="3" s="1"/>
  <c r="L442" i="3"/>
  <c r="O442" i="3" s="1"/>
  <c r="Q442" i="3" s="1"/>
  <c r="L412" i="3"/>
  <c r="O412" i="3" s="1"/>
  <c r="Q412" i="3" s="1"/>
  <c r="L708" i="3"/>
  <c r="O708" i="3" s="1"/>
  <c r="Q708" i="3" s="1"/>
  <c r="L678" i="3"/>
  <c r="O678" i="3" s="1"/>
  <c r="Q678" i="3" s="1"/>
  <c r="D72" i="15"/>
  <c r="L556" i="3"/>
  <c r="O556" i="3" s="1"/>
  <c r="Q556" i="3" s="1"/>
  <c r="L822" i="3"/>
  <c r="O822" i="3" s="1"/>
  <c r="Q822" i="3" s="1"/>
  <c r="H74" i="15"/>
  <c r="L1266" i="3"/>
  <c r="O1266" i="3" s="1"/>
  <c r="Q1266" i="3" s="1"/>
  <c r="L966" i="3"/>
  <c r="O966" i="3" s="1"/>
  <c r="Q966" i="3" s="1"/>
  <c r="L178" i="3"/>
  <c r="O178" i="3" s="1"/>
  <c r="Q178" i="3" s="1"/>
  <c r="I69" i="15"/>
  <c r="D76" i="4"/>
  <c r="R319" i="3"/>
  <c r="D44" i="4" s="1"/>
  <c r="S319" i="3"/>
  <c r="B75" i="9"/>
  <c r="R98" i="3"/>
  <c r="S98" i="3"/>
  <c r="S51" i="15"/>
  <c r="F64" i="2" s="1"/>
  <c r="L1045" i="3"/>
  <c r="O1045" i="3" s="1"/>
  <c r="Q1045" i="3" s="1"/>
  <c r="G70" i="15"/>
  <c r="D74" i="8"/>
  <c r="R357" i="3"/>
  <c r="D42" i="8" s="1"/>
  <c r="S357" i="3"/>
  <c r="O73" i="5"/>
  <c r="S443" i="3"/>
  <c r="R443" i="3"/>
  <c r="O41" i="5" s="1"/>
  <c r="I71" i="6"/>
  <c r="S823" i="3"/>
  <c r="R823" i="3"/>
  <c r="I39" i="6" s="1"/>
  <c r="F73" i="7"/>
  <c r="S795" i="3"/>
  <c r="R795" i="3"/>
  <c r="F41" i="7" s="1"/>
  <c r="B44" i="10"/>
  <c r="E39" i="2"/>
  <c r="F74" i="6"/>
  <c r="S738" i="3"/>
  <c r="R738" i="3"/>
  <c r="F42" i="6" s="1"/>
  <c r="C102" i="15"/>
  <c r="Q737" i="3"/>
  <c r="E74" i="8"/>
  <c r="R905" i="3"/>
  <c r="E42" i="8" s="1"/>
  <c r="S905" i="3"/>
  <c r="D75" i="6"/>
  <c r="S1246" i="3"/>
  <c r="R1246" i="3"/>
  <c r="D43" i="6" s="1"/>
  <c r="F76" i="5"/>
  <c r="R927" i="3"/>
  <c r="F44" i="5" s="1"/>
  <c r="S927" i="3"/>
  <c r="C75" i="9"/>
  <c r="R198" i="3"/>
  <c r="C43" i="9" s="1"/>
  <c r="S198" i="3"/>
  <c r="B74" i="8"/>
  <c r="S17" i="3"/>
  <c r="R17" i="3"/>
  <c r="B42" i="8" s="1"/>
  <c r="F102" i="15"/>
  <c r="N73" i="5"/>
  <c r="R413" i="3"/>
  <c r="N41" i="5" s="1"/>
  <c r="S413" i="3"/>
  <c r="H71" i="6"/>
  <c r="R557" i="3"/>
  <c r="H39" i="6" s="1"/>
  <c r="S557" i="3"/>
  <c r="E73" i="7"/>
  <c r="S499" i="3"/>
  <c r="R499" i="3"/>
  <c r="E41" i="7" s="1"/>
  <c r="B76" i="7"/>
  <c r="S179" i="3"/>
  <c r="R179" i="3"/>
  <c r="B44" i="7" s="1"/>
  <c r="E100" i="15"/>
  <c r="S1207" i="3"/>
  <c r="F76" i="4"/>
  <c r="R1207" i="3"/>
  <c r="F44" i="4" s="1"/>
  <c r="C76" i="7"/>
  <c r="R967" i="3"/>
  <c r="C44" i="7" s="1"/>
  <c r="S967" i="3"/>
  <c r="D75" i="9"/>
  <c r="S986" i="3"/>
  <c r="R986" i="3"/>
  <c r="D43" i="9" s="1"/>
  <c r="G75" i="6"/>
  <c r="R1046" i="3"/>
  <c r="G43" i="6" s="1"/>
  <c r="S1046" i="3"/>
  <c r="D101" i="15"/>
  <c r="C74" i="8"/>
  <c r="R117" i="3"/>
  <c r="C42" i="8" s="1"/>
  <c r="S117" i="3"/>
  <c r="H40" i="6"/>
  <c r="E29" i="2"/>
  <c r="P73" i="5"/>
  <c r="S589" i="3"/>
  <c r="R589" i="3"/>
  <c r="P41" i="5" s="1"/>
  <c r="L794" i="3"/>
  <c r="O794" i="3" s="1"/>
  <c r="Q794" i="3" s="1"/>
  <c r="L498" i="3"/>
  <c r="O498" i="3" s="1"/>
  <c r="Q498" i="3" s="1"/>
  <c r="J72" i="15"/>
  <c r="D76" i="7"/>
  <c r="R1267" i="3"/>
  <c r="D44" i="7" s="1"/>
  <c r="S1267" i="3"/>
  <c r="B43" i="9" l="1"/>
  <c r="E37" i="2"/>
  <c r="D75" i="7"/>
  <c r="R1266" i="3"/>
  <c r="D43" i="7" s="1"/>
  <c r="S1266" i="3"/>
  <c r="O72" i="5"/>
  <c r="S442" i="3"/>
  <c r="R442" i="3"/>
  <c r="O40" i="5" s="1"/>
  <c r="F73" i="8"/>
  <c r="S1084" i="3"/>
  <c r="R1084" i="3"/>
  <c r="F41" i="8" s="1"/>
  <c r="C75" i="4"/>
  <c r="R158" i="3"/>
  <c r="C43" i="4" s="1"/>
  <c r="S158" i="3"/>
  <c r="C74" i="10"/>
  <c r="R297" i="3"/>
  <c r="C42" i="10" s="1"/>
  <c r="S297" i="3"/>
  <c r="C74" i="6"/>
  <c r="R217" i="3"/>
  <c r="C42" i="6" s="1"/>
  <c r="S217" i="3"/>
  <c r="I75" i="5"/>
  <c r="S1026" i="3"/>
  <c r="R1026" i="3"/>
  <c r="I43" i="5" s="1"/>
  <c r="G73" i="8"/>
  <c r="S1164" i="3"/>
  <c r="R1164" i="3"/>
  <c r="G41" i="8" s="1"/>
  <c r="D75" i="4"/>
  <c r="R318" i="3"/>
  <c r="D43" i="4" s="1"/>
  <c r="S318" i="3"/>
  <c r="B74" i="10"/>
  <c r="R277" i="3"/>
  <c r="B42" i="10" s="1"/>
  <c r="S277" i="3"/>
  <c r="G102" i="15"/>
  <c r="S1245" i="3"/>
  <c r="D74" i="6"/>
  <c r="R1245" i="3"/>
  <c r="D42" i="6" s="1"/>
  <c r="G75" i="5"/>
  <c r="S946" i="3"/>
  <c r="R946" i="3"/>
  <c r="G43" i="5" s="1"/>
  <c r="I70" i="6"/>
  <c r="S822" i="3"/>
  <c r="R822" i="3"/>
  <c r="I38" i="6" s="1"/>
  <c r="S72" i="5"/>
  <c r="S854" i="3"/>
  <c r="R854" i="3"/>
  <c r="S40" i="5" s="1"/>
  <c r="L1183" i="3"/>
  <c r="O1183" i="3" s="1"/>
  <c r="Q1183" i="3" s="1"/>
  <c r="L1163" i="3"/>
  <c r="O1163" i="3" s="1"/>
  <c r="Q1163" i="3" s="1"/>
  <c r="L903" i="3"/>
  <c r="O903" i="3" s="1"/>
  <c r="Q903" i="3" s="1"/>
  <c r="L1083" i="3"/>
  <c r="O1083" i="3" s="1"/>
  <c r="Q1083" i="3" s="1"/>
  <c r="L115" i="3"/>
  <c r="O115" i="3" s="1"/>
  <c r="Q115" i="3" s="1"/>
  <c r="L355" i="3"/>
  <c r="O355" i="3" s="1"/>
  <c r="Q355" i="3" s="1"/>
  <c r="L15" i="3"/>
  <c r="O15" i="3" s="1"/>
  <c r="Q15" i="3" s="1"/>
  <c r="K72" i="15"/>
  <c r="L984" i="3"/>
  <c r="O984" i="3" s="1"/>
  <c r="Q984" i="3" s="1"/>
  <c r="L196" i="3"/>
  <c r="O196" i="3" s="1"/>
  <c r="Q196" i="3" s="1"/>
  <c r="L96" i="3"/>
  <c r="O96" i="3" s="1"/>
  <c r="Q96" i="3" s="1"/>
  <c r="M71" i="15"/>
  <c r="B75" i="4"/>
  <c r="R138" i="3"/>
  <c r="B43" i="4" s="1"/>
  <c r="S138" i="3"/>
  <c r="D74" i="10"/>
  <c r="R1065" i="3"/>
  <c r="D42" i="10" s="1"/>
  <c r="S1065" i="3"/>
  <c r="I40" i="8"/>
  <c r="E35" i="2"/>
  <c r="F75" i="5"/>
  <c r="R926" i="3"/>
  <c r="F43" i="5" s="1"/>
  <c r="S926" i="3"/>
  <c r="L767" i="3"/>
  <c r="O767" i="3" s="1"/>
  <c r="Q767" i="3" s="1"/>
  <c r="L885" i="3"/>
  <c r="O885" i="3" s="1"/>
  <c r="Q885" i="3" s="1"/>
  <c r="P71" i="15"/>
  <c r="L1225" i="3"/>
  <c r="O1225" i="3" s="1"/>
  <c r="Q1225" i="3" s="1"/>
  <c r="L1105" i="3"/>
  <c r="O1105" i="3" s="1"/>
  <c r="Q1105" i="3" s="1"/>
  <c r="L1125" i="3"/>
  <c r="O1125" i="3" s="1"/>
  <c r="Q1125" i="3" s="1"/>
  <c r="L1005" i="3"/>
  <c r="O1005" i="3" s="1"/>
  <c r="Q1005" i="3" s="1"/>
  <c r="L1145" i="3"/>
  <c r="O1145" i="3" s="1"/>
  <c r="Q1145" i="3" s="1"/>
  <c r="L945" i="3"/>
  <c r="O945" i="3" s="1"/>
  <c r="Q945" i="3" s="1"/>
  <c r="L925" i="3"/>
  <c r="O925" i="3" s="1"/>
  <c r="Q925" i="3" s="1"/>
  <c r="L237" i="3"/>
  <c r="O237" i="3" s="1"/>
  <c r="Q237" i="3" s="1"/>
  <c r="L1025" i="3"/>
  <c r="O1025" i="3" s="1"/>
  <c r="Q1025" i="3" s="1"/>
  <c r="L37" i="3"/>
  <c r="O37" i="3" s="1"/>
  <c r="Q37" i="3" s="1"/>
  <c r="L257" i="3"/>
  <c r="O257" i="3" s="1"/>
  <c r="Q257" i="3" s="1"/>
  <c r="L57" i="3"/>
  <c r="O57" i="3" s="1"/>
  <c r="Q57" i="3" s="1"/>
  <c r="C70" i="15"/>
  <c r="H75" i="5"/>
  <c r="R1006" i="3"/>
  <c r="H43" i="5" s="1"/>
  <c r="S1006" i="3"/>
  <c r="H70" i="6"/>
  <c r="R556" i="3"/>
  <c r="H38" i="6" s="1"/>
  <c r="S556" i="3"/>
  <c r="D73" i="8"/>
  <c r="R356" i="3"/>
  <c r="D41" i="8" s="1"/>
  <c r="S356" i="3"/>
  <c r="B74" i="9"/>
  <c r="S97" i="3"/>
  <c r="R97" i="3"/>
  <c r="B42" i="9" s="1"/>
  <c r="E75" i="4"/>
  <c r="S338" i="3"/>
  <c r="R338" i="3"/>
  <c r="E43" i="4" s="1"/>
  <c r="L383" i="3"/>
  <c r="O383" i="3" s="1"/>
  <c r="Q383" i="3" s="1"/>
  <c r="R73" i="15"/>
  <c r="L1044" i="3"/>
  <c r="O1044" i="3" s="1"/>
  <c r="Q1044" i="3" s="1"/>
  <c r="G71" i="15"/>
  <c r="L853" i="3"/>
  <c r="O853" i="3" s="1"/>
  <c r="Q853" i="3" s="1"/>
  <c r="L707" i="3"/>
  <c r="O707" i="3" s="1"/>
  <c r="Q707" i="3" s="1"/>
  <c r="L411" i="3"/>
  <c r="O411" i="3" s="1"/>
  <c r="Q411" i="3" s="1"/>
  <c r="L677" i="3"/>
  <c r="O677" i="3" s="1"/>
  <c r="Q677" i="3" s="1"/>
  <c r="L441" i="3"/>
  <c r="O441" i="3" s="1"/>
  <c r="Q441" i="3" s="1"/>
  <c r="L587" i="3"/>
  <c r="O587" i="3" s="1"/>
  <c r="Q587" i="3" s="1"/>
  <c r="D73" i="15"/>
  <c r="L614" i="3"/>
  <c r="O614" i="3" s="1"/>
  <c r="O76" i="15"/>
  <c r="C73" i="8"/>
  <c r="R116" i="3"/>
  <c r="C41" i="8" s="1"/>
  <c r="S116" i="3"/>
  <c r="C74" i="9"/>
  <c r="R197" i="3"/>
  <c r="C42" i="9" s="1"/>
  <c r="S197" i="3"/>
  <c r="L524" i="3"/>
  <c r="O524" i="3" s="1"/>
  <c r="Q524" i="3" s="1"/>
  <c r="L732" i="3"/>
  <c r="O732" i="3" s="1"/>
  <c r="F76" i="15"/>
  <c r="F75" i="4"/>
  <c r="S1206" i="3"/>
  <c r="R1206" i="3"/>
  <c r="F43" i="4" s="1"/>
  <c r="B72" i="13"/>
  <c r="S384" i="3"/>
  <c r="R384" i="3"/>
  <c r="S56" i="15"/>
  <c r="F69" i="2" s="1"/>
  <c r="B44" i="5"/>
  <c r="E23" i="2"/>
  <c r="B44" i="4"/>
  <c r="E21" i="2"/>
  <c r="B74" i="11"/>
  <c r="R768" i="3"/>
  <c r="B42" i="11" s="1"/>
  <c r="S768" i="3"/>
  <c r="B75" i="5"/>
  <c r="R38" i="3"/>
  <c r="B43" i="5" s="1"/>
  <c r="S38" i="3"/>
  <c r="B101" i="15"/>
  <c r="J75" i="5"/>
  <c r="S1106" i="3"/>
  <c r="R1106" i="3"/>
  <c r="J43" i="5" s="1"/>
  <c r="F72" i="7"/>
  <c r="S794" i="3"/>
  <c r="R794" i="3"/>
  <c r="F40" i="7" s="1"/>
  <c r="G74" i="6"/>
  <c r="R1045" i="3"/>
  <c r="G42" i="6" s="1"/>
  <c r="S1045" i="3"/>
  <c r="D102" i="15"/>
  <c r="L1265" i="3"/>
  <c r="O1265" i="3" s="1"/>
  <c r="Q1265" i="3" s="1"/>
  <c r="L965" i="3"/>
  <c r="O965" i="3" s="1"/>
  <c r="Q965" i="3" s="1"/>
  <c r="L177" i="3"/>
  <c r="O177" i="3" s="1"/>
  <c r="Q177" i="3" s="1"/>
  <c r="I70" i="15"/>
  <c r="Q72" i="5"/>
  <c r="S678" i="3"/>
  <c r="R678" i="3"/>
  <c r="Q40" i="5" s="1"/>
  <c r="E72" i="10"/>
  <c r="R618" i="3"/>
  <c r="S53" i="15"/>
  <c r="F66" i="2" s="1"/>
  <c r="S618" i="3"/>
  <c r="Q617" i="3"/>
  <c r="B73" i="8"/>
  <c r="R16" i="3"/>
  <c r="B41" i="8" s="1"/>
  <c r="S16" i="3"/>
  <c r="F103" i="15"/>
  <c r="D74" i="9"/>
  <c r="R985" i="3"/>
  <c r="D42" i="9" s="1"/>
  <c r="S985" i="3"/>
  <c r="E69" i="6"/>
  <c r="R525" i="3"/>
  <c r="E37" i="6" s="1"/>
  <c r="S525" i="3"/>
  <c r="L646" i="3"/>
  <c r="O646" i="3" s="1"/>
  <c r="Q646" i="3" s="1"/>
  <c r="L74" i="15"/>
  <c r="L469" i="3"/>
  <c r="O469" i="3" s="1"/>
  <c r="Q469" i="3" s="1"/>
  <c r="Q73" i="15"/>
  <c r="C74" i="11"/>
  <c r="S886" i="3"/>
  <c r="R886" i="3"/>
  <c r="C42" i="11" s="1"/>
  <c r="C75" i="5"/>
  <c r="R58" i="3"/>
  <c r="C43" i="5" s="1"/>
  <c r="S58" i="3"/>
  <c r="K75" i="5"/>
  <c r="R1126" i="3"/>
  <c r="K43" i="5" s="1"/>
  <c r="S1126" i="3"/>
  <c r="F73" i="6"/>
  <c r="S737" i="3"/>
  <c r="R737" i="3"/>
  <c r="F41" i="6" s="1"/>
  <c r="C103" i="15"/>
  <c r="Q736" i="3"/>
  <c r="L821" i="3"/>
  <c r="O821" i="3" s="1"/>
  <c r="Q821" i="3" s="1"/>
  <c r="L555" i="3"/>
  <c r="O555" i="3" s="1"/>
  <c r="Q555" i="3" s="1"/>
  <c r="H75" i="15"/>
  <c r="P72" i="5"/>
  <c r="S588" i="3"/>
  <c r="R588" i="3"/>
  <c r="P40" i="5" s="1"/>
  <c r="B75" i="7"/>
  <c r="R178" i="3"/>
  <c r="S178" i="3"/>
  <c r="S47" i="15"/>
  <c r="F60" i="2" s="1"/>
  <c r="E101" i="15"/>
  <c r="R72" i="5"/>
  <c r="S708" i="3"/>
  <c r="R708" i="3"/>
  <c r="R40" i="5" s="1"/>
  <c r="H73" i="8"/>
  <c r="S1184" i="3"/>
  <c r="R1184" i="3"/>
  <c r="H41" i="8" s="1"/>
  <c r="I71" i="8"/>
  <c r="S647" i="3"/>
  <c r="R647" i="3"/>
  <c r="I39" i="8" s="1"/>
  <c r="B72" i="12"/>
  <c r="R470" i="3"/>
  <c r="S55" i="15"/>
  <c r="F68" i="2" s="1"/>
  <c r="S470" i="3"/>
  <c r="L1244" i="3"/>
  <c r="O1244" i="3" s="1"/>
  <c r="Q1244" i="3" s="1"/>
  <c r="L216" i="3"/>
  <c r="O216" i="3" s="1"/>
  <c r="Q216" i="3" s="1"/>
  <c r="L76" i="3"/>
  <c r="O76" i="3" s="1"/>
  <c r="Q76" i="3" s="1"/>
  <c r="E71" i="15"/>
  <c r="D75" i="5"/>
  <c r="R238" i="3"/>
  <c r="D43" i="5" s="1"/>
  <c r="S238" i="3"/>
  <c r="L75" i="5"/>
  <c r="S1146" i="3"/>
  <c r="R1146" i="3"/>
  <c r="L43" i="5" s="1"/>
  <c r="L793" i="3"/>
  <c r="O793" i="3" s="1"/>
  <c r="Q793" i="3" s="1"/>
  <c r="L497" i="3"/>
  <c r="O497" i="3" s="1"/>
  <c r="Q497" i="3" s="1"/>
  <c r="J73" i="15"/>
  <c r="E72" i="7"/>
  <c r="S498" i="3"/>
  <c r="R498" i="3"/>
  <c r="S48" i="15"/>
  <c r="F61" i="2" s="1"/>
  <c r="C75" i="7"/>
  <c r="R966" i="3"/>
  <c r="C43" i="7" s="1"/>
  <c r="S966" i="3"/>
  <c r="N72" i="5"/>
  <c r="R412" i="3"/>
  <c r="N40" i="5" s="1"/>
  <c r="S412" i="3"/>
  <c r="E73" i="8"/>
  <c r="S904" i="3"/>
  <c r="R904" i="3"/>
  <c r="E41" i="8" s="1"/>
  <c r="L1205" i="3"/>
  <c r="O1205" i="3" s="1"/>
  <c r="Q1205" i="3" s="1"/>
  <c r="L337" i="3"/>
  <c r="O337" i="3" s="1"/>
  <c r="Q337" i="3" s="1"/>
  <c r="L137" i="3"/>
  <c r="O137" i="3" s="1"/>
  <c r="Q137" i="3" s="1"/>
  <c r="L317" i="3"/>
  <c r="O317" i="3" s="1"/>
  <c r="Q317" i="3" s="1"/>
  <c r="L157" i="3"/>
  <c r="O157" i="3" s="1"/>
  <c r="Q157" i="3" s="1"/>
  <c r="B70" i="15"/>
  <c r="L1064" i="3"/>
  <c r="O1064" i="3" s="1"/>
  <c r="Q1064" i="3" s="1"/>
  <c r="L296" i="3"/>
  <c r="O296" i="3" s="1"/>
  <c r="Q296" i="3" s="1"/>
  <c r="L276" i="3"/>
  <c r="O276" i="3" s="1"/>
  <c r="Q276" i="3" s="1"/>
  <c r="N71" i="15"/>
  <c r="B74" i="6"/>
  <c r="R77" i="3"/>
  <c r="B42" i="6" s="1"/>
  <c r="S77" i="3"/>
  <c r="E75" i="5"/>
  <c r="S258" i="3"/>
  <c r="R258" i="3"/>
  <c r="E43" i="5" s="1"/>
  <c r="M75" i="5"/>
  <c r="S1226" i="3"/>
  <c r="R1226" i="3"/>
  <c r="M43" i="5" s="1"/>
  <c r="I70" i="8" l="1"/>
  <c r="S646" i="3"/>
  <c r="R646" i="3"/>
  <c r="I38" i="8" s="1"/>
  <c r="G73" i="6"/>
  <c r="R1044" i="3"/>
  <c r="G41" i="6" s="1"/>
  <c r="S1044" i="3"/>
  <c r="D103" i="15"/>
  <c r="O71" i="5"/>
  <c r="S441" i="3"/>
  <c r="R441" i="3"/>
  <c r="O39" i="5" s="1"/>
  <c r="B71" i="13"/>
  <c r="R383" i="3"/>
  <c r="B39" i="13" s="1"/>
  <c r="S383" i="3"/>
  <c r="F74" i="5"/>
  <c r="R925" i="3"/>
  <c r="F42" i="5" s="1"/>
  <c r="S925" i="3"/>
  <c r="C73" i="11"/>
  <c r="S885" i="3"/>
  <c r="R885" i="3"/>
  <c r="C41" i="11" s="1"/>
  <c r="D73" i="9"/>
  <c r="S984" i="3"/>
  <c r="R984" i="3"/>
  <c r="D41" i="9" s="1"/>
  <c r="H72" i="8"/>
  <c r="S1183" i="3"/>
  <c r="R1183" i="3"/>
  <c r="H40" i="8" s="1"/>
  <c r="P71" i="5"/>
  <c r="S587" i="3"/>
  <c r="R587" i="3"/>
  <c r="P39" i="5" s="1"/>
  <c r="L382" i="3"/>
  <c r="O382" i="3" s="1"/>
  <c r="Q382" i="3" s="1"/>
  <c r="R74" i="15"/>
  <c r="D74" i="5"/>
  <c r="R237" i="3"/>
  <c r="D42" i="5" s="1"/>
  <c r="S237" i="3"/>
  <c r="L884" i="3"/>
  <c r="O884" i="3" s="1"/>
  <c r="Q884" i="3" s="1"/>
  <c r="L766" i="3"/>
  <c r="O766" i="3" s="1"/>
  <c r="Q766" i="3" s="1"/>
  <c r="P72" i="15"/>
  <c r="C73" i="9"/>
  <c r="R196" i="3"/>
  <c r="C41" i="9" s="1"/>
  <c r="S196" i="3"/>
  <c r="G72" i="8"/>
  <c r="R1163" i="3"/>
  <c r="G40" i="8" s="1"/>
  <c r="S1163" i="3"/>
  <c r="D73" i="10"/>
  <c r="S1064" i="3"/>
  <c r="R1064" i="3"/>
  <c r="D41" i="10" s="1"/>
  <c r="F71" i="7"/>
  <c r="S793" i="3"/>
  <c r="R793" i="3"/>
  <c r="F39" i="7" s="1"/>
  <c r="B73" i="6"/>
  <c r="R76" i="3"/>
  <c r="B41" i="6" s="1"/>
  <c r="S76" i="3"/>
  <c r="L1204" i="3"/>
  <c r="O1204" i="3" s="1"/>
  <c r="Q1204" i="3" s="1"/>
  <c r="L316" i="3"/>
  <c r="O316" i="3" s="1"/>
  <c r="Q316" i="3" s="1"/>
  <c r="L336" i="3"/>
  <c r="O336" i="3" s="1"/>
  <c r="Q336" i="3" s="1"/>
  <c r="L136" i="3"/>
  <c r="O136" i="3" s="1"/>
  <c r="Q136" i="3" s="1"/>
  <c r="L156" i="3"/>
  <c r="O156" i="3" s="1"/>
  <c r="Q156" i="3" s="1"/>
  <c r="B71" i="15"/>
  <c r="C73" i="6"/>
  <c r="S216" i="3"/>
  <c r="R216" i="3"/>
  <c r="C41" i="6" s="1"/>
  <c r="Q71" i="5"/>
  <c r="S677" i="3"/>
  <c r="R677" i="3"/>
  <c r="Q39" i="5" s="1"/>
  <c r="G74" i="5"/>
  <c r="R945" i="3"/>
  <c r="G42" i="5" s="1"/>
  <c r="S945" i="3"/>
  <c r="B73" i="11"/>
  <c r="R767" i="3"/>
  <c r="B41" i="11" s="1"/>
  <c r="S767" i="3"/>
  <c r="L1182" i="3"/>
  <c r="O1182" i="3" s="1"/>
  <c r="Q1182" i="3" s="1"/>
  <c r="L1162" i="3"/>
  <c r="O1162" i="3" s="1"/>
  <c r="Q1162" i="3" s="1"/>
  <c r="L1082" i="3"/>
  <c r="O1082" i="3" s="1"/>
  <c r="Q1082" i="3" s="1"/>
  <c r="L902" i="3"/>
  <c r="O902" i="3" s="1"/>
  <c r="Q902" i="3" s="1"/>
  <c r="L114" i="3"/>
  <c r="O114" i="3" s="1"/>
  <c r="Q114" i="3" s="1"/>
  <c r="L354" i="3"/>
  <c r="O354" i="3" s="1"/>
  <c r="Q354" i="3" s="1"/>
  <c r="L14" i="3"/>
  <c r="O14" i="3" s="1"/>
  <c r="Q14" i="3" s="1"/>
  <c r="K73" i="15"/>
  <c r="B73" i="10"/>
  <c r="R276" i="3"/>
  <c r="B41" i="10" s="1"/>
  <c r="S276" i="3"/>
  <c r="G103" i="15"/>
  <c r="S1205" i="3"/>
  <c r="F74" i="4"/>
  <c r="R1205" i="3"/>
  <c r="F42" i="4" s="1"/>
  <c r="L496" i="3"/>
  <c r="O496" i="3" s="1"/>
  <c r="Q496" i="3" s="1"/>
  <c r="L792" i="3"/>
  <c r="O792" i="3" s="1"/>
  <c r="Q792" i="3" s="1"/>
  <c r="J74" i="15"/>
  <c r="N71" i="5"/>
  <c r="R411" i="3"/>
  <c r="N39" i="5" s="1"/>
  <c r="S411" i="3"/>
  <c r="L1144" i="3"/>
  <c r="O1144" i="3" s="1"/>
  <c r="Q1144" i="3" s="1"/>
  <c r="L1124" i="3"/>
  <c r="O1124" i="3" s="1"/>
  <c r="Q1124" i="3" s="1"/>
  <c r="L1104" i="3"/>
  <c r="O1104" i="3" s="1"/>
  <c r="Q1104" i="3" s="1"/>
  <c r="L924" i="3"/>
  <c r="O924" i="3" s="1"/>
  <c r="Q924" i="3" s="1"/>
  <c r="L1024" i="3"/>
  <c r="O1024" i="3" s="1"/>
  <c r="Q1024" i="3" s="1"/>
  <c r="L1224" i="3"/>
  <c r="O1224" i="3" s="1"/>
  <c r="Q1224" i="3" s="1"/>
  <c r="L1004" i="3"/>
  <c r="O1004" i="3" s="1"/>
  <c r="Q1004" i="3" s="1"/>
  <c r="L944" i="3"/>
  <c r="O944" i="3" s="1"/>
  <c r="Q944" i="3" s="1"/>
  <c r="L256" i="3"/>
  <c r="O256" i="3" s="1"/>
  <c r="Q256" i="3" s="1"/>
  <c r="L56" i="3"/>
  <c r="O56" i="3" s="1"/>
  <c r="Q56" i="3" s="1"/>
  <c r="L236" i="3"/>
  <c r="O236" i="3" s="1"/>
  <c r="Q236" i="3" s="1"/>
  <c r="L36" i="3"/>
  <c r="O36" i="3" s="1"/>
  <c r="Q36" i="3" s="1"/>
  <c r="C71" i="15"/>
  <c r="L74" i="5"/>
  <c r="R1145" i="3"/>
  <c r="L42" i="5" s="1"/>
  <c r="S1145" i="3"/>
  <c r="B72" i="8"/>
  <c r="S15" i="3"/>
  <c r="R15" i="3"/>
  <c r="B40" i="8" s="1"/>
  <c r="F104" i="15"/>
  <c r="I74" i="5"/>
  <c r="R1025" i="3"/>
  <c r="I42" i="5" s="1"/>
  <c r="S1025" i="3"/>
  <c r="M74" i="5"/>
  <c r="S1225" i="3"/>
  <c r="R1225" i="3"/>
  <c r="M42" i="5" s="1"/>
  <c r="B73" i="9"/>
  <c r="R96" i="3"/>
  <c r="B41" i="9" s="1"/>
  <c r="S96" i="3"/>
  <c r="E72" i="8"/>
  <c r="S903" i="3"/>
  <c r="R903" i="3"/>
  <c r="E40" i="8" s="1"/>
  <c r="C73" i="10"/>
  <c r="S296" i="3"/>
  <c r="R296" i="3"/>
  <c r="C41" i="10" s="1"/>
  <c r="E71" i="7"/>
  <c r="S497" i="3"/>
  <c r="R497" i="3"/>
  <c r="E39" i="7" s="1"/>
  <c r="L1243" i="3"/>
  <c r="O1243" i="3" s="1"/>
  <c r="Q1243" i="3" s="1"/>
  <c r="L75" i="3"/>
  <c r="O75" i="3" s="1"/>
  <c r="Q75" i="3" s="1"/>
  <c r="L215" i="3"/>
  <c r="O215" i="3" s="1"/>
  <c r="Q215" i="3" s="1"/>
  <c r="E72" i="15"/>
  <c r="C74" i="4"/>
  <c r="R157" i="3"/>
  <c r="C42" i="4" s="1"/>
  <c r="S157" i="3"/>
  <c r="E40" i="7"/>
  <c r="E32" i="2"/>
  <c r="D73" i="6"/>
  <c r="S1244" i="3"/>
  <c r="R1244" i="3"/>
  <c r="D41" i="6" s="1"/>
  <c r="E71" i="10"/>
  <c r="R617" i="3"/>
  <c r="E39" i="10" s="1"/>
  <c r="S617" i="3"/>
  <c r="Q616" i="3"/>
  <c r="D74" i="4"/>
  <c r="R317" i="3"/>
  <c r="D42" i="4" s="1"/>
  <c r="S317" i="3"/>
  <c r="H69" i="6"/>
  <c r="R555" i="3"/>
  <c r="H37" i="6" s="1"/>
  <c r="S555" i="3"/>
  <c r="L468" i="3"/>
  <c r="O468" i="3" s="1"/>
  <c r="Q468" i="3" s="1"/>
  <c r="Q74" i="15"/>
  <c r="L1264" i="3"/>
  <c r="O1264" i="3" s="1"/>
  <c r="Q1264" i="3" s="1"/>
  <c r="L964" i="3"/>
  <c r="O964" i="3" s="1"/>
  <c r="Q964" i="3" s="1"/>
  <c r="L176" i="3"/>
  <c r="O176" i="3" s="1"/>
  <c r="Q176" i="3" s="1"/>
  <c r="I71" i="15"/>
  <c r="L731" i="3"/>
  <c r="O731" i="3" s="1"/>
  <c r="L523" i="3"/>
  <c r="O523" i="3" s="1"/>
  <c r="Q523" i="3" s="1"/>
  <c r="F77" i="15"/>
  <c r="R71" i="5"/>
  <c r="S707" i="3"/>
  <c r="R707" i="3"/>
  <c r="R39" i="5" s="1"/>
  <c r="C74" i="5"/>
  <c r="S57" i="3"/>
  <c r="R57" i="3"/>
  <c r="C42" i="5" s="1"/>
  <c r="H74" i="5"/>
  <c r="R1005" i="3"/>
  <c r="H42" i="5" s="1"/>
  <c r="S1005" i="3"/>
  <c r="D72" i="8"/>
  <c r="R355" i="3"/>
  <c r="D40" i="8" s="1"/>
  <c r="S355" i="3"/>
  <c r="D74" i="7"/>
  <c r="R1265" i="3"/>
  <c r="D42" i="7" s="1"/>
  <c r="S1265" i="3"/>
  <c r="L852" i="3"/>
  <c r="O852" i="3" s="1"/>
  <c r="Q852" i="3" s="1"/>
  <c r="L706" i="3"/>
  <c r="O706" i="3" s="1"/>
  <c r="Q706" i="3" s="1"/>
  <c r="L676" i="3"/>
  <c r="O676" i="3" s="1"/>
  <c r="Q676" i="3" s="1"/>
  <c r="L586" i="3"/>
  <c r="O586" i="3" s="1"/>
  <c r="Q586" i="3" s="1"/>
  <c r="L440" i="3"/>
  <c r="O440" i="3" s="1"/>
  <c r="Q440" i="3" s="1"/>
  <c r="L410" i="3"/>
  <c r="O410" i="3" s="1"/>
  <c r="Q410" i="3" s="1"/>
  <c r="D74" i="15"/>
  <c r="L554" i="3"/>
  <c r="O554" i="3" s="1"/>
  <c r="Q554" i="3" s="1"/>
  <c r="L820" i="3"/>
  <c r="O820" i="3" s="1"/>
  <c r="Q820" i="3" s="1"/>
  <c r="H76" i="15"/>
  <c r="B74" i="4"/>
  <c r="R137" i="3"/>
  <c r="B42" i="4" s="1"/>
  <c r="S137" i="3"/>
  <c r="I69" i="6"/>
  <c r="S821" i="3"/>
  <c r="R821" i="3"/>
  <c r="I37" i="6" s="1"/>
  <c r="B71" i="12"/>
  <c r="R469" i="3"/>
  <c r="B39" i="12" s="1"/>
  <c r="S469" i="3"/>
  <c r="B74" i="7"/>
  <c r="S177" i="3"/>
  <c r="R177" i="3"/>
  <c r="B42" i="7" s="1"/>
  <c r="E102" i="15"/>
  <c r="L613" i="3"/>
  <c r="O613" i="3" s="1"/>
  <c r="O77" i="15"/>
  <c r="S71" i="5"/>
  <c r="S853" i="3"/>
  <c r="R853" i="3"/>
  <c r="S39" i="5" s="1"/>
  <c r="E74" i="5"/>
  <c r="R257" i="3"/>
  <c r="E42" i="5" s="1"/>
  <c r="S257" i="3"/>
  <c r="K74" i="5"/>
  <c r="R1125" i="3"/>
  <c r="K42" i="5" s="1"/>
  <c r="S1125" i="3"/>
  <c r="C72" i="8"/>
  <c r="R115" i="3"/>
  <c r="C40" i="8" s="1"/>
  <c r="S115" i="3"/>
  <c r="L1063" i="3"/>
  <c r="O1063" i="3" s="1"/>
  <c r="Q1063" i="3" s="1"/>
  <c r="L275" i="3"/>
  <c r="O275" i="3" s="1"/>
  <c r="Q275" i="3" s="1"/>
  <c r="L295" i="3"/>
  <c r="O295" i="3" s="1"/>
  <c r="Q295" i="3" s="1"/>
  <c r="N72" i="15"/>
  <c r="E74" i="4"/>
  <c r="R337" i="3"/>
  <c r="E42" i="4" s="1"/>
  <c r="S337" i="3"/>
  <c r="B40" i="12"/>
  <c r="E44" i="2"/>
  <c r="B43" i="7"/>
  <c r="E31" i="2"/>
  <c r="F72" i="6"/>
  <c r="S736" i="3"/>
  <c r="R736" i="3"/>
  <c r="C104" i="15"/>
  <c r="S44" i="15"/>
  <c r="F57" i="2" s="1"/>
  <c r="Q735" i="3"/>
  <c r="L645" i="3"/>
  <c r="O645" i="3" s="1"/>
  <c r="Q645" i="3" s="1"/>
  <c r="L75" i="15"/>
  <c r="E40" i="10"/>
  <c r="E40" i="2"/>
  <c r="C74" i="7"/>
  <c r="R965" i="3"/>
  <c r="C42" i="7" s="1"/>
  <c r="S965" i="3"/>
  <c r="B40" i="13"/>
  <c r="E46" i="2"/>
  <c r="E68" i="6"/>
  <c r="S524" i="3"/>
  <c r="R524" i="3"/>
  <c r="E36" i="6" s="1"/>
  <c r="L1043" i="3"/>
  <c r="O1043" i="3" s="1"/>
  <c r="Q1043" i="3" s="1"/>
  <c r="G72" i="15"/>
  <c r="B74" i="5"/>
  <c r="R37" i="3"/>
  <c r="B42" i="5" s="1"/>
  <c r="S37" i="3"/>
  <c r="B102" i="15"/>
  <c r="J74" i="5"/>
  <c r="R1105" i="3"/>
  <c r="J42" i="5" s="1"/>
  <c r="S1105" i="3"/>
  <c r="L983" i="3"/>
  <c r="O983" i="3" s="1"/>
  <c r="Q983" i="3" s="1"/>
  <c r="L195" i="3"/>
  <c r="O195" i="3" s="1"/>
  <c r="Q195" i="3" s="1"/>
  <c r="L95" i="3"/>
  <c r="O95" i="3" s="1"/>
  <c r="Q95" i="3" s="1"/>
  <c r="M72" i="15"/>
  <c r="F72" i="8"/>
  <c r="R1083" i="3"/>
  <c r="F40" i="8" s="1"/>
  <c r="S1083" i="3"/>
  <c r="B73" i="5" l="1"/>
  <c r="R36" i="3"/>
  <c r="B41" i="5" s="1"/>
  <c r="S36" i="3"/>
  <c r="B103" i="15"/>
  <c r="F73" i="5"/>
  <c r="R924" i="3"/>
  <c r="F41" i="5" s="1"/>
  <c r="S924" i="3"/>
  <c r="L791" i="3"/>
  <c r="O791" i="3" s="1"/>
  <c r="Q791" i="3" s="1"/>
  <c r="L495" i="3"/>
  <c r="O495" i="3" s="1"/>
  <c r="Q495" i="3" s="1"/>
  <c r="J75" i="15"/>
  <c r="G71" i="8"/>
  <c r="R1162" i="3"/>
  <c r="G39" i="8" s="1"/>
  <c r="S1162" i="3"/>
  <c r="B73" i="4"/>
  <c r="R136" i="3"/>
  <c r="B41" i="4" s="1"/>
  <c r="S136" i="3"/>
  <c r="F40" i="6"/>
  <c r="E27" i="2"/>
  <c r="P70" i="5"/>
  <c r="S586" i="3"/>
  <c r="R586" i="3"/>
  <c r="P38" i="5" s="1"/>
  <c r="C73" i="7"/>
  <c r="R964" i="3"/>
  <c r="C41" i="7" s="1"/>
  <c r="S964" i="3"/>
  <c r="L1242" i="3"/>
  <c r="O1242" i="3" s="1"/>
  <c r="Q1242" i="3" s="1"/>
  <c r="L214" i="3"/>
  <c r="O214" i="3" s="1"/>
  <c r="Q214" i="3" s="1"/>
  <c r="L74" i="3"/>
  <c r="O74" i="3" s="1"/>
  <c r="Q74" i="3" s="1"/>
  <c r="E73" i="15"/>
  <c r="D73" i="5"/>
  <c r="R236" i="3"/>
  <c r="D41" i="5" s="1"/>
  <c r="S236" i="3"/>
  <c r="J73" i="5"/>
  <c r="R1104" i="3"/>
  <c r="J41" i="5" s="1"/>
  <c r="S1104" i="3"/>
  <c r="F70" i="7"/>
  <c r="R792" i="3"/>
  <c r="F38" i="7" s="1"/>
  <c r="S792" i="3"/>
  <c r="H71" i="8"/>
  <c r="S1182" i="3"/>
  <c r="R1182" i="3"/>
  <c r="H39" i="8" s="1"/>
  <c r="E73" i="4"/>
  <c r="S336" i="3"/>
  <c r="R336" i="3"/>
  <c r="E41" i="4" s="1"/>
  <c r="L381" i="3"/>
  <c r="O381" i="3" s="1"/>
  <c r="Q381" i="3" s="1"/>
  <c r="R75" i="15"/>
  <c r="B73" i="7"/>
  <c r="R176" i="3"/>
  <c r="B41" i="7" s="1"/>
  <c r="S176" i="3"/>
  <c r="E103" i="15"/>
  <c r="Q70" i="5"/>
  <c r="S676" i="3"/>
  <c r="R676" i="3"/>
  <c r="Q38" i="5" s="1"/>
  <c r="D73" i="7"/>
  <c r="R1264" i="3"/>
  <c r="D41" i="7" s="1"/>
  <c r="S1264" i="3"/>
  <c r="C72" i="6"/>
  <c r="R215" i="3"/>
  <c r="C40" i="6" s="1"/>
  <c r="S215" i="3"/>
  <c r="C73" i="5"/>
  <c r="R56" i="3"/>
  <c r="C41" i="5" s="1"/>
  <c r="S56" i="3"/>
  <c r="K73" i="5"/>
  <c r="R1124" i="3"/>
  <c r="K41" i="5" s="1"/>
  <c r="S1124" i="3"/>
  <c r="E70" i="7"/>
  <c r="S496" i="3"/>
  <c r="R496" i="3"/>
  <c r="E38" i="7" s="1"/>
  <c r="L1181" i="3"/>
  <c r="O1181" i="3" s="1"/>
  <c r="Q1181" i="3" s="1"/>
  <c r="L1081" i="3"/>
  <c r="O1081" i="3" s="1"/>
  <c r="Q1081" i="3" s="1"/>
  <c r="L1161" i="3"/>
  <c r="O1161" i="3" s="1"/>
  <c r="Q1161" i="3" s="1"/>
  <c r="L901" i="3"/>
  <c r="O901" i="3" s="1"/>
  <c r="Q901" i="3" s="1"/>
  <c r="L13" i="3"/>
  <c r="O13" i="3" s="1"/>
  <c r="Q13" i="3" s="1"/>
  <c r="L353" i="3"/>
  <c r="O353" i="3" s="1"/>
  <c r="Q353" i="3" s="1"/>
  <c r="L113" i="3"/>
  <c r="O113" i="3" s="1"/>
  <c r="Q113" i="3" s="1"/>
  <c r="K74" i="15"/>
  <c r="D73" i="4"/>
  <c r="R316" i="3"/>
  <c r="D41" i="4" s="1"/>
  <c r="S316" i="3"/>
  <c r="B70" i="13"/>
  <c r="S382" i="3"/>
  <c r="R382" i="3"/>
  <c r="B38" i="13" s="1"/>
  <c r="M73" i="15"/>
  <c r="L982" i="3"/>
  <c r="O982" i="3" s="1"/>
  <c r="Q982" i="3" s="1"/>
  <c r="L194" i="3"/>
  <c r="O194" i="3" s="1"/>
  <c r="Q194" i="3" s="1"/>
  <c r="L94" i="3"/>
  <c r="O94" i="3" s="1"/>
  <c r="Q94" i="3" s="1"/>
  <c r="L1062" i="3"/>
  <c r="O1062" i="3" s="1"/>
  <c r="Q1062" i="3" s="1"/>
  <c r="L274" i="3"/>
  <c r="O274" i="3" s="1"/>
  <c r="Q274" i="3" s="1"/>
  <c r="L294" i="3"/>
  <c r="O294" i="3" s="1"/>
  <c r="Q294" i="3" s="1"/>
  <c r="N73" i="15"/>
  <c r="L612" i="3"/>
  <c r="O612" i="3" s="1"/>
  <c r="O78" i="15"/>
  <c r="L819" i="3"/>
  <c r="O819" i="3" s="1"/>
  <c r="Q819" i="3" s="1"/>
  <c r="L553" i="3"/>
  <c r="O553" i="3" s="1"/>
  <c r="Q553" i="3" s="1"/>
  <c r="H77" i="15"/>
  <c r="R70" i="5"/>
  <c r="S706" i="3"/>
  <c r="R706" i="3"/>
  <c r="R38" i="5" s="1"/>
  <c r="L467" i="3"/>
  <c r="O467" i="3" s="1"/>
  <c r="Q467" i="3" s="1"/>
  <c r="Q75" i="15"/>
  <c r="B72" i="6"/>
  <c r="R75" i="3"/>
  <c r="B40" i="6" s="1"/>
  <c r="S75" i="3"/>
  <c r="E73" i="5"/>
  <c r="S256" i="3"/>
  <c r="R256" i="3"/>
  <c r="E41" i="5" s="1"/>
  <c r="L73" i="5"/>
  <c r="S1144" i="3"/>
  <c r="R1144" i="3"/>
  <c r="L41" i="5" s="1"/>
  <c r="B71" i="8"/>
  <c r="R14" i="3"/>
  <c r="B39" i="8" s="1"/>
  <c r="S14" i="3"/>
  <c r="F105" i="15"/>
  <c r="F73" i="4"/>
  <c r="S1204" i="3"/>
  <c r="R1204" i="3"/>
  <c r="F41" i="4" s="1"/>
  <c r="L765" i="3"/>
  <c r="O765" i="3" s="1"/>
  <c r="Q765" i="3" s="1"/>
  <c r="L883" i="3"/>
  <c r="O883" i="3" s="1"/>
  <c r="Q883" i="3" s="1"/>
  <c r="P73" i="15"/>
  <c r="G73" i="5"/>
  <c r="S944" i="3"/>
  <c r="R944" i="3"/>
  <c r="G41" i="5" s="1"/>
  <c r="D71" i="8"/>
  <c r="R354" i="3"/>
  <c r="D39" i="8" s="1"/>
  <c r="S354" i="3"/>
  <c r="B72" i="11"/>
  <c r="R766" i="3"/>
  <c r="B40" i="11" s="1"/>
  <c r="S766" i="3"/>
  <c r="B72" i="9"/>
  <c r="S95" i="3"/>
  <c r="R95" i="3"/>
  <c r="B40" i="9" s="1"/>
  <c r="C72" i="10"/>
  <c r="R295" i="3"/>
  <c r="C40" i="10" s="1"/>
  <c r="S295" i="3"/>
  <c r="I68" i="6"/>
  <c r="S820" i="3"/>
  <c r="R820" i="3"/>
  <c r="I36" i="6" s="1"/>
  <c r="S70" i="5"/>
  <c r="S852" i="3"/>
  <c r="R852" i="3"/>
  <c r="S38" i="5" s="1"/>
  <c r="L522" i="3"/>
  <c r="O522" i="3" s="1"/>
  <c r="Q522" i="3" s="1"/>
  <c r="L730" i="3"/>
  <c r="O730" i="3" s="1"/>
  <c r="F78" i="15"/>
  <c r="B70" i="12"/>
  <c r="R468" i="3"/>
  <c r="B38" i="12" s="1"/>
  <c r="S468" i="3"/>
  <c r="E70" i="10"/>
  <c r="R616" i="3"/>
  <c r="E38" i="10" s="1"/>
  <c r="S616" i="3"/>
  <c r="Q615" i="3"/>
  <c r="D72" i="6"/>
  <c r="S1243" i="3"/>
  <c r="R1243" i="3"/>
  <c r="D40" i="6" s="1"/>
  <c r="C72" i="9"/>
  <c r="R195" i="3"/>
  <c r="C40" i="9" s="1"/>
  <c r="S195" i="3"/>
  <c r="I69" i="8"/>
  <c r="S645" i="3"/>
  <c r="R645" i="3"/>
  <c r="I37" i="8" s="1"/>
  <c r="B72" i="10"/>
  <c r="R275" i="3"/>
  <c r="B40" i="10" s="1"/>
  <c r="S275" i="3"/>
  <c r="G104" i="15"/>
  <c r="H68" i="6"/>
  <c r="R554" i="3"/>
  <c r="H36" i="6" s="1"/>
  <c r="S554" i="3"/>
  <c r="E67" i="6"/>
  <c r="S523" i="3"/>
  <c r="R523" i="3"/>
  <c r="E35" i="6" s="1"/>
  <c r="H73" i="5"/>
  <c r="R1004" i="3"/>
  <c r="H41" i="5" s="1"/>
  <c r="S1004" i="3"/>
  <c r="C71" i="8"/>
  <c r="R114" i="3"/>
  <c r="C39" i="8" s="1"/>
  <c r="S114" i="3"/>
  <c r="C72" i="11"/>
  <c r="S884" i="3"/>
  <c r="R884" i="3"/>
  <c r="C40" i="11" s="1"/>
  <c r="L644" i="3"/>
  <c r="O644" i="3" s="1"/>
  <c r="Q644" i="3" s="1"/>
  <c r="L76" i="15"/>
  <c r="D72" i="9"/>
  <c r="R983" i="3"/>
  <c r="D40" i="9" s="1"/>
  <c r="S983" i="3"/>
  <c r="L1042" i="3"/>
  <c r="O1042" i="3" s="1"/>
  <c r="Q1042" i="3" s="1"/>
  <c r="G73" i="15"/>
  <c r="F71" i="6"/>
  <c r="S735" i="3"/>
  <c r="R735" i="3"/>
  <c r="F39" i="6" s="1"/>
  <c r="C105" i="15"/>
  <c r="Q734" i="3"/>
  <c r="L851" i="3"/>
  <c r="O851" i="3" s="1"/>
  <c r="Q851" i="3" s="1"/>
  <c r="L705" i="3"/>
  <c r="O705" i="3" s="1"/>
  <c r="Q705" i="3" s="1"/>
  <c r="L675" i="3"/>
  <c r="O675" i="3" s="1"/>
  <c r="Q675" i="3" s="1"/>
  <c r="L585" i="3"/>
  <c r="O585" i="3" s="1"/>
  <c r="Q585" i="3" s="1"/>
  <c r="L409" i="3"/>
  <c r="O409" i="3" s="1"/>
  <c r="Q409" i="3" s="1"/>
  <c r="L439" i="3"/>
  <c r="O439" i="3" s="1"/>
  <c r="Q439" i="3" s="1"/>
  <c r="D75" i="15"/>
  <c r="M73" i="5"/>
  <c r="S1224" i="3"/>
  <c r="R1224" i="3"/>
  <c r="M41" i="5" s="1"/>
  <c r="E71" i="8"/>
  <c r="S902" i="3"/>
  <c r="R902" i="3"/>
  <c r="E39" i="8" s="1"/>
  <c r="L1203" i="3"/>
  <c r="O1203" i="3" s="1"/>
  <c r="Q1203" i="3" s="1"/>
  <c r="L335" i="3"/>
  <c r="O335" i="3" s="1"/>
  <c r="Q335" i="3" s="1"/>
  <c r="L315" i="3"/>
  <c r="O315" i="3" s="1"/>
  <c r="Q315" i="3" s="1"/>
  <c r="L155" i="3"/>
  <c r="O155" i="3" s="1"/>
  <c r="Q155" i="3" s="1"/>
  <c r="L135" i="3"/>
  <c r="O135" i="3" s="1"/>
  <c r="Q135" i="3" s="1"/>
  <c r="B72" i="15"/>
  <c r="O70" i="5"/>
  <c r="S440" i="3"/>
  <c r="R440" i="3"/>
  <c r="O38" i="5" s="1"/>
  <c r="D72" i="10"/>
  <c r="R1063" i="3"/>
  <c r="D40" i="10" s="1"/>
  <c r="S1063" i="3"/>
  <c r="G72" i="6"/>
  <c r="R1043" i="3"/>
  <c r="G40" i="6" s="1"/>
  <c r="S1043" i="3"/>
  <c r="D104" i="15"/>
  <c r="N70" i="5"/>
  <c r="R410" i="3"/>
  <c r="N38" i="5" s="1"/>
  <c r="S410" i="3"/>
  <c r="L1263" i="3"/>
  <c r="O1263" i="3" s="1"/>
  <c r="Q1263" i="3" s="1"/>
  <c r="L963" i="3"/>
  <c r="O963" i="3" s="1"/>
  <c r="Q963" i="3" s="1"/>
  <c r="L175" i="3"/>
  <c r="O175" i="3" s="1"/>
  <c r="Q175" i="3" s="1"/>
  <c r="I72" i="15"/>
  <c r="C72" i="15"/>
  <c r="L1223" i="3"/>
  <c r="O1223" i="3" s="1"/>
  <c r="Q1223" i="3" s="1"/>
  <c r="L1143" i="3"/>
  <c r="O1143" i="3" s="1"/>
  <c r="Q1143" i="3" s="1"/>
  <c r="L1003" i="3"/>
  <c r="O1003" i="3" s="1"/>
  <c r="Q1003" i="3" s="1"/>
  <c r="L923" i="3"/>
  <c r="O923" i="3" s="1"/>
  <c r="Q923" i="3" s="1"/>
  <c r="L1023" i="3"/>
  <c r="O1023" i="3" s="1"/>
  <c r="Q1023" i="3" s="1"/>
  <c r="L943" i="3"/>
  <c r="O943" i="3" s="1"/>
  <c r="Q943" i="3" s="1"/>
  <c r="L1123" i="3"/>
  <c r="O1123" i="3" s="1"/>
  <c r="Q1123" i="3" s="1"/>
  <c r="L1103" i="3"/>
  <c r="O1103" i="3" s="1"/>
  <c r="Q1103" i="3" s="1"/>
  <c r="L235" i="3"/>
  <c r="O235" i="3" s="1"/>
  <c r="Q235" i="3" s="1"/>
  <c r="L35" i="3"/>
  <c r="O35" i="3" s="1"/>
  <c r="Q35" i="3" s="1"/>
  <c r="L255" i="3"/>
  <c r="O255" i="3" s="1"/>
  <c r="Q255" i="3" s="1"/>
  <c r="L55" i="3"/>
  <c r="O55" i="3" s="1"/>
  <c r="Q55" i="3" s="1"/>
  <c r="I73" i="5"/>
  <c r="S1024" i="3"/>
  <c r="R1024" i="3"/>
  <c r="I41" i="5" s="1"/>
  <c r="F71" i="8"/>
  <c r="S1082" i="3"/>
  <c r="R1082" i="3"/>
  <c r="F39" i="8" s="1"/>
  <c r="C73" i="4"/>
  <c r="R156" i="3"/>
  <c r="C41" i="4" s="1"/>
  <c r="S156" i="3"/>
  <c r="O69" i="5" l="1"/>
  <c r="S439" i="3"/>
  <c r="R439" i="3"/>
  <c r="O37" i="5" s="1"/>
  <c r="G72" i="5"/>
  <c r="R943" i="3"/>
  <c r="G40" i="5" s="1"/>
  <c r="S943" i="3"/>
  <c r="S1203" i="3"/>
  <c r="F72" i="4"/>
  <c r="R1203" i="3"/>
  <c r="F40" i="4" s="1"/>
  <c r="L850" i="3"/>
  <c r="O850" i="3" s="1"/>
  <c r="Q850" i="3" s="1"/>
  <c r="L584" i="3"/>
  <c r="O584" i="3" s="1"/>
  <c r="Q584" i="3" s="1"/>
  <c r="L704" i="3"/>
  <c r="O704" i="3" s="1"/>
  <c r="Q704" i="3" s="1"/>
  <c r="L408" i="3"/>
  <c r="O408" i="3" s="1"/>
  <c r="Q408" i="3" s="1"/>
  <c r="L674" i="3"/>
  <c r="O674" i="3" s="1"/>
  <c r="Q674" i="3" s="1"/>
  <c r="L438" i="3"/>
  <c r="O438" i="3" s="1"/>
  <c r="Q438" i="3" s="1"/>
  <c r="D76" i="15"/>
  <c r="K72" i="5"/>
  <c r="R1123" i="3"/>
  <c r="K40" i="5" s="1"/>
  <c r="S1123" i="3"/>
  <c r="L962" i="3"/>
  <c r="O962" i="3" s="1"/>
  <c r="Q962" i="3" s="1"/>
  <c r="L1262" i="3"/>
  <c r="O1262" i="3" s="1"/>
  <c r="Q1262" i="3" s="1"/>
  <c r="L174" i="3"/>
  <c r="O174" i="3" s="1"/>
  <c r="Q174" i="3" s="1"/>
  <c r="I73" i="15"/>
  <c r="L643" i="3"/>
  <c r="O643" i="3" s="1"/>
  <c r="Q643" i="3" s="1"/>
  <c r="L77" i="15"/>
  <c r="B72" i="7"/>
  <c r="S175" i="3"/>
  <c r="R175" i="3"/>
  <c r="B40" i="7" s="1"/>
  <c r="E104" i="15"/>
  <c r="N69" i="5"/>
  <c r="R409" i="3"/>
  <c r="S42" i="15"/>
  <c r="F55" i="2" s="1"/>
  <c r="S409" i="3"/>
  <c r="I68" i="8"/>
  <c r="S644" i="3"/>
  <c r="R644" i="3"/>
  <c r="I36" i="8" s="1"/>
  <c r="E69" i="10"/>
  <c r="R615" i="3"/>
  <c r="E37" i="10" s="1"/>
  <c r="S615" i="3"/>
  <c r="Q614" i="3"/>
  <c r="L729" i="3"/>
  <c r="O729" i="3" s="1"/>
  <c r="L521" i="3"/>
  <c r="O521" i="3" s="1"/>
  <c r="Q521" i="3" s="1"/>
  <c r="F79" i="15"/>
  <c r="B71" i="10"/>
  <c r="R274" i="3"/>
  <c r="B39" i="10" s="1"/>
  <c r="S274" i="3"/>
  <c r="G105" i="15"/>
  <c r="E70" i="8"/>
  <c r="S901" i="3"/>
  <c r="R901" i="3"/>
  <c r="E38" i="8" s="1"/>
  <c r="F69" i="7"/>
  <c r="S791" i="3"/>
  <c r="R791" i="3"/>
  <c r="F37" i="7" s="1"/>
  <c r="I72" i="5"/>
  <c r="R1023" i="3"/>
  <c r="I40" i="5" s="1"/>
  <c r="S1023" i="3"/>
  <c r="C72" i="7"/>
  <c r="R963" i="3"/>
  <c r="C40" i="7" s="1"/>
  <c r="S963" i="3"/>
  <c r="L1202" i="3"/>
  <c r="O1202" i="3" s="1"/>
  <c r="Q1202" i="3" s="1"/>
  <c r="L154" i="3"/>
  <c r="O154" i="3" s="1"/>
  <c r="Q154" i="3" s="1"/>
  <c r="L134" i="3"/>
  <c r="O134" i="3" s="1"/>
  <c r="Q134" i="3" s="1"/>
  <c r="L334" i="3"/>
  <c r="O334" i="3" s="1"/>
  <c r="Q334" i="3" s="1"/>
  <c r="L314" i="3"/>
  <c r="O314" i="3" s="1"/>
  <c r="Q314" i="3" s="1"/>
  <c r="B73" i="15"/>
  <c r="P69" i="5"/>
  <c r="S585" i="3"/>
  <c r="R585" i="3"/>
  <c r="P37" i="5" s="1"/>
  <c r="L882" i="3"/>
  <c r="O882" i="3" s="1"/>
  <c r="Q882" i="3" s="1"/>
  <c r="L764" i="3"/>
  <c r="O764" i="3" s="1"/>
  <c r="Q764" i="3" s="1"/>
  <c r="P74" i="15"/>
  <c r="L552" i="3"/>
  <c r="O552" i="3" s="1"/>
  <c r="Q552" i="3" s="1"/>
  <c r="L818" i="3"/>
  <c r="O818" i="3" s="1"/>
  <c r="Q818" i="3" s="1"/>
  <c r="H78" i="15"/>
  <c r="D71" i="10"/>
  <c r="S1062" i="3"/>
  <c r="R1062" i="3"/>
  <c r="D39" i="10" s="1"/>
  <c r="G70" i="8"/>
  <c r="R1161" i="3"/>
  <c r="G38" i="8" s="1"/>
  <c r="S1161" i="3"/>
  <c r="C72" i="5"/>
  <c r="R55" i="3"/>
  <c r="C40" i="5" s="1"/>
  <c r="S55" i="3"/>
  <c r="F72" i="5"/>
  <c r="R923" i="3"/>
  <c r="F40" i="5" s="1"/>
  <c r="S923" i="3"/>
  <c r="D72" i="7"/>
  <c r="R1263" i="3"/>
  <c r="D40" i="7" s="1"/>
  <c r="S1263" i="3"/>
  <c r="B72" i="4"/>
  <c r="R135" i="3"/>
  <c r="B40" i="4" s="1"/>
  <c r="S135" i="3"/>
  <c r="Q69" i="5"/>
  <c r="S675" i="3"/>
  <c r="R675" i="3"/>
  <c r="Q37" i="5" s="1"/>
  <c r="G74" i="15"/>
  <c r="L1041" i="3"/>
  <c r="O1041" i="3" s="1"/>
  <c r="Q1041" i="3" s="1"/>
  <c r="E66" i="6"/>
  <c r="S522" i="3"/>
  <c r="R522" i="3"/>
  <c r="E34" i="6" s="1"/>
  <c r="C71" i="11"/>
  <c r="R883" i="3"/>
  <c r="C39" i="11" s="1"/>
  <c r="S883" i="3"/>
  <c r="H67" i="6"/>
  <c r="R553" i="3"/>
  <c r="H35" i="6" s="1"/>
  <c r="S553" i="3"/>
  <c r="B71" i="9"/>
  <c r="R94" i="3"/>
  <c r="B39" i="9" s="1"/>
  <c r="S94" i="3"/>
  <c r="F70" i="8"/>
  <c r="R1081" i="3"/>
  <c r="F38" i="8" s="1"/>
  <c r="S1081" i="3"/>
  <c r="E72" i="5"/>
  <c r="R255" i="3"/>
  <c r="E40" i="5" s="1"/>
  <c r="S255" i="3"/>
  <c r="H72" i="5"/>
  <c r="R1003" i="3"/>
  <c r="H40" i="5" s="1"/>
  <c r="S1003" i="3"/>
  <c r="C72" i="4"/>
  <c r="R155" i="3"/>
  <c r="C40" i="4" s="1"/>
  <c r="S155" i="3"/>
  <c r="R69" i="5"/>
  <c r="S705" i="3"/>
  <c r="R705" i="3"/>
  <c r="R37" i="5" s="1"/>
  <c r="G71" i="6"/>
  <c r="R1042" i="3"/>
  <c r="G39" i="6" s="1"/>
  <c r="S1042" i="3"/>
  <c r="D105" i="15"/>
  <c r="B71" i="11"/>
  <c r="R765" i="3"/>
  <c r="B39" i="11" s="1"/>
  <c r="S765" i="3"/>
  <c r="I67" i="6"/>
  <c r="S819" i="3"/>
  <c r="R819" i="3"/>
  <c r="I35" i="6" s="1"/>
  <c r="C71" i="9"/>
  <c r="R194" i="3"/>
  <c r="C39" i="9" s="1"/>
  <c r="S194" i="3"/>
  <c r="H70" i="8"/>
  <c r="R1181" i="3"/>
  <c r="H38" i="8" s="1"/>
  <c r="S1181" i="3"/>
  <c r="L380" i="3"/>
  <c r="O380" i="3" s="1"/>
  <c r="Q380" i="3" s="1"/>
  <c r="R76" i="15"/>
  <c r="B72" i="5"/>
  <c r="R35" i="3"/>
  <c r="B40" i="5" s="1"/>
  <c r="S35" i="3"/>
  <c r="B104" i="15"/>
  <c r="L72" i="5"/>
  <c r="R1143" i="3"/>
  <c r="L40" i="5" s="1"/>
  <c r="S1143" i="3"/>
  <c r="D72" i="4"/>
  <c r="R315" i="3"/>
  <c r="D40" i="4" s="1"/>
  <c r="S315" i="3"/>
  <c r="S69" i="5"/>
  <c r="S851" i="3"/>
  <c r="R851" i="3"/>
  <c r="S37" i="5" s="1"/>
  <c r="L466" i="3"/>
  <c r="O466" i="3" s="1"/>
  <c r="Q466" i="3" s="1"/>
  <c r="Q76" i="15"/>
  <c r="L611" i="3"/>
  <c r="O611" i="3" s="1"/>
  <c r="O79" i="15"/>
  <c r="D71" i="9"/>
  <c r="S982" i="3"/>
  <c r="R982" i="3"/>
  <c r="D39" i="9" s="1"/>
  <c r="L1180" i="3"/>
  <c r="O1180" i="3" s="1"/>
  <c r="Q1180" i="3" s="1"/>
  <c r="L1160" i="3"/>
  <c r="O1160" i="3" s="1"/>
  <c r="Q1160" i="3" s="1"/>
  <c r="L1080" i="3"/>
  <c r="O1080" i="3" s="1"/>
  <c r="Q1080" i="3" s="1"/>
  <c r="L900" i="3"/>
  <c r="O900" i="3" s="1"/>
  <c r="Q900" i="3" s="1"/>
  <c r="L352" i="3"/>
  <c r="O352" i="3" s="1"/>
  <c r="Q352" i="3" s="1"/>
  <c r="L112" i="3"/>
  <c r="O112" i="3" s="1"/>
  <c r="Q112" i="3" s="1"/>
  <c r="L12" i="3"/>
  <c r="O12" i="3" s="1"/>
  <c r="Q12" i="3" s="1"/>
  <c r="K75" i="15"/>
  <c r="B69" i="13"/>
  <c r="R381" i="3"/>
  <c r="B37" i="13" s="1"/>
  <c r="S381" i="3"/>
  <c r="L1241" i="3"/>
  <c r="O1241" i="3" s="1"/>
  <c r="Q1241" i="3" s="1"/>
  <c r="L213" i="3"/>
  <c r="O213" i="3" s="1"/>
  <c r="Q213" i="3" s="1"/>
  <c r="L73" i="3"/>
  <c r="O73" i="3" s="1"/>
  <c r="Q73" i="3" s="1"/>
  <c r="E74" i="15"/>
  <c r="D72" i="5"/>
  <c r="R235" i="3"/>
  <c r="D40" i="5" s="1"/>
  <c r="S235" i="3"/>
  <c r="S1223" i="3"/>
  <c r="M72" i="5"/>
  <c r="R1223" i="3"/>
  <c r="M40" i="5" s="1"/>
  <c r="E72" i="4"/>
  <c r="R335" i="3"/>
  <c r="E40" i="4" s="1"/>
  <c r="S335" i="3"/>
  <c r="F70" i="6"/>
  <c r="R734" i="3"/>
  <c r="F38" i="6" s="1"/>
  <c r="S734" i="3"/>
  <c r="C106" i="15"/>
  <c r="Q733" i="3"/>
  <c r="B69" i="12"/>
  <c r="R467" i="3"/>
  <c r="B37" i="12" s="1"/>
  <c r="S467" i="3"/>
  <c r="L981" i="3"/>
  <c r="O981" i="3" s="1"/>
  <c r="Q981" i="3" s="1"/>
  <c r="L93" i="3"/>
  <c r="O93" i="3" s="1"/>
  <c r="Q93" i="3" s="1"/>
  <c r="L193" i="3"/>
  <c r="O193" i="3" s="1"/>
  <c r="Q193" i="3" s="1"/>
  <c r="M74" i="15"/>
  <c r="C70" i="8"/>
  <c r="R113" i="3"/>
  <c r="C38" i="8" s="1"/>
  <c r="S113" i="3"/>
  <c r="B71" i="6"/>
  <c r="R74" i="3"/>
  <c r="B39" i="6" s="1"/>
  <c r="S74" i="3"/>
  <c r="L1061" i="3"/>
  <c r="O1061" i="3" s="1"/>
  <c r="Q1061" i="3" s="1"/>
  <c r="L293" i="3"/>
  <c r="O293" i="3" s="1"/>
  <c r="Q293" i="3" s="1"/>
  <c r="L273" i="3"/>
  <c r="O273" i="3" s="1"/>
  <c r="Q273" i="3" s="1"/>
  <c r="N74" i="15"/>
  <c r="D70" i="8"/>
  <c r="R353" i="3"/>
  <c r="D38" i="8" s="1"/>
  <c r="S353" i="3"/>
  <c r="C71" i="6"/>
  <c r="S214" i="3"/>
  <c r="R214" i="3"/>
  <c r="C39" i="6" s="1"/>
  <c r="L790" i="3"/>
  <c r="O790" i="3" s="1"/>
  <c r="Q790" i="3" s="1"/>
  <c r="L494" i="3"/>
  <c r="O494" i="3" s="1"/>
  <c r="Q494" i="3" s="1"/>
  <c r="J76" i="15"/>
  <c r="J72" i="5"/>
  <c r="R1103" i="3"/>
  <c r="J40" i="5" s="1"/>
  <c r="S1103" i="3"/>
  <c r="C73" i="15"/>
  <c r="L1142" i="3"/>
  <c r="O1142" i="3" s="1"/>
  <c r="Q1142" i="3" s="1"/>
  <c r="L1122" i="3"/>
  <c r="O1122" i="3" s="1"/>
  <c r="Q1122" i="3" s="1"/>
  <c r="L1102" i="3"/>
  <c r="O1102" i="3" s="1"/>
  <c r="Q1102" i="3" s="1"/>
  <c r="L1022" i="3"/>
  <c r="O1022" i="3" s="1"/>
  <c r="Q1022" i="3" s="1"/>
  <c r="L942" i="3"/>
  <c r="O942" i="3" s="1"/>
  <c r="Q942" i="3" s="1"/>
  <c r="L922" i="3"/>
  <c r="O922" i="3" s="1"/>
  <c r="Q922" i="3" s="1"/>
  <c r="L1222" i="3"/>
  <c r="O1222" i="3" s="1"/>
  <c r="Q1222" i="3" s="1"/>
  <c r="L1002" i="3"/>
  <c r="O1002" i="3" s="1"/>
  <c r="Q1002" i="3" s="1"/>
  <c r="L234" i="3"/>
  <c r="O234" i="3" s="1"/>
  <c r="Q234" i="3" s="1"/>
  <c r="L34" i="3"/>
  <c r="O34" i="3" s="1"/>
  <c r="Q34" i="3" s="1"/>
  <c r="L254" i="3"/>
  <c r="O254" i="3" s="1"/>
  <c r="Q254" i="3" s="1"/>
  <c r="L54" i="3"/>
  <c r="O54" i="3" s="1"/>
  <c r="Q54" i="3" s="1"/>
  <c r="C71" i="10"/>
  <c r="S294" i="3"/>
  <c r="R294" i="3"/>
  <c r="C39" i="10" s="1"/>
  <c r="B70" i="8"/>
  <c r="S13" i="3"/>
  <c r="R13" i="3"/>
  <c r="B38" i="8" s="1"/>
  <c r="F106" i="15"/>
  <c r="D71" i="6"/>
  <c r="S1242" i="3"/>
  <c r="R1242" i="3"/>
  <c r="D39" i="6" s="1"/>
  <c r="E69" i="7"/>
  <c r="S495" i="3"/>
  <c r="R495" i="3"/>
  <c r="E37" i="7" s="1"/>
  <c r="C71" i="5" l="1"/>
  <c r="R54" i="3"/>
  <c r="C39" i="5" s="1"/>
  <c r="S54" i="3"/>
  <c r="I71" i="5"/>
  <c r="S1022" i="3"/>
  <c r="R1022" i="3"/>
  <c r="I39" i="5" s="1"/>
  <c r="L789" i="3"/>
  <c r="O789" i="3" s="1"/>
  <c r="Q789" i="3" s="1"/>
  <c r="L493" i="3"/>
  <c r="O493" i="3" s="1"/>
  <c r="Q493" i="3" s="1"/>
  <c r="J77" i="15"/>
  <c r="L1159" i="3"/>
  <c r="O1159" i="3" s="1"/>
  <c r="Q1159" i="3" s="1"/>
  <c r="L1179" i="3"/>
  <c r="O1179" i="3" s="1"/>
  <c r="Q1179" i="3" s="1"/>
  <c r="L1079" i="3"/>
  <c r="O1079" i="3" s="1"/>
  <c r="Q1079" i="3" s="1"/>
  <c r="L899" i="3"/>
  <c r="O899" i="3" s="1"/>
  <c r="Q899" i="3" s="1"/>
  <c r="L351" i="3"/>
  <c r="O351" i="3" s="1"/>
  <c r="Q351" i="3" s="1"/>
  <c r="L11" i="3"/>
  <c r="O11" i="3" s="1"/>
  <c r="Q11" i="3" s="1"/>
  <c r="L111" i="3"/>
  <c r="O111" i="3" s="1"/>
  <c r="Q111" i="3" s="1"/>
  <c r="K76" i="15"/>
  <c r="C71" i="4"/>
  <c r="R154" i="3"/>
  <c r="C39" i="4" s="1"/>
  <c r="S154" i="3"/>
  <c r="N37" i="5"/>
  <c r="E24" i="2"/>
  <c r="I67" i="8"/>
  <c r="S643" i="3"/>
  <c r="R643" i="3"/>
  <c r="I35" i="8" s="1"/>
  <c r="L849" i="3"/>
  <c r="O849" i="3" s="1"/>
  <c r="Q849" i="3" s="1"/>
  <c r="L703" i="3"/>
  <c r="O703" i="3" s="1"/>
  <c r="Q703" i="3" s="1"/>
  <c r="L673" i="3"/>
  <c r="O673" i="3" s="1"/>
  <c r="Q673" i="3" s="1"/>
  <c r="L437" i="3"/>
  <c r="O437" i="3" s="1"/>
  <c r="Q437" i="3" s="1"/>
  <c r="L407" i="3"/>
  <c r="O407" i="3" s="1"/>
  <c r="Q407" i="3" s="1"/>
  <c r="L583" i="3"/>
  <c r="O583" i="3" s="1"/>
  <c r="Q583" i="3" s="1"/>
  <c r="D77" i="15"/>
  <c r="M71" i="5"/>
  <c r="S1222" i="3"/>
  <c r="R1222" i="3"/>
  <c r="M39" i="5" s="1"/>
  <c r="B70" i="9"/>
  <c r="S93" i="3"/>
  <c r="R93" i="3"/>
  <c r="B38" i="9" s="1"/>
  <c r="F69" i="8"/>
  <c r="S1080" i="3"/>
  <c r="R1080" i="3"/>
  <c r="F37" i="8" s="1"/>
  <c r="B68" i="13"/>
  <c r="S380" i="3"/>
  <c r="R380" i="3"/>
  <c r="B36" i="13" s="1"/>
  <c r="G71" i="5"/>
  <c r="S942" i="3"/>
  <c r="R942" i="3"/>
  <c r="G39" i="5" s="1"/>
  <c r="H69" i="8"/>
  <c r="S1180" i="3"/>
  <c r="R1180" i="3"/>
  <c r="H37" i="8" s="1"/>
  <c r="E71" i="5"/>
  <c r="S254" i="3"/>
  <c r="R254" i="3"/>
  <c r="E39" i="5" s="1"/>
  <c r="J71" i="5"/>
  <c r="S1102" i="3"/>
  <c r="R1102" i="3"/>
  <c r="J39" i="5" s="1"/>
  <c r="E68" i="7"/>
  <c r="S494" i="3"/>
  <c r="R494" i="3"/>
  <c r="E36" i="7" s="1"/>
  <c r="L1060" i="3"/>
  <c r="O1060" i="3" s="1"/>
  <c r="Q1060" i="3" s="1"/>
  <c r="L272" i="3"/>
  <c r="O272" i="3" s="1"/>
  <c r="Q272" i="3" s="1"/>
  <c r="L292" i="3"/>
  <c r="O292" i="3" s="1"/>
  <c r="Q292" i="3" s="1"/>
  <c r="N75" i="15"/>
  <c r="L1240" i="3"/>
  <c r="O1240" i="3" s="1"/>
  <c r="Q1240" i="3" s="1"/>
  <c r="L72" i="3"/>
  <c r="O72" i="3" s="1"/>
  <c r="Q72" i="3" s="1"/>
  <c r="L212" i="3"/>
  <c r="O212" i="3" s="1"/>
  <c r="Q212" i="3" s="1"/>
  <c r="E75" i="15"/>
  <c r="B69" i="8"/>
  <c r="R12" i="3"/>
  <c r="B37" i="8" s="1"/>
  <c r="S12" i="3"/>
  <c r="F107" i="15"/>
  <c r="F71" i="4"/>
  <c r="S1202" i="3"/>
  <c r="R1202" i="3"/>
  <c r="F39" i="4" s="1"/>
  <c r="L1261" i="3"/>
  <c r="O1261" i="3" s="1"/>
  <c r="Q1261" i="3" s="1"/>
  <c r="L961" i="3"/>
  <c r="O961" i="3" s="1"/>
  <c r="Q961" i="3" s="1"/>
  <c r="L173" i="3"/>
  <c r="O173" i="3" s="1"/>
  <c r="Q173" i="3" s="1"/>
  <c r="I74" i="15"/>
  <c r="O68" i="5"/>
  <c r="S438" i="3"/>
  <c r="R438" i="3"/>
  <c r="O36" i="5" s="1"/>
  <c r="L817" i="3"/>
  <c r="O817" i="3" s="1"/>
  <c r="Q817" i="3" s="1"/>
  <c r="L551" i="3"/>
  <c r="O551" i="3" s="1"/>
  <c r="Q551" i="3" s="1"/>
  <c r="H79" i="15"/>
  <c r="L520" i="3"/>
  <c r="O520" i="3" s="1"/>
  <c r="Q520" i="3" s="1"/>
  <c r="L728" i="3"/>
  <c r="O728" i="3" s="1"/>
  <c r="F80" i="15"/>
  <c r="B71" i="7"/>
  <c r="R174" i="3"/>
  <c r="B39" i="7" s="1"/>
  <c r="S174" i="3"/>
  <c r="E105" i="15"/>
  <c r="Q68" i="5"/>
  <c r="S674" i="3"/>
  <c r="R674" i="3"/>
  <c r="Q36" i="5" s="1"/>
  <c r="B71" i="5"/>
  <c r="R34" i="3"/>
  <c r="B39" i="5" s="1"/>
  <c r="S34" i="3"/>
  <c r="B105" i="15"/>
  <c r="K71" i="5"/>
  <c r="R1122" i="3"/>
  <c r="K39" i="5" s="1"/>
  <c r="S1122" i="3"/>
  <c r="F68" i="7"/>
  <c r="S790" i="3"/>
  <c r="R790" i="3"/>
  <c r="F36" i="7" s="1"/>
  <c r="B70" i="10"/>
  <c r="R273" i="3"/>
  <c r="B38" i="10" s="1"/>
  <c r="S273" i="3"/>
  <c r="G106" i="15"/>
  <c r="B70" i="6"/>
  <c r="R73" i="3"/>
  <c r="B38" i="6" s="1"/>
  <c r="S73" i="3"/>
  <c r="C69" i="8"/>
  <c r="R112" i="3"/>
  <c r="C37" i="8" s="1"/>
  <c r="S112" i="3"/>
  <c r="D71" i="5"/>
  <c r="R234" i="3"/>
  <c r="D39" i="5" s="1"/>
  <c r="S234" i="3"/>
  <c r="L71" i="5"/>
  <c r="R1142" i="3"/>
  <c r="L39" i="5" s="1"/>
  <c r="S1142" i="3"/>
  <c r="C70" i="10"/>
  <c r="R293" i="3"/>
  <c r="C38" i="10" s="1"/>
  <c r="S293" i="3"/>
  <c r="L980" i="3"/>
  <c r="O980" i="3" s="1"/>
  <c r="Q980" i="3" s="1"/>
  <c r="L192" i="3"/>
  <c r="O192" i="3" s="1"/>
  <c r="Q192" i="3" s="1"/>
  <c r="L92" i="3"/>
  <c r="O92" i="3" s="1"/>
  <c r="Q92" i="3" s="1"/>
  <c r="M75" i="15"/>
  <c r="F69" i="6"/>
  <c r="S733" i="3"/>
  <c r="R733" i="3"/>
  <c r="F37" i="6" s="1"/>
  <c r="C107" i="15"/>
  <c r="Q732" i="3"/>
  <c r="C70" i="6"/>
  <c r="R213" i="3"/>
  <c r="C38" i="6" s="1"/>
  <c r="S213" i="3"/>
  <c r="D69" i="8"/>
  <c r="R352" i="3"/>
  <c r="D37" i="8" s="1"/>
  <c r="S352" i="3"/>
  <c r="L610" i="3"/>
  <c r="O610" i="3" s="1"/>
  <c r="O80" i="15"/>
  <c r="D71" i="7"/>
  <c r="R1262" i="3"/>
  <c r="D39" i="7" s="1"/>
  <c r="S1262" i="3"/>
  <c r="N68" i="5"/>
  <c r="R408" i="3"/>
  <c r="N36" i="5" s="1"/>
  <c r="S408" i="3"/>
  <c r="H71" i="5"/>
  <c r="R1002" i="3"/>
  <c r="H39" i="5" s="1"/>
  <c r="S1002" i="3"/>
  <c r="D70" i="10"/>
  <c r="R1061" i="3"/>
  <c r="D38" i="10" s="1"/>
  <c r="S1061" i="3"/>
  <c r="D70" i="6"/>
  <c r="S1241" i="3"/>
  <c r="R1241" i="3"/>
  <c r="D38" i="6" s="1"/>
  <c r="H66" i="6"/>
  <c r="R552" i="3"/>
  <c r="H34" i="6" s="1"/>
  <c r="S552" i="3"/>
  <c r="L1201" i="3"/>
  <c r="O1201" i="3" s="1"/>
  <c r="Q1201" i="3" s="1"/>
  <c r="L333" i="3"/>
  <c r="O333" i="3" s="1"/>
  <c r="Q333" i="3" s="1"/>
  <c r="L153" i="3"/>
  <c r="O153" i="3" s="1"/>
  <c r="Q153" i="3" s="1"/>
  <c r="L133" i="3"/>
  <c r="O133" i="3" s="1"/>
  <c r="Q133" i="3" s="1"/>
  <c r="L313" i="3"/>
  <c r="O313" i="3" s="1"/>
  <c r="Q313" i="3" s="1"/>
  <c r="B74" i="15"/>
  <c r="C71" i="7"/>
  <c r="R962" i="3"/>
  <c r="C39" i="7" s="1"/>
  <c r="S962" i="3"/>
  <c r="R68" i="5"/>
  <c r="S704" i="3"/>
  <c r="R704" i="3"/>
  <c r="R36" i="5" s="1"/>
  <c r="G70" i="6"/>
  <c r="R1041" i="3"/>
  <c r="G38" i="6" s="1"/>
  <c r="S1041" i="3"/>
  <c r="D106" i="15"/>
  <c r="I66" i="6"/>
  <c r="S818" i="3"/>
  <c r="R818" i="3"/>
  <c r="I34" i="6" s="1"/>
  <c r="E65" i="6"/>
  <c r="S521" i="3"/>
  <c r="R521" i="3"/>
  <c r="E33" i="6" s="1"/>
  <c r="L1221" i="3"/>
  <c r="O1221" i="3" s="1"/>
  <c r="Q1221" i="3" s="1"/>
  <c r="L1141" i="3"/>
  <c r="O1141" i="3" s="1"/>
  <c r="Q1141" i="3" s="1"/>
  <c r="L1121" i="3"/>
  <c r="O1121" i="3" s="1"/>
  <c r="Q1121" i="3" s="1"/>
  <c r="L941" i="3"/>
  <c r="O941" i="3" s="1"/>
  <c r="Q941" i="3" s="1"/>
  <c r="L1001" i="3"/>
  <c r="O1001" i="3" s="1"/>
  <c r="Q1001" i="3" s="1"/>
  <c r="L1021" i="3"/>
  <c r="O1021" i="3" s="1"/>
  <c r="Q1021" i="3" s="1"/>
  <c r="L921" i="3"/>
  <c r="O921" i="3" s="1"/>
  <c r="Q921" i="3" s="1"/>
  <c r="L1101" i="3"/>
  <c r="O1101" i="3" s="1"/>
  <c r="Q1101" i="3" s="1"/>
  <c r="L253" i="3"/>
  <c r="O253" i="3" s="1"/>
  <c r="Q253" i="3" s="1"/>
  <c r="L233" i="3"/>
  <c r="O233" i="3" s="1"/>
  <c r="Q233" i="3" s="1"/>
  <c r="L53" i="3"/>
  <c r="O53" i="3" s="1"/>
  <c r="Q53" i="3" s="1"/>
  <c r="L33" i="3"/>
  <c r="O33" i="3" s="1"/>
  <c r="Q33" i="3" s="1"/>
  <c r="C74" i="15"/>
  <c r="C70" i="9"/>
  <c r="R193" i="3"/>
  <c r="C38" i="9" s="1"/>
  <c r="S193" i="3"/>
  <c r="E69" i="8"/>
  <c r="S900" i="3"/>
  <c r="R900" i="3"/>
  <c r="E37" i="8" s="1"/>
  <c r="P68" i="5"/>
  <c r="S584" i="3"/>
  <c r="R584" i="3"/>
  <c r="P36" i="5" s="1"/>
  <c r="L763" i="3"/>
  <c r="O763" i="3" s="1"/>
  <c r="Q763" i="3" s="1"/>
  <c r="L881" i="3"/>
  <c r="O881" i="3" s="1"/>
  <c r="Q881" i="3" s="1"/>
  <c r="P75" i="15"/>
  <c r="D71" i="4"/>
  <c r="R314" i="3"/>
  <c r="D39" i="4" s="1"/>
  <c r="S314" i="3"/>
  <c r="E68" i="10"/>
  <c r="R614" i="3"/>
  <c r="E36" i="10" s="1"/>
  <c r="S614" i="3"/>
  <c r="Q613" i="3"/>
  <c r="F71" i="5"/>
  <c r="R922" i="3"/>
  <c r="F39" i="5" s="1"/>
  <c r="S922" i="3"/>
  <c r="D70" i="9"/>
  <c r="R981" i="3"/>
  <c r="D38" i="9" s="1"/>
  <c r="S981" i="3"/>
  <c r="G69" i="8"/>
  <c r="S1160" i="3"/>
  <c r="R1160" i="3"/>
  <c r="G37" i="8" s="1"/>
  <c r="B68" i="12"/>
  <c r="R466" i="3"/>
  <c r="B36" i="12" s="1"/>
  <c r="S466" i="3"/>
  <c r="B70" i="11"/>
  <c r="R764" i="3"/>
  <c r="B38" i="11" s="1"/>
  <c r="S764" i="3"/>
  <c r="E71" i="4"/>
  <c r="S334" i="3"/>
  <c r="R334" i="3"/>
  <c r="E39" i="4" s="1"/>
  <c r="S68" i="5"/>
  <c r="S850" i="3"/>
  <c r="R850" i="3"/>
  <c r="S36" i="5" s="1"/>
  <c r="L379" i="3"/>
  <c r="O379" i="3" s="1"/>
  <c r="Q379" i="3" s="1"/>
  <c r="R77" i="15"/>
  <c r="G75" i="15"/>
  <c r="L1040" i="3"/>
  <c r="O1040" i="3" s="1"/>
  <c r="Q1040" i="3" s="1"/>
  <c r="L465" i="3"/>
  <c r="O465" i="3" s="1"/>
  <c r="Q465" i="3" s="1"/>
  <c r="Q77" i="15"/>
  <c r="C70" i="11"/>
  <c r="S882" i="3"/>
  <c r="R882" i="3"/>
  <c r="C38" i="11" s="1"/>
  <c r="B71" i="4"/>
  <c r="R134" i="3"/>
  <c r="B39" i="4" s="1"/>
  <c r="S134" i="3"/>
  <c r="L78" i="15"/>
  <c r="L642" i="3"/>
  <c r="O642" i="3" s="1"/>
  <c r="Q642" i="3" s="1"/>
  <c r="C75" i="15" l="1"/>
  <c r="L1140" i="3"/>
  <c r="O1140" i="3" s="1"/>
  <c r="Q1140" i="3" s="1"/>
  <c r="L1120" i="3"/>
  <c r="O1120" i="3" s="1"/>
  <c r="Q1120" i="3" s="1"/>
  <c r="L1100" i="3"/>
  <c r="O1100" i="3" s="1"/>
  <c r="Q1100" i="3" s="1"/>
  <c r="L940" i="3"/>
  <c r="O940" i="3" s="1"/>
  <c r="Q940" i="3" s="1"/>
  <c r="L920" i="3"/>
  <c r="O920" i="3" s="1"/>
  <c r="Q920" i="3" s="1"/>
  <c r="L1000" i="3"/>
  <c r="O1000" i="3" s="1"/>
  <c r="Q1000" i="3" s="1"/>
  <c r="L1020" i="3"/>
  <c r="O1020" i="3" s="1"/>
  <c r="Q1020" i="3" s="1"/>
  <c r="L1220" i="3"/>
  <c r="O1220" i="3" s="1"/>
  <c r="Q1220" i="3" s="1"/>
  <c r="L232" i="3"/>
  <c r="O232" i="3" s="1"/>
  <c r="Q232" i="3" s="1"/>
  <c r="L32" i="3"/>
  <c r="O32" i="3" s="1"/>
  <c r="Q32" i="3" s="1"/>
  <c r="L252" i="3"/>
  <c r="O252" i="3" s="1"/>
  <c r="Q252" i="3" s="1"/>
  <c r="L52" i="3"/>
  <c r="O52" i="3" s="1"/>
  <c r="Q52" i="3" s="1"/>
  <c r="H70" i="5"/>
  <c r="R1001" i="3"/>
  <c r="H38" i="5" s="1"/>
  <c r="S1001" i="3"/>
  <c r="D70" i="4"/>
  <c r="R313" i="3"/>
  <c r="D38" i="4" s="1"/>
  <c r="S313" i="3"/>
  <c r="I70" i="5"/>
  <c r="R1021" i="3"/>
  <c r="I38" i="5" s="1"/>
  <c r="S1021" i="3"/>
  <c r="L1200" i="3"/>
  <c r="O1200" i="3" s="1"/>
  <c r="Q1200" i="3" s="1"/>
  <c r="L312" i="3"/>
  <c r="O312" i="3" s="1"/>
  <c r="Q312" i="3" s="1"/>
  <c r="L332" i="3"/>
  <c r="O332" i="3" s="1"/>
  <c r="Q332" i="3" s="1"/>
  <c r="L152" i="3"/>
  <c r="O152" i="3" s="1"/>
  <c r="Q152" i="3" s="1"/>
  <c r="L132" i="3"/>
  <c r="O132" i="3" s="1"/>
  <c r="Q132" i="3" s="1"/>
  <c r="B75" i="15"/>
  <c r="B69" i="9"/>
  <c r="R92" i="3"/>
  <c r="B37" i="9" s="1"/>
  <c r="S92" i="3"/>
  <c r="L1260" i="3"/>
  <c r="O1260" i="3" s="1"/>
  <c r="Q1260" i="3" s="1"/>
  <c r="L960" i="3"/>
  <c r="O960" i="3" s="1"/>
  <c r="Q960" i="3" s="1"/>
  <c r="L172" i="3"/>
  <c r="O172" i="3" s="1"/>
  <c r="Q172" i="3" s="1"/>
  <c r="I75" i="15"/>
  <c r="C69" i="10"/>
  <c r="R292" i="3"/>
  <c r="C37" i="10" s="1"/>
  <c r="S292" i="3"/>
  <c r="P67" i="5"/>
  <c r="S583" i="3"/>
  <c r="R583" i="3"/>
  <c r="P35" i="5" s="1"/>
  <c r="C68" i="8"/>
  <c r="R111" i="3"/>
  <c r="C36" i="8" s="1"/>
  <c r="S111" i="3"/>
  <c r="E67" i="7"/>
  <c r="R493" i="3"/>
  <c r="E35" i="7" s="1"/>
  <c r="S493" i="3"/>
  <c r="I66" i="8"/>
  <c r="S642" i="3"/>
  <c r="R642" i="3"/>
  <c r="I34" i="8" s="1"/>
  <c r="L464" i="3"/>
  <c r="O464" i="3" s="1"/>
  <c r="Q464" i="3" s="1"/>
  <c r="Q78" i="15"/>
  <c r="B68" i="8"/>
  <c r="S11" i="3"/>
  <c r="R11" i="3"/>
  <c r="B36" i="8" s="1"/>
  <c r="F108" i="15"/>
  <c r="F67" i="7"/>
  <c r="S789" i="3"/>
  <c r="R789" i="3"/>
  <c r="F35" i="7" s="1"/>
  <c r="C69" i="9"/>
  <c r="R192" i="3"/>
  <c r="C37" i="9" s="1"/>
  <c r="S192" i="3"/>
  <c r="E64" i="6"/>
  <c r="S520" i="3"/>
  <c r="R520" i="3"/>
  <c r="E32" i="6" s="1"/>
  <c r="B69" i="10"/>
  <c r="R272" i="3"/>
  <c r="B37" i="10" s="1"/>
  <c r="S272" i="3"/>
  <c r="G107" i="15"/>
  <c r="N67" i="5"/>
  <c r="R407" i="3"/>
  <c r="N35" i="5" s="1"/>
  <c r="S407" i="3"/>
  <c r="L79" i="15"/>
  <c r="L641" i="3"/>
  <c r="O641" i="3" s="1"/>
  <c r="Q641" i="3" s="1"/>
  <c r="B67" i="12"/>
  <c r="R465" i="3"/>
  <c r="B35" i="12" s="1"/>
  <c r="S465" i="3"/>
  <c r="B70" i="5"/>
  <c r="R33" i="3"/>
  <c r="B38" i="5" s="1"/>
  <c r="S33" i="3"/>
  <c r="B106" i="15"/>
  <c r="G70" i="5"/>
  <c r="R941" i="3"/>
  <c r="G38" i="5" s="1"/>
  <c r="S941" i="3"/>
  <c r="B70" i="4"/>
  <c r="R133" i="3"/>
  <c r="B38" i="4" s="1"/>
  <c r="S133" i="3"/>
  <c r="L609" i="3"/>
  <c r="O609" i="3" s="1"/>
  <c r="O81" i="15"/>
  <c r="F68" i="6"/>
  <c r="S732" i="3"/>
  <c r="R732" i="3"/>
  <c r="F36" i="6" s="1"/>
  <c r="C108" i="15"/>
  <c r="Q731" i="3"/>
  <c r="D69" i="9"/>
  <c r="S980" i="3"/>
  <c r="R980" i="3"/>
  <c r="D37" i="9" s="1"/>
  <c r="L816" i="3"/>
  <c r="O816" i="3" s="1"/>
  <c r="Q816" i="3" s="1"/>
  <c r="L550" i="3"/>
  <c r="O550" i="3" s="1"/>
  <c r="Q550" i="3" s="1"/>
  <c r="H80" i="15"/>
  <c r="C70" i="7"/>
  <c r="R961" i="3"/>
  <c r="C38" i="7" s="1"/>
  <c r="S961" i="3"/>
  <c r="D69" i="10"/>
  <c r="S1060" i="3"/>
  <c r="R1060" i="3"/>
  <c r="D37" i="10" s="1"/>
  <c r="O67" i="5"/>
  <c r="S437" i="3"/>
  <c r="R437" i="3"/>
  <c r="O35" i="5" s="1"/>
  <c r="D68" i="8"/>
  <c r="R351" i="3"/>
  <c r="D36" i="8" s="1"/>
  <c r="S351" i="3"/>
  <c r="H65" i="6"/>
  <c r="R551" i="3"/>
  <c r="H33" i="6" s="1"/>
  <c r="S551" i="3"/>
  <c r="D70" i="7"/>
  <c r="R1261" i="3"/>
  <c r="D38" i="7" s="1"/>
  <c r="S1261" i="3"/>
  <c r="L1239" i="3"/>
  <c r="O1239" i="3" s="1"/>
  <c r="Q1239" i="3" s="1"/>
  <c r="L211" i="3"/>
  <c r="O211" i="3" s="1"/>
  <c r="Q211" i="3" s="1"/>
  <c r="L71" i="3"/>
  <c r="O71" i="3" s="1"/>
  <c r="Q71" i="3" s="1"/>
  <c r="E76" i="15"/>
  <c r="Q67" i="5"/>
  <c r="S673" i="3"/>
  <c r="R673" i="3"/>
  <c r="Q35" i="5" s="1"/>
  <c r="E68" i="8"/>
  <c r="R899" i="3"/>
  <c r="E36" i="8" s="1"/>
  <c r="S899" i="3"/>
  <c r="C70" i="5"/>
  <c r="R53" i="3"/>
  <c r="C38" i="5" s="1"/>
  <c r="S53" i="3"/>
  <c r="K70" i="5"/>
  <c r="R1121" i="3"/>
  <c r="K38" i="5" s="1"/>
  <c r="S1121" i="3"/>
  <c r="C70" i="4"/>
  <c r="R153" i="3"/>
  <c r="C38" i="4" s="1"/>
  <c r="S153" i="3"/>
  <c r="I65" i="6"/>
  <c r="S817" i="3"/>
  <c r="R817" i="3"/>
  <c r="I33" i="6" s="1"/>
  <c r="C69" i="6"/>
  <c r="R212" i="3"/>
  <c r="C37" i="6" s="1"/>
  <c r="S212" i="3"/>
  <c r="R67" i="5"/>
  <c r="R703" i="3"/>
  <c r="R35" i="5" s="1"/>
  <c r="S703" i="3"/>
  <c r="F68" i="8"/>
  <c r="R1079" i="3"/>
  <c r="F36" i="8" s="1"/>
  <c r="S1079" i="3"/>
  <c r="S1201" i="3"/>
  <c r="R1201" i="3"/>
  <c r="F38" i="4" s="1"/>
  <c r="F70" i="4"/>
  <c r="B69" i="6"/>
  <c r="R72" i="3"/>
  <c r="B37" i="6" s="1"/>
  <c r="S72" i="3"/>
  <c r="S67" i="5"/>
  <c r="S849" i="3"/>
  <c r="R849" i="3"/>
  <c r="S35" i="5" s="1"/>
  <c r="H68" i="8"/>
  <c r="R1179" i="3"/>
  <c r="H36" i="8" s="1"/>
  <c r="S1179" i="3"/>
  <c r="B70" i="7"/>
  <c r="S173" i="3"/>
  <c r="R173" i="3"/>
  <c r="B38" i="7" s="1"/>
  <c r="E106" i="15"/>
  <c r="G69" i="6"/>
  <c r="R1040" i="3"/>
  <c r="G37" i="6" s="1"/>
  <c r="S1040" i="3"/>
  <c r="D107" i="15"/>
  <c r="G68" i="8"/>
  <c r="R1159" i="3"/>
  <c r="G36" i="8" s="1"/>
  <c r="S1159" i="3"/>
  <c r="G76" i="15"/>
  <c r="L1039" i="3"/>
  <c r="O1039" i="3" s="1"/>
  <c r="Q1039" i="3" s="1"/>
  <c r="D70" i="5"/>
  <c r="R233" i="3"/>
  <c r="D38" i="5" s="1"/>
  <c r="S233" i="3"/>
  <c r="L70" i="5"/>
  <c r="R1141" i="3"/>
  <c r="L38" i="5" s="1"/>
  <c r="S1141" i="3"/>
  <c r="E70" i="4"/>
  <c r="R333" i="3"/>
  <c r="E38" i="4" s="1"/>
  <c r="S333" i="3"/>
  <c r="L378" i="3"/>
  <c r="O378" i="3" s="1"/>
  <c r="Q378" i="3" s="1"/>
  <c r="R78" i="15"/>
  <c r="E67" i="10"/>
  <c r="R613" i="3"/>
  <c r="E35" i="10" s="1"/>
  <c r="S613" i="3"/>
  <c r="Q612" i="3"/>
  <c r="L762" i="3"/>
  <c r="O762" i="3" s="1"/>
  <c r="Q762" i="3" s="1"/>
  <c r="L880" i="3"/>
  <c r="O880" i="3" s="1"/>
  <c r="Q880" i="3" s="1"/>
  <c r="P76" i="15"/>
  <c r="E70" i="5"/>
  <c r="R253" i="3"/>
  <c r="E38" i="5" s="1"/>
  <c r="S253" i="3"/>
  <c r="M70" i="5"/>
  <c r="S1221" i="3"/>
  <c r="R1221" i="3"/>
  <c r="M38" i="5" s="1"/>
  <c r="B67" i="13"/>
  <c r="R379" i="3"/>
  <c r="B35" i="13" s="1"/>
  <c r="S379" i="3"/>
  <c r="C69" i="11"/>
  <c r="S881" i="3"/>
  <c r="R881" i="3"/>
  <c r="C37" i="11" s="1"/>
  <c r="J70" i="5"/>
  <c r="R1101" i="3"/>
  <c r="J38" i="5" s="1"/>
  <c r="S1101" i="3"/>
  <c r="D69" i="6"/>
  <c r="S1240" i="3"/>
  <c r="R1240" i="3"/>
  <c r="D37" i="6" s="1"/>
  <c r="B69" i="11"/>
  <c r="R763" i="3"/>
  <c r="S54" i="15"/>
  <c r="F67" i="2" s="1"/>
  <c r="S763" i="3"/>
  <c r="F70" i="5"/>
  <c r="R921" i="3"/>
  <c r="F38" i="5" s="1"/>
  <c r="S921" i="3"/>
  <c r="L979" i="3"/>
  <c r="O979" i="3" s="1"/>
  <c r="Q979" i="3" s="1"/>
  <c r="L91" i="3"/>
  <c r="O91" i="3" s="1"/>
  <c r="Q91" i="3" s="1"/>
  <c r="L191" i="3"/>
  <c r="O191" i="3" s="1"/>
  <c r="Q191" i="3" s="1"/>
  <c r="M76" i="15"/>
  <c r="L727" i="3"/>
  <c r="O727" i="3" s="1"/>
  <c r="L519" i="3"/>
  <c r="O519" i="3" s="1"/>
  <c r="Q519" i="3" s="1"/>
  <c r="F81" i="15"/>
  <c r="L1059" i="3"/>
  <c r="O1059" i="3" s="1"/>
  <c r="Q1059" i="3" s="1"/>
  <c r="L291" i="3"/>
  <c r="O291" i="3" s="1"/>
  <c r="Q291" i="3" s="1"/>
  <c r="L271" i="3"/>
  <c r="O271" i="3" s="1"/>
  <c r="Q271" i="3" s="1"/>
  <c r="N76" i="15"/>
  <c r="L848" i="3"/>
  <c r="O848" i="3" s="1"/>
  <c r="Q848" i="3" s="1"/>
  <c r="L582" i="3"/>
  <c r="O582" i="3" s="1"/>
  <c r="Q582" i="3" s="1"/>
  <c r="L672" i="3"/>
  <c r="O672" i="3" s="1"/>
  <c r="Q672" i="3" s="1"/>
  <c r="L702" i="3"/>
  <c r="O702" i="3" s="1"/>
  <c r="Q702" i="3" s="1"/>
  <c r="L436" i="3"/>
  <c r="O436" i="3" s="1"/>
  <c r="Q436" i="3" s="1"/>
  <c r="L406" i="3"/>
  <c r="O406" i="3" s="1"/>
  <c r="Q406" i="3" s="1"/>
  <c r="D78" i="15"/>
  <c r="L1178" i="3"/>
  <c r="O1178" i="3" s="1"/>
  <c r="Q1178" i="3" s="1"/>
  <c r="L1158" i="3"/>
  <c r="O1158" i="3" s="1"/>
  <c r="Q1158" i="3" s="1"/>
  <c r="L1078" i="3"/>
  <c r="O1078" i="3" s="1"/>
  <c r="Q1078" i="3" s="1"/>
  <c r="L898" i="3"/>
  <c r="O898" i="3" s="1"/>
  <c r="Q898" i="3" s="1"/>
  <c r="L350" i="3"/>
  <c r="O350" i="3" s="1"/>
  <c r="Q350" i="3" s="1"/>
  <c r="L10" i="3"/>
  <c r="O10" i="3" s="1"/>
  <c r="Q10" i="3" s="1"/>
  <c r="L110" i="3"/>
  <c r="O110" i="3" s="1"/>
  <c r="Q110" i="3" s="1"/>
  <c r="K77" i="15"/>
  <c r="L492" i="3"/>
  <c r="O492" i="3" s="1"/>
  <c r="Q492" i="3" s="1"/>
  <c r="L788" i="3"/>
  <c r="O788" i="3" s="1"/>
  <c r="Q788" i="3" s="1"/>
  <c r="J78" i="15"/>
  <c r="O66" i="5" l="1"/>
  <c r="R436" i="3"/>
  <c r="O34" i="5" s="1"/>
  <c r="S436" i="3"/>
  <c r="D67" i="8"/>
  <c r="R350" i="3"/>
  <c r="D35" i="8" s="1"/>
  <c r="S350" i="3"/>
  <c r="R66" i="5"/>
  <c r="R702" i="3"/>
  <c r="R34" i="5" s="1"/>
  <c r="S702" i="3"/>
  <c r="F82" i="15"/>
  <c r="L726" i="3"/>
  <c r="O726" i="3" s="1"/>
  <c r="L518" i="3"/>
  <c r="O518" i="3" s="1"/>
  <c r="Q518" i="3" s="1"/>
  <c r="D69" i="4"/>
  <c r="R312" i="3"/>
  <c r="D37" i="4" s="1"/>
  <c r="S312" i="3"/>
  <c r="I69" i="5"/>
  <c r="S1020" i="3"/>
  <c r="R1020" i="3"/>
  <c r="I37" i="5" s="1"/>
  <c r="L1238" i="3"/>
  <c r="O1238" i="3" s="1"/>
  <c r="Q1238" i="3" s="1"/>
  <c r="L210" i="3"/>
  <c r="O210" i="3" s="1"/>
  <c r="Q210" i="3" s="1"/>
  <c r="L70" i="3"/>
  <c r="O70" i="3" s="1"/>
  <c r="Q70" i="3" s="1"/>
  <c r="E77" i="15"/>
  <c r="H64" i="6"/>
  <c r="R550" i="3"/>
  <c r="H32" i="6" s="1"/>
  <c r="S550" i="3"/>
  <c r="E67" i="8"/>
  <c r="S898" i="3"/>
  <c r="R898" i="3"/>
  <c r="E35" i="8" s="1"/>
  <c r="Q66" i="5"/>
  <c r="S672" i="3"/>
  <c r="R672" i="3"/>
  <c r="Q34" i="5" s="1"/>
  <c r="E63" i="6"/>
  <c r="R519" i="3"/>
  <c r="S519" i="3"/>
  <c r="C68" i="11"/>
  <c r="S880" i="3"/>
  <c r="R880" i="3"/>
  <c r="C36" i="11" s="1"/>
  <c r="B66" i="13"/>
  <c r="S378" i="3"/>
  <c r="R378" i="3"/>
  <c r="B34" i="13" s="1"/>
  <c r="B68" i="6"/>
  <c r="R71" i="3"/>
  <c r="T43" i="15"/>
  <c r="S71" i="3"/>
  <c r="I64" i="6"/>
  <c r="S816" i="3"/>
  <c r="R816" i="3"/>
  <c r="I32" i="6" s="1"/>
  <c r="I65" i="8"/>
  <c r="S641" i="3"/>
  <c r="R641" i="3"/>
  <c r="I33" i="8" s="1"/>
  <c r="L463" i="3"/>
  <c r="O463" i="3" s="1"/>
  <c r="Q463" i="3" s="1"/>
  <c r="Q79" i="15"/>
  <c r="F69" i="4"/>
  <c r="S1200" i="3"/>
  <c r="R1200" i="3"/>
  <c r="F37" i="4" s="1"/>
  <c r="H69" i="5"/>
  <c r="R1000" i="3"/>
  <c r="H37" i="5" s="1"/>
  <c r="S1000" i="3"/>
  <c r="L80" i="15"/>
  <c r="L640" i="3"/>
  <c r="O640" i="3" s="1"/>
  <c r="Q640" i="3" s="1"/>
  <c r="B66" i="12"/>
  <c r="R464" i="3"/>
  <c r="B34" i="12" s="1"/>
  <c r="S464" i="3"/>
  <c r="F69" i="5"/>
  <c r="R920" i="3"/>
  <c r="F37" i="5" s="1"/>
  <c r="S920" i="3"/>
  <c r="L608" i="3"/>
  <c r="O608" i="3" s="1"/>
  <c r="O82" i="15"/>
  <c r="F66" i="7"/>
  <c r="S788" i="3"/>
  <c r="R788" i="3"/>
  <c r="F34" i="7" s="1"/>
  <c r="G67" i="8"/>
  <c r="S1158" i="3"/>
  <c r="R1158" i="3"/>
  <c r="G35" i="8" s="1"/>
  <c r="S66" i="5"/>
  <c r="S848" i="3"/>
  <c r="R848" i="3"/>
  <c r="S34" i="5" s="1"/>
  <c r="L978" i="3"/>
  <c r="O978" i="3" s="1"/>
  <c r="Q978" i="3" s="1"/>
  <c r="L90" i="3"/>
  <c r="O90" i="3" s="1"/>
  <c r="Q90" i="3" s="1"/>
  <c r="L190" i="3"/>
  <c r="O190" i="3" s="1"/>
  <c r="Q190" i="3" s="1"/>
  <c r="M77" i="15"/>
  <c r="E66" i="10"/>
  <c r="R612" i="3"/>
  <c r="E34" i="10" s="1"/>
  <c r="S612" i="3"/>
  <c r="Q611" i="3"/>
  <c r="G68" i="6"/>
  <c r="R1039" i="3"/>
  <c r="T45" i="15"/>
  <c r="S1039" i="3"/>
  <c r="D108" i="15"/>
  <c r="S1239" i="3"/>
  <c r="D68" i="6"/>
  <c r="R1239" i="3"/>
  <c r="D36" i="6" s="1"/>
  <c r="C69" i="5"/>
  <c r="R52" i="3"/>
  <c r="C37" i="5" s="1"/>
  <c r="S52" i="3"/>
  <c r="G69" i="5"/>
  <c r="S940" i="3"/>
  <c r="R940" i="3"/>
  <c r="G37" i="5" s="1"/>
  <c r="C67" i="8"/>
  <c r="R110" i="3"/>
  <c r="C35" i="8" s="1"/>
  <c r="S110" i="3"/>
  <c r="N66" i="5"/>
  <c r="R406" i="3"/>
  <c r="N34" i="5" s="1"/>
  <c r="S406" i="3"/>
  <c r="C68" i="10"/>
  <c r="R291" i="3"/>
  <c r="C36" i="10" s="1"/>
  <c r="S291" i="3"/>
  <c r="D68" i="9"/>
  <c r="R979" i="3"/>
  <c r="D36" i="9" s="1"/>
  <c r="S979" i="3"/>
  <c r="L1259" i="3"/>
  <c r="O1259" i="3" s="1"/>
  <c r="Q1259" i="3" s="1"/>
  <c r="L959" i="3"/>
  <c r="O959" i="3" s="1"/>
  <c r="Q959" i="3" s="1"/>
  <c r="L171" i="3"/>
  <c r="O171" i="3" s="1"/>
  <c r="Q171" i="3" s="1"/>
  <c r="I76" i="15"/>
  <c r="L1199" i="3"/>
  <c r="O1199" i="3" s="1"/>
  <c r="Q1199" i="3" s="1"/>
  <c r="L311" i="3"/>
  <c r="O311" i="3" s="1"/>
  <c r="Q311" i="3" s="1"/>
  <c r="L331" i="3"/>
  <c r="O331" i="3" s="1"/>
  <c r="Q331" i="3" s="1"/>
  <c r="L151" i="3"/>
  <c r="O151" i="3" s="1"/>
  <c r="Q151" i="3" s="1"/>
  <c r="L131" i="3"/>
  <c r="O131" i="3" s="1"/>
  <c r="Q131" i="3" s="1"/>
  <c r="B76" i="15"/>
  <c r="E69" i="5"/>
  <c r="R252" i="3"/>
  <c r="E37" i="5" s="1"/>
  <c r="S252" i="3"/>
  <c r="J69" i="5"/>
  <c r="S1100" i="3"/>
  <c r="R1100" i="3"/>
  <c r="J37" i="5" s="1"/>
  <c r="B67" i="8"/>
  <c r="R10" i="3"/>
  <c r="S10" i="3"/>
  <c r="T49" i="15"/>
  <c r="F109" i="15"/>
  <c r="D68" i="10"/>
  <c r="R1059" i="3"/>
  <c r="D36" i="10" s="1"/>
  <c r="S1059" i="3"/>
  <c r="L761" i="3"/>
  <c r="O761" i="3" s="1"/>
  <c r="Q761" i="3" s="1"/>
  <c r="L879" i="3"/>
  <c r="O879" i="3" s="1"/>
  <c r="Q879" i="3" s="1"/>
  <c r="P77" i="15"/>
  <c r="L377" i="3"/>
  <c r="O377" i="3" s="1"/>
  <c r="Q377" i="3" s="1"/>
  <c r="R79" i="15"/>
  <c r="L787" i="3"/>
  <c r="O787" i="3" s="1"/>
  <c r="Q787" i="3" s="1"/>
  <c r="L491" i="3"/>
  <c r="O491" i="3" s="1"/>
  <c r="Q491" i="3" s="1"/>
  <c r="J79" i="15"/>
  <c r="F67" i="8"/>
  <c r="S1078" i="3"/>
  <c r="R1078" i="3"/>
  <c r="F35" i="8" s="1"/>
  <c r="P66" i="5"/>
  <c r="S582" i="3"/>
  <c r="R582" i="3"/>
  <c r="P34" i="5" s="1"/>
  <c r="B68" i="11"/>
  <c r="R762" i="3"/>
  <c r="B36" i="11" s="1"/>
  <c r="S762" i="3"/>
  <c r="C68" i="6"/>
  <c r="R211" i="3"/>
  <c r="C36" i="6" s="1"/>
  <c r="S211" i="3"/>
  <c r="E66" i="7"/>
  <c r="S492" i="3"/>
  <c r="R492" i="3"/>
  <c r="E34" i="7" s="1"/>
  <c r="H67" i="8"/>
  <c r="R1178" i="3"/>
  <c r="H35" i="8" s="1"/>
  <c r="S1178" i="3"/>
  <c r="L1058" i="3"/>
  <c r="O1058" i="3" s="1"/>
  <c r="Q1058" i="3" s="1"/>
  <c r="L290" i="3"/>
  <c r="O290" i="3" s="1"/>
  <c r="Q290" i="3" s="1"/>
  <c r="L270" i="3"/>
  <c r="O270" i="3" s="1"/>
  <c r="Q270" i="3" s="1"/>
  <c r="N77" i="15"/>
  <c r="C68" i="9"/>
  <c r="R191" i="3"/>
  <c r="C36" i="9" s="1"/>
  <c r="S191" i="3"/>
  <c r="B37" i="11"/>
  <c r="E42" i="2"/>
  <c r="L1038" i="3"/>
  <c r="O1038" i="3" s="1"/>
  <c r="Q1038" i="3" s="1"/>
  <c r="G77" i="15"/>
  <c r="L1157" i="3"/>
  <c r="O1157" i="3" s="1"/>
  <c r="Q1157" i="3" s="1"/>
  <c r="L897" i="3"/>
  <c r="O897" i="3" s="1"/>
  <c r="Q897" i="3" s="1"/>
  <c r="L1077" i="3"/>
  <c r="O1077" i="3" s="1"/>
  <c r="Q1077" i="3" s="1"/>
  <c r="L1177" i="3"/>
  <c r="O1177" i="3" s="1"/>
  <c r="Q1177" i="3" s="1"/>
  <c r="L349" i="3"/>
  <c r="O349" i="3" s="1"/>
  <c r="Q349" i="3" s="1"/>
  <c r="L109" i="3"/>
  <c r="O109" i="3" s="1"/>
  <c r="Q109" i="3" s="1"/>
  <c r="L9" i="3"/>
  <c r="O9" i="3" s="1"/>
  <c r="Q9" i="3" s="1"/>
  <c r="K78" i="15"/>
  <c r="D79" i="15"/>
  <c r="L847" i="3"/>
  <c r="O847" i="3" s="1"/>
  <c r="Q847" i="3" s="1"/>
  <c r="L701" i="3"/>
  <c r="O701" i="3" s="1"/>
  <c r="Q701" i="3" s="1"/>
  <c r="L671" i="3"/>
  <c r="O671" i="3" s="1"/>
  <c r="Q671" i="3" s="1"/>
  <c r="L435" i="3"/>
  <c r="O435" i="3" s="1"/>
  <c r="Q435" i="3" s="1"/>
  <c r="L405" i="3"/>
  <c r="O405" i="3" s="1"/>
  <c r="Q405" i="3" s="1"/>
  <c r="L581" i="3"/>
  <c r="O581" i="3" s="1"/>
  <c r="Q581" i="3" s="1"/>
  <c r="B68" i="10"/>
  <c r="R271" i="3"/>
  <c r="T52" i="15"/>
  <c r="S271" i="3"/>
  <c r="G108" i="15"/>
  <c r="B68" i="9"/>
  <c r="S91" i="3"/>
  <c r="R91" i="3"/>
  <c r="T51" i="15"/>
  <c r="F67" i="6"/>
  <c r="S731" i="3"/>
  <c r="R731" i="3"/>
  <c r="F35" i="6" s="1"/>
  <c r="C109" i="15"/>
  <c r="Q730" i="3"/>
  <c r="B69" i="7"/>
  <c r="R172" i="3"/>
  <c r="B37" i="7" s="1"/>
  <c r="S172" i="3"/>
  <c r="E107" i="15"/>
  <c r="B69" i="4"/>
  <c r="R132" i="3"/>
  <c r="B37" i="4" s="1"/>
  <c r="S132" i="3"/>
  <c r="B69" i="5"/>
  <c r="R32" i="3"/>
  <c r="B37" i="5" s="1"/>
  <c r="S32" i="3"/>
  <c r="B107" i="15"/>
  <c r="K69" i="5"/>
  <c r="R1120" i="3"/>
  <c r="K37" i="5" s="1"/>
  <c r="S1120" i="3"/>
  <c r="C69" i="7"/>
  <c r="R960" i="3"/>
  <c r="C37" i="7" s="1"/>
  <c r="S960" i="3"/>
  <c r="C69" i="4"/>
  <c r="R152" i="3"/>
  <c r="C37" i="4" s="1"/>
  <c r="S152" i="3"/>
  <c r="D69" i="5"/>
  <c r="R232" i="3"/>
  <c r="D37" i="5" s="1"/>
  <c r="S232" i="3"/>
  <c r="L69" i="5"/>
  <c r="S1140" i="3"/>
  <c r="R1140" i="3"/>
  <c r="L37" i="5" s="1"/>
  <c r="L815" i="3"/>
  <c r="O815" i="3" s="1"/>
  <c r="Q815" i="3" s="1"/>
  <c r="L549" i="3"/>
  <c r="O549" i="3" s="1"/>
  <c r="Q549" i="3" s="1"/>
  <c r="H81" i="15"/>
  <c r="D69" i="7"/>
  <c r="R1260" i="3"/>
  <c r="D37" i="7" s="1"/>
  <c r="S1260" i="3"/>
  <c r="E69" i="4"/>
  <c r="S332" i="3"/>
  <c r="R332" i="3"/>
  <c r="E37" i="4" s="1"/>
  <c r="S1220" i="3"/>
  <c r="R1220" i="3"/>
  <c r="M37" i="5" s="1"/>
  <c r="M69" i="5"/>
  <c r="C76" i="15"/>
  <c r="L1219" i="3"/>
  <c r="O1219" i="3" s="1"/>
  <c r="Q1219" i="3" s="1"/>
  <c r="L1019" i="3"/>
  <c r="O1019" i="3" s="1"/>
  <c r="Q1019" i="3" s="1"/>
  <c r="L1139" i="3"/>
  <c r="O1139" i="3" s="1"/>
  <c r="Q1139" i="3" s="1"/>
  <c r="L919" i="3"/>
  <c r="O919" i="3" s="1"/>
  <c r="Q919" i="3" s="1"/>
  <c r="L1099" i="3"/>
  <c r="O1099" i="3" s="1"/>
  <c r="Q1099" i="3" s="1"/>
  <c r="L1119" i="3"/>
  <c r="O1119" i="3" s="1"/>
  <c r="Q1119" i="3" s="1"/>
  <c r="L939" i="3"/>
  <c r="O939" i="3" s="1"/>
  <c r="Q939" i="3" s="1"/>
  <c r="L999" i="3"/>
  <c r="O999" i="3" s="1"/>
  <c r="Q999" i="3" s="1"/>
  <c r="L251" i="3"/>
  <c r="O251" i="3" s="1"/>
  <c r="Q251" i="3" s="1"/>
  <c r="L231" i="3"/>
  <c r="O231" i="3" s="1"/>
  <c r="Q231" i="3" s="1"/>
  <c r="L51" i="3"/>
  <c r="O51" i="3" s="1"/>
  <c r="Q51" i="3" s="1"/>
  <c r="L31" i="3"/>
  <c r="O31" i="3" s="1"/>
  <c r="Q31" i="3" s="1"/>
  <c r="G68" i="5" l="1"/>
  <c r="R939" i="3"/>
  <c r="G36" i="5" s="1"/>
  <c r="S939" i="3"/>
  <c r="R65" i="5"/>
  <c r="S701" i="3"/>
  <c r="R701" i="3"/>
  <c r="R33" i="5" s="1"/>
  <c r="F66" i="8"/>
  <c r="R1077" i="3"/>
  <c r="F34" i="8" s="1"/>
  <c r="S1077" i="3"/>
  <c r="C67" i="11"/>
  <c r="S879" i="3"/>
  <c r="R879" i="3"/>
  <c r="C35" i="11" s="1"/>
  <c r="B35" i="8"/>
  <c r="F34" i="2"/>
  <c r="L1198" i="3"/>
  <c r="O1198" i="3" s="1"/>
  <c r="Q1198" i="3" s="1"/>
  <c r="L330" i="3"/>
  <c r="O330" i="3" s="1"/>
  <c r="Q330" i="3" s="1"/>
  <c r="L130" i="3"/>
  <c r="O130" i="3" s="1"/>
  <c r="Q130" i="3" s="1"/>
  <c r="L310" i="3"/>
  <c r="O310" i="3" s="1"/>
  <c r="Q310" i="3" s="1"/>
  <c r="L150" i="3"/>
  <c r="O150" i="3" s="1"/>
  <c r="Q150" i="3" s="1"/>
  <c r="B77" i="15"/>
  <c r="C68" i="7"/>
  <c r="R959" i="3"/>
  <c r="C36" i="7" s="1"/>
  <c r="S959" i="3"/>
  <c r="L607" i="3"/>
  <c r="O607" i="3" s="1"/>
  <c r="O83" i="15"/>
  <c r="I64" i="8"/>
  <c r="S640" i="3"/>
  <c r="R640" i="3"/>
  <c r="I32" i="8" s="1"/>
  <c r="L462" i="3"/>
  <c r="O462" i="3" s="1"/>
  <c r="Q462" i="3" s="1"/>
  <c r="Q80" i="15"/>
  <c r="G65" i="2"/>
  <c r="B67" i="11"/>
  <c r="R761" i="3"/>
  <c r="B35" i="11" s="1"/>
  <c r="S761" i="3"/>
  <c r="B68" i="4"/>
  <c r="R131" i="3"/>
  <c r="T40" i="15"/>
  <c r="S131" i="3"/>
  <c r="D68" i="7"/>
  <c r="R1259" i="3"/>
  <c r="D36" i="7" s="1"/>
  <c r="S1259" i="3"/>
  <c r="G56" i="2"/>
  <c r="L1237" i="3"/>
  <c r="O1237" i="3" s="1"/>
  <c r="Q1237" i="3" s="1"/>
  <c r="L209" i="3"/>
  <c r="O209" i="3" s="1"/>
  <c r="Q209" i="3" s="1"/>
  <c r="L69" i="3"/>
  <c r="O69" i="3" s="1"/>
  <c r="Q69" i="3" s="1"/>
  <c r="E78" i="15"/>
  <c r="L639" i="3"/>
  <c r="O639" i="3" s="1"/>
  <c r="Q639" i="3" s="1"/>
  <c r="L81" i="15"/>
  <c r="B65" i="12"/>
  <c r="R463" i="3"/>
  <c r="B33" i="12" s="1"/>
  <c r="S463" i="3"/>
  <c r="J68" i="5"/>
  <c r="R1099" i="3"/>
  <c r="J36" i="5" s="1"/>
  <c r="S1099" i="3"/>
  <c r="H63" i="6"/>
  <c r="R549" i="3"/>
  <c r="T46" i="15"/>
  <c r="S549" i="3"/>
  <c r="G58" i="2"/>
  <c r="L977" i="3"/>
  <c r="O977" i="3" s="1"/>
  <c r="Q977" i="3" s="1"/>
  <c r="L189" i="3"/>
  <c r="O189" i="3" s="1"/>
  <c r="Q189" i="3" s="1"/>
  <c r="L89" i="3"/>
  <c r="O89" i="3" s="1"/>
  <c r="Q89" i="3" s="1"/>
  <c r="M78" i="15"/>
  <c r="B36" i="6"/>
  <c r="F26" i="2"/>
  <c r="B67" i="6"/>
  <c r="R70" i="3"/>
  <c r="B35" i="6" s="1"/>
  <c r="S70" i="3"/>
  <c r="F65" i="7"/>
  <c r="S787" i="3"/>
  <c r="R787" i="3"/>
  <c r="F33" i="7" s="1"/>
  <c r="D68" i="4"/>
  <c r="R311" i="3"/>
  <c r="D36" i="4" s="1"/>
  <c r="S311" i="3"/>
  <c r="G36" i="6"/>
  <c r="F28" i="2"/>
  <c r="C67" i="9"/>
  <c r="R190" i="3"/>
  <c r="C35" i="9" s="1"/>
  <c r="S190" i="3"/>
  <c r="C67" i="6"/>
  <c r="S210" i="3"/>
  <c r="R210" i="3"/>
  <c r="C35" i="6" s="1"/>
  <c r="E62" i="6"/>
  <c r="S518" i="3"/>
  <c r="R518" i="3"/>
  <c r="E30" i="6" s="1"/>
  <c r="D67" i="10"/>
  <c r="S1058" i="3"/>
  <c r="R1058" i="3"/>
  <c r="D35" i="10" s="1"/>
  <c r="L376" i="3"/>
  <c r="O376" i="3" s="1"/>
  <c r="Q376" i="3" s="1"/>
  <c r="R80" i="15"/>
  <c r="E31" i="6"/>
  <c r="S1238" i="3"/>
  <c r="R1238" i="3"/>
  <c r="D35" i="6" s="1"/>
  <c r="D67" i="6"/>
  <c r="B36" i="10"/>
  <c r="F39" i="2"/>
  <c r="D80" i="15"/>
  <c r="L846" i="3"/>
  <c r="O846" i="3" s="1"/>
  <c r="Q846" i="3" s="1"/>
  <c r="L670" i="3"/>
  <c r="O670" i="3" s="1"/>
  <c r="Q670" i="3" s="1"/>
  <c r="L580" i="3"/>
  <c r="O580" i="3" s="1"/>
  <c r="Q580" i="3" s="1"/>
  <c r="L700" i="3"/>
  <c r="O700" i="3" s="1"/>
  <c r="Q700" i="3" s="1"/>
  <c r="L434" i="3"/>
  <c r="O434" i="3" s="1"/>
  <c r="Q434" i="3" s="1"/>
  <c r="L404" i="3"/>
  <c r="O404" i="3" s="1"/>
  <c r="Q404" i="3" s="1"/>
  <c r="G66" i="8"/>
  <c r="R1157" i="3"/>
  <c r="G34" i="8" s="1"/>
  <c r="S1157" i="3"/>
  <c r="L1057" i="3"/>
  <c r="O1057" i="3" s="1"/>
  <c r="Q1057" i="3" s="1"/>
  <c r="L269" i="3"/>
  <c r="O269" i="3" s="1"/>
  <c r="Q269" i="3" s="1"/>
  <c r="L289" i="3"/>
  <c r="O289" i="3" s="1"/>
  <c r="Q289" i="3" s="1"/>
  <c r="N78" i="15"/>
  <c r="L490" i="3"/>
  <c r="O490" i="3" s="1"/>
  <c r="Q490" i="3" s="1"/>
  <c r="L786" i="3"/>
  <c r="O786" i="3" s="1"/>
  <c r="Q786" i="3" s="1"/>
  <c r="J80" i="15"/>
  <c r="C68" i="4"/>
  <c r="R151" i="3"/>
  <c r="C36" i="4" s="1"/>
  <c r="S151" i="3"/>
  <c r="B68" i="5"/>
  <c r="R31" i="3"/>
  <c r="T41" i="15"/>
  <c r="S31" i="3"/>
  <c r="B108" i="15"/>
  <c r="F68" i="5"/>
  <c r="R919" i="3"/>
  <c r="F36" i="5" s="1"/>
  <c r="S919" i="3"/>
  <c r="I63" i="6"/>
  <c r="S815" i="3"/>
  <c r="R815" i="3"/>
  <c r="I31" i="6" s="1"/>
  <c r="G64" i="2"/>
  <c r="L1176" i="3"/>
  <c r="O1176" i="3" s="1"/>
  <c r="Q1176" i="3" s="1"/>
  <c r="L1156" i="3"/>
  <c r="O1156" i="3" s="1"/>
  <c r="Q1156" i="3" s="1"/>
  <c r="L1076" i="3"/>
  <c r="O1076" i="3" s="1"/>
  <c r="Q1076" i="3" s="1"/>
  <c r="L896" i="3"/>
  <c r="O896" i="3" s="1"/>
  <c r="Q896" i="3" s="1"/>
  <c r="L348" i="3"/>
  <c r="O348" i="3" s="1"/>
  <c r="Q348" i="3" s="1"/>
  <c r="L8" i="3"/>
  <c r="O8" i="3" s="1"/>
  <c r="Q8" i="3" s="1"/>
  <c r="L108" i="3"/>
  <c r="O108" i="3" s="1"/>
  <c r="Q108" i="3" s="1"/>
  <c r="K79" i="15"/>
  <c r="L1037" i="3"/>
  <c r="O1037" i="3" s="1"/>
  <c r="Q1037" i="3" s="1"/>
  <c r="G78" i="15"/>
  <c r="B67" i="10"/>
  <c r="R270" i="3"/>
  <c r="B35" i="10" s="1"/>
  <c r="S270" i="3"/>
  <c r="G109" i="15"/>
  <c r="E65" i="7"/>
  <c r="S491" i="3"/>
  <c r="R491" i="3"/>
  <c r="E33" i="7" s="1"/>
  <c r="E68" i="4"/>
  <c r="R331" i="3"/>
  <c r="E36" i="4" s="1"/>
  <c r="S331" i="3"/>
  <c r="C68" i="5"/>
  <c r="S51" i="3"/>
  <c r="R51" i="3"/>
  <c r="C36" i="5" s="1"/>
  <c r="L68" i="5"/>
  <c r="R1139" i="3"/>
  <c r="L36" i="5" s="1"/>
  <c r="S1139" i="3"/>
  <c r="B36" i="9"/>
  <c r="F37" i="2"/>
  <c r="P65" i="5"/>
  <c r="S581" i="3"/>
  <c r="R581" i="3"/>
  <c r="P33" i="5" s="1"/>
  <c r="B66" i="8"/>
  <c r="S9" i="3"/>
  <c r="R9" i="3"/>
  <c r="B34" i="8" s="1"/>
  <c r="F110" i="15"/>
  <c r="G67" i="6"/>
  <c r="R1038" i="3"/>
  <c r="G35" i="6" s="1"/>
  <c r="S1038" i="3"/>
  <c r="D109" i="15"/>
  <c r="C67" i="10"/>
  <c r="S290" i="3"/>
  <c r="R290" i="3"/>
  <c r="C35" i="10" s="1"/>
  <c r="D68" i="5"/>
  <c r="R231" i="3"/>
  <c r="D36" i="5" s="1"/>
  <c r="S231" i="3"/>
  <c r="I68" i="5"/>
  <c r="R1019" i="3"/>
  <c r="I36" i="5" s="1"/>
  <c r="S1019" i="3"/>
  <c r="N65" i="5"/>
  <c r="R405" i="3"/>
  <c r="N33" i="5" s="1"/>
  <c r="S405" i="3"/>
  <c r="C66" i="8"/>
  <c r="R109" i="3"/>
  <c r="C34" i="8" s="1"/>
  <c r="S109" i="3"/>
  <c r="S1199" i="3"/>
  <c r="F68" i="4"/>
  <c r="R1199" i="3"/>
  <c r="F36" i="4" s="1"/>
  <c r="B67" i="9"/>
  <c r="R90" i="3"/>
  <c r="B35" i="9" s="1"/>
  <c r="S90" i="3"/>
  <c r="E68" i="5"/>
  <c r="R251" i="3"/>
  <c r="E36" i="5" s="1"/>
  <c r="S251" i="3"/>
  <c r="M68" i="5"/>
  <c r="S1219" i="3"/>
  <c r="R1219" i="3"/>
  <c r="M36" i="5" s="1"/>
  <c r="F66" i="6"/>
  <c r="S730" i="3"/>
  <c r="R730" i="3"/>
  <c r="F34" i="6" s="1"/>
  <c r="C110" i="15"/>
  <c r="Q729" i="3"/>
  <c r="O65" i="5"/>
  <c r="S435" i="3"/>
  <c r="R435" i="3"/>
  <c r="O33" i="5" s="1"/>
  <c r="D66" i="8"/>
  <c r="R349" i="3"/>
  <c r="D34" i="8" s="1"/>
  <c r="S349" i="3"/>
  <c r="B65" i="13"/>
  <c r="R377" i="3"/>
  <c r="B33" i="13" s="1"/>
  <c r="S377" i="3"/>
  <c r="G62" i="2"/>
  <c r="L1258" i="3"/>
  <c r="O1258" i="3" s="1"/>
  <c r="Q1258" i="3" s="1"/>
  <c r="L958" i="3"/>
  <c r="O958" i="3" s="1"/>
  <c r="Q958" i="3" s="1"/>
  <c r="L170" i="3"/>
  <c r="O170" i="3" s="1"/>
  <c r="Q170" i="3" s="1"/>
  <c r="I77" i="15"/>
  <c r="E65" i="10"/>
  <c r="R611" i="3"/>
  <c r="E33" i="10" s="1"/>
  <c r="S611" i="3"/>
  <c r="Q610" i="3"/>
  <c r="D67" i="9"/>
  <c r="S978" i="3"/>
  <c r="R978" i="3"/>
  <c r="D35" i="9" s="1"/>
  <c r="L725" i="3"/>
  <c r="O725" i="3" s="1"/>
  <c r="L517" i="3"/>
  <c r="O517" i="3" s="1"/>
  <c r="Q517" i="3" s="1"/>
  <c r="F83" i="15"/>
  <c r="K68" i="5"/>
  <c r="R1119" i="3"/>
  <c r="K36" i="5" s="1"/>
  <c r="S1119" i="3"/>
  <c r="H82" i="15"/>
  <c r="L814" i="3"/>
  <c r="O814" i="3" s="1"/>
  <c r="Q814" i="3" s="1"/>
  <c r="L548" i="3"/>
  <c r="O548" i="3" s="1"/>
  <c r="Q548" i="3" s="1"/>
  <c r="S65" i="5"/>
  <c r="S847" i="3"/>
  <c r="R847" i="3"/>
  <c r="S33" i="5" s="1"/>
  <c r="E66" i="8"/>
  <c r="S897" i="3"/>
  <c r="R897" i="3"/>
  <c r="E34" i="8" s="1"/>
  <c r="H68" i="5"/>
  <c r="R999" i="3"/>
  <c r="H36" i="5" s="1"/>
  <c r="S999" i="3"/>
  <c r="L1218" i="3"/>
  <c r="O1218" i="3" s="1"/>
  <c r="Q1218" i="3" s="1"/>
  <c r="L1138" i="3"/>
  <c r="O1138" i="3" s="1"/>
  <c r="Q1138" i="3" s="1"/>
  <c r="L1118" i="3"/>
  <c r="O1118" i="3" s="1"/>
  <c r="Q1118" i="3" s="1"/>
  <c r="L1098" i="3"/>
  <c r="O1098" i="3" s="1"/>
  <c r="Q1098" i="3" s="1"/>
  <c r="L998" i="3"/>
  <c r="O998" i="3" s="1"/>
  <c r="Q998" i="3" s="1"/>
  <c r="L938" i="3"/>
  <c r="O938" i="3" s="1"/>
  <c r="Q938" i="3" s="1"/>
  <c r="L918" i="3"/>
  <c r="O918" i="3" s="1"/>
  <c r="Q918" i="3" s="1"/>
  <c r="L1018" i="3"/>
  <c r="O1018" i="3" s="1"/>
  <c r="Q1018" i="3" s="1"/>
  <c r="L250" i="3"/>
  <c r="O250" i="3" s="1"/>
  <c r="Q250" i="3" s="1"/>
  <c r="L230" i="3"/>
  <c r="O230" i="3" s="1"/>
  <c r="Q230" i="3" s="1"/>
  <c r="L50" i="3"/>
  <c r="O50" i="3" s="1"/>
  <c r="Q50" i="3" s="1"/>
  <c r="L30" i="3"/>
  <c r="O30" i="3" s="1"/>
  <c r="Q30" i="3" s="1"/>
  <c r="C77" i="15"/>
  <c r="Q65" i="5"/>
  <c r="R671" i="3"/>
  <c r="Q33" i="5" s="1"/>
  <c r="S671" i="3"/>
  <c r="H66" i="8"/>
  <c r="R1177" i="3"/>
  <c r="H34" i="8" s="1"/>
  <c r="S1177" i="3"/>
  <c r="L760" i="3"/>
  <c r="O760" i="3" s="1"/>
  <c r="Q760" i="3" s="1"/>
  <c r="L878" i="3"/>
  <c r="O878" i="3" s="1"/>
  <c r="Q878" i="3" s="1"/>
  <c r="P78" i="15"/>
  <c r="B68" i="7"/>
  <c r="S171" i="3"/>
  <c r="R171" i="3"/>
  <c r="T47" i="15"/>
  <c r="E108" i="15"/>
  <c r="C65" i="8" l="1"/>
  <c r="R108" i="3"/>
  <c r="C33" i="8" s="1"/>
  <c r="S108" i="3"/>
  <c r="F64" i="7"/>
  <c r="S786" i="3"/>
  <c r="R786" i="3"/>
  <c r="F32" i="7" s="1"/>
  <c r="B66" i="11"/>
  <c r="R760" i="3"/>
  <c r="B34" i="11" s="1"/>
  <c r="S760" i="3"/>
  <c r="B67" i="5"/>
  <c r="R30" i="3"/>
  <c r="B35" i="5" s="1"/>
  <c r="S30" i="3"/>
  <c r="B109" i="15"/>
  <c r="J67" i="5"/>
  <c r="S1098" i="3"/>
  <c r="R1098" i="3"/>
  <c r="J35" i="5" s="1"/>
  <c r="C67" i="7"/>
  <c r="R958" i="3"/>
  <c r="C35" i="7" s="1"/>
  <c r="S958" i="3"/>
  <c r="B65" i="8"/>
  <c r="R8" i="3"/>
  <c r="B33" i="8" s="1"/>
  <c r="S8" i="3"/>
  <c r="F111" i="15"/>
  <c r="G54" i="2"/>
  <c r="E64" i="7"/>
  <c r="S490" i="3"/>
  <c r="R490" i="3"/>
  <c r="E32" i="7" s="1"/>
  <c r="N64" i="5"/>
  <c r="R404" i="3"/>
  <c r="N32" i="5" s="1"/>
  <c r="S404" i="3"/>
  <c r="B64" i="13"/>
  <c r="S376" i="3"/>
  <c r="R376" i="3"/>
  <c r="B32" i="13" s="1"/>
  <c r="B66" i="6"/>
  <c r="R69" i="3"/>
  <c r="B34" i="6" s="1"/>
  <c r="S69" i="3"/>
  <c r="E67" i="4"/>
  <c r="S330" i="3"/>
  <c r="R330" i="3"/>
  <c r="E35" i="4" s="1"/>
  <c r="C66" i="6"/>
  <c r="R209" i="3"/>
  <c r="C34" i="6" s="1"/>
  <c r="S209" i="3"/>
  <c r="G53" i="2"/>
  <c r="L461" i="3"/>
  <c r="O461" i="3" s="1"/>
  <c r="Q461" i="3" s="1"/>
  <c r="Q81" i="15"/>
  <c r="F67" i="4"/>
  <c r="S1198" i="3"/>
  <c r="R1198" i="3"/>
  <c r="F35" i="4" s="1"/>
  <c r="G60" i="2"/>
  <c r="D67" i="5"/>
  <c r="R230" i="3"/>
  <c r="D35" i="5" s="1"/>
  <c r="S230" i="3"/>
  <c r="L67" i="5"/>
  <c r="R1138" i="3"/>
  <c r="L35" i="5" s="1"/>
  <c r="S1138" i="3"/>
  <c r="E65" i="8"/>
  <c r="S896" i="3"/>
  <c r="R896" i="3"/>
  <c r="E33" i="8" s="1"/>
  <c r="C66" i="10"/>
  <c r="R289" i="3"/>
  <c r="C34" i="10" s="1"/>
  <c r="S289" i="3"/>
  <c r="R64" i="5"/>
  <c r="S700" i="3"/>
  <c r="R700" i="3"/>
  <c r="R32" i="5" s="1"/>
  <c r="G59" i="2"/>
  <c r="S1237" i="3"/>
  <c r="D66" i="6"/>
  <c r="R1237" i="3"/>
  <c r="D34" i="6" s="1"/>
  <c r="B36" i="4"/>
  <c r="F21" i="2"/>
  <c r="B64" i="12"/>
  <c r="R462" i="3"/>
  <c r="B32" i="12" s="1"/>
  <c r="S462" i="3"/>
  <c r="B36" i="7"/>
  <c r="F31" i="2"/>
  <c r="E67" i="5"/>
  <c r="R250" i="3"/>
  <c r="E35" i="5" s="1"/>
  <c r="S250" i="3"/>
  <c r="M67" i="5"/>
  <c r="S1218" i="3"/>
  <c r="R1218" i="3"/>
  <c r="M35" i="5" s="1"/>
  <c r="L516" i="3"/>
  <c r="O516" i="3" s="1"/>
  <c r="Q516" i="3" s="1"/>
  <c r="L724" i="3"/>
  <c r="O724" i="3" s="1"/>
  <c r="F84" i="15"/>
  <c r="F65" i="8"/>
  <c r="S1076" i="3"/>
  <c r="R1076" i="3"/>
  <c r="F33" i="8" s="1"/>
  <c r="B66" i="10"/>
  <c r="R269" i="3"/>
  <c r="B34" i="10" s="1"/>
  <c r="S269" i="3"/>
  <c r="G110" i="15"/>
  <c r="P64" i="5"/>
  <c r="S580" i="3"/>
  <c r="R580" i="3"/>
  <c r="P32" i="5" s="1"/>
  <c r="L976" i="3"/>
  <c r="O976" i="3" s="1"/>
  <c r="Q976" i="3" s="1"/>
  <c r="L88" i="3"/>
  <c r="O88" i="3" s="1"/>
  <c r="Q88" i="3" s="1"/>
  <c r="L188" i="3"/>
  <c r="O188" i="3" s="1"/>
  <c r="Q188" i="3" s="1"/>
  <c r="M79" i="15"/>
  <c r="H31" i="6"/>
  <c r="F29" i="2"/>
  <c r="C67" i="5"/>
  <c r="R50" i="3"/>
  <c r="C35" i="5" s="1"/>
  <c r="S50" i="3"/>
  <c r="K67" i="5"/>
  <c r="R1118" i="3"/>
  <c r="K35" i="5" s="1"/>
  <c r="S1118" i="3"/>
  <c r="E64" i="10"/>
  <c r="R610" i="3"/>
  <c r="E32" i="10" s="1"/>
  <c r="S610" i="3"/>
  <c r="Q609" i="3"/>
  <c r="D67" i="7"/>
  <c r="R1258" i="3"/>
  <c r="D35" i="7" s="1"/>
  <c r="S1258" i="3"/>
  <c r="L1056" i="3"/>
  <c r="O1056" i="3" s="1"/>
  <c r="Q1056" i="3" s="1"/>
  <c r="L288" i="3"/>
  <c r="O288" i="3" s="1"/>
  <c r="Q288" i="3" s="1"/>
  <c r="L268" i="3"/>
  <c r="O268" i="3" s="1"/>
  <c r="Q268" i="3" s="1"/>
  <c r="N79" i="15"/>
  <c r="I67" i="5"/>
  <c r="S1018" i="3"/>
  <c r="R1018" i="3"/>
  <c r="I35" i="5" s="1"/>
  <c r="L1036" i="3"/>
  <c r="O1036" i="3" s="1"/>
  <c r="Q1036" i="3" s="1"/>
  <c r="G79" i="15"/>
  <c r="G65" i="8"/>
  <c r="S1156" i="3"/>
  <c r="R1156" i="3"/>
  <c r="G33" i="8" s="1"/>
  <c r="D66" i="10"/>
  <c r="R1057" i="3"/>
  <c r="D34" i="10" s="1"/>
  <c r="S1057" i="3"/>
  <c r="Q64" i="5"/>
  <c r="S670" i="3"/>
  <c r="R670" i="3"/>
  <c r="Q32" i="5" s="1"/>
  <c r="B66" i="9"/>
  <c r="S89" i="3"/>
  <c r="R89" i="3"/>
  <c r="B34" i="9" s="1"/>
  <c r="L638" i="3"/>
  <c r="O638" i="3" s="1"/>
  <c r="Q638" i="3" s="1"/>
  <c r="L82" i="15"/>
  <c r="L1197" i="3"/>
  <c r="O1197" i="3" s="1"/>
  <c r="Q1197" i="3" s="1"/>
  <c r="L329" i="3"/>
  <c r="O329" i="3" s="1"/>
  <c r="Q329" i="3" s="1"/>
  <c r="L309" i="3"/>
  <c r="O309" i="3" s="1"/>
  <c r="Q309" i="3" s="1"/>
  <c r="L129" i="3"/>
  <c r="O129" i="3" s="1"/>
  <c r="Q129" i="3" s="1"/>
  <c r="L149" i="3"/>
  <c r="O149" i="3" s="1"/>
  <c r="Q149" i="3" s="1"/>
  <c r="B78" i="15"/>
  <c r="D65" i="8"/>
  <c r="R348" i="3"/>
  <c r="D33" i="8" s="1"/>
  <c r="S348" i="3"/>
  <c r="B36" i="5"/>
  <c r="F23" i="2"/>
  <c r="O64" i="5"/>
  <c r="S434" i="3"/>
  <c r="R434" i="3"/>
  <c r="O32" i="5" s="1"/>
  <c r="E61" i="6"/>
  <c r="S517" i="3"/>
  <c r="R517" i="3"/>
  <c r="E29" i="6" s="1"/>
  <c r="F67" i="5"/>
  <c r="R918" i="3"/>
  <c r="F35" i="5" s="1"/>
  <c r="S918" i="3"/>
  <c r="H62" i="6"/>
  <c r="R548" i="3"/>
  <c r="H30" i="6" s="1"/>
  <c r="S548" i="3"/>
  <c r="F65" i="6"/>
  <c r="S729" i="3"/>
  <c r="R729" i="3"/>
  <c r="F33" i="6" s="1"/>
  <c r="C111" i="15"/>
  <c r="Q728" i="3"/>
  <c r="G66" i="6"/>
  <c r="R1037" i="3"/>
  <c r="G34" i="6" s="1"/>
  <c r="S1037" i="3"/>
  <c r="D110" i="15"/>
  <c r="H65" i="8"/>
  <c r="S1176" i="3"/>
  <c r="R1176" i="3"/>
  <c r="H33" i="8" s="1"/>
  <c r="S64" i="5"/>
  <c r="S846" i="3"/>
  <c r="R846" i="3"/>
  <c r="S32" i="5" s="1"/>
  <c r="C66" i="9"/>
  <c r="R189" i="3"/>
  <c r="C34" i="9" s="1"/>
  <c r="S189" i="3"/>
  <c r="I63" i="8"/>
  <c r="R639" i="3"/>
  <c r="S639" i="3"/>
  <c r="T50" i="15"/>
  <c r="C67" i="4"/>
  <c r="R150" i="3"/>
  <c r="C35" i="4" s="1"/>
  <c r="S150" i="3"/>
  <c r="L1175" i="3"/>
  <c r="O1175" i="3" s="1"/>
  <c r="Q1175" i="3" s="1"/>
  <c r="L1075" i="3"/>
  <c r="O1075" i="3" s="1"/>
  <c r="Q1075" i="3" s="1"/>
  <c r="L1155" i="3"/>
  <c r="O1155" i="3" s="1"/>
  <c r="Q1155" i="3" s="1"/>
  <c r="L895" i="3"/>
  <c r="O895" i="3" s="1"/>
  <c r="Q895" i="3" s="1"/>
  <c r="L347" i="3"/>
  <c r="O347" i="3" s="1"/>
  <c r="Q347" i="3" s="1"/>
  <c r="L107" i="3"/>
  <c r="O107" i="3" s="1"/>
  <c r="Q107" i="3" s="1"/>
  <c r="L7" i="3"/>
  <c r="O7" i="3" s="1"/>
  <c r="Q7" i="3" s="1"/>
  <c r="K80" i="15"/>
  <c r="D66" i="9"/>
  <c r="R977" i="3"/>
  <c r="D34" i="9" s="1"/>
  <c r="S977" i="3"/>
  <c r="D67" i="4"/>
  <c r="R310" i="3"/>
  <c r="D35" i="4" s="1"/>
  <c r="S310" i="3"/>
  <c r="P79" i="15"/>
  <c r="L759" i="3"/>
  <c r="O759" i="3" s="1"/>
  <c r="Q759" i="3" s="1"/>
  <c r="L877" i="3"/>
  <c r="O877" i="3" s="1"/>
  <c r="Q877" i="3" s="1"/>
  <c r="G67" i="5"/>
  <c r="S938" i="3"/>
  <c r="R938" i="3"/>
  <c r="G35" i="5" s="1"/>
  <c r="I62" i="6"/>
  <c r="S814" i="3"/>
  <c r="R814" i="3"/>
  <c r="I30" i="6" s="1"/>
  <c r="L1257" i="3"/>
  <c r="O1257" i="3" s="1"/>
  <c r="Q1257" i="3" s="1"/>
  <c r="L957" i="3"/>
  <c r="O957" i="3" s="1"/>
  <c r="Q957" i="3" s="1"/>
  <c r="L169" i="3"/>
  <c r="O169" i="3" s="1"/>
  <c r="Q169" i="3" s="1"/>
  <c r="I78" i="15"/>
  <c r="L785" i="3"/>
  <c r="O785" i="3" s="1"/>
  <c r="Q785" i="3" s="1"/>
  <c r="L489" i="3"/>
  <c r="O489" i="3" s="1"/>
  <c r="Q489" i="3" s="1"/>
  <c r="J81" i="15"/>
  <c r="L845" i="3"/>
  <c r="O845" i="3" s="1"/>
  <c r="Q845" i="3" s="1"/>
  <c r="L699" i="3"/>
  <c r="O699" i="3" s="1"/>
  <c r="Q699" i="3" s="1"/>
  <c r="L669" i="3"/>
  <c r="O669" i="3" s="1"/>
  <c r="Q669" i="3" s="1"/>
  <c r="L403" i="3"/>
  <c r="O403" i="3" s="1"/>
  <c r="Q403" i="3" s="1"/>
  <c r="L433" i="3"/>
  <c r="O433" i="3" s="1"/>
  <c r="Q433" i="3" s="1"/>
  <c r="L579" i="3"/>
  <c r="O579" i="3" s="1"/>
  <c r="Q579" i="3" s="1"/>
  <c r="D81" i="15"/>
  <c r="C66" i="11"/>
  <c r="R878" i="3"/>
  <c r="C34" i="11" s="1"/>
  <c r="S878" i="3"/>
  <c r="C78" i="15"/>
  <c r="L1217" i="3"/>
  <c r="O1217" i="3" s="1"/>
  <c r="Q1217" i="3" s="1"/>
  <c r="L1097" i="3"/>
  <c r="O1097" i="3" s="1"/>
  <c r="Q1097" i="3" s="1"/>
  <c r="L1017" i="3"/>
  <c r="O1017" i="3" s="1"/>
  <c r="Q1017" i="3" s="1"/>
  <c r="L997" i="3"/>
  <c r="O997" i="3" s="1"/>
  <c r="Q997" i="3" s="1"/>
  <c r="L1137" i="3"/>
  <c r="O1137" i="3" s="1"/>
  <c r="Q1137" i="3" s="1"/>
  <c r="L917" i="3"/>
  <c r="O917" i="3" s="1"/>
  <c r="Q917" i="3" s="1"/>
  <c r="L937" i="3"/>
  <c r="O937" i="3" s="1"/>
  <c r="Q937" i="3" s="1"/>
  <c r="L1117" i="3"/>
  <c r="O1117" i="3" s="1"/>
  <c r="Q1117" i="3" s="1"/>
  <c r="L229" i="3"/>
  <c r="O229" i="3" s="1"/>
  <c r="Q229" i="3" s="1"/>
  <c r="L249" i="3"/>
  <c r="O249" i="3" s="1"/>
  <c r="Q249" i="3" s="1"/>
  <c r="L29" i="3"/>
  <c r="O29" i="3" s="1"/>
  <c r="Q29" i="3" s="1"/>
  <c r="L49" i="3"/>
  <c r="O49" i="3" s="1"/>
  <c r="Q49" i="3" s="1"/>
  <c r="H67" i="5"/>
  <c r="R998" i="3"/>
  <c r="H35" i="5" s="1"/>
  <c r="S998" i="3"/>
  <c r="H83" i="15"/>
  <c r="L813" i="3"/>
  <c r="O813" i="3" s="1"/>
  <c r="Q813" i="3" s="1"/>
  <c r="L547" i="3"/>
  <c r="O547" i="3" s="1"/>
  <c r="Q547" i="3" s="1"/>
  <c r="B67" i="7"/>
  <c r="R170" i="3"/>
  <c r="B35" i="7" s="1"/>
  <c r="S170" i="3"/>
  <c r="E109" i="15"/>
  <c r="L375" i="3"/>
  <c r="O375" i="3" s="1"/>
  <c r="Q375" i="3" s="1"/>
  <c r="R81" i="15"/>
  <c r="L1236" i="3"/>
  <c r="O1236" i="3" s="1"/>
  <c r="Q1236" i="3" s="1"/>
  <c r="L208" i="3"/>
  <c r="O208" i="3" s="1"/>
  <c r="Q208" i="3" s="1"/>
  <c r="L68" i="3"/>
  <c r="O68" i="3" s="1"/>
  <c r="Q68" i="3" s="1"/>
  <c r="E79" i="15"/>
  <c r="L606" i="3"/>
  <c r="O606" i="3" s="1"/>
  <c r="O84" i="15"/>
  <c r="B67" i="4"/>
  <c r="R130" i="3"/>
  <c r="B35" i="4" s="1"/>
  <c r="S130" i="3"/>
  <c r="L1235" i="3" l="1"/>
  <c r="O1235" i="3" s="1"/>
  <c r="Q1235" i="3" s="1"/>
  <c r="L67" i="3"/>
  <c r="O67" i="3" s="1"/>
  <c r="Q67" i="3" s="1"/>
  <c r="L207" i="3"/>
  <c r="O207" i="3" s="1"/>
  <c r="Q207" i="3" s="1"/>
  <c r="E80" i="15"/>
  <c r="C66" i="5"/>
  <c r="S49" i="3"/>
  <c r="R49" i="3"/>
  <c r="C34" i="5" s="1"/>
  <c r="H66" i="5"/>
  <c r="R997" i="3"/>
  <c r="H34" i="5" s="1"/>
  <c r="S997" i="3"/>
  <c r="L844" i="3"/>
  <c r="O844" i="3" s="1"/>
  <c r="Q844" i="3" s="1"/>
  <c r="L698" i="3"/>
  <c r="O698" i="3" s="1"/>
  <c r="Q698" i="3" s="1"/>
  <c r="L578" i="3"/>
  <c r="O578" i="3" s="1"/>
  <c r="Q578" i="3" s="1"/>
  <c r="L432" i="3"/>
  <c r="O432" i="3" s="1"/>
  <c r="Q432" i="3" s="1"/>
  <c r="L402" i="3"/>
  <c r="O402" i="3" s="1"/>
  <c r="Q402" i="3" s="1"/>
  <c r="L668" i="3"/>
  <c r="O668" i="3" s="1"/>
  <c r="Q668" i="3" s="1"/>
  <c r="D82" i="15"/>
  <c r="E63" i="7"/>
  <c r="S489" i="3"/>
  <c r="R489" i="3"/>
  <c r="T48" i="15"/>
  <c r="D64" i="8"/>
  <c r="R347" i="3"/>
  <c r="D32" i="8" s="1"/>
  <c r="S347" i="3"/>
  <c r="G63" i="2"/>
  <c r="L637" i="3"/>
  <c r="O637" i="3" s="1"/>
  <c r="Q637" i="3" s="1"/>
  <c r="L83" i="15"/>
  <c r="C65" i="9"/>
  <c r="R188" i="3"/>
  <c r="C33" i="9" s="1"/>
  <c r="S188" i="3"/>
  <c r="E64" i="8"/>
  <c r="S895" i="3"/>
  <c r="R895" i="3"/>
  <c r="E32" i="8" s="1"/>
  <c r="I62" i="8"/>
  <c r="S638" i="3"/>
  <c r="R638" i="3"/>
  <c r="I30" i="8" s="1"/>
  <c r="R1097" i="3"/>
  <c r="J34" i="5" s="1"/>
  <c r="J66" i="5"/>
  <c r="S1097" i="3"/>
  <c r="I31" i="8"/>
  <c r="F35" i="2"/>
  <c r="L374" i="3"/>
  <c r="O374" i="3" s="1"/>
  <c r="Q374" i="3" s="1"/>
  <c r="R82" i="15"/>
  <c r="H84" i="15"/>
  <c r="L812" i="3"/>
  <c r="O812" i="3" s="1"/>
  <c r="Q812" i="3" s="1"/>
  <c r="L546" i="3"/>
  <c r="O546" i="3" s="1"/>
  <c r="Q546" i="3" s="1"/>
  <c r="K66" i="5"/>
  <c r="R1117" i="3"/>
  <c r="K34" i="5" s="1"/>
  <c r="S1117" i="3"/>
  <c r="C79" i="15"/>
  <c r="L1136" i="3"/>
  <c r="O1136" i="3" s="1"/>
  <c r="Q1136" i="3" s="1"/>
  <c r="L1116" i="3"/>
  <c r="O1116" i="3" s="1"/>
  <c r="Q1116" i="3" s="1"/>
  <c r="L1096" i="3"/>
  <c r="O1096" i="3" s="1"/>
  <c r="Q1096" i="3" s="1"/>
  <c r="L1216" i="3"/>
  <c r="O1216" i="3" s="1"/>
  <c r="Q1216" i="3" s="1"/>
  <c r="L936" i="3"/>
  <c r="O936" i="3" s="1"/>
  <c r="Q936" i="3" s="1"/>
  <c r="L916" i="3"/>
  <c r="O916" i="3" s="1"/>
  <c r="Q916" i="3" s="1"/>
  <c r="L1016" i="3"/>
  <c r="O1016" i="3" s="1"/>
  <c r="Q1016" i="3" s="1"/>
  <c r="L996" i="3"/>
  <c r="O996" i="3" s="1"/>
  <c r="Q996" i="3" s="1"/>
  <c r="L248" i="3"/>
  <c r="O248" i="3" s="1"/>
  <c r="Q248" i="3" s="1"/>
  <c r="L48" i="3"/>
  <c r="O48" i="3" s="1"/>
  <c r="Q48" i="3" s="1"/>
  <c r="L228" i="3"/>
  <c r="O228" i="3" s="1"/>
  <c r="Q228" i="3" s="1"/>
  <c r="L28" i="3"/>
  <c r="O28" i="3" s="1"/>
  <c r="Q28" i="3" s="1"/>
  <c r="Q63" i="5"/>
  <c r="S669" i="3"/>
  <c r="R669" i="3"/>
  <c r="Q31" i="5" s="1"/>
  <c r="C66" i="7"/>
  <c r="R957" i="3"/>
  <c r="C34" i="7" s="1"/>
  <c r="S957" i="3"/>
  <c r="C65" i="11"/>
  <c r="S877" i="3"/>
  <c r="R877" i="3"/>
  <c r="C33" i="11" s="1"/>
  <c r="H64" i="8"/>
  <c r="R1175" i="3"/>
  <c r="H32" i="8" s="1"/>
  <c r="S1175" i="3"/>
  <c r="B66" i="4"/>
  <c r="R129" i="3"/>
  <c r="B34" i="4" s="1"/>
  <c r="S129" i="3"/>
  <c r="B65" i="10"/>
  <c r="R268" i="3"/>
  <c r="B33" i="10" s="1"/>
  <c r="S268" i="3"/>
  <c r="G111" i="15"/>
  <c r="C66" i="4"/>
  <c r="R149" i="3"/>
  <c r="C34" i="4" s="1"/>
  <c r="S149" i="3"/>
  <c r="L1055" i="3"/>
  <c r="O1055" i="3" s="1"/>
  <c r="Q1055" i="3" s="1"/>
  <c r="L267" i="3"/>
  <c r="O267" i="3" s="1"/>
  <c r="Q267" i="3" s="1"/>
  <c r="L287" i="3"/>
  <c r="O287" i="3" s="1"/>
  <c r="Q287" i="3" s="1"/>
  <c r="N80" i="15"/>
  <c r="B63" i="13"/>
  <c r="R375" i="3"/>
  <c r="S375" i="3"/>
  <c r="T56" i="15"/>
  <c r="G66" i="5"/>
  <c r="R937" i="3"/>
  <c r="G34" i="5" s="1"/>
  <c r="S937" i="3"/>
  <c r="R63" i="5"/>
  <c r="S699" i="3"/>
  <c r="R699" i="3"/>
  <c r="R31" i="5" s="1"/>
  <c r="D66" i="7"/>
  <c r="R1257" i="3"/>
  <c r="D34" i="7" s="1"/>
  <c r="S1257" i="3"/>
  <c r="B65" i="11"/>
  <c r="R759" i="3"/>
  <c r="B33" i="11" s="1"/>
  <c r="S759" i="3"/>
  <c r="L1174" i="3"/>
  <c r="O1174" i="3" s="1"/>
  <c r="Q1174" i="3" s="1"/>
  <c r="L1154" i="3"/>
  <c r="O1154" i="3" s="1"/>
  <c r="Q1154" i="3" s="1"/>
  <c r="L1074" i="3"/>
  <c r="O1074" i="3" s="1"/>
  <c r="Q1074" i="3" s="1"/>
  <c r="L894" i="3"/>
  <c r="O894" i="3" s="1"/>
  <c r="Q894" i="3" s="1"/>
  <c r="L346" i="3"/>
  <c r="O346" i="3" s="1"/>
  <c r="Q346" i="3" s="1"/>
  <c r="L106" i="3"/>
  <c r="O106" i="3" s="1"/>
  <c r="Q106" i="3" s="1"/>
  <c r="L6" i="3"/>
  <c r="O6" i="3" s="1"/>
  <c r="Q6" i="3" s="1"/>
  <c r="K81" i="15"/>
  <c r="D66" i="4"/>
  <c r="R309" i="3"/>
  <c r="D34" i="4" s="1"/>
  <c r="S309" i="3"/>
  <c r="C65" i="10"/>
  <c r="S288" i="3"/>
  <c r="R288" i="3"/>
  <c r="C33" i="10" s="1"/>
  <c r="L723" i="3"/>
  <c r="O723" i="3" s="1"/>
  <c r="L515" i="3"/>
  <c r="O515" i="3" s="1"/>
  <c r="Q515" i="3" s="1"/>
  <c r="F85" i="15"/>
  <c r="B65" i="6"/>
  <c r="R68" i="3"/>
  <c r="B33" i="6" s="1"/>
  <c r="S68" i="3"/>
  <c r="B66" i="5"/>
  <c r="R29" i="3"/>
  <c r="B34" i="5" s="1"/>
  <c r="S29" i="3"/>
  <c r="B110" i="15"/>
  <c r="I66" i="5"/>
  <c r="R1017" i="3"/>
  <c r="I34" i="5" s="1"/>
  <c r="S1017" i="3"/>
  <c r="P63" i="5"/>
  <c r="S579" i="3"/>
  <c r="R579" i="3"/>
  <c r="P31" i="5" s="1"/>
  <c r="F63" i="7"/>
  <c r="S785" i="3"/>
  <c r="R785" i="3"/>
  <c r="F31" i="7" s="1"/>
  <c r="B65" i="9"/>
  <c r="R88" i="3"/>
  <c r="B33" i="9" s="1"/>
  <c r="S88" i="3"/>
  <c r="C65" i="6"/>
  <c r="S208" i="3"/>
  <c r="R208" i="3"/>
  <c r="C33" i="6" s="1"/>
  <c r="H61" i="6"/>
  <c r="R547" i="3"/>
  <c r="H29" i="6" s="1"/>
  <c r="S547" i="3"/>
  <c r="E66" i="5"/>
  <c r="R249" i="3"/>
  <c r="E34" i="5" s="1"/>
  <c r="S249" i="3"/>
  <c r="O63" i="5"/>
  <c r="S433" i="3"/>
  <c r="R433" i="3"/>
  <c r="O31" i="5" s="1"/>
  <c r="L956" i="3"/>
  <c r="O956" i="3" s="1"/>
  <c r="Q956" i="3" s="1"/>
  <c r="L1256" i="3"/>
  <c r="O1256" i="3" s="1"/>
  <c r="Q1256" i="3" s="1"/>
  <c r="L168" i="3"/>
  <c r="O168" i="3" s="1"/>
  <c r="Q168" i="3" s="1"/>
  <c r="I79" i="15"/>
  <c r="G64" i="8"/>
  <c r="R1155" i="3"/>
  <c r="G32" i="8" s="1"/>
  <c r="S1155" i="3"/>
  <c r="F64" i="6"/>
  <c r="S728" i="3"/>
  <c r="R728" i="3"/>
  <c r="F32" i="6" s="1"/>
  <c r="C112" i="15"/>
  <c r="Q727" i="3"/>
  <c r="L1196" i="3"/>
  <c r="O1196" i="3" s="1"/>
  <c r="Q1196" i="3" s="1"/>
  <c r="L308" i="3"/>
  <c r="O308" i="3" s="1"/>
  <c r="Q308" i="3" s="1"/>
  <c r="L328" i="3"/>
  <c r="O328" i="3" s="1"/>
  <c r="Q328" i="3" s="1"/>
  <c r="L148" i="3"/>
  <c r="O148" i="3" s="1"/>
  <c r="Q148" i="3" s="1"/>
  <c r="L128" i="3"/>
  <c r="O128" i="3" s="1"/>
  <c r="Q128" i="3" s="1"/>
  <c r="B79" i="15"/>
  <c r="E63" i="10"/>
  <c r="R609" i="3"/>
  <c r="T53" i="15"/>
  <c r="S609" i="3"/>
  <c r="Q608" i="3"/>
  <c r="D65" i="9"/>
  <c r="R976" i="3"/>
  <c r="D33" i="9" s="1"/>
  <c r="S976" i="3"/>
  <c r="D65" i="6"/>
  <c r="S1236" i="3"/>
  <c r="R1236" i="3"/>
  <c r="D33" i="6" s="1"/>
  <c r="I61" i="6"/>
  <c r="S813" i="3"/>
  <c r="R813" i="3"/>
  <c r="I29" i="6" s="1"/>
  <c r="D66" i="5"/>
  <c r="R229" i="3"/>
  <c r="D34" i="5" s="1"/>
  <c r="S229" i="3"/>
  <c r="M66" i="5"/>
  <c r="S1217" i="3"/>
  <c r="R1217" i="3"/>
  <c r="M34" i="5" s="1"/>
  <c r="N63" i="5"/>
  <c r="R403" i="3"/>
  <c r="N31" i="5" s="1"/>
  <c r="S403" i="3"/>
  <c r="B66" i="7"/>
  <c r="S169" i="3"/>
  <c r="R169" i="3"/>
  <c r="B34" i="7" s="1"/>
  <c r="E110" i="15"/>
  <c r="F64" i="8"/>
  <c r="R1075" i="3"/>
  <c r="F32" i="8" s="1"/>
  <c r="S1075" i="3"/>
  <c r="L605" i="3"/>
  <c r="O605" i="3" s="1"/>
  <c r="O85" i="15"/>
  <c r="F66" i="5"/>
  <c r="R917" i="3"/>
  <c r="F34" i="5" s="1"/>
  <c r="S917" i="3"/>
  <c r="S63" i="5"/>
  <c r="S845" i="3"/>
  <c r="R845" i="3"/>
  <c r="S31" i="5" s="1"/>
  <c r="L758" i="3"/>
  <c r="O758" i="3" s="1"/>
  <c r="Q758" i="3" s="1"/>
  <c r="L876" i="3"/>
  <c r="O876" i="3" s="1"/>
  <c r="Q876" i="3" s="1"/>
  <c r="P80" i="15"/>
  <c r="B64" i="8"/>
  <c r="R7" i="3"/>
  <c r="B32" i="8" s="1"/>
  <c r="S7" i="3"/>
  <c r="F112" i="15"/>
  <c r="E66" i="4"/>
  <c r="R329" i="3"/>
  <c r="E34" i="4" s="1"/>
  <c r="S329" i="3"/>
  <c r="L1035" i="3"/>
  <c r="O1035" i="3" s="1"/>
  <c r="Q1035" i="3" s="1"/>
  <c r="G80" i="15"/>
  <c r="D65" i="10"/>
  <c r="S1056" i="3"/>
  <c r="R1056" i="3"/>
  <c r="D33" i="10" s="1"/>
  <c r="Q82" i="15"/>
  <c r="L460" i="3"/>
  <c r="O460" i="3" s="1"/>
  <c r="Q460" i="3" s="1"/>
  <c r="L66" i="5"/>
  <c r="R1137" i="3"/>
  <c r="L34" i="5" s="1"/>
  <c r="S1137" i="3"/>
  <c r="L784" i="3"/>
  <c r="O784" i="3" s="1"/>
  <c r="Q784" i="3" s="1"/>
  <c r="L488" i="3"/>
  <c r="O488" i="3" s="1"/>
  <c r="Q488" i="3" s="1"/>
  <c r="J82" i="15"/>
  <c r="C64" i="8"/>
  <c r="R107" i="3"/>
  <c r="C32" i="8" s="1"/>
  <c r="S107" i="3"/>
  <c r="S1197" i="3"/>
  <c r="F66" i="4"/>
  <c r="R1197" i="3"/>
  <c r="F34" i="4" s="1"/>
  <c r="G65" i="6"/>
  <c r="R1036" i="3"/>
  <c r="G33" i="6" s="1"/>
  <c r="S1036" i="3"/>
  <c r="D111" i="15"/>
  <c r="L975" i="3"/>
  <c r="O975" i="3" s="1"/>
  <c r="Q975" i="3" s="1"/>
  <c r="L187" i="3"/>
  <c r="O187" i="3" s="1"/>
  <c r="Q187" i="3" s="1"/>
  <c r="L87" i="3"/>
  <c r="O87" i="3" s="1"/>
  <c r="Q87" i="3" s="1"/>
  <c r="M80" i="15"/>
  <c r="E60" i="6"/>
  <c r="S516" i="3"/>
  <c r="R516" i="3"/>
  <c r="E28" i="6" s="1"/>
  <c r="B63" i="12"/>
  <c r="R461" i="3"/>
  <c r="T55" i="15"/>
  <c r="S461" i="3"/>
  <c r="B65" i="4" l="1"/>
  <c r="R128" i="3"/>
  <c r="B33" i="4" s="1"/>
  <c r="S128" i="3"/>
  <c r="C65" i="7"/>
  <c r="R956" i="3"/>
  <c r="C33" i="7" s="1"/>
  <c r="S956" i="3"/>
  <c r="L722" i="3"/>
  <c r="O722" i="3" s="1"/>
  <c r="L514" i="3"/>
  <c r="O514" i="3" s="1"/>
  <c r="Q514" i="3" s="1"/>
  <c r="F86" i="15"/>
  <c r="H63" i="8"/>
  <c r="S1174" i="3"/>
  <c r="R1174" i="3"/>
  <c r="H31" i="8" s="1"/>
  <c r="P81" i="15"/>
  <c r="L875" i="3"/>
  <c r="O875" i="3" s="1"/>
  <c r="Q875" i="3" s="1"/>
  <c r="L757" i="3"/>
  <c r="O757" i="3" s="1"/>
  <c r="Q757" i="3" s="1"/>
  <c r="E31" i="10"/>
  <c r="F40" i="2"/>
  <c r="R1196" i="3"/>
  <c r="F33" i="4" s="1"/>
  <c r="F65" i="4"/>
  <c r="S1196" i="3"/>
  <c r="D63" i="8"/>
  <c r="R346" i="3"/>
  <c r="D31" i="8" s="1"/>
  <c r="S346" i="3"/>
  <c r="D64" i="10"/>
  <c r="R1055" i="3"/>
  <c r="D32" i="10" s="1"/>
  <c r="S1055" i="3"/>
  <c r="D65" i="5"/>
  <c r="R228" i="3"/>
  <c r="D33" i="5" s="1"/>
  <c r="S228" i="3"/>
  <c r="J65" i="5"/>
  <c r="S1096" i="3"/>
  <c r="R1096" i="3"/>
  <c r="J33" i="5" s="1"/>
  <c r="I60" i="6"/>
  <c r="S812" i="3"/>
  <c r="R812" i="3"/>
  <c r="I28" i="6" s="1"/>
  <c r="Q62" i="5"/>
  <c r="S668" i="3"/>
  <c r="R668" i="3"/>
  <c r="Q30" i="5" s="1"/>
  <c r="E65" i="4"/>
  <c r="S328" i="3"/>
  <c r="R328" i="3"/>
  <c r="E33" i="4" s="1"/>
  <c r="B63" i="8"/>
  <c r="R6" i="3"/>
  <c r="B31" i="8" s="1"/>
  <c r="S6" i="3"/>
  <c r="F113" i="15"/>
  <c r="C64" i="10"/>
  <c r="R287" i="3"/>
  <c r="C32" i="10" s="1"/>
  <c r="S287" i="3"/>
  <c r="G65" i="5"/>
  <c r="R936" i="3"/>
  <c r="G33" i="5" s="1"/>
  <c r="S936" i="3"/>
  <c r="B31" i="12"/>
  <c r="F44" i="2"/>
  <c r="D64" i="9"/>
  <c r="R975" i="3"/>
  <c r="D32" i="9" s="1"/>
  <c r="S975" i="3"/>
  <c r="G64" i="6"/>
  <c r="R1035" i="3"/>
  <c r="G32" i="6" s="1"/>
  <c r="S1035" i="3"/>
  <c r="D112" i="15"/>
  <c r="B62" i="12"/>
  <c r="R460" i="3"/>
  <c r="B30" i="12" s="1"/>
  <c r="S460" i="3"/>
  <c r="C64" i="11"/>
  <c r="S876" i="3"/>
  <c r="R876" i="3"/>
  <c r="C32" i="11" s="1"/>
  <c r="L604" i="3"/>
  <c r="O604" i="3" s="1"/>
  <c r="O86" i="15"/>
  <c r="F63" i="6"/>
  <c r="S727" i="3"/>
  <c r="R727" i="3"/>
  <c r="T44" i="15"/>
  <c r="Q726" i="3"/>
  <c r="L1255" i="3"/>
  <c r="O1255" i="3" s="1"/>
  <c r="Q1255" i="3" s="1"/>
  <c r="L955" i="3"/>
  <c r="O955" i="3" s="1"/>
  <c r="Q955" i="3" s="1"/>
  <c r="L167" i="3"/>
  <c r="O167" i="3" s="1"/>
  <c r="Q167" i="3" s="1"/>
  <c r="I80" i="15"/>
  <c r="E63" i="8"/>
  <c r="S894" i="3"/>
  <c r="R894" i="3"/>
  <c r="E31" i="8" s="1"/>
  <c r="G69" i="2"/>
  <c r="C65" i="5"/>
  <c r="R48" i="3"/>
  <c r="C33" i="5" s="1"/>
  <c r="S48" i="3"/>
  <c r="K65" i="5"/>
  <c r="R1116" i="3"/>
  <c r="K33" i="5" s="1"/>
  <c r="S1116" i="3"/>
  <c r="L811" i="3"/>
  <c r="O811" i="3" s="1"/>
  <c r="Q811" i="3" s="1"/>
  <c r="L545" i="3"/>
  <c r="O545" i="3" s="1"/>
  <c r="Q545" i="3" s="1"/>
  <c r="H85" i="15"/>
  <c r="N62" i="5"/>
  <c r="R402" i="3"/>
  <c r="T42" i="15"/>
  <c r="S402" i="3"/>
  <c r="G61" i="2"/>
  <c r="O62" i="5"/>
  <c r="S432" i="3"/>
  <c r="R432" i="3"/>
  <c r="O30" i="5" s="1"/>
  <c r="B65" i="7"/>
  <c r="R168" i="3"/>
  <c r="B33" i="7" s="1"/>
  <c r="S168" i="3"/>
  <c r="E111" i="15"/>
  <c r="F63" i="8"/>
  <c r="S1074" i="3"/>
  <c r="R1074" i="3"/>
  <c r="F31" i="8" s="1"/>
  <c r="E65" i="5"/>
  <c r="S248" i="3"/>
  <c r="R248" i="3"/>
  <c r="E33" i="5" s="1"/>
  <c r="L65" i="5"/>
  <c r="S1136" i="3"/>
  <c r="R1136" i="3"/>
  <c r="L33" i="5" s="1"/>
  <c r="L373" i="3"/>
  <c r="O373" i="3" s="1"/>
  <c r="Q373" i="3" s="1"/>
  <c r="R83" i="15"/>
  <c r="E62" i="7"/>
  <c r="S488" i="3"/>
  <c r="R488" i="3"/>
  <c r="E30" i="7" s="1"/>
  <c r="L1195" i="3"/>
  <c r="O1195" i="3" s="1"/>
  <c r="Q1195" i="3" s="1"/>
  <c r="L327" i="3"/>
  <c r="O327" i="3" s="1"/>
  <c r="Q327" i="3" s="1"/>
  <c r="L307" i="3"/>
  <c r="O307" i="3" s="1"/>
  <c r="Q307" i="3" s="1"/>
  <c r="L147" i="3"/>
  <c r="O147" i="3" s="1"/>
  <c r="Q147" i="3" s="1"/>
  <c r="L127" i="3"/>
  <c r="O127" i="3" s="1"/>
  <c r="Q127" i="3" s="1"/>
  <c r="B80" i="15"/>
  <c r="D65" i="7"/>
  <c r="R1256" i="3"/>
  <c r="D33" i="7" s="1"/>
  <c r="S1256" i="3"/>
  <c r="G63" i="8"/>
  <c r="R1154" i="3"/>
  <c r="G31" i="8" s="1"/>
  <c r="S1154" i="3"/>
  <c r="B31" i="13"/>
  <c r="F46" i="2"/>
  <c r="H65" i="5"/>
  <c r="R996" i="3"/>
  <c r="H33" i="5" s="1"/>
  <c r="S996" i="3"/>
  <c r="C80" i="15"/>
  <c r="L1215" i="3"/>
  <c r="O1215" i="3" s="1"/>
  <c r="Q1215" i="3" s="1"/>
  <c r="L1135" i="3"/>
  <c r="O1135" i="3" s="1"/>
  <c r="Q1135" i="3" s="1"/>
  <c r="L995" i="3"/>
  <c r="O995" i="3" s="1"/>
  <c r="Q995" i="3" s="1"/>
  <c r="L1095" i="3"/>
  <c r="O1095" i="3" s="1"/>
  <c r="Q1095" i="3" s="1"/>
  <c r="L1115" i="3"/>
  <c r="O1115" i="3" s="1"/>
  <c r="Q1115" i="3" s="1"/>
  <c r="L915" i="3"/>
  <c r="O915" i="3" s="1"/>
  <c r="Q915" i="3" s="1"/>
  <c r="L935" i="3"/>
  <c r="O935" i="3" s="1"/>
  <c r="Q935" i="3" s="1"/>
  <c r="L1015" i="3"/>
  <c r="O1015" i="3" s="1"/>
  <c r="Q1015" i="3" s="1"/>
  <c r="L227" i="3"/>
  <c r="O227" i="3" s="1"/>
  <c r="Q227" i="3" s="1"/>
  <c r="L247" i="3"/>
  <c r="O247" i="3" s="1"/>
  <c r="Q247" i="3" s="1"/>
  <c r="L27" i="3"/>
  <c r="O27" i="3" s="1"/>
  <c r="Q27" i="3" s="1"/>
  <c r="L47" i="3"/>
  <c r="O47" i="3" s="1"/>
  <c r="Q47" i="3" s="1"/>
  <c r="B62" i="13"/>
  <c r="S374" i="3"/>
  <c r="R374" i="3"/>
  <c r="B30" i="13" s="1"/>
  <c r="L636" i="3"/>
  <c r="O636" i="3" s="1"/>
  <c r="Q636" i="3" s="1"/>
  <c r="L84" i="15"/>
  <c r="E31" i="7"/>
  <c r="F32" i="2"/>
  <c r="P62" i="5"/>
  <c r="S578" i="3"/>
  <c r="R578" i="3"/>
  <c r="P30" i="5" s="1"/>
  <c r="L783" i="3"/>
  <c r="O783" i="3" s="1"/>
  <c r="Q783" i="3" s="1"/>
  <c r="L487" i="3"/>
  <c r="O487" i="3" s="1"/>
  <c r="Q487" i="3" s="1"/>
  <c r="J83" i="15"/>
  <c r="Q83" i="15"/>
  <c r="L459" i="3"/>
  <c r="O459" i="3" s="1"/>
  <c r="Q459" i="3" s="1"/>
  <c r="B64" i="11"/>
  <c r="R758" i="3"/>
  <c r="B32" i="11" s="1"/>
  <c r="S758" i="3"/>
  <c r="L974" i="3"/>
  <c r="O974" i="3" s="1"/>
  <c r="Q974" i="3" s="1"/>
  <c r="L186" i="3"/>
  <c r="O186" i="3" s="1"/>
  <c r="Q186" i="3" s="1"/>
  <c r="L86" i="3"/>
  <c r="O86" i="3" s="1"/>
  <c r="Q86" i="3" s="1"/>
  <c r="M81" i="15"/>
  <c r="F62" i="7"/>
  <c r="S784" i="3"/>
  <c r="R784" i="3"/>
  <c r="F30" i="7" s="1"/>
  <c r="I61" i="8"/>
  <c r="S637" i="3"/>
  <c r="R637" i="3"/>
  <c r="I29" i="8" s="1"/>
  <c r="R62" i="5"/>
  <c r="S698" i="3"/>
  <c r="R698" i="3"/>
  <c r="R30" i="5" s="1"/>
  <c r="L1234" i="3"/>
  <c r="O1234" i="3" s="1"/>
  <c r="Q1234" i="3" s="1"/>
  <c r="L206" i="3"/>
  <c r="O206" i="3" s="1"/>
  <c r="Q206" i="3" s="1"/>
  <c r="L66" i="3"/>
  <c r="O66" i="3" s="1"/>
  <c r="Q66" i="3" s="1"/>
  <c r="E81" i="15"/>
  <c r="E59" i="6"/>
  <c r="S515" i="3"/>
  <c r="R515" i="3"/>
  <c r="E27" i="6" s="1"/>
  <c r="L1173" i="3"/>
  <c r="O1173" i="3" s="1"/>
  <c r="Q1173" i="3" s="1"/>
  <c r="L1153" i="3"/>
  <c r="O1153" i="3" s="1"/>
  <c r="Q1153" i="3" s="1"/>
  <c r="L1073" i="3"/>
  <c r="O1073" i="3" s="1"/>
  <c r="Q1073" i="3" s="1"/>
  <c r="L893" i="3"/>
  <c r="O893" i="3" s="1"/>
  <c r="Q893" i="3" s="1"/>
  <c r="L345" i="3"/>
  <c r="O345" i="3" s="1"/>
  <c r="Q345" i="3" s="1"/>
  <c r="L5" i="3"/>
  <c r="O5" i="3" s="1"/>
  <c r="Q5" i="3" s="1"/>
  <c r="L105" i="3"/>
  <c r="O105" i="3" s="1"/>
  <c r="Q105" i="3" s="1"/>
  <c r="K82" i="15"/>
  <c r="K83" i="15" s="1"/>
  <c r="K84" i="15" s="1"/>
  <c r="K85" i="15" s="1"/>
  <c r="K86" i="15" s="1"/>
  <c r="K87" i="15" s="1"/>
  <c r="K88" i="15" s="1"/>
  <c r="K89" i="15" s="1"/>
  <c r="K90" i="15" s="1"/>
  <c r="L1054" i="3"/>
  <c r="O1054" i="3" s="1"/>
  <c r="Q1054" i="3" s="1"/>
  <c r="L266" i="3"/>
  <c r="O266" i="3" s="1"/>
  <c r="Q266" i="3" s="1"/>
  <c r="L286" i="3"/>
  <c r="O286" i="3" s="1"/>
  <c r="Q286" i="3" s="1"/>
  <c r="N81" i="15"/>
  <c r="F65" i="5"/>
  <c r="R916" i="3"/>
  <c r="F33" i="5" s="1"/>
  <c r="S916" i="3"/>
  <c r="S62" i="5"/>
  <c r="R844" i="3"/>
  <c r="S30" i="5" s="1"/>
  <c r="S844" i="3"/>
  <c r="C64" i="6"/>
  <c r="R207" i="3"/>
  <c r="C32" i="6" s="1"/>
  <c r="S207" i="3"/>
  <c r="I65" i="5"/>
  <c r="S1016" i="3"/>
  <c r="R1016" i="3"/>
  <c r="I33" i="5" s="1"/>
  <c r="B64" i="9"/>
  <c r="S87" i="3"/>
  <c r="R87" i="3"/>
  <c r="B32" i="9" s="1"/>
  <c r="G68" i="2"/>
  <c r="C64" i="9"/>
  <c r="R187" i="3"/>
  <c r="C32" i="9" s="1"/>
  <c r="S187" i="3"/>
  <c r="G81" i="15"/>
  <c r="L1034" i="3"/>
  <c r="O1034" i="3" s="1"/>
  <c r="Q1034" i="3" s="1"/>
  <c r="B64" i="6"/>
  <c r="R67" i="3"/>
  <c r="B32" i="6" s="1"/>
  <c r="S67" i="3"/>
  <c r="E62" i="10"/>
  <c r="R608" i="3"/>
  <c r="E30" i="10" s="1"/>
  <c r="S608" i="3"/>
  <c r="Q607" i="3"/>
  <c r="C65" i="4"/>
  <c r="R148" i="3"/>
  <c r="C33" i="4" s="1"/>
  <c r="S148" i="3"/>
  <c r="G66" i="2"/>
  <c r="D65" i="4"/>
  <c r="R308" i="3"/>
  <c r="D33" i="4" s="1"/>
  <c r="S308" i="3"/>
  <c r="C63" i="8"/>
  <c r="R106" i="3"/>
  <c r="C31" i="8" s="1"/>
  <c r="S106" i="3"/>
  <c r="B64" i="10"/>
  <c r="R267" i="3"/>
  <c r="B32" i="10" s="1"/>
  <c r="S267" i="3"/>
  <c r="G112" i="15"/>
  <c r="B65" i="5"/>
  <c r="R28" i="3"/>
  <c r="B33" i="5" s="1"/>
  <c r="S28" i="3"/>
  <c r="B111" i="15"/>
  <c r="M65" i="5"/>
  <c r="R1216" i="3"/>
  <c r="M33" i="5" s="1"/>
  <c r="S1216" i="3"/>
  <c r="H60" i="6"/>
  <c r="R546" i="3"/>
  <c r="H28" i="6" s="1"/>
  <c r="S546" i="3"/>
  <c r="L843" i="3"/>
  <c r="O843" i="3" s="1"/>
  <c r="Q843" i="3" s="1"/>
  <c r="L697" i="3"/>
  <c r="O697" i="3" s="1"/>
  <c r="Q697" i="3" s="1"/>
  <c r="L431" i="3"/>
  <c r="O431" i="3" s="1"/>
  <c r="Q431" i="3" s="1"/>
  <c r="L401" i="3"/>
  <c r="O401" i="3" s="1"/>
  <c r="Q401" i="3" s="1"/>
  <c r="L577" i="3"/>
  <c r="O577" i="3" s="1"/>
  <c r="Q577" i="3" s="1"/>
  <c r="L667" i="3"/>
  <c r="O667" i="3" s="1"/>
  <c r="Q667" i="3" s="1"/>
  <c r="D83" i="15"/>
  <c r="D64" i="6"/>
  <c r="S1235" i="3"/>
  <c r="R1235" i="3"/>
  <c r="D32" i="6" s="1"/>
  <c r="L842" i="3" l="1"/>
  <c r="O842" i="3" s="1"/>
  <c r="Q842" i="3" s="1"/>
  <c r="L576" i="3"/>
  <c r="O576" i="3" s="1"/>
  <c r="Q576" i="3" s="1"/>
  <c r="L666" i="3"/>
  <c r="O666" i="3" s="1"/>
  <c r="Q666" i="3" s="1"/>
  <c r="L400" i="3"/>
  <c r="O400" i="3" s="1"/>
  <c r="Q400" i="3" s="1"/>
  <c r="L430" i="3"/>
  <c r="O430" i="3" s="1"/>
  <c r="Q430" i="3" s="1"/>
  <c r="L696" i="3"/>
  <c r="O696" i="3" s="1"/>
  <c r="Q696" i="3" s="1"/>
  <c r="D84" i="15"/>
  <c r="E61" i="10"/>
  <c r="R607" i="3"/>
  <c r="E29" i="10" s="1"/>
  <c r="S607" i="3"/>
  <c r="Q606" i="3"/>
  <c r="G63" i="6"/>
  <c r="R1034" i="3"/>
  <c r="G31" i="6" s="1"/>
  <c r="S1034" i="3"/>
  <c r="D113" i="15"/>
  <c r="B63" i="10"/>
  <c r="R266" i="3"/>
  <c r="B31" i="10" s="1"/>
  <c r="S266" i="3"/>
  <c r="G113" i="15"/>
  <c r="G62" i="8"/>
  <c r="R1153" i="3"/>
  <c r="S1153" i="3"/>
  <c r="D63" i="6"/>
  <c r="S1234" i="3"/>
  <c r="R1234" i="3"/>
  <c r="D31" i="6" s="1"/>
  <c r="K64" i="5"/>
  <c r="R1115" i="3"/>
  <c r="K32" i="5" s="1"/>
  <c r="S1115" i="3"/>
  <c r="L1194" i="3"/>
  <c r="O1194" i="3" s="1"/>
  <c r="Q1194" i="3" s="1"/>
  <c r="L126" i="3"/>
  <c r="O126" i="3" s="1"/>
  <c r="Q126" i="3" s="1"/>
  <c r="L326" i="3"/>
  <c r="O326" i="3" s="1"/>
  <c r="Q326" i="3" s="1"/>
  <c r="L146" i="3"/>
  <c r="O146" i="3" s="1"/>
  <c r="Q146" i="3" s="1"/>
  <c r="L306" i="3"/>
  <c r="O306" i="3" s="1"/>
  <c r="Q306" i="3" s="1"/>
  <c r="B81" i="15"/>
  <c r="N30" i="5"/>
  <c r="F24" i="2"/>
  <c r="F31" i="6"/>
  <c r="F27" i="2"/>
  <c r="E58" i="6"/>
  <c r="S514" i="3"/>
  <c r="R514" i="3"/>
  <c r="E26" i="6" s="1"/>
  <c r="B64" i="5"/>
  <c r="R27" i="3"/>
  <c r="B32" i="5" s="1"/>
  <c r="S27" i="3"/>
  <c r="B112" i="15"/>
  <c r="H64" i="5"/>
  <c r="R995" i="3"/>
  <c r="H32" i="5" s="1"/>
  <c r="S995" i="3"/>
  <c r="B64" i="4"/>
  <c r="R127" i="3"/>
  <c r="B32" i="4" s="1"/>
  <c r="S127" i="3"/>
  <c r="L1254" i="3"/>
  <c r="O1254" i="3" s="1"/>
  <c r="Q1254" i="3" s="1"/>
  <c r="L954" i="3"/>
  <c r="O954" i="3" s="1"/>
  <c r="Q954" i="3" s="1"/>
  <c r="L166" i="3"/>
  <c r="O166" i="3" s="1"/>
  <c r="Q166" i="3" s="1"/>
  <c r="I81" i="15"/>
  <c r="B63" i="11"/>
  <c r="R757" i="3"/>
  <c r="T54" i="15"/>
  <c r="S757" i="3"/>
  <c r="G55" i="2"/>
  <c r="Q61" i="5"/>
  <c r="S667" i="3"/>
  <c r="R667" i="3"/>
  <c r="Q29" i="5" s="1"/>
  <c r="G82" i="15"/>
  <c r="G83" i="15" s="1"/>
  <c r="G84" i="15" s="1"/>
  <c r="G85" i="15" s="1"/>
  <c r="G86" i="15" s="1"/>
  <c r="G87" i="15" s="1"/>
  <c r="G88" i="15" s="1"/>
  <c r="G89" i="15" s="1"/>
  <c r="G90" i="15" s="1"/>
  <c r="L1033" i="3"/>
  <c r="O1033" i="3" s="1"/>
  <c r="Q1033" i="3" s="1"/>
  <c r="D63" i="10"/>
  <c r="S1054" i="3"/>
  <c r="R1054" i="3"/>
  <c r="D31" i="10" s="1"/>
  <c r="H62" i="8"/>
  <c r="R1173" i="3"/>
  <c r="S1173" i="3"/>
  <c r="C64" i="5"/>
  <c r="S47" i="3"/>
  <c r="R47" i="3"/>
  <c r="C32" i="5" s="1"/>
  <c r="J64" i="5"/>
  <c r="R1095" i="3"/>
  <c r="J32" i="5" s="1"/>
  <c r="S1095" i="3"/>
  <c r="P61" i="5"/>
  <c r="S577" i="3"/>
  <c r="R577" i="3"/>
  <c r="P29" i="5" s="1"/>
  <c r="C63" i="11"/>
  <c r="S875" i="3"/>
  <c r="R875" i="3"/>
  <c r="C31" i="11" s="1"/>
  <c r="P82" i="15"/>
  <c r="L874" i="3"/>
  <c r="O874" i="3" s="1"/>
  <c r="Q874" i="3" s="1"/>
  <c r="L756" i="3"/>
  <c r="O756" i="3" s="1"/>
  <c r="Q756" i="3" s="1"/>
  <c r="D62" i="8"/>
  <c r="R345" i="3"/>
  <c r="S345" i="3"/>
  <c r="L1233" i="3"/>
  <c r="O1233" i="3" s="1"/>
  <c r="Q1233" i="3" s="1"/>
  <c r="L205" i="3"/>
  <c r="O205" i="3" s="1"/>
  <c r="Q205" i="3" s="1"/>
  <c r="L65" i="3"/>
  <c r="O65" i="3" s="1"/>
  <c r="Q65" i="3" s="1"/>
  <c r="E82" i="15"/>
  <c r="E83" i="15" s="1"/>
  <c r="E84" i="15" s="1"/>
  <c r="E85" i="15" s="1"/>
  <c r="E86" i="15" s="1"/>
  <c r="E87" i="15" s="1"/>
  <c r="E88" i="15" s="1"/>
  <c r="E89" i="15" s="1"/>
  <c r="E90" i="15" s="1"/>
  <c r="D63" i="9"/>
  <c r="S974" i="3"/>
  <c r="R974" i="3"/>
  <c r="D31" i="9" s="1"/>
  <c r="E61" i="7"/>
  <c r="S487" i="3"/>
  <c r="R487" i="3"/>
  <c r="E29" i="7" s="1"/>
  <c r="I60" i="8"/>
  <c r="S636" i="3"/>
  <c r="R636" i="3"/>
  <c r="I28" i="8" s="1"/>
  <c r="I64" i="5"/>
  <c r="R1015" i="3"/>
  <c r="I32" i="5" s="1"/>
  <c r="S1015" i="3"/>
  <c r="C81" i="15"/>
  <c r="L1214" i="3"/>
  <c r="O1214" i="3" s="1"/>
  <c r="Q1214" i="3" s="1"/>
  <c r="L1134" i="3"/>
  <c r="O1134" i="3" s="1"/>
  <c r="Q1134" i="3" s="1"/>
  <c r="L1114" i="3"/>
  <c r="O1114" i="3" s="1"/>
  <c r="Q1114" i="3" s="1"/>
  <c r="L1094" i="3"/>
  <c r="O1094" i="3" s="1"/>
  <c r="Q1094" i="3" s="1"/>
  <c r="L1014" i="3"/>
  <c r="O1014" i="3" s="1"/>
  <c r="Q1014" i="3" s="1"/>
  <c r="L934" i="3"/>
  <c r="O934" i="3" s="1"/>
  <c r="Q934" i="3" s="1"/>
  <c r="L914" i="3"/>
  <c r="O914" i="3" s="1"/>
  <c r="Q914" i="3" s="1"/>
  <c r="L994" i="3"/>
  <c r="O994" i="3" s="1"/>
  <c r="Q994" i="3" s="1"/>
  <c r="L226" i="3"/>
  <c r="O226" i="3" s="1"/>
  <c r="Q226" i="3" s="1"/>
  <c r="L246" i="3"/>
  <c r="O246" i="3" s="1"/>
  <c r="Q246" i="3" s="1"/>
  <c r="L26" i="3"/>
  <c r="O26" i="3" s="1"/>
  <c r="Q26" i="3" s="1"/>
  <c r="L46" i="3"/>
  <c r="O46" i="3" s="1"/>
  <c r="Q46" i="3" s="1"/>
  <c r="E64" i="4"/>
  <c r="R327" i="3"/>
  <c r="E32" i="4" s="1"/>
  <c r="S327" i="3"/>
  <c r="H59" i="6"/>
  <c r="R545" i="3"/>
  <c r="H27" i="6" s="1"/>
  <c r="S545" i="3"/>
  <c r="D64" i="7"/>
  <c r="R1255" i="3"/>
  <c r="D32" i="7" s="1"/>
  <c r="S1255" i="3"/>
  <c r="L973" i="3"/>
  <c r="O973" i="3" s="1"/>
  <c r="Q973" i="3" s="1"/>
  <c r="L185" i="3"/>
  <c r="O185" i="3" s="1"/>
  <c r="Q185" i="3" s="1"/>
  <c r="L85" i="3"/>
  <c r="O85" i="3" s="1"/>
  <c r="Q85" i="3" s="1"/>
  <c r="M82" i="15"/>
  <c r="M83" i="15" s="1"/>
  <c r="M84" i="15" s="1"/>
  <c r="M85" i="15" s="1"/>
  <c r="M86" i="15" s="1"/>
  <c r="M87" i="15" s="1"/>
  <c r="M88" i="15" s="1"/>
  <c r="M89" i="15" s="1"/>
  <c r="M90" i="15" s="1"/>
  <c r="B61" i="12"/>
  <c r="R459" i="3"/>
  <c r="B29" i="12" s="1"/>
  <c r="S459" i="3"/>
  <c r="N61" i="5"/>
  <c r="R401" i="3"/>
  <c r="N29" i="5" s="1"/>
  <c r="S401" i="3"/>
  <c r="C62" i="8"/>
  <c r="R105" i="3"/>
  <c r="S105" i="3"/>
  <c r="B63" i="9"/>
  <c r="R86" i="3"/>
  <c r="B31" i="9" s="1"/>
  <c r="S86" i="3"/>
  <c r="L458" i="3"/>
  <c r="O458" i="3" s="1"/>
  <c r="Q458" i="3" s="1"/>
  <c r="Q84" i="15"/>
  <c r="E64" i="5"/>
  <c r="R247" i="3"/>
  <c r="E32" i="5" s="1"/>
  <c r="S247" i="3"/>
  <c r="L64" i="5"/>
  <c r="R1135" i="3"/>
  <c r="L32" i="5" s="1"/>
  <c r="S1135" i="3"/>
  <c r="C64" i="4"/>
  <c r="R147" i="3"/>
  <c r="C32" i="4" s="1"/>
  <c r="S147" i="3"/>
  <c r="L372" i="3"/>
  <c r="O372" i="3" s="1"/>
  <c r="Q372" i="3" s="1"/>
  <c r="R84" i="15"/>
  <c r="I59" i="6"/>
  <c r="S811" i="3"/>
  <c r="R811" i="3"/>
  <c r="I27" i="6" s="1"/>
  <c r="F62" i="6"/>
  <c r="S726" i="3"/>
  <c r="R726" i="3"/>
  <c r="F30" i="6" s="1"/>
  <c r="C114" i="15"/>
  <c r="L8" i="2" s="1"/>
  <c r="Q725" i="3"/>
  <c r="B64" i="7"/>
  <c r="S167" i="3"/>
  <c r="R167" i="3"/>
  <c r="B32" i="7" s="1"/>
  <c r="E112" i="15"/>
  <c r="O61" i="5"/>
  <c r="R431" i="3"/>
  <c r="O29" i="5" s="1"/>
  <c r="S431" i="3"/>
  <c r="B62" i="8"/>
  <c r="G11" i="2"/>
  <c r="R5" i="3"/>
  <c r="S5" i="3"/>
  <c r="U49" i="15"/>
  <c r="F114" i="15"/>
  <c r="L11" i="2" s="1"/>
  <c r="C63" i="9"/>
  <c r="R186" i="3"/>
  <c r="C31" i="9" s="1"/>
  <c r="S186" i="3"/>
  <c r="L782" i="3"/>
  <c r="O782" i="3" s="1"/>
  <c r="Q782" i="3" s="1"/>
  <c r="L486" i="3"/>
  <c r="O486" i="3" s="1"/>
  <c r="Q486" i="3" s="1"/>
  <c r="J84" i="15"/>
  <c r="L635" i="3"/>
  <c r="O635" i="3" s="1"/>
  <c r="Q635" i="3" s="1"/>
  <c r="L85" i="15"/>
  <c r="D64" i="5"/>
  <c r="R227" i="3"/>
  <c r="D32" i="5" s="1"/>
  <c r="S227" i="3"/>
  <c r="S1215" i="3"/>
  <c r="M64" i="5"/>
  <c r="R1215" i="3"/>
  <c r="M32" i="5" s="1"/>
  <c r="D64" i="4"/>
  <c r="R307" i="3"/>
  <c r="D32" i="4" s="1"/>
  <c r="S307" i="3"/>
  <c r="B61" i="13"/>
  <c r="R373" i="3"/>
  <c r="B29" i="13" s="1"/>
  <c r="S373" i="3"/>
  <c r="H86" i="15"/>
  <c r="L810" i="3"/>
  <c r="O810" i="3" s="1"/>
  <c r="Q810" i="3" s="1"/>
  <c r="L544" i="3"/>
  <c r="O544" i="3" s="1"/>
  <c r="Q544" i="3" s="1"/>
  <c r="C64" i="7"/>
  <c r="R955" i="3"/>
  <c r="C32" i="7" s="1"/>
  <c r="S955" i="3"/>
  <c r="L603" i="3"/>
  <c r="O603" i="3" s="1"/>
  <c r="O87" i="15"/>
  <c r="R61" i="5"/>
  <c r="S697" i="3"/>
  <c r="R697" i="3"/>
  <c r="R29" i="5" s="1"/>
  <c r="S61" i="5"/>
  <c r="S843" i="3"/>
  <c r="R843" i="3"/>
  <c r="S29" i="5" s="1"/>
  <c r="L1053" i="3"/>
  <c r="O1053" i="3" s="1"/>
  <c r="Q1053" i="3" s="1"/>
  <c r="L285" i="3"/>
  <c r="O285" i="3" s="1"/>
  <c r="Q285" i="3" s="1"/>
  <c r="L265" i="3"/>
  <c r="O265" i="3" s="1"/>
  <c r="Q265" i="3" s="1"/>
  <c r="N82" i="15"/>
  <c r="N83" i="15" s="1"/>
  <c r="N84" i="15" s="1"/>
  <c r="N85" i="15" s="1"/>
  <c r="N86" i="15" s="1"/>
  <c r="N87" i="15" s="1"/>
  <c r="N88" i="15" s="1"/>
  <c r="N89" i="15" s="1"/>
  <c r="N90" i="15" s="1"/>
  <c r="E62" i="8"/>
  <c r="S893" i="3"/>
  <c r="R893" i="3"/>
  <c r="B63" i="6"/>
  <c r="R66" i="3"/>
  <c r="B31" i="6" s="1"/>
  <c r="S66" i="3"/>
  <c r="F61" i="7"/>
  <c r="S783" i="3"/>
  <c r="R783" i="3"/>
  <c r="F29" i="7" s="1"/>
  <c r="G64" i="5"/>
  <c r="S935" i="3"/>
  <c r="R935" i="3"/>
  <c r="G32" i="5" s="1"/>
  <c r="S1195" i="3"/>
  <c r="R1195" i="3"/>
  <c r="F32" i="4" s="1"/>
  <c r="F64" i="4"/>
  <c r="C63" i="10"/>
  <c r="S286" i="3"/>
  <c r="R286" i="3"/>
  <c r="C31" i="10" s="1"/>
  <c r="F62" i="8"/>
  <c r="R1073" i="3"/>
  <c r="S1073" i="3"/>
  <c r="C63" i="6"/>
  <c r="S206" i="3"/>
  <c r="R206" i="3"/>
  <c r="C31" i="6" s="1"/>
  <c r="F64" i="5"/>
  <c r="R915" i="3"/>
  <c r="F32" i="5" s="1"/>
  <c r="S915" i="3"/>
  <c r="G57" i="2"/>
  <c r="C113" i="15"/>
  <c r="L721" i="3"/>
  <c r="O721" i="3" s="1"/>
  <c r="L513" i="3"/>
  <c r="O513" i="3" s="1"/>
  <c r="Q513" i="3" s="1"/>
  <c r="F87" i="15"/>
  <c r="F30" i="8" l="1"/>
  <c r="F18" i="8"/>
  <c r="F61" i="6"/>
  <c r="R725" i="3"/>
  <c r="F29" i="6" s="1"/>
  <c r="S725" i="3"/>
  <c r="Q724" i="3"/>
  <c r="L371" i="3"/>
  <c r="O371" i="3" s="1"/>
  <c r="Q371" i="3" s="1"/>
  <c r="R85" i="15"/>
  <c r="B63" i="5"/>
  <c r="R26" i="3"/>
  <c r="B31" i="5" s="1"/>
  <c r="S26" i="3"/>
  <c r="B113" i="15"/>
  <c r="K63" i="5"/>
  <c r="R1114" i="3"/>
  <c r="K31" i="5" s="1"/>
  <c r="S1114" i="3"/>
  <c r="C62" i="11"/>
  <c r="S874" i="3"/>
  <c r="R874" i="3"/>
  <c r="C30" i="11" s="1"/>
  <c r="L1253" i="3"/>
  <c r="O1253" i="3" s="1"/>
  <c r="Q1253" i="3" s="1"/>
  <c r="L953" i="3"/>
  <c r="O953" i="3" s="1"/>
  <c r="Q953" i="3" s="1"/>
  <c r="L165" i="3"/>
  <c r="O165" i="3" s="1"/>
  <c r="Q165" i="3" s="1"/>
  <c r="I82" i="15"/>
  <c r="I83" i="15" s="1"/>
  <c r="I84" i="15" s="1"/>
  <c r="I85" i="15" s="1"/>
  <c r="I86" i="15" s="1"/>
  <c r="I87" i="15" s="1"/>
  <c r="I88" i="15" s="1"/>
  <c r="I89" i="15" s="1"/>
  <c r="I90" i="15" s="1"/>
  <c r="E30" i="8"/>
  <c r="E18" i="8"/>
  <c r="L634" i="3"/>
  <c r="O634" i="3" s="1"/>
  <c r="Q634" i="3" s="1"/>
  <c r="L86" i="15"/>
  <c r="L720" i="3"/>
  <c r="O720" i="3" s="1"/>
  <c r="L512" i="3"/>
  <c r="O512" i="3" s="1"/>
  <c r="Q512" i="3" s="1"/>
  <c r="F88" i="15"/>
  <c r="H58" i="6"/>
  <c r="R544" i="3"/>
  <c r="H26" i="6" s="1"/>
  <c r="S544" i="3"/>
  <c r="I59" i="8"/>
  <c r="S635" i="3"/>
  <c r="R635" i="3"/>
  <c r="I27" i="8" s="1"/>
  <c r="E57" i="6"/>
  <c r="S513" i="3"/>
  <c r="R513" i="3"/>
  <c r="E25" i="6" s="1"/>
  <c r="I58" i="6"/>
  <c r="R810" i="3"/>
  <c r="I26" i="6" s="1"/>
  <c r="S810" i="3"/>
  <c r="L781" i="3"/>
  <c r="O781" i="3" s="1"/>
  <c r="Q781" i="3" s="1"/>
  <c r="L485" i="3"/>
  <c r="O485" i="3" s="1"/>
  <c r="Q485" i="3" s="1"/>
  <c r="J85" i="15"/>
  <c r="D62" i="10"/>
  <c r="R1053" i="3"/>
  <c r="S1053" i="3"/>
  <c r="C63" i="5"/>
  <c r="R46" i="3"/>
  <c r="C31" i="5" s="1"/>
  <c r="S46" i="3"/>
  <c r="J63" i="5"/>
  <c r="S1094" i="3"/>
  <c r="R1094" i="3"/>
  <c r="J31" i="5" s="1"/>
  <c r="B62" i="11"/>
  <c r="R756" i="3"/>
  <c r="B30" i="11" s="1"/>
  <c r="S756" i="3"/>
  <c r="H30" i="8"/>
  <c r="H18" i="8"/>
  <c r="C63" i="4"/>
  <c r="R146" i="3"/>
  <c r="C31" i="4" s="1"/>
  <c r="S146" i="3"/>
  <c r="E63" i="4"/>
  <c r="S326" i="3"/>
  <c r="R326" i="3"/>
  <c r="E31" i="4" s="1"/>
  <c r="L841" i="3"/>
  <c r="O841" i="3" s="1"/>
  <c r="Q841" i="3" s="1"/>
  <c r="L695" i="3"/>
  <c r="O695" i="3" s="1"/>
  <c r="Q695" i="3" s="1"/>
  <c r="L429" i="3"/>
  <c r="O429" i="3" s="1"/>
  <c r="Q429" i="3" s="1"/>
  <c r="L575" i="3"/>
  <c r="O575" i="3" s="1"/>
  <c r="Q575" i="3" s="1"/>
  <c r="L665" i="3"/>
  <c r="O665" i="3" s="1"/>
  <c r="Q665" i="3" s="1"/>
  <c r="L399" i="3"/>
  <c r="O399" i="3" s="1"/>
  <c r="Q399" i="3" s="1"/>
  <c r="D85" i="15"/>
  <c r="B60" i="13"/>
  <c r="S372" i="3"/>
  <c r="R372" i="3"/>
  <c r="B28" i="13" s="1"/>
  <c r="C18" i="8"/>
  <c r="C30" i="8"/>
  <c r="E63" i="5"/>
  <c r="S246" i="3"/>
  <c r="R246" i="3"/>
  <c r="E31" i="5" s="1"/>
  <c r="L63" i="5"/>
  <c r="R1134" i="3"/>
  <c r="L31" i="5" s="1"/>
  <c r="S1134" i="3"/>
  <c r="B62" i="6"/>
  <c r="G8" i="2"/>
  <c r="R65" i="3"/>
  <c r="U43" i="15"/>
  <c r="S65" i="3"/>
  <c r="P83" i="15"/>
  <c r="L873" i="3"/>
  <c r="O873" i="3" s="1"/>
  <c r="Q873" i="3" s="1"/>
  <c r="L755" i="3"/>
  <c r="O755" i="3" s="1"/>
  <c r="Q755" i="3" s="1"/>
  <c r="B63" i="7"/>
  <c r="R166" i="3"/>
  <c r="B31" i="7" s="1"/>
  <c r="S166" i="3"/>
  <c r="E113" i="15"/>
  <c r="B63" i="4"/>
  <c r="R126" i="3"/>
  <c r="B31" i="4" s="1"/>
  <c r="S126" i="3"/>
  <c r="R60" i="5"/>
  <c r="S696" i="3"/>
  <c r="R696" i="3"/>
  <c r="R28" i="5" s="1"/>
  <c r="B62" i="9"/>
  <c r="G12" i="2"/>
  <c r="F12" i="2"/>
  <c r="S85" i="3"/>
  <c r="R85" i="3"/>
  <c r="U51" i="15"/>
  <c r="D63" i="5"/>
  <c r="R226" i="3"/>
  <c r="D31" i="5" s="1"/>
  <c r="S226" i="3"/>
  <c r="M63" i="5"/>
  <c r="S1214" i="3"/>
  <c r="R1214" i="3"/>
  <c r="M31" i="5" s="1"/>
  <c r="C62" i="6"/>
  <c r="R205" i="3"/>
  <c r="S205" i="3"/>
  <c r="C63" i="7"/>
  <c r="R954" i="3"/>
  <c r="C31" i="7" s="1"/>
  <c r="S954" i="3"/>
  <c r="F63" i="4"/>
  <c r="S1194" i="3"/>
  <c r="R1194" i="3"/>
  <c r="F31" i="4" s="1"/>
  <c r="G18" i="8"/>
  <c r="G30" i="8"/>
  <c r="O60" i="5"/>
  <c r="S430" i="3"/>
  <c r="R430" i="3"/>
  <c r="O28" i="5" s="1"/>
  <c r="H62" i="2"/>
  <c r="V49" i="15"/>
  <c r="I62" i="2" s="1"/>
  <c r="L457" i="3"/>
  <c r="O457" i="3" s="1"/>
  <c r="Q457" i="3" s="1"/>
  <c r="Q85" i="15"/>
  <c r="C62" i="9"/>
  <c r="R185" i="3"/>
  <c r="S185" i="3"/>
  <c r="H63" i="5"/>
  <c r="R994" i="3"/>
  <c r="H31" i="5" s="1"/>
  <c r="S994" i="3"/>
  <c r="L1213" i="3"/>
  <c r="O1213" i="3" s="1"/>
  <c r="Q1213" i="3" s="1"/>
  <c r="L1093" i="3"/>
  <c r="O1093" i="3" s="1"/>
  <c r="Q1093" i="3" s="1"/>
  <c r="L1113" i="3"/>
  <c r="O1113" i="3" s="1"/>
  <c r="Q1113" i="3" s="1"/>
  <c r="L993" i="3"/>
  <c r="O993" i="3" s="1"/>
  <c r="Q993" i="3" s="1"/>
  <c r="L1133" i="3"/>
  <c r="O1133" i="3" s="1"/>
  <c r="Q1133" i="3" s="1"/>
  <c r="L1013" i="3"/>
  <c r="O1013" i="3" s="1"/>
  <c r="Q1013" i="3" s="1"/>
  <c r="L933" i="3"/>
  <c r="O933" i="3" s="1"/>
  <c r="Q933" i="3" s="1"/>
  <c r="L913" i="3"/>
  <c r="O913" i="3" s="1"/>
  <c r="Q913" i="3" s="1"/>
  <c r="L245" i="3"/>
  <c r="O245" i="3" s="1"/>
  <c r="Q245" i="3" s="1"/>
  <c r="L45" i="3"/>
  <c r="O45" i="3" s="1"/>
  <c r="Q45" i="3" s="1"/>
  <c r="L225" i="3"/>
  <c r="O225" i="3" s="1"/>
  <c r="Q225" i="3" s="1"/>
  <c r="L25" i="3"/>
  <c r="O25" i="3" s="1"/>
  <c r="Q25" i="3" s="1"/>
  <c r="C82" i="15"/>
  <c r="C83" i="15" s="1"/>
  <c r="C84" i="15" s="1"/>
  <c r="C85" i="15" s="1"/>
  <c r="C86" i="15" s="1"/>
  <c r="C87" i="15" s="1"/>
  <c r="C88" i="15" s="1"/>
  <c r="C89" i="15" s="1"/>
  <c r="C90" i="15" s="1"/>
  <c r="D62" i="6"/>
  <c r="S1233" i="3"/>
  <c r="R1233" i="3"/>
  <c r="D63" i="7"/>
  <c r="R1254" i="3"/>
  <c r="D31" i="7" s="1"/>
  <c r="S1254" i="3"/>
  <c r="N60" i="5"/>
  <c r="R400" i="3"/>
  <c r="N28" i="5" s="1"/>
  <c r="S400" i="3"/>
  <c r="E60" i="10"/>
  <c r="R606" i="3"/>
  <c r="E28" i="10" s="1"/>
  <c r="S606" i="3"/>
  <c r="Q605" i="3"/>
  <c r="Q60" i="5"/>
  <c r="S666" i="3"/>
  <c r="R666" i="3"/>
  <c r="Q28" i="5" s="1"/>
  <c r="B60" i="12"/>
  <c r="R458" i="3"/>
  <c r="B28" i="12" s="1"/>
  <c r="S458" i="3"/>
  <c r="D62" i="9"/>
  <c r="R973" i="3"/>
  <c r="S973" i="3"/>
  <c r="F63" i="5"/>
  <c r="R914" i="3"/>
  <c r="F31" i="5" s="1"/>
  <c r="S914" i="3"/>
  <c r="G62" i="6"/>
  <c r="R1033" i="3"/>
  <c r="G9" i="2"/>
  <c r="U45" i="15"/>
  <c r="S1033" i="3"/>
  <c r="D114" i="15"/>
  <c r="L9" i="2" s="1"/>
  <c r="B62" i="10"/>
  <c r="R265" i="3"/>
  <c r="G13" i="2"/>
  <c r="U52" i="15"/>
  <c r="S265" i="3"/>
  <c r="G114" i="15"/>
  <c r="L13" i="2" s="1"/>
  <c r="L809" i="3"/>
  <c r="O809" i="3" s="1"/>
  <c r="Q809" i="3" s="1"/>
  <c r="L543" i="3"/>
  <c r="O543" i="3" s="1"/>
  <c r="Q543" i="3" s="1"/>
  <c r="H87" i="15"/>
  <c r="E60" i="7"/>
  <c r="S486" i="3"/>
  <c r="R486" i="3"/>
  <c r="E28" i="7" s="1"/>
  <c r="G63" i="5"/>
  <c r="S934" i="3"/>
  <c r="R934" i="3"/>
  <c r="G31" i="5" s="1"/>
  <c r="D30" i="8"/>
  <c r="D18" i="8"/>
  <c r="G67" i="2"/>
  <c r="L1193" i="3"/>
  <c r="O1193" i="3" s="1"/>
  <c r="Q1193" i="3" s="1"/>
  <c r="L325" i="3"/>
  <c r="O325" i="3" s="1"/>
  <c r="Q325" i="3" s="1"/>
  <c r="L125" i="3"/>
  <c r="O125" i="3" s="1"/>
  <c r="Q125" i="3" s="1"/>
  <c r="L305" i="3"/>
  <c r="O305" i="3" s="1"/>
  <c r="Q305" i="3" s="1"/>
  <c r="L145" i="3"/>
  <c r="O145" i="3" s="1"/>
  <c r="Q145" i="3" s="1"/>
  <c r="B82" i="15"/>
  <c r="B83" i="15" s="1"/>
  <c r="B84" i="15" s="1"/>
  <c r="B85" i="15" s="1"/>
  <c r="B86" i="15" s="1"/>
  <c r="B87" i="15" s="1"/>
  <c r="B88" i="15" s="1"/>
  <c r="B89" i="15" s="1"/>
  <c r="B90" i="15" s="1"/>
  <c r="P60" i="5"/>
  <c r="S576" i="3"/>
  <c r="R576" i="3"/>
  <c r="P28" i="5" s="1"/>
  <c r="C62" i="10"/>
  <c r="R285" i="3"/>
  <c r="S285" i="3"/>
  <c r="L602" i="3"/>
  <c r="O602" i="3" s="1"/>
  <c r="O88" i="15"/>
  <c r="F60" i="7"/>
  <c r="S782" i="3"/>
  <c r="R782" i="3"/>
  <c r="F28" i="7" s="1"/>
  <c r="B30" i="8"/>
  <c r="B18" i="8"/>
  <c r="I34" i="2"/>
  <c r="H34" i="2"/>
  <c r="G34" i="2"/>
  <c r="I63" i="5"/>
  <c r="S1014" i="3"/>
  <c r="R1014" i="3"/>
  <c r="I31" i="5" s="1"/>
  <c r="B31" i="11"/>
  <c r="F42" i="2"/>
  <c r="D63" i="4"/>
  <c r="R306" i="3"/>
  <c r="D31" i="4" s="1"/>
  <c r="S306" i="3"/>
  <c r="S60" i="5"/>
  <c r="R842" i="3"/>
  <c r="S28" i="5" s="1"/>
  <c r="S842" i="3"/>
  <c r="H56" i="2" l="1"/>
  <c r="V43" i="15"/>
  <c r="I56" i="2" s="1"/>
  <c r="L840" i="3"/>
  <c r="O840" i="3" s="1"/>
  <c r="Q840" i="3" s="1"/>
  <c r="L574" i="3"/>
  <c r="O574" i="3" s="1"/>
  <c r="Q574" i="3" s="1"/>
  <c r="L694" i="3"/>
  <c r="O694" i="3" s="1"/>
  <c r="Q694" i="3" s="1"/>
  <c r="L664" i="3"/>
  <c r="O664" i="3" s="1"/>
  <c r="Q664" i="3" s="1"/>
  <c r="L428" i="3"/>
  <c r="O428" i="3" s="1"/>
  <c r="Q428" i="3" s="1"/>
  <c r="L398" i="3"/>
  <c r="O398" i="3" s="1"/>
  <c r="Q398" i="3" s="1"/>
  <c r="D86" i="15"/>
  <c r="L370" i="3"/>
  <c r="O370" i="3" s="1"/>
  <c r="Q370" i="3" s="1"/>
  <c r="R86" i="15"/>
  <c r="C62" i="4"/>
  <c r="R145" i="3"/>
  <c r="S145" i="3"/>
  <c r="H57" i="6"/>
  <c r="R543" i="3"/>
  <c r="H25" i="6" s="1"/>
  <c r="S543" i="3"/>
  <c r="I62" i="5"/>
  <c r="R1013" i="3"/>
  <c r="S1013" i="3"/>
  <c r="D62" i="4"/>
  <c r="R305" i="3"/>
  <c r="S305" i="3"/>
  <c r="I57" i="6"/>
  <c r="S809" i="3"/>
  <c r="R809" i="3"/>
  <c r="I25" i="6" s="1"/>
  <c r="L62" i="5"/>
  <c r="R1133" i="3"/>
  <c r="S1133" i="3"/>
  <c r="N59" i="5"/>
  <c r="R399" i="3"/>
  <c r="N27" i="5" s="1"/>
  <c r="S399" i="3"/>
  <c r="B59" i="13"/>
  <c r="R371" i="3"/>
  <c r="B27" i="13" s="1"/>
  <c r="S371" i="3"/>
  <c r="B62" i="5"/>
  <c r="R25" i="3"/>
  <c r="G7" i="2"/>
  <c r="U41" i="15"/>
  <c r="S25" i="3"/>
  <c r="B114" i="15"/>
  <c r="L7" i="2" s="1"/>
  <c r="H62" i="5"/>
  <c r="R993" i="3"/>
  <c r="S993" i="3"/>
  <c r="C30" i="9"/>
  <c r="C18" i="9"/>
  <c r="B18" i="6"/>
  <c r="B30" i="6"/>
  <c r="I26" i="2"/>
  <c r="H26" i="2"/>
  <c r="G26" i="2"/>
  <c r="Q59" i="5"/>
  <c r="S665" i="3"/>
  <c r="R665" i="3"/>
  <c r="Q27" i="5" s="1"/>
  <c r="D18" i="10"/>
  <c r="D30" i="10"/>
  <c r="F60" i="6"/>
  <c r="S724" i="3"/>
  <c r="R724" i="3"/>
  <c r="F28" i="6" s="1"/>
  <c r="Q723" i="3"/>
  <c r="P59" i="5"/>
  <c r="S575" i="3"/>
  <c r="R575" i="3"/>
  <c r="P27" i="5" s="1"/>
  <c r="L719" i="3"/>
  <c r="O719" i="3" s="1"/>
  <c r="L511" i="3"/>
  <c r="O511" i="3" s="1"/>
  <c r="Q511" i="3" s="1"/>
  <c r="F89" i="15"/>
  <c r="B62" i="7"/>
  <c r="S165" i="3"/>
  <c r="R165" i="3"/>
  <c r="G10" i="2"/>
  <c r="U47" i="15"/>
  <c r="E114" i="15"/>
  <c r="L10" i="2" s="1"/>
  <c r="C30" i="10"/>
  <c r="C18" i="10"/>
  <c r="B62" i="4"/>
  <c r="G6" i="2"/>
  <c r="R125" i="3"/>
  <c r="U40" i="15"/>
  <c r="S125" i="3"/>
  <c r="E62" i="5"/>
  <c r="R245" i="3"/>
  <c r="S245" i="3"/>
  <c r="M62" i="5"/>
  <c r="S1213" i="3"/>
  <c r="R1213" i="3"/>
  <c r="B59" i="12"/>
  <c r="R457" i="3"/>
  <c r="B27" i="12" s="1"/>
  <c r="S457" i="3"/>
  <c r="B18" i="9"/>
  <c r="B30" i="9"/>
  <c r="I37" i="2"/>
  <c r="I38" i="2" s="1"/>
  <c r="E12" i="2"/>
  <c r="H37" i="2"/>
  <c r="H38" i="2" s="1"/>
  <c r="K12" i="2"/>
  <c r="G37" i="2"/>
  <c r="C61" i="11"/>
  <c r="S873" i="3"/>
  <c r="R873" i="3"/>
  <c r="C29" i="11" s="1"/>
  <c r="R59" i="5"/>
  <c r="S695" i="3"/>
  <c r="R695" i="3"/>
  <c r="R27" i="5" s="1"/>
  <c r="E59" i="7"/>
  <c r="S485" i="3"/>
  <c r="R485" i="3"/>
  <c r="E27" i="7" s="1"/>
  <c r="D62" i="7"/>
  <c r="R1253" i="3"/>
  <c r="S1253" i="3"/>
  <c r="E62" i="4"/>
  <c r="R325" i="3"/>
  <c r="S325" i="3"/>
  <c r="D62" i="5"/>
  <c r="R225" i="3"/>
  <c r="S225" i="3"/>
  <c r="K62" i="5"/>
  <c r="R1113" i="3"/>
  <c r="S1113" i="3"/>
  <c r="S1193" i="3"/>
  <c r="F62" i="4"/>
  <c r="R1193" i="3"/>
  <c r="H65" i="2"/>
  <c r="V52" i="15"/>
  <c r="I65" i="2" s="1"/>
  <c r="H64" i="2"/>
  <c r="V51" i="15"/>
  <c r="I64" i="2" s="1"/>
  <c r="B61" i="11"/>
  <c r="R755" i="3"/>
  <c r="B29" i="11" s="1"/>
  <c r="S755" i="3"/>
  <c r="O59" i="5"/>
  <c r="S429" i="3"/>
  <c r="R429" i="3"/>
  <c r="O27" i="5" s="1"/>
  <c r="L780" i="3"/>
  <c r="O780" i="3" s="1"/>
  <c r="Q780" i="3" s="1"/>
  <c r="L484" i="3"/>
  <c r="O484" i="3" s="1"/>
  <c r="Q484" i="3" s="1"/>
  <c r="J86" i="15"/>
  <c r="E56" i="6"/>
  <c r="S512" i="3"/>
  <c r="R512" i="3"/>
  <c r="E24" i="6" s="1"/>
  <c r="C62" i="7"/>
  <c r="R953" i="3"/>
  <c r="S953" i="3"/>
  <c r="G18" i="6"/>
  <c r="G30" i="6"/>
  <c r="I28" i="2"/>
  <c r="H28" i="2"/>
  <c r="G28" i="2"/>
  <c r="D30" i="6"/>
  <c r="D18" i="6"/>
  <c r="F62" i="5"/>
  <c r="R913" i="3"/>
  <c r="S913" i="3"/>
  <c r="L754" i="3"/>
  <c r="O754" i="3" s="1"/>
  <c r="Q754" i="3" s="1"/>
  <c r="L872" i="3"/>
  <c r="O872" i="3" s="1"/>
  <c r="Q872" i="3" s="1"/>
  <c r="P84" i="15"/>
  <c r="S59" i="5"/>
  <c r="S841" i="3"/>
  <c r="R841" i="3"/>
  <c r="S27" i="5" s="1"/>
  <c r="F59" i="7"/>
  <c r="S781" i="3"/>
  <c r="R781" i="3"/>
  <c r="F27" i="7" s="1"/>
  <c r="L87" i="15"/>
  <c r="L633" i="3"/>
  <c r="O633" i="3" s="1"/>
  <c r="Q633" i="3" s="1"/>
  <c r="H58" i="2"/>
  <c r="V45" i="15"/>
  <c r="I58" i="2" s="1"/>
  <c r="D30" i="9"/>
  <c r="D18" i="9"/>
  <c r="E59" i="10"/>
  <c r="R605" i="3"/>
  <c r="E27" i="10" s="1"/>
  <c r="S605" i="3"/>
  <c r="Q604" i="3"/>
  <c r="C62" i="5"/>
  <c r="S45" i="3"/>
  <c r="R45" i="3"/>
  <c r="J62" i="5"/>
  <c r="R1093" i="3"/>
  <c r="S1093" i="3"/>
  <c r="Q86" i="15"/>
  <c r="L456" i="3"/>
  <c r="O456" i="3" s="1"/>
  <c r="Q456" i="3" s="1"/>
  <c r="C30" i="6"/>
  <c r="C18" i="6"/>
  <c r="L601" i="3"/>
  <c r="O601" i="3" s="1"/>
  <c r="O89" i="15"/>
  <c r="L542" i="3"/>
  <c r="O542" i="3" s="1"/>
  <c r="Q542" i="3" s="1"/>
  <c r="L808" i="3"/>
  <c r="O808" i="3" s="1"/>
  <c r="Q808" i="3" s="1"/>
  <c r="H88" i="15"/>
  <c r="B30" i="10"/>
  <c r="B18" i="10"/>
  <c r="I39" i="2"/>
  <c r="H39" i="2"/>
  <c r="G39" i="2"/>
  <c r="G62" i="5"/>
  <c r="S933" i="3"/>
  <c r="R933" i="3"/>
  <c r="I58" i="8"/>
  <c r="S634" i="3"/>
  <c r="R634" i="3"/>
  <c r="I26" i="8" s="1"/>
  <c r="F30" i="4" l="1"/>
  <c r="F18" i="4"/>
  <c r="L510" i="3"/>
  <c r="O510" i="3" s="1"/>
  <c r="Q510" i="3" s="1"/>
  <c r="L718" i="3"/>
  <c r="O718" i="3" s="1"/>
  <c r="F90" i="15"/>
  <c r="B18" i="5"/>
  <c r="B30" i="5"/>
  <c r="I23" i="2"/>
  <c r="H23" i="2"/>
  <c r="G23" i="2"/>
  <c r="N58" i="5"/>
  <c r="R398" i="3"/>
  <c r="N26" i="5" s="1"/>
  <c r="S398" i="3"/>
  <c r="E55" i="6"/>
  <c r="S511" i="3"/>
  <c r="R511" i="3"/>
  <c r="E23" i="6" s="1"/>
  <c r="H30" i="5"/>
  <c r="H18" i="5"/>
  <c r="L30" i="5"/>
  <c r="L18" i="5"/>
  <c r="C30" i="4"/>
  <c r="C18" i="4"/>
  <c r="O58" i="5"/>
  <c r="R428" i="3"/>
  <c r="O26" i="5" s="1"/>
  <c r="S428" i="3"/>
  <c r="H53" i="2"/>
  <c r="V40" i="15"/>
  <c r="I53" i="2" s="1"/>
  <c r="H60" i="2"/>
  <c r="V47" i="15"/>
  <c r="I60" i="2" s="1"/>
  <c r="Q58" i="5"/>
  <c r="S664" i="3"/>
  <c r="R664" i="3"/>
  <c r="Q26" i="5" s="1"/>
  <c r="G30" i="5"/>
  <c r="G18" i="5"/>
  <c r="D18" i="5"/>
  <c r="D30" i="5"/>
  <c r="E30" i="5"/>
  <c r="E18" i="5"/>
  <c r="B58" i="12"/>
  <c r="R456" i="3"/>
  <c r="B26" i="12" s="1"/>
  <c r="S456" i="3"/>
  <c r="E58" i="10"/>
  <c r="R604" i="3"/>
  <c r="E26" i="10" s="1"/>
  <c r="S604" i="3"/>
  <c r="Q603" i="3"/>
  <c r="I57" i="8"/>
  <c r="S633" i="3"/>
  <c r="R633" i="3"/>
  <c r="I25" i="8" s="1"/>
  <c r="L871" i="3"/>
  <c r="O871" i="3" s="1"/>
  <c r="Q871" i="3" s="1"/>
  <c r="L753" i="3"/>
  <c r="O753" i="3" s="1"/>
  <c r="Q753" i="3" s="1"/>
  <c r="P85" i="15"/>
  <c r="L807" i="3"/>
  <c r="O807" i="3" s="1"/>
  <c r="Q807" i="3" s="1"/>
  <c r="L541" i="3"/>
  <c r="O541" i="3" s="1"/>
  <c r="Q541" i="3" s="1"/>
  <c r="H89" i="15"/>
  <c r="L455" i="3"/>
  <c r="O455" i="3" s="1"/>
  <c r="Q455" i="3" s="1"/>
  <c r="Q87" i="15"/>
  <c r="L632" i="3"/>
  <c r="O632" i="3" s="1"/>
  <c r="Q632" i="3" s="1"/>
  <c r="L88" i="15"/>
  <c r="C60" i="11"/>
  <c r="S872" i="3"/>
  <c r="R872" i="3"/>
  <c r="C28" i="11" s="1"/>
  <c r="E18" i="4"/>
  <c r="E30" i="4"/>
  <c r="H56" i="6"/>
  <c r="R542" i="3"/>
  <c r="H24" i="6" s="1"/>
  <c r="S542" i="3"/>
  <c r="J30" i="5"/>
  <c r="J18" i="5"/>
  <c r="L779" i="3"/>
  <c r="O779" i="3" s="1"/>
  <c r="Q779" i="3" s="1"/>
  <c r="L483" i="3"/>
  <c r="O483" i="3" s="1"/>
  <c r="Q483" i="3" s="1"/>
  <c r="J87" i="15"/>
  <c r="I30" i="5"/>
  <c r="I18" i="5"/>
  <c r="R58" i="5"/>
  <c r="S694" i="3"/>
  <c r="R694" i="3"/>
  <c r="R26" i="5" s="1"/>
  <c r="L600" i="3"/>
  <c r="O600" i="3" s="1"/>
  <c r="O90" i="15"/>
  <c r="L599" i="3" s="1"/>
  <c r="O599" i="3" s="1"/>
  <c r="F18" i="5"/>
  <c r="F30" i="5"/>
  <c r="E58" i="7"/>
  <c r="S484" i="3"/>
  <c r="R484" i="3"/>
  <c r="E26" i="7" s="1"/>
  <c r="K18" i="5"/>
  <c r="K30" i="5"/>
  <c r="B30" i="4"/>
  <c r="B18" i="4"/>
  <c r="I21" i="2"/>
  <c r="I22" i="2" s="1"/>
  <c r="H21" i="2"/>
  <c r="H22" i="2" s="1"/>
  <c r="E6" i="2"/>
  <c r="F6" i="2" s="1"/>
  <c r="K6" i="2"/>
  <c r="G21" i="2"/>
  <c r="P58" i="5"/>
  <c r="S574" i="3"/>
  <c r="R574" i="3"/>
  <c r="P26" i="5" s="1"/>
  <c r="H54" i="2"/>
  <c r="V41" i="15"/>
  <c r="I54" i="2" s="1"/>
  <c r="L369" i="3"/>
  <c r="O369" i="3" s="1"/>
  <c r="Q369" i="3" s="1"/>
  <c r="R87" i="15"/>
  <c r="S58" i="5"/>
  <c r="S840" i="3"/>
  <c r="R840" i="3"/>
  <c r="S26" i="5" s="1"/>
  <c r="I56" i="6"/>
  <c r="R808" i="3"/>
  <c r="I24" i="6" s="1"/>
  <c r="S808" i="3"/>
  <c r="B60" i="11"/>
  <c r="R754" i="3"/>
  <c r="B28" i="11" s="1"/>
  <c r="S754" i="3"/>
  <c r="M30" i="5"/>
  <c r="M18" i="5"/>
  <c r="C30" i="5"/>
  <c r="C18" i="5"/>
  <c r="F58" i="7"/>
  <c r="S780" i="3"/>
  <c r="R780" i="3"/>
  <c r="F26" i="7" s="1"/>
  <c r="D30" i="7"/>
  <c r="D18" i="7"/>
  <c r="B30" i="7"/>
  <c r="B18" i="7"/>
  <c r="I31" i="2"/>
  <c r="H31" i="2"/>
  <c r="G31" i="2"/>
  <c r="C18" i="7"/>
  <c r="C30" i="7"/>
  <c r="F59" i="6"/>
  <c r="S723" i="3"/>
  <c r="R723" i="3"/>
  <c r="F27" i="6" s="1"/>
  <c r="Q722" i="3"/>
  <c r="B58" i="13"/>
  <c r="S370" i="3"/>
  <c r="R370" i="3"/>
  <c r="B26" i="13" s="1"/>
  <c r="D18" i="4"/>
  <c r="D30" i="4"/>
  <c r="L839" i="3"/>
  <c r="O839" i="3" s="1"/>
  <c r="Q839" i="3" s="1"/>
  <c r="L693" i="3"/>
  <c r="O693" i="3" s="1"/>
  <c r="Q693" i="3" s="1"/>
  <c r="L663" i="3"/>
  <c r="O663" i="3" s="1"/>
  <c r="Q663" i="3" s="1"/>
  <c r="L427" i="3"/>
  <c r="O427" i="3" s="1"/>
  <c r="Q427" i="3" s="1"/>
  <c r="L397" i="3"/>
  <c r="O397" i="3" s="1"/>
  <c r="Q397" i="3" s="1"/>
  <c r="L573" i="3"/>
  <c r="O573" i="3" s="1"/>
  <c r="Q573" i="3" s="1"/>
  <c r="D87" i="15"/>
  <c r="L368" i="3" l="1"/>
  <c r="O368" i="3" s="1"/>
  <c r="Q368" i="3" s="1"/>
  <c r="R88" i="15"/>
  <c r="P86" i="15"/>
  <c r="L752" i="3"/>
  <c r="O752" i="3" s="1"/>
  <c r="Q752" i="3" s="1"/>
  <c r="L870" i="3"/>
  <c r="O870" i="3" s="1"/>
  <c r="Q870" i="3" s="1"/>
  <c r="S57" i="5"/>
  <c r="S839" i="3"/>
  <c r="R839" i="3"/>
  <c r="S25" i="5" s="1"/>
  <c r="I56" i="8"/>
  <c r="S632" i="3"/>
  <c r="R632" i="3"/>
  <c r="I24" i="8" s="1"/>
  <c r="C59" i="11"/>
  <c r="S871" i="3"/>
  <c r="R871" i="3"/>
  <c r="C27" i="11" s="1"/>
  <c r="L717" i="3"/>
  <c r="O717" i="3" s="1"/>
  <c r="L509" i="3"/>
  <c r="O509" i="3" s="1"/>
  <c r="Q509" i="3" s="1"/>
  <c r="I55" i="6"/>
  <c r="S807" i="3"/>
  <c r="R807" i="3"/>
  <c r="I23" i="6" s="1"/>
  <c r="B57" i="13"/>
  <c r="R369" i="3"/>
  <c r="B25" i="13" s="1"/>
  <c r="S369" i="3"/>
  <c r="B59" i="11"/>
  <c r="R753" i="3"/>
  <c r="B27" i="11" s="1"/>
  <c r="S753" i="3"/>
  <c r="L454" i="3"/>
  <c r="O454" i="3" s="1"/>
  <c r="Q454" i="3" s="1"/>
  <c r="Q88" i="15"/>
  <c r="N57" i="5"/>
  <c r="R397" i="3"/>
  <c r="N25" i="5" s="1"/>
  <c r="S397" i="3"/>
  <c r="L778" i="3"/>
  <c r="O778" i="3" s="1"/>
  <c r="Q778" i="3" s="1"/>
  <c r="L482" i="3"/>
  <c r="O482" i="3" s="1"/>
  <c r="Q482" i="3" s="1"/>
  <c r="J88" i="15"/>
  <c r="B57" i="12"/>
  <c r="R455" i="3"/>
  <c r="B25" i="12" s="1"/>
  <c r="S455" i="3"/>
  <c r="L631" i="3"/>
  <c r="O631" i="3" s="1"/>
  <c r="Q631" i="3" s="1"/>
  <c r="L89" i="15"/>
  <c r="D88" i="15"/>
  <c r="L838" i="3"/>
  <c r="O838" i="3" s="1"/>
  <c r="Q838" i="3" s="1"/>
  <c r="L692" i="3"/>
  <c r="O692" i="3" s="1"/>
  <c r="Q692" i="3" s="1"/>
  <c r="L572" i="3"/>
  <c r="O572" i="3" s="1"/>
  <c r="Q572" i="3" s="1"/>
  <c r="L662" i="3"/>
  <c r="O662" i="3" s="1"/>
  <c r="Q662" i="3" s="1"/>
  <c r="L426" i="3"/>
  <c r="O426" i="3" s="1"/>
  <c r="Q426" i="3" s="1"/>
  <c r="L396" i="3"/>
  <c r="O396" i="3" s="1"/>
  <c r="Q396" i="3" s="1"/>
  <c r="P57" i="5"/>
  <c r="S573" i="3"/>
  <c r="R573" i="3"/>
  <c r="P25" i="5" s="1"/>
  <c r="O57" i="5"/>
  <c r="S427" i="3"/>
  <c r="R427" i="3"/>
  <c r="O25" i="5" s="1"/>
  <c r="E57" i="7"/>
  <c r="S483" i="3"/>
  <c r="R483" i="3"/>
  <c r="E25" i="7" s="1"/>
  <c r="L540" i="3"/>
  <c r="O540" i="3" s="1"/>
  <c r="Q540" i="3" s="1"/>
  <c r="L806" i="3"/>
  <c r="O806" i="3" s="1"/>
  <c r="Q806" i="3" s="1"/>
  <c r="H90" i="15"/>
  <c r="E54" i="6"/>
  <c r="S510" i="3"/>
  <c r="R510" i="3"/>
  <c r="E22" i="6" s="1"/>
  <c r="F57" i="7"/>
  <c r="S779" i="3"/>
  <c r="R779" i="3"/>
  <c r="F25" i="7" s="1"/>
  <c r="H55" i="6"/>
  <c r="R541" i="3"/>
  <c r="H23" i="6" s="1"/>
  <c r="S541" i="3"/>
  <c r="E57" i="10"/>
  <c r="R603" i="3"/>
  <c r="E25" i="10" s="1"/>
  <c r="S603" i="3"/>
  <c r="Q602" i="3"/>
  <c r="Q57" i="5"/>
  <c r="S663" i="3"/>
  <c r="R663" i="3"/>
  <c r="Q25" i="5" s="1"/>
  <c r="F58" i="6"/>
  <c r="R722" i="3"/>
  <c r="F26" i="6" s="1"/>
  <c r="S722" i="3"/>
  <c r="Q721" i="3"/>
  <c r="R57" i="5"/>
  <c r="R693" i="3"/>
  <c r="R25" i="5" s="1"/>
  <c r="S693" i="3"/>
  <c r="N56" i="5" l="1"/>
  <c r="R396" i="3"/>
  <c r="N24" i="5" s="1"/>
  <c r="S396" i="3"/>
  <c r="I55" i="8"/>
  <c r="S631" i="3"/>
  <c r="R631" i="3"/>
  <c r="I23" i="8" s="1"/>
  <c r="C58" i="11"/>
  <c r="S870" i="3"/>
  <c r="R870" i="3"/>
  <c r="C26" i="11" s="1"/>
  <c r="Q56" i="5"/>
  <c r="S662" i="3"/>
  <c r="R662" i="3"/>
  <c r="Q24" i="5" s="1"/>
  <c r="B58" i="11"/>
  <c r="R752" i="3"/>
  <c r="B26" i="11" s="1"/>
  <c r="S752" i="3"/>
  <c r="L869" i="3"/>
  <c r="O869" i="3" s="1"/>
  <c r="Q869" i="3" s="1"/>
  <c r="L751" i="3"/>
  <c r="O751" i="3" s="1"/>
  <c r="Q751" i="3" s="1"/>
  <c r="P87" i="15"/>
  <c r="L805" i="3"/>
  <c r="O805" i="3" s="1"/>
  <c r="Q805" i="3" s="1"/>
  <c r="L539" i="3"/>
  <c r="O539" i="3" s="1"/>
  <c r="Q539" i="3" s="1"/>
  <c r="P56" i="5"/>
  <c r="S572" i="3"/>
  <c r="R572" i="3"/>
  <c r="P24" i="5" s="1"/>
  <c r="L453" i="3"/>
  <c r="O453" i="3" s="1"/>
  <c r="Q453" i="3" s="1"/>
  <c r="Q89" i="15"/>
  <c r="F57" i="6"/>
  <c r="S721" i="3"/>
  <c r="R721" i="3"/>
  <c r="F25" i="6" s="1"/>
  <c r="Q720" i="3"/>
  <c r="E56" i="10"/>
  <c r="R602" i="3"/>
  <c r="E24" i="10" s="1"/>
  <c r="S602" i="3"/>
  <c r="Q601" i="3"/>
  <c r="I54" i="6"/>
  <c r="S806" i="3"/>
  <c r="R806" i="3"/>
  <c r="I22" i="6" s="1"/>
  <c r="R56" i="5"/>
  <c r="S692" i="3"/>
  <c r="R692" i="3"/>
  <c r="R24" i="5" s="1"/>
  <c r="B56" i="12"/>
  <c r="R454" i="3"/>
  <c r="B24" i="12" s="1"/>
  <c r="S454" i="3"/>
  <c r="L367" i="3"/>
  <c r="O367" i="3" s="1"/>
  <c r="Q367" i="3" s="1"/>
  <c r="R89" i="15"/>
  <c r="O56" i="5"/>
  <c r="S426" i="3"/>
  <c r="R426" i="3"/>
  <c r="O24" i="5" s="1"/>
  <c r="B56" i="13"/>
  <c r="S368" i="3"/>
  <c r="R368" i="3"/>
  <c r="B24" i="13" s="1"/>
  <c r="L837" i="3"/>
  <c r="O837" i="3" s="1"/>
  <c r="Q837" i="3" s="1"/>
  <c r="L691" i="3"/>
  <c r="O691" i="3" s="1"/>
  <c r="Q691" i="3" s="1"/>
  <c r="L395" i="3"/>
  <c r="O395" i="3" s="1"/>
  <c r="Q395" i="3" s="1"/>
  <c r="L571" i="3"/>
  <c r="O571" i="3" s="1"/>
  <c r="Q571" i="3" s="1"/>
  <c r="L425" i="3"/>
  <c r="O425" i="3" s="1"/>
  <c r="Q425" i="3" s="1"/>
  <c r="L661" i="3"/>
  <c r="O661" i="3" s="1"/>
  <c r="Q661" i="3" s="1"/>
  <c r="D89" i="15"/>
  <c r="E56" i="7"/>
  <c r="S482" i="3"/>
  <c r="R482" i="3"/>
  <c r="E24" i="7" s="1"/>
  <c r="E53" i="6"/>
  <c r="R509" i="3"/>
  <c r="S509" i="3"/>
  <c r="H54" i="6"/>
  <c r="R540" i="3"/>
  <c r="H22" i="6" s="1"/>
  <c r="S540" i="3"/>
  <c r="S56" i="5"/>
  <c r="S838" i="3"/>
  <c r="R838" i="3"/>
  <c r="S24" i="5" s="1"/>
  <c r="L777" i="3"/>
  <c r="O777" i="3" s="1"/>
  <c r="Q777" i="3" s="1"/>
  <c r="L481" i="3"/>
  <c r="O481" i="3" s="1"/>
  <c r="Q481" i="3" s="1"/>
  <c r="J89" i="15"/>
  <c r="L90" i="15"/>
  <c r="L629" i="3" s="1"/>
  <c r="O629" i="3" s="1"/>
  <c r="Q629" i="3" s="1"/>
  <c r="L630" i="3"/>
  <c r="O630" i="3" s="1"/>
  <c r="Q630" i="3" s="1"/>
  <c r="F56" i="7"/>
  <c r="S778" i="3"/>
  <c r="R778" i="3"/>
  <c r="F24" i="7" s="1"/>
  <c r="Q55" i="5" l="1"/>
  <c r="S661" i="3"/>
  <c r="R661" i="3"/>
  <c r="Q23" i="5" s="1"/>
  <c r="B55" i="12"/>
  <c r="R453" i="3"/>
  <c r="B23" i="12" s="1"/>
  <c r="S453" i="3"/>
  <c r="C57" i="11"/>
  <c r="S869" i="3"/>
  <c r="R869" i="3"/>
  <c r="C25" i="11" s="1"/>
  <c r="O55" i="5"/>
  <c r="S425" i="3"/>
  <c r="R425" i="3"/>
  <c r="O23" i="5" s="1"/>
  <c r="F55" i="7"/>
  <c r="S777" i="3"/>
  <c r="R777" i="3"/>
  <c r="F23" i="7" s="1"/>
  <c r="E21" i="6"/>
  <c r="E18" i="6"/>
  <c r="P55" i="5"/>
  <c r="S571" i="3"/>
  <c r="R571" i="3"/>
  <c r="P23" i="5" s="1"/>
  <c r="I54" i="8"/>
  <c r="S630" i="3"/>
  <c r="R630" i="3"/>
  <c r="I22" i="8" s="1"/>
  <c r="N55" i="5"/>
  <c r="R395" i="3"/>
  <c r="N23" i="5" s="1"/>
  <c r="S395" i="3"/>
  <c r="F56" i="6"/>
  <c r="S720" i="3"/>
  <c r="R720" i="3"/>
  <c r="F24" i="6" s="1"/>
  <c r="Q719" i="3"/>
  <c r="E55" i="7"/>
  <c r="S481" i="3"/>
  <c r="R481" i="3"/>
  <c r="E23" i="7" s="1"/>
  <c r="I53" i="8"/>
  <c r="S629" i="3"/>
  <c r="R629" i="3"/>
  <c r="I11" i="2"/>
  <c r="U50" i="15"/>
  <c r="R55" i="5"/>
  <c r="R691" i="3"/>
  <c r="R23" i="5" s="1"/>
  <c r="S691" i="3"/>
  <c r="L366" i="3"/>
  <c r="O366" i="3" s="1"/>
  <c r="Q366" i="3" s="1"/>
  <c r="R90" i="15"/>
  <c r="L365" i="3" s="1"/>
  <c r="O365" i="3" s="1"/>
  <c r="H53" i="6"/>
  <c r="R539" i="3"/>
  <c r="F9" i="2"/>
  <c r="I9" i="2"/>
  <c r="U46" i="15"/>
  <c r="S539" i="3"/>
  <c r="L776" i="3"/>
  <c r="O776" i="3" s="1"/>
  <c r="Q776" i="3" s="1"/>
  <c r="L480" i="3"/>
  <c r="O480" i="3" s="1"/>
  <c r="Q480" i="3" s="1"/>
  <c r="J90" i="15"/>
  <c r="S55" i="5"/>
  <c r="S837" i="3"/>
  <c r="R837" i="3"/>
  <c r="S23" i="5" s="1"/>
  <c r="B55" i="13"/>
  <c r="R367" i="3"/>
  <c r="B23" i="13" s="1"/>
  <c r="S367" i="3"/>
  <c r="I53" i="6"/>
  <c r="S805" i="3"/>
  <c r="R805" i="3"/>
  <c r="P88" i="15"/>
  <c r="L868" i="3"/>
  <c r="O868" i="3" s="1"/>
  <c r="Q868" i="3" s="1"/>
  <c r="L750" i="3"/>
  <c r="O750" i="3" s="1"/>
  <c r="Q750" i="3" s="1"/>
  <c r="L690" i="3"/>
  <c r="O690" i="3" s="1"/>
  <c r="Q690" i="3" s="1"/>
  <c r="L836" i="3"/>
  <c r="O836" i="3" s="1"/>
  <c r="Q836" i="3" s="1"/>
  <c r="L660" i="3"/>
  <c r="O660" i="3" s="1"/>
  <c r="Q660" i="3" s="1"/>
  <c r="L570" i="3"/>
  <c r="O570" i="3" s="1"/>
  <c r="Q570" i="3" s="1"/>
  <c r="L424" i="3"/>
  <c r="O424" i="3" s="1"/>
  <c r="Q424" i="3" s="1"/>
  <c r="L394" i="3"/>
  <c r="O394" i="3" s="1"/>
  <c r="Q394" i="3" s="1"/>
  <c r="D90" i="15"/>
  <c r="E55" i="10"/>
  <c r="R601" i="3"/>
  <c r="E23" i="10" s="1"/>
  <c r="S601" i="3"/>
  <c r="Q600" i="3"/>
  <c r="L452" i="3"/>
  <c r="O452" i="3" s="1"/>
  <c r="Q452" i="3" s="1"/>
  <c r="Q90" i="15"/>
  <c r="L451" i="3" s="1"/>
  <c r="O451" i="3" s="1"/>
  <c r="Q451" i="3" s="1"/>
  <c r="B57" i="11"/>
  <c r="R751" i="3"/>
  <c r="B25" i="11" s="1"/>
  <c r="S751" i="3"/>
  <c r="S54" i="5" l="1"/>
  <c r="R836" i="3"/>
  <c r="S22" i="5" s="1"/>
  <c r="S836" i="3"/>
  <c r="F54" i="7"/>
  <c r="R776" i="3"/>
  <c r="F22" i="7" s="1"/>
  <c r="S776" i="3"/>
  <c r="B54" i="13"/>
  <c r="S366" i="3"/>
  <c r="R366" i="3"/>
  <c r="B22" i="13" s="1"/>
  <c r="O54" i="5"/>
  <c r="S424" i="3"/>
  <c r="R424" i="3"/>
  <c r="O22" i="5" s="1"/>
  <c r="H18" i="6"/>
  <c r="H21" i="6"/>
  <c r="E9" i="2"/>
  <c r="K9" i="2"/>
  <c r="G29" i="2"/>
  <c r="H29" i="2"/>
  <c r="I29" i="2"/>
  <c r="R54" i="5"/>
  <c r="R690" i="3"/>
  <c r="R22" i="5" s="1"/>
  <c r="S690" i="3"/>
  <c r="H59" i="2"/>
  <c r="V46" i="15"/>
  <c r="I59" i="2" s="1"/>
  <c r="N54" i="5"/>
  <c r="R394" i="3"/>
  <c r="N22" i="5" s="1"/>
  <c r="S394" i="3"/>
  <c r="L867" i="3"/>
  <c r="O867" i="3" s="1"/>
  <c r="Q867" i="3" s="1"/>
  <c r="L749" i="3"/>
  <c r="O749" i="3" s="1"/>
  <c r="Q749" i="3" s="1"/>
  <c r="P89" i="15"/>
  <c r="B53" i="12"/>
  <c r="R451" i="3"/>
  <c r="I15" i="2"/>
  <c r="F15" i="2"/>
  <c r="U55" i="15"/>
  <c r="S451" i="3"/>
  <c r="I18" i="6"/>
  <c r="I21" i="6"/>
  <c r="B56" i="11"/>
  <c r="R750" i="3"/>
  <c r="B24" i="11" s="1"/>
  <c r="S750" i="3"/>
  <c r="L835" i="3"/>
  <c r="O835" i="3" s="1"/>
  <c r="Q835" i="3" s="1"/>
  <c r="L689" i="3"/>
  <c r="O689" i="3" s="1"/>
  <c r="Q689" i="3" s="1"/>
  <c r="L659" i="3"/>
  <c r="O659" i="3" s="1"/>
  <c r="Q659" i="3" s="1"/>
  <c r="L569" i="3"/>
  <c r="O569" i="3" s="1"/>
  <c r="Q569" i="3" s="1"/>
  <c r="L393" i="3"/>
  <c r="O393" i="3" s="1"/>
  <c r="Q393" i="3" s="1"/>
  <c r="L423" i="3"/>
  <c r="O423" i="3" s="1"/>
  <c r="Q423" i="3" s="1"/>
  <c r="C56" i="11"/>
  <c r="S868" i="3"/>
  <c r="R868" i="3"/>
  <c r="C24" i="11" s="1"/>
  <c r="H63" i="2"/>
  <c r="V50" i="15"/>
  <c r="I63" i="2" s="1"/>
  <c r="F55" i="6"/>
  <c r="S719" i="3"/>
  <c r="R719" i="3"/>
  <c r="F23" i="6" s="1"/>
  <c r="Q718" i="3"/>
  <c r="B54" i="12"/>
  <c r="R452" i="3"/>
  <c r="B22" i="12" s="1"/>
  <c r="S452" i="3"/>
  <c r="P54" i="5"/>
  <c r="S570" i="3"/>
  <c r="R570" i="3"/>
  <c r="P22" i="5" s="1"/>
  <c r="L775" i="3"/>
  <c r="O775" i="3" s="1"/>
  <c r="Q775" i="3" s="1"/>
  <c r="L479" i="3"/>
  <c r="O479" i="3" s="1"/>
  <c r="Q479" i="3" s="1"/>
  <c r="E54" i="10"/>
  <c r="R600" i="3"/>
  <c r="E22" i="10" s="1"/>
  <c r="S600" i="3"/>
  <c r="Q599" i="3"/>
  <c r="Q54" i="5"/>
  <c r="S660" i="3"/>
  <c r="R660" i="3"/>
  <c r="Q22" i="5" s="1"/>
  <c r="E54" i="7"/>
  <c r="S480" i="3"/>
  <c r="R480" i="3"/>
  <c r="E22" i="7" s="1"/>
  <c r="Q365" i="3"/>
  <c r="I18" i="8"/>
  <c r="I21" i="8"/>
  <c r="I35" i="2"/>
  <c r="I36" i="2" s="1"/>
  <c r="H35" i="2"/>
  <c r="H36" i="2" s="1"/>
  <c r="G35" i="2"/>
  <c r="K11" i="2"/>
  <c r="E11" i="2"/>
  <c r="F11" i="2" s="1"/>
  <c r="E53" i="7" l="1"/>
  <c r="S479" i="3"/>
  <c r="R479" i="3"/>
  <c r="I10" i="2"/>
  <c r="U48" i="15"/>
  <c r="F54" i="6"/>
  <c r="R718" i="3"/>
  <c r="F22" i="6" s="1"/>
  <c r="S718" i="3"/>
  <c r="Q717" i="3"/>
  <c r="B21" i="12"/>
  <c r="B18" i="12"/>
  <c r="K15" i="2"/>
  <c r="E15" i="2"/>
  <c r="I44" i="2"/>
  <c r="I45" i="2" s="1"/>
  <c r="H44" i="2"/>
  <c r="H45" i="2" s="1"/>
  <c r="G44" i="2"/>
  <c r="O53" i="5"/>
  <c r="S423" i="3"/>
  <c r="R423" i="3"/>
  <c r="N53" i="5"/>
  <c r="R393" i="3"/>
  <c r="I7" i="2"/>
  <c r="U42" i="15"/>
  <c r="S393" i="3"/>
  <c r="P90" i="15"/>
  <c r="L866" i="3"/>
  <c r="O866" i="3" s="1"/>
  <c r="Q866" i="3" s="1"/>
  <c r="L748" i="3"/>
  <c r="O748" i="3" s="1"/>
  <c r="Q748" i="3" s="1"/>
  <c r="P53" i="5"/>
  <c r="S569" i="3"/>
  <c r="R569" i="3"/>
  <c r="B55" i="11"/>
  <c r="R749" i="3"/>
  <c r="B23" i="11" s="1"/>
  <c r="S749" i="3"/>
  <c r="F53" i="7"/>
  <c r="S775" i="3"/>
  <c r="R775" i="3"/>
  <c r="E53" i="10"/>
  <c r="R599" i="3"/>
  <c r="I13" i="2"/>
  <c r="U53" i="15"/>
  <c r="S599" i="3"/>
  <c r="Q53" i="5"/>
  <c r="S659" i="3"/>
  <c r="R659" i="3"/>
  <c r="C55" i="11"/>
  <c r="S867" i="3"/>
  <c r="R867" i="3"/>
  <c r="C23" i="11" s="1"/>
  <c r="B53" i="13"/>
  <c r="R365" i="3"/>
  <c r="I16" i="2"/>
  <c r="S365" i="3"/>
  <c r="F16" i="2"/>
  <c r="U56" i="15"/>
  <c r="R53" i="5"/>
  <c r="S689" i="3"/>
  <c r="R689" i="3"/>
  <c r="H68" i="2"/>
  <c r="V55" i="15"/>
  <c r="I68" i="2" s="1"/>
  <c r="S53" i="5"/>
  <c r="S835" i="3"/>
  <c r="R835" i="3"/>
  <c r="H69" i="2" l="1"/>
  <c r="V56" i="15"/>
  <c r="I69" i="2" s="1"/>
  <c r="E18" i="10"/>
  <c r="E21" i="10"/>
  <c r="I40" i="2"/>
  <c r="I41" i="2" s="1"/>
  <c r="H40" i="2"/>
  <c r="H41" i="2" s="1"/>
  <c r="G40" i="2"/>
  <c r="E13" i="2"/>
  <c r="F13" i="2" s="1"/>
  <c r="K13" i="2"/>
  <c r="P18" i="5"/>
  <c r="P21" i="5"/>
  <c r="H55" i="2"/>
  <c r="V42" i="15"/>
  <c r="I55" i="2" s="1"/>
  <c r="S21" i="5"/>
  <c r="S18" i="5"/>
  <c r="H61" i="2"/>
  <c r="V48" i="15"/>
  <c r="I61" i="2" s="1"/>
  <c r="Q21" i="5"/>
  <c r="Q18" i="5"/>
  <c r="F21" i="7"/>
  <c r="F18" i="7"/>
  <c r="N21" i="5"/>
  <c r="N18" i="5"/>
  <c r="I24" i="2"/>
  <c r="I25" i="2" s="1"/>
  <c r="H24" i="2"/>
  <c r="H25" i="2" s="1"/>
  <c r="G24" i="2"/>
  <c r="K7" i="2"/>
  <c r="E7" i="2"/>
  <c r="F7" i="2" s="1"/>
  <c r="B21" i="13"/>
  <c r="B18" i="13"/>
  <c r="E16" i="2"/>
  <c r="H46" i="2"/>
  <c r="H47" i="2" s="1"/>
  <c r="K16" i="2"/>
  <c r="I46" i="2"/>
  <c r="I47" i="2" s="1"/>
  <c r="G46" i="2"/>
  <c r="C54" i="11"/>
  <c r="S866" i="3"/>
  <c r="R866" i="3"/>
  <c r="C22" i="11" s="1"/>
  <c r="O18" i="5"/>
  <c r="O21" i="5"/>
  <c r="R21" i="5"/>
  <c r="R18" i="5"/>
  <c r="L865" i="3"/>
  <c r="O865" i="3" s="1"/>
  <c r="Q865" i="3" s="1"/>
  <c r="L747" i="3"/>
  <c r="O747" i="3" s="1"/>
  <c r="Q747" i="3" s="1"/>
  <c r="E21" i="7"/>
  <c r="E18" i="7"/>
  <c r="H32" i="2"/>
  <c r="H33" i="2" s="1"/>
  <c r="G32" i="2"/>
  <c r="I32" i="2"/>
  <c r="I33" i="2" s="1"/>
  <c r="E10" i="2"/>
  <c r="F10" i="2" s="1"/>
  <c r="K10" i="2"/>
  <c r="B54" i="11"/>
  <c r="R748" i="3"/>
  <c r="B22" i="11" s="1"/>
  <c r="S748" i="3"/>
  <c r="H66" i="2"/>
  <c r="V53" i="15"/>
  <c r="I66" i="2" s="1"/>
  <c r="F53" i="6"/>
  <c r="S717" i="3"/>
  <c r="R717" i="3"/>
  <c r="U44" i="15"/>
  <c r="I8" i="2"/>
  <c r="B53" i="11" l="1"/>
  <c r="R747" i="3"/>
  <c r="F14" i="2"/>
  <c r="I14" i="2"/>
  <c r="U54" i="15"/>
  <c r="S747" i="3"/>
  <c r="H57" i="2"/>
  <c r="V44" i="15"/>
  <c r="I57" i="2" s="1"/>
  <c r="F21" i="6"/>
  <c r="F18" i="6"/>
  <c r="I27" i="2"/>
  <c r="I30" i="2" s="1"/>
  <c r="H27" i="2"/>
  <c r="H30" i="2" s="1"/>
  <c r="E8" i="2"/>
  <c r="F8" i="2" s="1"/>
  <c r="G27" i="2"/>
  <c r="K8" i="2"/>
  <c r="C53" i="11"/>
  <c r="S865" i="3"/>
  <c r="R865" i="3"/>
  <c r="H67" i="2" l="1"/>
  <c r="V54" i="15"/>
  <c r="I67" i="2" s="1"/>
  <c r="C18" i="11"/>
  <c r="C21" i="11"/>
  <c r="B18" i="11"/>
  <c r="B21" i="11"/>
  <c r="I42" i="2"/>
  <c r="I43" i="2" s="1"/>
  <c r="H42" i="2"/>
  <c r="H43" i="2" s="1"/>
  <c r="K14" i="2"/>
  <c r="G42" i="2"/>
  <c r="E14" i="2"/>
</calcChain>
</file>

<file path=xl/sharedStrings.xml><?xml version="1.0" encoding="utf-8"?>
<sst xmlns="http://schemas.openxmlformats.org/spreadsheetml/2006/main" count="6164" uniqueCount="1749">
  <si>
    <t>Thomson Reserve: Indicative Price Matrix v4 (All 1,268 Units)</t>
  </si>
  <si>
    <t>Built on the developer starting prices (latest Price Estimation Matrix) and the project chief floor guide (19 Oct 2026). Indicative only, not developer pricing.</t>
  </si>
  <si>
    <t>Created by Tricia Ong &amp; Angus Lim</t>
  </si>
  <si>
    <t>Anchor: developer start</t>
  </si>
  <si>
    <t>The developer "starting from" PSF is the hard floor for every size: the cheapest stack on its lowest floor shows the developer quoted price exactly. Sizes without a confirmed starting price (775, 1,152, 1,367, 1,485, 1,808 sqft) start at the lowest PSF row the matrix offers.</t>
  </si>
  <si>
    <t>Project chief floor guide</t>
  </si>
  <si>
    <t>The guide gives the average PSF per floor band (e.g. Classic L2-7 from $2,700, L8-15 $2,800 to $2,900, L16-21 $3,000). The model draws a smooth floor curve through those averages, so prices climb floor by floor with no band jumps. Summary shows guide vs model for every band.</t>
  </si>
  <si>
    <t>Tiers A to E</t>
  </si>
  <si>
    <t>Each stack has a tier that sets its base position: A trophy, B inner pool facing / long pool vistas (pool facing commands a premium), C road-side or west-sun stacks with landed / nature views, D drop-off / road / boundary, E HDB / Thomson Three facing. On top of the tier, each stack carries its own mid and high-floor view loading. So Stack 01 is tier C (below pool-facing 06/18, tier B) on low floors, but its unblocked landed, nature reserve and city views load in on the way up, and its high floors price above 06/18. Stacks are ordered by our own tiers and stack calls (the slide numbering is not used).</t>
  </si>
  <si>
    <t>Stack position (+/- $50K)</t>
  </si>
  <si>
    <t>The guide is an average. Around it, each stack sits from about $50K below (most inferior) to about $50K above (best) on the same floor, ordered by our own tiers and stack calls. Unblocked nature reserve, landed, city and reservoir views carry the strongest mid and high-floor positions. A stack whose view opens up moves into its better position gradually over the floors before its view clears, so no single floor carries a big jump.</t>
  </si>
  <si>
    <t>Luxury always dearer</t>
  </si>
  <si>
    <t>On every floor, the cheapest Luxury unit (Blocks 5 and 7) is priced above the dearest Classic unit of the same size. Where the guide average alone would not achieve this, the Luxury curve carries an uplift, so Luxury averages for those sizes run above the guide.</t>
  </si>
  <si>
    <t>No dips</t>
  </si>
  <si>
    <t>No unit is priced below the floor beneath it in the same stack.</t>
  </si>
  <si>
    <t>Blocked views and parallax</t>
  </si>
  <si>
    <t>Stacks whose living-room view has a clubhouse, lounge or pavilion in the foreground (front edge within 40m, 3D site model). Clear floor allows for parallax: eye height needed = roof top + 1.6 / (3 + 2) x (front-edge distance + 5). Stacks 37, 50 and 51 load their premium fully by L10.</t>
  </si>
  <si>
    <t>Facing (compass)</t>
  </si>
  <si>
    <t>True compass facing of each stack from the 3D site model: e.g. 14/15/37 face WNW (west sun), 27 and 33 to 35 face SE (no afternoon sun), 19 to 22, 28, 36 and 52 to 55 face SW, 10 to 13 and 42 to 45 face SSW, 01 to 05 face SSE.</t>
  </si>
  <si>
    <t>Tabs</t>
  </si>
  <si>
    <t>Summary (checks, price ranges, guide vs model) · All Units (one row per unit with the price build-up) · 2BR ... 5BR matrices (A. price, B. PSF) · Developer Matrix · Assumptions (all inputs).</t>
  </si>
  <si>
    <t>Unit numbering</t>
  </si>
  <si>
    <t>#Floor-Stack, e.g. #05-19 is Level 5, Stack 19 (Block 5).</t>
  </si>
  <si>
    <t>Colour legend</t>
  </si>
  <si>
    <t>Yellow fill + blue text = input. Green text = pulled from Assumptions. Black = formula. Beige = Classic Collection, light blue = Luxury Collection.</t>
  </si>
  <si>
    <t>Disclaimer</t>
  </si>
  <si>
    <t>Estimates for client discussion only. Not the developer's official price list; actual prices may differ by stack and floor.</t>
  </si>
  <si>
    <t>Thomson Reserve: Model checks and price ranges</t>
  </si>
  <si>
    <t>Lowest model price must equal the developer "starting from". Floor bands and band averages follow the project chief floor guide (table at the bottom). Luxury is always priced above Classic of the same size on the same floor.</t>
  </si>
  <si>
    <t>Size (sqft)</t>
  </si>
  <si>
    <t>Unit type</t>
  </si>
  <si>
    <t>Units</t>
  </si>
  <si>
    <t>Dev "starting from"</t>
  </si>
  <si>
    <t>Model lowest price</t>
  </si>
  <si>
    <t>Starting matches?</t>
  </si>
  <si>
    <t>Classic: model PSF range</t>
  </si>
  <si>
    <t>Developer top PSF (Classic)</t>
  </si>
  <si>
    <t>Luxury: model PSF range</t>
  </si>
  <si>
    <t>Developer top PSF (Luxury)</t>
  </si>
  <si>
    <t>Model highest price</t>
  </si>
  <si>
    <t>Luxury above Classic on every floor?</t>
  </si>
  <si>
    <t>2 Bedroom</t>
  </si>
  <si>
    <t>n/a</t>
  </si>
  <si>
    <t>2 Bedroom Premium</t>
  </si>
  <si>
    <t>2 Bedroom Premium + Study</t>
  </si>
  <si>
    <t>3 Bedroom</t>
  </si>
  <si>
    <t>3 Bedroom Premium</t>
  </si>
  <si>
    <t>3 Bedroom Premium + Study</t>
  </si>
  <si>
    <t>4 Bedroom</t>
  </si>
  <si>
    <t>4 Bedroom Premium (w Private Lift)</t>
  </si>
  <si>
    <t>4 Bedroom Premium + Study (w Private Lift)</t>
  </si>
  <si>
    <t>5 Bedroom Suite (w Private Lift)</t>
  </si>
  <si>
    <t>Total</t>
  </si>
  <si>
    <t>Price range by unit type, collection and floor band (unit counts checked against the developer unit mix)</t>
  </si>
  <si>
    <t>Collection</t>
  </si>
  <si>
    <t>Low floors</t>
  </si>
  <si>
    <t>Mid floors</t>
  </si>
  <si>
    <t>High floors</t>
  </si>
  <si>
    <t>Lowest</t>
  </si>
  <si>
    <t>Highest</t>
  </si>
  <si>
    <t>Developer unit mix</t>
  </si>
  <si>
    <t>Matches?</t>
  </si>
  <si>
    <t>Classic</t>
  </si>
  <si>
    <t>Total 2 Bedroom</t>
  </si>
  <si>
    <t>592</t>
  </si>
  <si>
    <t>Luxury</t>
  </si>
  <si>
    <t>Total 2 Bedroom Premium</t>
  </si>
  <si>
    <t>678</t>
  </si>
  <si>
    <t>Both</t>
  </si>
  <si>
    <t>Total 2 Bedroom Premium + Study</t>
  </si>
  <si>
    <t>732 / 775</t>
  </si>
  <si>
    <t>Total 3 Bedroom</t>
  </si>
  <si>
    <t>947</t>
  </si>
  <si>
    <t>Total 3 Bedroom Premium</t>
  </si>
  <si>
    <t>1,055</t>
  </si>
  <si>
    <t>Total 3 Bedroom Premium + Study</t>
  </si>
  <si>
    <t>1,152</t>
  </si>
  <si>
    <t>Total 4 Bedroom</t>
  </si>
  <si>
    <t>1,238</t>
  </si>
  <si>
    <t>Total 4 Bedroom Premium (w Private Lift)</t>
  </si>
  <si>
    <t>1,367</t>
  </si>
  <si>
    <t>Total 4 Bedroom Premium + Study (w Private Lift)</t>
  </si>
  <si>
    <t>1,485</t>
  </si>
  <si>
    <t>Total 5 Bedroom Suite (w Private Lift)</t>
  </si>
  <si>
    <t>1,808</t>
  </si>
  <si>
    <t>Grand total</t>
  </si>
  <si>
    <t>Developer unit mix (Site &amp; Floor Plan Summary, 15 Oct 2026): 2 Bedroom 100 | 2 Bedroom Premium 416 | 2 Bedroom Premium + Study 200 (732 sqft: 120, 775 sqft: 80) | 3 Bedroom 120 | 3 Bedroom Premium 170 | 3 Bedroom Premium + Study 60 | 4 Bedroom 90 | 4 Bedroom Premium (w Private Lift) 56 | 4 Bedroom Premium + Study (w Private Lift) 28 | 5 Bedroom Suite (w Private Lift) 28 | Total 1,268.</t>
  </si>
  <si>
    <t>Project chief floor guide: guide bands and average PSF vs model</t>
  </si>
  <si>
    <t>Guide bands</t>
  </si>
  <si>
    <t>Guide PSF (low / mid / high)</t>
  </si>
  <si>
    <t>Model avg PSF: low</t>
  </si>
  <si>
    <t>Model avg PSF: mid</t>
  </si>
  <si>
    <t>Model avg PSF: high</t>
  </si>
  <si>
    <t>Gap vs guide avg (low / mid / high)</t>
  </si>
  <si>
    <t>Classic low floors start at the developer starting price (guide reads "from $2,700"). Luxury sizes that also come in Classic run above the guide because Luxury must stay dearer than the best Classic stack on every floor.</t>
  </si>
  <si>
    <t>Thomson Reserve: All Units (1,268), indicative pricing</t>
  </si>
  <si>
    <t>Est. PSF = Floor curve PSF (project chief guide) + Stack position (up to +/- $50K, ranked by view), never below the developer starting PSF and never below the floor beneath it. Filter to build a client shortlist.</t>
  </si>
  <si>
    <t>Unit no.</t>
  </si>
  <si>
    <t>Blk</t>
  </si>
  <si>
    <t>Stack</t>
  </si>
  <si>
    <t>Level</t>
  </si>
  <si>
    <t>Type (floor plan)</t>
  </si>
  <si>
    <t>Tier</t>
  </si>
  <si>
    <t>Floor band (guide)</t>
  </si>
  <si>
    <t>Starting PSF</t>
  </si>
  <si>
    <t>Floor curve PSF</t>
  </si>
  <si>
    <t>Stack position $</t>
  </si>
  <si>
    <t>Stack position PSF</t>
  </si>
  <si>
    <t>Curve + position PSF</t>
  </si>
  <si>
    <t>Premium stage</t>
  </si>
  <si>
    <t>Est. PSF</t>
  </si>
  <si>
    <t>Est. price</t>
  </si>
  <si>
    <t>Flags</t>
  </si>
  <si>
    <t>Facing &amp; view</t>
  </si>
  <si>
    <t>#21-01</t>
  </si>
  <si>
    <t>CP2</t>
  </si>
  <si>
    <t>#20-01</t>
  </si>
  <si>
    <t>#19-01</t>
  </si>
  <si>
    <t>#18-01</t>
  </si>
  <si>
    <t>#17-01</t>
  </si>
  <si>
    <t>#16-01</t>
  </si>
  <si>
    <t>#15-01</t>
  </si>
  <si>
    <t>#14-01</t>
  </si>
  <si>
    <t>#13-01</t>
  </si>
  <si>
    <t>#12-01</t>
  </si>
  <si>
    <t>#11-01</t>
  </si>
  <si>
    <t>#10-01</t>
  </si>
  <si>
    <t>#09-01</t>
  </si>
  <si>
    <t>#08-01</t>
  </si>
  <si>
    <t>#07-01</t>
  </si>
  <si>
    <t>#06-01</t>
  </si>
  <si>
    <t>#05-01</t>
  </si>
  <si>
    <t>#04-01</t>
  </si>
  <si>
    <t>#03-01</t>
  </si>
  <si>
    <t>#02-01</t>
  </si>
  <si>
    <t>CP2p</t>
  </si>
  <si>
    <t>#21-02</t>
  </si>
  <si>
    <t>BP3</t>
  </si>
  <si>
    <t>#20-02</t>
  </si>
  <si>
    <t>#19-02</t>
  </si>
  <si>
    <t>#18-02</t>
  </si>
  <si>
    <t>#17-02</t>
  </si>
  <si>
    <t>#16-02</t>
  </si>
  <si>
    <t>#15-02</t>
  </si>
  <si>
    <t>#14-02</t>
  </si>
  <si>
    <t>#13-02</t>
  </si>
  <si>
    <t>#12-02</t>
  </si>
  <si>
    <t>#11-02</t>
  </si>
  <si>
    <t>#10-02</t>
  </si>
  <si>
    <t>#09-02</t>
  </si>
  <si>
    <t>#08-02</t>
  </si>
  <si>
    <t>#07-02</t>
  </si>
  <si>
    <t>#06-02</t>
  </si>
  <si>
    <t>#05-02</t>
  </si>
  <si>
    <t>#04-02</t>
  </si>
  <si>
    <t>#03-02</t>
  </si>
  <si>
    <t>#02-02</t>
  </si>
  <si>
    <t>BP3p</t>
  </si>
  <si>
    <t>#21-03</t>
  </si>
  <si>
    <t>BP1</t>
  </si>
  <si>
    <t>#20-03</t>
  </si>
  <si>
    <t>#19-03</t>
  </si>
  <si>
    <t>#18-03</t>
  </si>
  <si>
    <t>#17-03</t>
  </si>
  <si>
    <t>#16-03</t>
  </si>
  <si>
    <t>#15-03</t>
  </si>
  <si>
    <t>#14-03</t>
  </si>
  <si>
    <t>#13-03</t>
  </si>
  <si>
    <t>#12-03</t>
  </si>
  <si>
    <t>#11-03</t>
  </si>
  <si>
    <t>#10-03</t>
  </si>
  <si>
    <t>#09-03</t>
  </si>
  <si>
    <t>#08-03</t>
  </si>
  <si>
    <t>#07-03</t>
  </si>
  <si>
    <t>#06-03</t>
  </si>
  <si>
    <t>#05-03</t>
  </si>
  <si>
    <t>#04-03</t>
  </si>
  <si>
    <t>#03-03</t>
  </si>
  <si>
    <t>#02-03</t>
  </si>
  <si>
    <t>BP1p</t>
  </si>
  <si>
    <t>#21-04</t>
  </si>
  <si>
    <t>BPS1</t>
  </si>
  <si>
    <t>#20-04</t>
  </si>
  <si>
    <t>#19-04</t>
  </si>
  <si>
    <t>#18-04</t>
  </si>
  <si>
    <t>#17-04</t>
  </si>
  <si>
    <t>#16-04</t>
  </si>
  <si>
    <t>#15-04</t>
  </si>
  <si>
    <t>#14-04</t>
  </si>
  <si>
    <t>#13-04</t>
  </si>
  <si>
    <t>#12-04</t>
  </si>
  <si>
    <t>#11-04</t>
  </si>
  <si>
    <t>#10-04</t>
  </si>
  <si>
    <t>#09-04</t>
  </si>
  <si>
    <t>#08-04</t>
  </si>
  <si>
    <t>#07-04</t>
  </si>
  <si>
    <t>#06-04</t>
  </si>
  <si>
    <t>#05-04</t>
  </si>
  <si>
    <t>#04-04</t>
  </si>
  <si>
    <t>#03-04</t>
  </si>
  <si>
    <t>#02-04</t>
  </si>
  <si>
    <t>BPS1p</t>
  </si>
  <si>
    <t>#21-05</t>
  </si>
  <si>
    <t>CPS1</t>
  </si>
  <si>
    <t>#20-05</t>
  </si>
  <si>
    <t>#19-05</t>
  </si>
  <si>
    <t>#18-05</t>
  </si>
  <si>
    <t>#17-05</t>
  </si>
  <si>
    <t>#16-05</t>
  </si>
  <si>
    <t>#15-05</t>
  </si>
  <si>
    <t>#14-05</t>
  </si>
  <si>
    <t>#13-05</t>
  </si>
  <si>
    <t>#12-05</t>
  </si>
  <si>
    <t>#11-05</t>
  </si>
  <si>
    <t>#10-05</t>
  </si>
  <si>
    <t>#09-05</t>
  </si>
  <si>
    <t>#08-05</t>
  </si>
  <si>
    <t>#07-05</t>
  </si>
  <si>
    <t>#06-05</t>
  </si>
  <si>
    <t>#05-05</t>
  </si>
  <si>
    <t>#04-05</t>
  </si>
  <si>
    <t>#03-05</t>
  </si>
  <si>
    <t>#02-05</t>
  </si>
  <si>
    <t>CPS1p</t>
  </si>
  <si>
    <t>#21-06</t>
  </si>
  <si>
    <t>CP1</t>
  </si>
  <si>
    <t>#20-06</t>
  </si>
  <si>
    <t>#19-06</t>
  </si>
  <si>
    <t>#18-06</t>
  </si>
  <si>
    <t>#17-06</t>
  </si>
  <si>
    <t>#16-06</t>
  </si>
  <si>
    <t>#15-06</t>
  </si>
  <si>
    <t>#14-06</t>
  </si>
  <si>
    <t>#13-06</t>
  </si>
  <si>
    <t>#12-06</t>
  </si>
  <si>
    <t>#11-06</t>
  </si>
  <si>
    <t>#10-06</t>
  </si>
  <si>
    <t>#09-06</t>
  </si>
  <si>
    <t>#08-06</t>
  </si>
  <si>
    <t>#07-06</t>
  </si>
  <si>
    <t>#06-06</t>
  </si>
  <si>
    <t>#05-06</t>
  </si>
  <si>
    <t>#04-06</t>
  </si>
  <si>
    <t>#03-06</t>
  </si>
  <si>
    <t>#02-06</t>
  </si>
  <si>
    <t>CP1p</t>
  </si>
  <si>
    <t>#21-07</t>
  </si>
  <si>
    <t>B1</t>
  </si>
  <si>
    <t>#20-07</t>
  </si>
  <si>
    <t>#19-07</t>
  </si>
  <si>
    <t>#18-07</t>
  </si>
  <si>
    <t>#17-07</t>
  </si>
  <si>
    <t>#16-07</t>
  </si>
  <si>
    <t>#15-07</t>
  </si>
  <si>
    <t>#14-07</t>
  </si>
  <si>
    <t>#13-07</t>
  </si>
  <si>
    <t>#12-07</t>
  </si>
  <si>
    <t>#11-07</t>
  </si>
  <si>
    <t>#10-07</t>
  </si>
  <si>
    <t>#09-07</t>
  </si>
  <si>
    <t>#08-07</t>
  </si>
  <si>
    <t>#07-07</t>
  </si>
  <si>
    <t>#06-07</t>
  </si>
  <si>
    <t>#05-07</t>
  </si>
  <si>
    <t>#04-07</t>
  </si>
  <si>
    <t>#03-07</t>
  </si>
  <si>
    <t>#02-07</t>
  </si>
  <si>
    <t>B1p</t>
  </si>
  <si>
    <t>#21-08</t>
  </si>
  <si>
    <t>B2</t>
  </si>
  <si>
    <t>#20-08</t>
  </si>
  <si>
    <t>#19-08</t>
  </si>
  <si>
    <t>#18-08</t>
  </si>
  <si>
    <t>#17-08</t>
  </si>
  <si>
    <t>#16-08</t>
  </si>
  <si>
    <t>#15-08</t>
  </si>
  <si>
    <t>#14-08</t>
  </si>
  <si>
    <t>#13-08</t>
  </si>
  <si>
    <t>#12-08</t>
  </si>
  <si>
    <t>#11-08</t>
  </si>
  <si>
    <t>#10-08</t>
  </si>
  <si>
    <t>#09-08</t>
  </si>
  <si>
    <t>#08-08</t>
  </si>
  <si>
    <t>#07-08</t>
  </si>
  <si>
    <t>#06-08</t>
  </si>
  <si>
    <t>#05-08</t>
  </si>
  <si>
    <t>#04-08</t>
  </si>
  <si>
    <t>#03-08</t>
  </si>
  <si>
    <t>#02-08</t>
  </si>
  <si>
    <t>B2p</t>
  </si>
  <si>
    <t>#21-09</t>
  </si>
  <si>
    <t>C1</t>
  </si>
  <si>
    <t>#20-09</t>
  </si>
  <si>
    <t>#19-09</t>
  </si>
  <si>
    <t>#18-09</t>
  </si>
  <si>
    <t>#17-09</t>
  </si>
  <si>
    <t>#16-09</t>
  </si>
  <si>
    <t>#15-09</t>
  </si>
  <si>
    <t>#14-09</t>
  </si>
  <si>
    <t>#13-09</t>
  </si>
  <si>
    <t>#12-09</t>
  </si>
  <si>
    <t>#11-09</t>
  </si>
  <si>
    <t>#10-09</t>
  </si>
  <si>
    <t>#09-09</t>
  </si>
  <si>
    <t>#08-09</t>
  </si>
  <si>
    <t>#07-09</t>
  </si>
  <si>
    <t>#06-09</t>
  </si>
  <si>
    <t>#05-09</t>
  </si>
  <si>
    <t>#04-09</t>
  </si>
  <si>
    <t>#03-09</t>
  </si>
  <si>
    <t>#02-09</t>
  </si>
  <si>
    <t>C1p</t>
  </si>
  <si>
    <t>#21-10</t>
  </si>
  <si>
    <t>#20-10</t>
  </si>
  <si>
    <t>#19-10</t>
  </si>
  <si>
    <t>#18-10</t>
  </si>
  <si>
    <t>#17-10</t>
  </si>
  <si>
    <t>#16-10</t>
  </si>
  <si>
    <t>#15-10</t>
  </si>
  <si>
    <t>#14-10</t>
  </si>
  <si>
    <t>#13-10</t>
  </si>
  <si>
    <t>#12-10</t>
  </si>
  <si>
    <t>#11-10</t>
  </si>
  <si>
    <t>#10-10</t>
  </si>
  <si>
    <t>#09-10</t>
  </si>
  <si>
    <t>#08-10</t>
  </si>
  <si>
    <t>#07-10</t>
  </si>
  <si>
    <t>#06-10</t>
  </si>
  <si>
    <t>#05-10</t>
  </si>
  <si>
    <t>#04-10</t>
  </si>
  <si>
    <t>#03-10</t>
  </si>
  <si>
    <t>#02-10</t>
  </si>
  <si>
    <t>#21-11</t>
  </si>
  <si>
    <t>#20-11</t>
  </si>
  <si>
    <t>#19-11</t>
  </si>
  <si>
    <t>#18-11</t>
  </si>
  <si>
    <t>#17-11</t>
  </si>
  <si>
    <t>#16-11</t>
  </si>
  <si>
    <t>#15-11</t>
  </si>
  <si>
    <t>#14-11</t>
  </si>
  <si>
    <t>#13-11</t>
  </si>
  <si>
    <t>#12-11</t>
  </si>
  <si>
    <t>#11-11</t>
  </si>
  <si>
    <t>#10-11</t>
  </si>
  <si>
    <t>#09-11</t>
  </si>
  <si>
    <t>#08-11</t>
  </si>
  <si>
    <t>#07-11</t>
  </si>
  <si>
    <t>#06-11</t>
  </si>
  <si>
    <t>#05-11</t>
  </si>
  <si>
    <t>#04-11</t>
  </si>
  <si>
    <t>#03-11</t>
  </si>
  <si>
    <t>#02-11</t>
  </si>
  <si>
    <t>#21-12</t>
  </si>
  <si>
    <t>#20-12</t>
  </si>
  <si>
    <t>#19-12</t>
  </si>
  <si>
    <t>#18-12</t>
  </si>
  <si>
    <t>#17-12</t>
  </si>
  <si>
    <t>#16-12</t>
  </si>
  <si>
    <t>#15-12</t>
  </si>
  <si>
    <t>#14-12</t>
  </si>
  <si>
    <t>#13-12</t>
  </si>
  <si>
    <t>#12-12</t>
  </si>
  <si>
    <t>#11-12</t>
  </si>
  <si>
    <t>#10-12</t>
  </si>
  <si>
    <t>#09-12</t>
  </si>
  <si>
    <t>#08-12</t>
  </si>
  <si>
    <t>#07-12</t>
  </si>
  <si>
    <t>#06-12</t>
  </si>
  <si>
    <t>#05-12</t>
  </si>
  <si>
    <t>#04-12</t>
  </si>
  <si>
    <t>#03-12</t>
  </si>
  <si>
    <t>#02-12</t>
  </si>
  <si>
    <t>#21-13</t>
  </si>
  <si>
    <t>BP2</t>
  </si>
  <si>
    <t>#20-13</t>
  </si>
  <si>
    <t>#19-13</t>
  </si>
  <si>
    <t>#18-13</t>
  </si>
  <si>
    <t>#17-13</t>
  </si>
  <si>
    <t>#16-13</t>
  </si>
  <si>
    <t>#15-13</t>
  </si>
  <si>
    <t>#14-13</t>
  </si>
  <si>
    <t>#13-13</t>
  </si>
  <si>
    <t>#12-13</t>
  </si>
  <si>
    <t>#11-13</t>
  </si>
  <si>
    <t>#10-13</t>
  </si>
  <si>
    <t>#09-13</t>
  </si>
  <si>
    <t>#08-13</t>
  </si>
  <si>
    <t>#07-13</t>
  </si>
  <si>
    <t>#06-13</t>
  </si>
  <si>
    <t>#05-13</t>
  </si>
  <si>
    <t>#04-13</t>
  </si>
  <si>
    <t>#03-13</t>
  </si>
  <si>
    <t>#02-13</t>
  </si>
  <si>
    <t>BP2p</t>
  </si>
  <si>
    <t>#21-14</t>
  </si>
  <si>
    <t>D3</t>
  </si>
  <si>
    <t>#20-14</t>
  </si>
  <si>
    <t>#19-14</t>
  </si>
  <si>
    <t>#18-14</t>
  </si>
  <si>
    <t>#17-14</t>
  </si>
  <si>
    <t>#16-14</t>
  </si>
  <si>
    <t>#15-14</t>
  </si>
  <si>
    <t>#14-14</t>
  </si>
  <si>
    <t>#13-14</t>
  </si>
  <si>
    <t>#12-14</t>
  </si>
  <si>
    <t>#11-14</t>
  </si>
  <si>
    <t>#10-14</t>
  </si>
  <si>
    <t>#09-14</t>
  </si>
  <si>
    <t>#08-14</t>
  </si>
  <si>
    <t>#07-14</t>
  </si>
  <si>
    <t>#06-14</t>
  </si>
  <si>
    <t>#05-14</t>
  </si>
  <si>
    <t>#04-14</t>
  </si>
  <si>
    <t>#03-14</t>
  </si>
  <si>
    <t>#02-14</t>
  </si>
  <si>
    <t>D3p</t>
  </si>
  <si>
    <t>#21-15</t>
  </si>
  <si>
    <t>D2</t>
  </si>
  <si>
    <t>#20-15</t>
  </si>
  <si>
    <t>#19-15</t>
  </si>
  <si>
    <t>#18-15</t>
  </si>
  <si>
    <t>#17-15</t>
  </si>
  <si>
    <t>#16-15</t>
  </si>
  <si>
    <t>#15-15</t>
  </si>
  <si>
    <t>#14-15</t>
  </si>
  <si>
    <t>#13-15</t>
  </si>
  <si>
    <t>#12-15</t>
  </si>
  <si>
    <t>#11-15</t>
  </si>
  <si>
    <t>#10-15</t>
  </si>
  <si>
    <t>#09-15</t>
  </si>
  <si>
    <t>#08-15</t>
  </si>
  <si>
    <t>#07-15</t>
  </si>
  <si>
    <t>#06-15</t>
  </si>
  <si>
    <t>#05-15</t>
  </si>
  <si>
    <t>#04-15</t>
  </si>
  <si>
    <t>#03-15</t>
  </si>
  <si>
    <t>#02-15</t>
  </si>
  <si>
    <t>D2p</t>
  </si>
  <si>
    <t>#21-16</t>
  </si>
  <si>
    <t>B3</t>
  </si>
  <si>
    <t>#20-16</t>
  </si>
  <si>
    <t>#19-16</t>
  </si>
  <si>
    <t>#18-16</t>
  </si>
  <si>
    <t>#17-16</t>
  </si>
  <si>
    <t>#16-16</t>
  </si>
  <si>
    <t>#15-16</t>
  </si>
  <si>
    <t>#14-16</t>
  </si>
  <si>
    <t>#13-16</t>
  </si>
  <si>
    <t>#12-16</t>
  </si>
  <si>
    <t>#11-16</t>
  </si>
  <si>
    <t>#10-16</t>
  </si>
  <si>
    <t>#09-16</t>
  </si>
  <si>
    <t>#08-16</t>
  </si>
  <si>
    <t>#07-16</t>
  </si>
  <si>
    <t>#06-16</t>
  </si>
  <si>
    <t>#05-16</t>
  </si>
  <si>
    <t>#04-16</t>
  </si>
  <si>
    <t>#03-16</t>
  </si>
  <si>
    <t>#02-16</t>
  </si>
  <si>
    <t>B3p</t>
  </si>
  <si>
    <t>#21-17</t>
  </si>
  <si>
    <t>#20-17</t>
  </si>
  <si>
    <t>#19-17</t>
  </si>
  <si>
    <t>#18-17</t>
  </si>
  <si>
    <t>#17-17</t>
  </si>
  <si>
    <t>#16-17</t>
  </si>
  <si>
    <t>#15-17</t>
  </si>
  <si>
    <t>#14-17</t>
  </si>
  <si>
    <t>#13-17</t>
  </si>
  <si>
    <t>#12-17</t>
  </si>
  <si>
    <t>#11-17</t>
  </si>
  <si>
    <t>#10-17</t>
  </si>
  <si>
    <t>#09-17</t>
  </si>
  <si>
    <t>#08-17</t>
  </si>
  <si>
    <t>#07-17</t>
  </si>
  <si>
    <t>#06-17</t>
  </si>
  <si>
    <t>#05-17</t>
  </si>
  <si>
    <t>#04-17</t>
  </si>
  <si>
    <t>#03-17</t>
  </si>
  <si>
    <t>#02-17</t>
  </si>
  <si>
    <t>#21-18</t>
  </si>
  <si>
    <t>#20-18</t>
  </si>
  <si>
    <t>#19-18</t>
  </si>
  <si>
    <t>#18-18</t>
  </si>
  <si>
    <t>#17-18</t>
  </si>
  <si>
    <t>#16-18</t>
  </si>
  <si>
    <t>#15-18</t>
  </si>
  <si>
    <t>#14-18</t>
  </si>
  <si>
    <t>#13-18</t>
  </si>
  <si>
    <t>#12-18</t>
  </si>
  <si>
    <t>#11-18</t>
  </si>
  <si>
    <t>#10-18</t>
  </si>
  <si>
    <t>#09-18</t>
  </si>
  <si>
    <t>#08-18</t>
  </si>
  <si>
    <t>#07-18</t>
  </si>
  <si>
    <t>#06-18</t>
  </si>
  <si>
    <t>#05-18</t>
  </si>
  <si>
    <t>#04-18</t>
  </si>
  <si>
    <t>#03-18</t>
  </si>
  <si>
    <t>#02-18</t>
  </si>
  <si>
    <t>#30-19</t>
  </si>
  <si>
    <t>E1 (L)</t>
  </si>
  <si>
    <t>#29-19</t>
  </si>
  <si>
    <t>#28-19</t>
  </si>
  <si>
    <t>#27-19</t>
  </si>
  <si>
    <t>#26-19</t>
  </si>
  <si>
    <t>#25-19</t>
  </si>
  <si>
    <t>#24-19</t>
  </si>
  <si>
    <t>#23-19</t>
  </si>
  <si>
    <t>#22-19</t>
  </si>
  <si>
    <t>#21-19</t>
  </si>
  <si>
    <t>#20-19</t>
  </si>
  <si>
    <t>#19-19</t>
  </si>
  <si>
    <t>#18-19</t>
  </si>
  <si>
    <t>#17-19</t>
  </si>
  <si>
    <t>#16-19</t>
  </si>
  <si>
    <t>#15-19</t>
  </si>
  <si>
    <t>#14-19</t>
  </si>
  <si>
    <t>#13-19</t>
  </si>
  <si>
    <t>#12-19</t>
  </si>
  <si>
    <t>#11-19</t>
  </si>
  <si>
    <t>#10-19</t>
  </si>
  <si>
    <t>#09-19</t>
  </si>
  <si>
    <t>#08-19</t>
  </si>
  <si>
    <t>#07-19</t>
  </si>
  <si>
    <t>#06-19</t>
  </si>
  <si>
    <t>#05-19</t>
  </si>
  <si>
    <t>#04-19</t>
  </si>
  <si>
    <t>#03-19</t>
  </si>
  <si>
    <t>#30-20</t>
  </si>
  <si>
    <t>BP7 (L)</t>
  </si>
  <si>
    <t>#29-20</t>
  </si>
  <si>
    <t>#28-20</t>
  </si>
  <si>
    <t>#27-20</t>
  </si>
  <si>
    <t>#26-20</t>
  </si>
  <si>
    <t>#25-20</t>
  </si>
  <si>
    <t>#24-20</t>
  </si>
  <si>
    <t>#23-20</t>
  </si>
  <si>
    <t>#22-20</t>
  </si>
  <si>
    <t>#21-20</t>
  </si>
  <si>
    <t>#20-20</t>
  </si>
  <si>
    <t>#19-20</t>
  </si>
  <si>
    <t>#18-20</t>
  </si>
  <si>
    <t>#17-20</t>
  </si>
  <si>
    <t>#16-20</t>
  </si>
  <si>
    <t>#15-20</t>
  </si>
  <si>
    <t>#14-20</t>
  </si>
  <si>
    <t>#13-20</t>
  </si>
  <si>
    <t>#12-20</t>
  </si>
  <si>
    <t>#11-20</t>
  </si>
  <si>
    <t>#10-20</t>
  </si>
  <si>
    <t>#09-20</t>
  </si>
  <si>
    <t>#08-20</t>
  </si>
  <si>
    <t>#07-20</t>
  </si>
  <si>
    <t>#06-20</t>
  </si>
  <si>
    <t>#05-20</t>
  </si>
  <si>
    <t>#04-20</t>
  </si>
  <si>
    <t>#03-20</t>
  </si>
  <si>
    <t>#02-20</t>
  </si>
  <si>
    <t>#01-20</t>
  </si>
  <si>
    <t>BP7p (L)</t>
  </si>
  <si>
    <t>#30-21</t>
  </si>
  <si>
    <t>BP3 (L)</t>
  </si>
  <si>
    <t>#29-21</t>
  </si>
  <si>
    <t>#28-21</t>
  </si>
  <si>
    <t>#27-21</t>
  </si>
  <si>
    <t>#26-21</t>
  </si>
  <si>
    <t>#25-21</t>
  </si>
  <si>
    <t>#24-21</t>
  </si>
  <si>
    <t>#23-21</t>
  </si>
  <si>
    <t>#22-21</t>
  </si>
  <si>
    <t>#21-21</t>
  </si>
  <si>
    <t>#20-21</t>
  </si>
  <si>
    <t>#19-21</t>
  </si>
  <si>
    <t>#18-21</t>
  </si>
  <si>
    <t>#17-21</t>
  </si>
  <si>
    <t>#16-21</t>
  </si>
  <si>
    <t>#15-21</t>
  </si>
  <si>
    <t>#14-21</t>
  </si>
  <si>
    <t>#13-21</t>
  </si>
  <si>
    <t>#12-21</t>
  </si>
  <si>
    <t>#11-21</t>
  </si>
  <si>
    <t>#10-21</t>
  </si>
  <si>
    <t>#09-21</t>
  </si>
  <si>
    <t>#08-21</t>
  </si>
  <si>
    <t>#07-21</t>
  </si>
  <si>
    <t>#06-21</t>
  </si>
  <si>
    <t>#05-21</t>
  </si>
  <si>
    <t>#04-21</t>
  </si>
  <si>
    <t>#03-21</t>
  </si>
  <si>
    <t>#30-22</t>
  </si>
  <si>
    <t>DPS1 (L)</t>
  </si>
  <si>
    <t>#29-22</t>
  </si>
  <si>
    <t>#28-22</t>
  </si>
  <si>
    <t>#27-22</t>
  </si>
  <si>
    <t>#26-22</t>
  </si>
  <si>
    <t>#25-22</t>
  </si>
  <si>
    <t>#24-22</t>
  </si>
  <si>
    <t>#23-22</t>
  </si>
  <si>
    <t>#22-22</t>
  </si>
  <si>
    <t>#21-22</t>
  </si>
  <si>
    <t>#20-22</t>
  </si>
  <si>
    <t>#19-22</t>
  </si>
  <si>
    <t>#18-22</t>
  </si>
  <si>
    <t>#17-22</t>
  </si>
  <si>
    <t>#16-22</t>
  </si>
  <si>
    <t>#15-22</t>
  </si>
  <si>
    <t>#14-22</t>
  </si>
  <si>
    <t>#13-22</t>
  </si>
  <si>
    <t>#12-22</t>
  </si>
  <si>
    <t>#11-22</t>
  </si>
  <si>
    <t>#10-22</t>
  </si>
  <si>
    <t>#09-22</t>
  </si>
  <si>
    <t>#08-22</t>
  </si>
  <si>
    <t>#07-22</t>
  </si>
  <si>
    <t>#06-22</t>
  </si>
  <si>
    <t>#05-22</t>
  </si>
  <si>
    <t>#04-22</t>
  </si>
  <si>
    <t>#03-22</t>
  </si>
  <si>
    <t>#30-23</t>
  </si>
  <si>
    <t>C5 (L)</t>
  </si>
  <si>
    <t>#29-23</t>
  </si>
  <si>
    <t>#28-23</t>
  </si>
  <si>
    <t>#27-23</t>
  </si>
  <si>
    <t>#26-23</t>
  </si>
  <si>
    <t>#25-23</t>
  </si>
  <si>
    <t>#24-23</t>
  </si>
  <si>
    <t>#23-23</t>
  </si>
  <si>
    <t>#22-23</t>
  </si>
  <si>
    <t>#21-23</t>
  </si>
  <si>
    <t>#20-23</t>
  </si>
  <si>
    <t>#19-23</t>
  </si>
  <si>
    <t>#18-23</t>
  </si>
  <si>
    <t>#17-23</t>
  </si>
  <si>
    <t>#16-23</t>
  </si>
  <si>
    <t>#15-23</t>
  </si>
  <si>
    <t>#14-23</t>
  </si>
  <si>
    <t>#13-23</t>
  </si>
  <si>
    <t>#12-23</t>
  </si>
  <si>
    <t>#11-23</t>
  </si>
  <si>
    <t>#10-23</t>
  </si>
  <si>
    <t>#09-23</t>
  </si>
  <si>
    <t>#08-23</t>
  </si>
  <si>
    <t>#07-23</t>
  </si>
  <si>
    <t>#06-23</t>
  </si>
  <si>
    <t>#05-23</t>
  </si>
  <si>
    <t>#04-23</t>
  </si>
  <si>
    <t>#03-23</t>
  </si>
  <si>
    <t>#02-23</t>
  </si>
  <si>
    <t>#01-23</t>
  </si>
  <si>
    <t>C5p (L)</t>
  </si>
  <si>
    <t>#30-24</t>
  </si>
  <si>
    <t>BPS3 (L)</t>
  </si>
  <si>
    <t>#29-24</t>
  </si>
  <si>
    <t>#28-24</t>
  </si>
  <si>
    <t>#27-24</t>
  </si>
  <si>
    <t>#26-24</t>
  </si>
  <si>
    <t>#25-24</t>
  </si>
  <si>
    <t>#24-24</t>
  </si>
  <si>
    <t>#23-24</t>
  </si>
  <si>
    <t>#22-24</t>
  </si>
  <si>
    <t>#21-24</t>
  </si>
  <si>
    <t>#20-24</t>
  </si>
  <si>
    <t>#19-24</t>
  </si>
  <si>
    <t>#18-24</t>
  </si>
  <si>
    <t>#17-24</t>
  </si>
  <si>
    <t>#16-24</t>
  </si>
  <si>
    <t>#15-24</t>
  </si>
  <si>
    <t>#14-24</t>
  </si>
  <si>
    <t>#13-24</t>
  </si>
  <si>
    <t>#12-24</t>
  </si>
  <si>
    <t>#11-24</t>
  </si>
  <si>
    <t>#10-24</t>
  </si>
  <si>
    <t>#09-24</t>
  </si>
  <si>
    <t>#08-24</t>
  </si>
  <si>
    <t>#07-24</t>
  </si>
  <si>
    <t>#06-24</t>
  </si>
  <si>
    <t>#05-24</t>
  </si>
  <si>
    <t>#04-24</t>
  </si>
  <si>
    <t>#03-24</t>
  </si>
  <si>
    <t>#02-24</t>
  </si>
  <si>
    <t>#01-24</t>
  </si>
  <si>
    <t>BPS3p (L)</t>
  </si>
  <si>
    <t>#30-25</t>
  </si>
  <si>
    <t>BPS4 (L)</t>
  </si>
  <si>
    <t>#29-25</t>
  </si>
  <si>
    <t>#28-25</t>
  </si>
  <si>
    <t>#27-25</t>
  </si>
  <si>
    <t>#26-25</t>
  </si>
  <si>
    <t>#25-25</t>
  </si>
  <si>
    <t>#24-25</t>
  </si>
  <si>
    <t>#23-25</t>
  </si>
  <si>
    <t>#22-25</t>
  </si>
  <si>
    <t>#21-25</t>
  </si>
  <si>
    <t>#20-25</t>
  </si>
  <si>
    <t>#19-25</t>
  </si>
  <si>
    <t>#18-25</t>
  </si>
  <si>
    <t>#17-25</t>
  </si>
  <si>
    <t>#16-25</t>
  </si>
  <si>
    <t>#15-25</t>
  </si>
  <si>
    <t>#14-25</t>
  </si>
  <si>
    <t>#13-25</t>
  </si>
  <si>
    <t>#12-25</t>
  </si>
  <si>
    <t>#11-25</t>
  </si>
  <si>
    <t>#10-25</t>
  </si>
  <si>
    <t>#09-25</t>
  </si>
  <si>
    <t>#08-25</t>
  </si>
  <si>
    <t>#07-25</t>
  </si>
  <si>
    <t>#06-25</t>
  </si>
  <si>
    <t>#05-25</t>
  </si>
  <si>
    <t>#04-25</t>
  </si>
  <si>
    <t>#03-25</t>
  </si>
  <si>
    <t>#02-25</t>
  </si>
  <si>
    <t>#01-25</t>
  </si>
  <si>
    <t>BPS4p (L)</t>
  </si>
  <si>
    <t>#30-26</t>
  </si>
  <si>
    <t>BP6 (L)</t>
  </si>
  <si>
    <t>#29-26</t>
  </si>
  <si>
    <t>#28-26</t>
  </si>
  <si>
    <t>#27-26</t>
  </si>
  <si>
    <t>#26-26</t>
  </si>
  <si>
    <t>#25-26</t>
  </si>
  <si>
    <t>#24-26</t>
  </si>
  <si>
    <t>#23-26</t>
  </si>
  <si>
    <t>#22-26</t>
  </si>
  <si>
    <t>#21-26</t>
  </si>
  <si>
    <t>#20-26</t>
  </si>
  <si>
    <t>#19-26</t>
  </si>
  <si>
    <t>#18-26</t>
  </si>
  <si>
    <t>#17-26</t>
  </si>
  <si>
    <t>#16-26</t>
  </si>
  <si>
    <t>#15-26</t>
  </si>
  <si>
    <t>#14-26</t>
  </si>
  <si>
    <t>#13-26</t>
  </si>
  <si>
    <t>#12-26</t>
  </si>
  <si>
    <t>#11-26</t>
  </si>
  <si>
    <t>#10-26</t>
  </si>
  <si>
    <t>#09-26</t>
  </si>
  <si>
    <t>#08-26</t>
  </si>
  <si>
    <t>#07-26</t>
  </si>
  <si>
    <t>#06-26</t>
  </si>
  <si>
    <t>#05-26</t>
  </si>
  <si>
    <t>#04-26</t>
  </si>
  <si>
    <t>#03-26</t>
  </si>
  <si>
    <t>#02-26</t>
  </si>
  <si>
    <t>#01-26</t>
  </si>
  <si>
    <t>BP6p (L)</t>
  </si>
  <si>
    <t>#30-27</t>
  </si>
  <si>
    <t>D4 (L)</t>
  </si>
  <si>
    <t>#29-27</t>
  </si>
  <si>
    <t>#28-27</t>
  </si>
  <si>
    <t>#27-27</t>
  </si>
  <si>
    <t>#26-27</t>
  </si>
  <si>
    <t>#25-27</t>
  </si>
  <si>
    <t>#24-27</t>
  </si>
  <si>
    <t>#23-27</t>
  </si>
  <si>
    <t>#22-27</t>
  </si>
  <si>
    <t>#21-27</t>
  </si>
  <si>
    <t>#20-27</t>
  </si>
  <si>
    <t>#19-27</t>
  </si>
  <si>
    <t>#18-27</t>
  </si>
  <si>
    <t>#17-27</t>
  </si>
  <si>
    <t>#16-27</t>
  </si>
  <si>
    <t>#15-27</t>
  </si>
  <si>
    <t>#14-27</t>
  </si>
  <si>
    <t>#13-27</t>
  </si>
  <si>
    <t>#12-27</t>
  </si>
  <si>
    <t>#11-27</t>
  </si>
  <si>
    <t>#10-27</t>
  </si>
  <si>
    <t>#09-27</t>
  </si>
  <si>
    <t>#08-27</t>
  </si>
  <si>
    <t>#07-27</t>
  </si>
  <si>
    <t>#06-27</t>
  </si>
  <si>
    <t>#05-27</t>
  </si>
  <si>
    <t>#04-27</t>
  </si>
  <si>
    <t>#03-27</t>
  </si>
  <si>
    <t>#02-27</t>
  </si>
  <si>
    <t>#01-27</t>
  </si>
  <si>
    <t>D4p (L)</t>
  </si>
  <si>
    <t>#30-28</t>
  </si>
  <si>
    <t>CP7 (L)</t>
  </si>
  <si>
    <t>#29-28</t>
  </si>
  <si>
    <t>#28-28</t>
  </si>
  <si>
    <t>#27-28</t>
  </si>
  <si>
    <t>#26-28</t>
  </si>
  <si>
    <t>#25-28</t>
  </si>
  <si>
    <t>#24-28</t>
  </si>
  <si>
    <t>#23-28</t>
  </si>
  <si>
    <t>#22-28</t>
  </si>
  <si>
    <t>#21-28</t>
  </si>
  <si>
    <t>#20-28</t>
  </si>
  <si>
    <t>#19-28</t>
  </si>
  <si>
    <t>#18-28</t>
  </si>
  <si>
    <t>#17-28</t>
  </si>
  <si>
    <t>#16-28</t>
  </si>
  <si>
    <t>#15-28</t>
  </si>
  <si>
    <t>#14-28</t>
  </si>
  <si>
    <t>#13-28</t>
  </si>
  <si>
    <t>#12-28</t>
  </si>
  <si>
    <t>#11-28</t>
  </si>
  <si>
    <t>#10-28</t>
  </si>
  <si>
    <t>#09-28</t>
  </si>
  <si>
    <t>#08-28</t>
  </si>
  <si>
    <t>#07-28</t>
  </si>
  <si>
    <t>#06-28</t>
  </si>
  <si>
    <t>#05-28</t>
  </si>
  <si>
    <t>#04-28</t>
  </si>
  <si>
    <t>#03-28</t>
  </si>
  <si>
    <t>#02-28</t>
  </si>
  <si>
    <t>#01-28</t>
  </si>
  <si>
    <t>CP7p (L)</t>
  </si>
  <si>
    <t>#30-29</t>
  </si>
  <si>
    <t>BP2 (L)</t>
  </si>
  <si>
    <t>#29-29</t>
  </si>
  <si>
    <t>#28-29</t>
  </si>
  <si>
    <t>#27-29</t>
  </si>
  <si>
    <t>#26-29</t>
  </si>
  <si>
    <t>#25-29</t>
  </si>
  <si>
    <t>#24-29</t>
  </si>
  <si>
    <t>#23-29</t>
  </si>
  <si>
    <t>#22-29</t>
  </si>
  <si>
    <t>#21-29</t>
  </si>
  <si>
    <t>#20-29</t>
  </si>
  <si>
    <t>#19-29</t>
  </si>
  <si>
    <t>#18-29</t>
  </si>
  <si>
    <t>#17-29</t>
  </si>
  <si>
    <t>#16-29</t>
  </si>
  <si>
    <t>#15-29</t>
  </si>
  <si>
    <t>#14-29</t>
  </si>
  <si>
    <t>#13-29</t>
  </si>
  <si>
    <t>#12-29</t>
  </si>
  <si>
    <t>#11-29</t>
  </si>
  <si>
    <t>#10-29</t>
  </si>
  <si>
    <t>#09-29</t>
  </si>
  <si>
    <t>#08-29</t>
  </si>
  <si>
    <t>#07-29</t>
  </si>
  <si>
    <t>#06-29</t>
  </si>
  <si>
    <t>#05-29</t>
  </si>
  <si>
    <t>#04-29</t>
  </si>
  <si>
    <t>#03-29</t>
  </si>
  <si>
    <t>#02-29</t>
  </si>
  <si>
    <t>#01-29</t>
  </si>
  <si>
    <t>BP2p (L)</t>
  </si>
  <si>
    <t>#30-30</t>
  </si>
  <si>
    <t>#29-30</t>
  </si>
  <si>
    <t>#28-30</t>
  </si>
  <si>
    <t>#27-30</t>
  </si>
  <si>
    <t>#26-30</t>
  </si>
  <si>
    <t>#25-30</t>
  </si>
  <si>
    <t>#24-30</t>
  </si>
  <si>
    <t>#23-30</t>
  </si>
  <si>
    <t>#22-30</t>
  </si>
  <si>
    <t>#21-30</t>
  </si>
  <si>
    <t>#20-30</t>
  </si>
  <si>
    <t>#19-30</t>
  </si>
  <si>
    <t>#18-30</t>
  </si>
  <si>
    <t>#17-30</t>
  </si>
  <si>
    <t>#16-30</t>
  </si>
  <si>
    <t>#15-30</t>
  </si>
  <si>
    <t>#14-30</t>
  </si>
  <si>
    <t>#13-30</t>
  </si>
  <si>
    <t>#12-30</t>
  </si>
  <si>
    <t>#11-30</t>
  </si>
  <si>
    <t>#10-30</t>
  </si>
  <si>
    <t>#09-30</t>
  </si>
  <si>
    <t>#08-30</t>
  </si>
  <si>
    <t>#07-30</t>
  </si>
  <si>
    <t>#06-30</t>
  </si>
  <si>
    <t>#05-30</t>
  </si>
  <si>
    <t>#04-30</t>
  </si>
  <si>
    <t>#03-30</t>
  </si>
  <si>
    <t>#30-31</t>
  </si>
  <si>
    <t>BPS2 (L)</t>
  </si>
  <si>
    <t>#29-31</t>
  </si>
  <si>
    <t>#28-31</t>
  </si>
  <si>
    <t>#27-31</t>
  </si>
  <si>
    <t>#26-31</t>
  </si>
  <si>
    <t>#25-31</t>
  </si>
  <si>
    <t>#24-31</t>
  </si>
  <si>
    <t>#23-31</t>
  </si>
  <si>
    <t>#22-31</t>
  </si>
  <si>
    <t>#21-31</t>
  </si>
  <si>
    <t>#20-31</t>
  </si>
  <si>
    <t>#19-31</t>
  </si>
  <si>
    <t>#18-31</t>
  </si>
  <si>
    <t>#17-31</t>
  </si>
  <si>
    <t>#16-31</t>
  </si>
  <si>
    <t>#15-31</t>
  </si>
  <si>
    <t>#14-31</t>
  </si>
  <si>
    <t>#13-31</t>
  </si>
  <si>
    <t>#12-31</t>
  </si>
  <si>
    <t>#11-31</t>
  </si>
  <si>
    <t>#10-31</t>
  </si>
  <si>
    <t>#09-31</t>
  </si>
  <si>
    <t>#08-31</t>
  </si>
  <si>
    <t>#07-31</t>
  </si>
  <si>
    <t>#06-31</t>
  </si>
  <si>
    <t>#05-31</t>
  </si>
  <si>
    <t>#04-31</t>
  </si>
  <si>
    <t>#03-31</t>
  </si>
  <si>
    <t>#02-31</t>
  </si>
  <si>
    <t>#01-31</t>
  </si>
  <si>
    <t>BPS2p (L)</t>
  </si>
  <si>
    <t>#30-32</t>
  </si>
  <si>
    <t>DP2 (L)</t>
  </si>
  <si>
    <t>#29-32</t>
  </si>
  <si>
    <t>#28-32</t>
  </si>
  <si>
    <t>#27-32</t>
  </si>
  <si>
    <t>#26-32</t>
  </si>
  <si>
    <t>#25-32</t>
  </si>
  <si>
    <t>#24-32</t>
  </si>
  <si>
    <t>#23-32</t>
  </si>
  <si>
    <t>#22-32</t>
  </si>
  <si>
    <t>#21-32</t>
  </si>
  <si>
    <t>#20-32</t>
  </si>
  <si>
    <t>#19-32</t>
  </si>
  <si>
    <t>#18-32</t>
  </si>
  <si>
    <t>#17-32</t>
  </si>
  <si>
    <t>#16-32</t>
  </si>
  <si>
    <t>#15-32</t>
  </si>
  <si>
    <t>#14-32</t>
  </si>
  <si>
    <t>#13-32</t>
  </si>
  <si>
    <t>#12-32</t>
  </si>
  <si>
    <t>#11-32</t>
  </si>
  <si>
    <t>#10-32</t>
  </si>
  <si>
    <t>#09-32</t>
  </si>
  <si>
    <t>#08-32</t>
  </si>
  <si>
    <t>#07-32</t>
  </si>
  <si>
    <t>#06-32</t>
  </si>
  <si>
    <t>#05-32</t>
  </si>
  <si>
    <t>#04-32</t>
  </si>
  <si>
    <t>#03-32</t>
  </si>
  <si>
    <t>#30-33</t>
  </si>
  <si>
    <t>C3 (L)</t>
  </si>
  <si>
    <t>#29-33</t>
  </si>
  <si>
    <t>#28-33</t>
  </si>
  <si>
    <t>#27-33</t>
  </si>
  <si>
    <t>#26-33</t>
  </si>
  <si>
    <t>#25-33</t>
  </si>
  <si>
    <t>#24-33</t>
  </si>
  <si>
    <t>#23-33</t>
  </si>
  <si>
    <t>#22-33</t>
  </si>
  <si>
    <t>#21-33</t>
  </si>
  <si>
    <t>#20-33</t>
  </si>
  <si>
    <t>#19-33</t>
  </si>
  <si>
    <t>#18-33</t>
  </si>
  <si>
    <t>#17-33</t>
  </si>
  <si>
    <t>#16-33</t>
  </si>
  <si>
    <t>#15-33</t>
  </si>
  <si>
    <t>#14-33</t>
  </si>
  <si>
    <t>#13-33</t>
  </si>
  <si>
    <t>#12-33</t>
  </si>
  <si>
    <t>#11-33</t>
  </si>
  <si>
    <t>#10-33</t>
  </si>
  <si>
    <t>#09-33</t>
  </si>
  <si>
    <t>#08-33</t>
  </si>
  <si>
    <t>#07-33</t>
  </si>
  <si>
    <t>#06-33</t>
  </si>
  <si>
    <t>#05-33</t>
  </si>
  <si>
    <t>#04-33</t>
  </si>
  <si>
    <t>#03-33</t>
  </si>
  <si>
    <t>#02-33</t>
  </si>
  <si>
    <t>#01-33</t>
  </si>
  <si>
    <t>C3p (L)</t>
  </si>
  <si>
    <t>#30-34</t>
  </si>
  <si>
    <t>#29-34</t>
  </si>
  <si>
    <t>#28-34</t>
  </si>
  <si>
    <t>#27-34</t>
  </si>
  <si>
    <t>#26-34</t>
  </si>
  <si>
    <t>#25-34</t>
  </si>
  <si>
    <t>#24-34</t>
  </si>
  <si>
    <t>#23-34</t>
  </si>
  <si>
    <t>#22-34</t>
  </si>
  <si>
    <t>#21-34</t>
  </si>
  <si>
    <t>#20-34</t>
  </si>
  <si>
    <t>#19-34</t>
  </si>
  <si>
    <t>#18-34</t>
  </si>
  <si>
    <t>#17-34</t>
  </si>
  <si>
    <t>#16-34</t>
  </si>
  <si>
    <t>#15-34</t>
  </si>
  <si>
    <t>#14-34</t>
  </si>
  <si>
    <t>#13-34</t>
  </si>
  <si>
    <t>#12-34</t>
  </si>
  <si>
    <t>#11-34</t>
  </si>
  <si>
    <t>#10-34</t>
  </si>
  <si>
    <t>#09-34</t>
  </si>
  <si>
    <t>#08-34</t>
  </si>
  <si>
    <t>#07-34</t>
  </si>
  <si>
    <t>#06-34</t>
  </si>
  <si>
    <t>#05-34</t>
  </si>
  <si>
    <t>#04-34</t>
  </si>
  <si>
    <t>#03-34</t>
  </si>
  <si>
    <t>#02-34</t>
  </si>
  <si>
    <t>#01-34</t>
  </si>
  <si>
    <t>#30-35</t>
  </si>
  <si>
    <t>#29-35</t>
  </si>
  <si>
    <t>#28-35</t>
  </si>
  <si>
    <t>#27-35</t>
  </si>
  <si>
    <t>#26-35</t>
  </si>
  <si>
    <t>#25-35</t>
  </si>
  <si>
    <t>#24-35</t>
  </si>
  <si>
    <t>#23-35</t>
  </si>
  <si>
    <t>#22-35</t>
  </si>
  <si>
    <t>#21-35</t>
  </si>
  <si>
    <t>#20-35</t>
  </si>
  <si>
    <t>#19-35</t>
  </si>
  <si>
    <t>#18-35</t>
  </si>
  <si>
    <t>#17-35</t>
  </si>
  <si>
    <t>#16-35</t>
  </si>
  <si>
    <t>#15-35</t>
  </si>
  <si>
    <t>#14-35</t>
  </si>
  <si>
    <t>#13-35</t>
  </si>
  <si>
    <t>#12-35</t>
  </si>
  <si>
    <t>#11-35</t>
  </si>
  <si>
    <t>#10-35</t>
  </si>
  <si>
    <t>#09-35</t>
  </si>
  <si>
    <t>#08-35</t>
  </si>
  <si>
    <t>#07-35</t>
  </si>
  <si>
    <t>#06-35</t>
  </si>
  <si>
    <t>#05-35</t>
  </si>
  <si>
    <t>#04-35</t>
  </si>
  <si>
    <t>#03-35</t>
  </si>
  <si>
    <t>#02-35</t>
  </si>
  <si>
    <t>#01-35</t>
  </si>
  <si>
    <t>#30-36</t>
  </si>
  <si>
    <t>DP1 (L)</t>
  </si>
  <si>
    <t>#29-36</t>
  </si>
  <si>
    <t>#28-36</t>
  </si>
  <si>
    <t>#27-36</t>
  </si>
  <si>
    <t>#26-36</t>
  </si>
  <si>
    <t>#25-36</t>
  </si>
  <si>
    <t>#24-36</t>
  </si>
  <si>
    <t>#23-36</t>
  </si>
  <si>
    <t>#22-36</t>
  </si>
  <si>
    <t>#21-36</t>
  </si>
  <si>
    <t>#20-36</t>
  </si>
  <si>
    <t>#19-36</t>
  </si>
  <si>
    <t>#18-36</t>
  </si>
  <si>
    <t>#17-36</t>
  </si>
  <si>
    <t>#16-36</t>
  </si>
  <si>
    <t>#15-36</t>
  </si>
  <si>
    <t>#14-36</t>
  </si>
  <si>
    <t>#13-36</t>
  </si>
  <si>
    <t>#12-36</t>
  </si>
  <si>
    <t>#11-36</t>
  </si>
  <si>
    <t>#10-36</t>
  </si>
  <si>
    <t>#09-36</t>
  </si>
  <si>
    <t>#08-36</t>
  </si>
  <si>
    <t>#07-36</t>
  </si>
  <si>
    <t>#06-36</t>
  </si>
  <si>
    <t>#05-36</t>
  </si>
  <si>
    <t>#04-36</t>
  </si>
  <si>
    <t>#03-36</t>
  </si>
  <si>
    <t>#21-37</t>
  </si>
  <si>
    <t>CP6</t>
  </si>
  <si>
    <t>#20-37</t>
  </si>
  <si>
    <t>#19-37</t>
  </si>
  <si>
    <t>#18-37</t>
  </si>
  <si>
    <t>#17-37</t>
  </si>
  <si>
    <t>#16-37</t>
  </si>
  <si>
    <t>#15-37</t>
  </si>
  <si>
    <t>#14-37</t>
  </si>
  <si>
    <t>#13-37</t>
  </si>
  <si>
    <t>#12-37</t>
  </si>
  <si>
    <t>#11-37</t>
  </si>
  <si>
    <t>#10-37</t>
  </si>
  <si>
    <t>#09-37</t>
  </si>
  <si>
    <t>#08-37</t>
  </si>
  <si>
    <t>#07-37</t>
  </si>
  <si>
    <t>#06-37</t>
  </si>
  <si>
    <t>#05-37</t>
  </si>
  <si>
    <t>#04-37</t>
  </si>
  <si>
    <t>#03-37</t>
  </si>
  <si>
    <t>#02-37</t>
  </si>
  <si>
    <t>CP6p</t>
  </si>
  <si>
    <t>#21-38</t>
  </si>
  <si>
    <t>#20-38</t>
  </si>
  <si>
    <t>#19-38</t>
  </si>
  <si>
    <t>#18-38</t>
  </si>
  <si>
    <t>#17-38</t>
  </si>
  <si>
    <t>#16-38</t>
  </si>
  <si>
    <t>#15-38</t>
  </si>
  <si>
    <t>#14-38</t>
  </si>
  <si>
    <t>#13-38</t>
  </si>
  <si>
    <t>#12-38</t>
  </si>
  <si>
    <t>#11-38</t>
  </si>
  <si>
    <t>#10-38</t>
  </si>
  <si>
    <t>#09-38</t>
  </si>
  <si>
    <t>#08-38</t>
  </si>
  <si>
    <t>#07-38</t>
  </si>
  <si>
    <t>#06-38</t>
  </si>
  <si>
    <t>#05-38</t>
  </si>
  <si>
    <t>#04-38</t>
  </si>
  <si>
    <t>#03-38</t>
  </si>
  <si>
    <t>#02-38</t>
  </si>
  <si>
    <t>#21-39</t>
  </si>
  <si>
    <t>#20-39</t>
  </si>
  <si>
    <t>#19-39</t>
  </si>
  <si>
    <t>#18-39</t>
  </si>
  <si>
    <t>#17-39</t>
  </si>
  <si>
    <t>#16-39</t>
  </si>
  <si>
    <t>#15-39</t>
  </si>
  <si>
    <t>#14-39</t>
  </si>
  <si>
    <t>#13-39</t>
  </si>
  <si>
    <t>#12-39</t>
  </si>
  <si>
    <t>#11-39</t>
  </si>
  <si>
    <t>#10-39</t>
  </si>
  <si>
    <t>#09-39</t>
  </si>
  <si>
    <t>#08-39</t>
  </si>
  <si>
    <t>#07-39</t>
  </si>
  <si>
    <t>#06-39</t>
  </si>
  <si>
    <t>#05-39</t>
  </si>
  <si>
    <t>#04-39</t>
  </si>
  <si>
    <t>#03-39</t>
  </si>
  <si>
    <t>#02-39</t>
  </si>
  <si>
    <t>#21-40</t>
  </si>
  <si>
    <t>C4</t>
  </si>
  <si>
    <t>#20-40</t>
  </si>
  <si>
    <t>#19-40</t>
  </si>
  <si>
    <t>#18-40</t>
  </si>
  <si>
    <t>#17-40</t>
  </si>
  <si>
    <t>#16-40</t>
  </si>
  <si>
    <t>#15-40</t>
  </si>
  <si>
    <t>#14-40</t>
  </si>
  <si>
    <t>#13-40</t>
  </si>
  <si>
    <t>#12-40</t>
  </si>
  <si>
    <t>#11-40</t>
  </si>
  <si>
    <t>#10-40</t>
  </si>
  <si>
    <t>#09-40</t>
  </si>
  <si>
    <t>#08-40</t>
  </si>
  <si>
    <t>#07-40</t>
  </si>
  <si>
    <t>#06-40</t>
  </si>
  <si>
    <t>#05-40</t>
  </si>
  <si>
    <t>#04-40</t>
  </si>
  <si>
    <t>#03-40</t>
  </si>
  <si>
    <t>#02-40</t>
  </si>
  <si>
    <t>C4p</t>
  </si>
  <si>
    <t>#21-41</t>
  </si>
  <si>
    <t>CPS2</t>
  </si>
  <si>
    <t>#20-41</t>
  </si>
  <si>
    <t>#19-41</t>
  </si>
  <si>
    <t>#18-41</t>
  </si>
  <si>
    <t>#17-41</t>
  </si>
  <si>
    <t>#16-41</t>
  </si>
  <si>
    <t>#15-41</t>
  </si>
  <si>
    <t>#14-41</t>
  </si>
  <si>
    <t>#13-41</t>
  </si>
  <si>
    <t>#12-41</t>
  </si>
  <si>
    <t>#11-41</t>
  </si>
  <si>
    <t>#10-41</t>
  </si>
  <si>
    <t>#09-41</t>
  </si>
  <si>
    <t>#08-41</t>
  </si>
  <si>
    <t>#07-41</t>
  </si>
  <si>
    <t>#06-41</t>
  </si>
  <si>
    <t>#05-41</t>
  </si>
  <si>
    <t>#04-41</t>
  </si>
  <si>
    <t>#03-41</t>
  </si>
  <si>
    <t>#02-41</t>
  </si>
  <si>
    <t>CPS2p</t>
  </si>
  <si>
    <t>#21-42</t>
  </si>
  <si>
    <t>BP9</t>
  </si>
  <si>
    <t>#20-42</t>
  </si>
  <si>
    <t>#19-42</t>
  </si>
  <si>
    <t>#18-42</t>
  </si>
  <si>
    <t>#17-42</t>
  </si>
  <si>
    <t>#16-42</t>
  </si>
  <si>
    <t>#15-42</t>
  </si>
  <si>
    <t>#14-42</t>
  </si>
  <si>
    <t>#13-42</t>
  </si>
  <si>
    <t>#12-42</t>
  </si>
  <si>
    <t>#11-42</t>
  </si>
  <si>
    <t>#10-42</t>
  </si>
  <si>
    <t>#09-42</t>
  </si>
  <si>
    <t>#08-42</t>
  </si>
  <si>
    <t>#07-42</t>
  </si>
  <si>
    <t>#06-42</t>
  </si>
  <si>
    <t>#05-42</t>
  </si>
  <si>
    <t>#04-42</t>
  </si>
  <si>
    <t>#03-42</t>
  </si>
  <si>
    <t>#02-42</t>
  </si>
  <si>
    <t>BP9p</t>
  </si>
  <si>
    <t>#21-43</t>
  </si>
  <si>
    <t>BP5</t>
  </si>
  <si>
    <t>#20-43</t>
  </si>
  <si>
    <t>#19-43</t>
  </si>
  <si>
    <t>#18-43</t>
  </si>
  <si>
    <t>#17-43</t>
  </si>
  <si>
    <t>#16-43</t>
  </si>
  <si>
    <t>#15-43</t>
  </si>
  <si>
    <t>#14-43</t>
  </si>
  <si>
    <t>#13-43</t>
  </si>
  <si>
    <t>#12-43</t>
  </si>
  <si>
    <t>#11-43</t>
  </si>
  <si>
    <t>#10-43</t>
  </si>
  <si>
    <t>#09-43</t>
  </si>
  <si>
    <t>#08-43</t>
  </si>
  <si>
    <t>#07-43</t>
  </si>
  <si>
    <t>#06-43</t>
  </si>
  <si>
    <t>#05-43</t>
  </si>
  <si>
    <t>#04-43</t>
  </si>
  <si>
    <t>#03-43</t>
  </si>
  <si>
    <t>#02-43</t>
  </si>
  <si>
    <t>BP5p</t>
  </si>
  <si>
    <t>#21-44</t>
  </si>
  <si>
    <t>BPS4</t>
  </si>
  <si>
    <t>#20-44</t>
  </si>
  <si>
    <t>#19-44</t>
  </si>
  <si>
    <t>#18-44</t>
  </si>
  <si>
    <t>#17-44</t>
  </si>
  <si>
    <t>#16-44</t>
  </si>
  <si>
    <t>#15-44</t>
  </si>
  <si>
    <t>#14-44</t>
  </si>
  <si>
    <t>#13-44</t>
  </si>
  <si>
    <t>#12-44</t>
  </si>
  <si>
    <t>#11-44</t>
  </si>
  <si>
    <t>#10-44</t>
  </si>
  <si>
    <t>#09-44</t>
  </si>
  <si>
    <t>#08-44</t>
  </si>
  <si>
    <t>#07-44</t>
  </si>
  <si>
    <t>#06-44</t>
  </si>
  <si>
    <t>#05-44</t>
  </si>
  <si>
    <t>#04-44</t>
  </si>
  <si>
    <t>#03-44</t>
  </si>
  <si>
    <t>#02-44</t>
  </si>
  <si>
    <t>BPS4p</t>
  </si>
  <si>
    <t>#21-45</t>
  </si>
  <si>
    <t>D1</t>
  </si>
  <si>
    <t>#20-45</t>
  </si>
  <si>
    <t>#19-45</t>
  </si>
  <si>
    <t>#18-45</t>
  </si>
  <si>
    <t>#17-45</t>
  </si>
  <si>
    <t>#16-45</t>
  </si>
  <si>
    <t>#15-45</t>
  </si>
  <si>
    <t>#14-45</t>
  </si>
  <si>
    <t>#13-45</t>
  </si>
  <si>
    <t>#12-45</t>
  </si>
  <si>
    <t>#11-45</t>
  </si>
  <si>
    <t>#10-45</t>
  </si>
  <si>
    <t>#09-45</t>
  </si>
  <si>
    <t>#08-45</t>
  </si>
  <si>
    <t>#07-45</t>
  </si>
  <si>
    <t>#06-45</t>
  </si>
  <si>
    <t>#05-45</t>
  </si>
  <si>
    <t>#04-45</t>
  </si>
  <si>
    <t>#03-45</t>
  </si>
  <si>
    <t>#02-45</t>
  </si>
  <si>
    <t>D1p</t>
  </si>
  <si>
    <t>#21-46</t>
  </si>
  <si>
    <t>CP3</t>
  </si>
  <si>
    <t>#20-46</t>
  </si>
  <si>
    <t>#19-46</t>
  </si>
  <si>
    <t>#18-46</t>
  </si>
  <si>
    <t>#17-46</t>
  </si>
  <si>
    <t>#16-46</t>
  </si>
  <si>
    <t>#15-46</t>
  </si>
  <si>
    <t>#14-46</t>
  </si>
  <si>
    <t>#13-46</t>
  </si>
  <si>
    <t>#12-46</t>
  </si>
  <si>
    <t>#11-46</t>
  </si>
  <si>
    <t>#10-46</t>
  </si>
  <si>
    <t>#09-46</t>
  </si>
  <si>
    <t>#08-46</t>
  </si>
  <si>
    <t>#07-46</t>
  </si>
  <si>
    <t>#06-46</t>
  </si>
  <si>
    <t>#05-46</t>
  </si>
  <si>
    <t>#04-46</t>
  </si>
  <si>
    <t>#03-46</t>
  </si>
  <si>
    <t>#02-46</t>
  </si>
  <si>
    <t>CP3p</t>
  </si>
  <si>
    <t>#21-47</t>
  </si>
  <si>
    <t>#20-47</t>
  </si>
  <si>
    <t>#19-47</t>
  </si>
  <si>
    <t>#18-47</t>
  </si>
  <si>
    <t>#17-47</t>
  </si>
  <si>
    <t>#16-47</t>
  </si>
  <si>
    <t>#15-47</t>
  </si>
  <si>
    <t>#14-47</t>
  </si>
  <si>
    <t>#13-47</t>
  </si>
  <si>
    <t>#12-47</t>
  </si>
  <si>
    <t>#11-47</t>
  </si>
  <si>
    <t>#10-47</t>
  </si>
  <si>
    <t>#09-47</t>
  </si>
  <si>
    <t>#08-47</t>
  </si>
  <si>
    <t>#07-47</t>
  </si>
  <si>
    <t>#06-47</t>
  </si>
  <si>
    <t>#05-47</t>
  </si>
  <si>
    <t>#04-47</t>
  </si>
  <si>
    <t>#03-47</t>
  </si>
  <si>
    <t>#02-47</t>
  </si>
  <si>
    <t>#21-48</t>
  </si>
  <si>
    <t>BP4</t>
  </si>
  <si>
    <t>#20-48</t>
  </si>
  <si>
    <t>#19-48</t>
  </si>
  <si>
    <t>#18-48</t>
  </si>
  <si>
    <t>#17-48</t>
  </si>
  <si>
    <t>#16-48</t>
  </si>
  <si>
    <t>#15-48</t>
  </si>
  <si>
    <t>#14-48</t>
  </si>
  <si>
    <t>#13-48</t>
  </si>
  <si>
    <t>#12-48</t>
  </si>
  <si>
    <t>#11-48</t>
  </si>
  <si>
    <t>#10-48</t>
  </si>
  <si>
    <t>#09-48</t>
  </si>
  <si>
    <t>#08-48</t>
  </si>
  <si>
    <t>#07-48</t>
  </si>
  <si>
    <t>#06-48</t>
  </si>
  <si>
    <t>#05-48</t>
  </si>
  <si>
    <t>#04-48</t>
  </si>
  <si>
    <t>#03-48</t>
  </si>
  <si>
    <t>#02-48</t>
  </si>
  <si>
    <t>BP4p</t>
  </si>
  <si>
    <t>#21-49</t>
  </si>
  <si>
    <t>#20-49</t>
  </si>
  <si>
    <t>#19-49</t>
  </si>
  <si>
    <t>#18-49</t>
  </si>
  <si>
    <t>#17-49</t>
  </si>
  <si>
    <t>#16-49</t>
  </si>
  <si>
    <t>#15-49</t>
  </si>
  <si>
    <t>#14-49</t>
  </si>
  <si>
    <t>#13-49</t>
  </si>
  <si>
    <t>#12-49</t>
  </si>
  <si>
    <t>#11-49</t>
  </si>
  <si>
    <t>#10-49</t>
  </si>
  <si>
    <t>#09-49</t>
  </si>
  <si>
    <t>#08-49</t>
  </si>
  <si>
    <t>#07-49</t>
  </si>
  <si>
    <t>#06-49</t>
  </si>
  <si>
    <t>#05-49</t>
  </si>
  <si>
    <t>#04-49</t>
  </si>
  <si>
    <t>#03-49</t>
  </si>
  <si>
    <t>#02-49</t>
  </si>
  <si>
    <t>#21-50</t>
  </si>
  <si>
    <t>CP4</t>
  </si>
  <si>
    <t>#20-50</t>
  </si>
  <si>
    <t>#19-50</t>
  </si>
  <si>
    <t>#18-50</t>
  </si>
  <si>
    <t>#17-50</t>
  </si>
  <si>
    <t>#16-50</t>
  </si>
  <si>
    <t>#15-50</t>
  </si>
  <si>
    <t>#14-50</t>
  </si>
  <si>
    <t>#13-50</t>
  </si>
  <si>
    <t>#12-50</t>
  </si>
  <si>
    <t>#11-50</t>
  </si>
  <si>
    <t>#10-50</t>
  </si>
  <si>
    <t>#09-50</t>
  </si>
  <si>
    <t>#08-50</t>
  </si>
  <si>
    <t>#07-50</t>
  </si>
  <si>
    <t>#06-50</t>
  </si>
  <si>
    <t>#05-50</t>
  </si>
  <si>
    <t>#04-50</t>
  </si>
  <si>
    <t>#03-50</t>
  </si>
  <si>
    <t>#02-50</t>
  </si>
  <si>
    <t>CP4p</t>
  </si>
  <si>
    <t>#21-51</t>
  </si>
  <si>
    <t>CP5</t>
  </si>
  <si>
    <t>#20-51</t>
  </si>
  <si>
    <t>#19-51</t>
  </si>
  <si>
    <t>#18-51</t>
  </si>
  <si>
    <t>#17-51</t>
  </si>
  <si>
    <t>#16-51</t>
  </si>
  <si>
    <t>#15-51</t>
  </si>
  <si>
    <t>#14-51</t>
  </si>
  <si>
    <t>#13-51</t>
  </si>
  <si>
    <t>#12-51</t>
  </si>
  <si>
    <t>#11-51</t>
  </si>
  <si>
    <t>#10-51</t>
  </si>
  <si>
    <t>#09-51</t>
  </si>
  <si>
    <t>#08-51</t>
  </si>
  <si>
    <t>#07-51</t>
  </si>
  <si>
    <t>#06-51</t>
  </si>
  <si>
    <t>#05-51</t>
  </si>
  <si>
    <t>#04-51</t>
  </si>
  <si>
    <t>#03-51</t>
  </si>
  <si>
    <t>#02-51</t>
  </si>
  <si>
    <t>CP5p</t>
  </si>
  <si>
    <t>#21-52</t>
  </si>
  <si>
    <t>#20-52</t>
  </si>
  <si>
    <t>#19-52</t>
  </si>
  <si>
    <t>#18-52</t>
  </si>
  <si>
    <t>#17-52</t>
  </si>
  <si>
    <t>#16-52</t>
  </si>
  <si>
    <t>#15-52</t>
  </si>
  <si>
    <t>#14-52</t>
  </si>
  <si>
    <t>#13-52</t>
  </si>
  <si>
    <t>#12-52</t>
  </si>
  <si>
    <t>#11-52</t>
  </si>
  <si>
    <t>#10-52</t>
  </si>
  <si>
    <t>#09-52</t>
  </si>
  <si>
    <t>#08-52</t>
  </si>
  <si>
    <t>#07-52</t>
  </si>
  <si>
    <t>#06-52</t>
  </si>
  <si>
    <t>#05-52</t>
  </si>
  <si>
    <t>#04-52</t>
  </si>
  <si>
    <t>#03-52</t>
  </si>
  <si>
    <t>#02-52</t>
  </si>
  <si>
    <t>#21-53</t>
  </si>
  <si>
    <t>BP8</t>
  </si>
  <si>
    <t>#20-53</t>
  </si>
  <si>
    <t>#19-53</t>
  </si>
  <si>
    <t>#18-53</t>
  </si>
  <si>
    <t>#17-53</t>
  </si>
  <si>
    <t>#16-53</t>
  </si>
  <si>
    <t>#15-53</t>
  </si>
  <si>
    <t>#14-53</t>
  </si>
  <si>
    <t>#13-53</t>
  </si>
  <si>
    <t>#12-53</t>
  </si>
  <si>
    <t>#11-53</t>
  </si>
  <si>
    <t>#10-53</t>
  </si>
  <si>
    <t>#09-53</t>
  </si>
  <si>
    <t>#08-53</t>
  </si>
  <si>
    <t>#07-53</t>
  </si>
  <si>
    <t>#06-53</t>
  </si>
  <si>
    <t>#05-53</t>
  </si>
  <si>
    <t>#04-53</t>
  </si>
  <si>
    <t>#03-53</t>
  </si>
  <si>
    <t>#02-53</t>
  </si>
  <si>
    <t>BP8p</t>
  </si>
  <si>
    <t>#21-54</t>
  </si>
  <si>
    <t>#20-54</t>
  </si>
  <si>
    <t>#19-54</t>
  </si>
  <si>
    <t>#18-54</t>
  </si>
  <si>
    <t>#17-54</t>
  </si>
  <si>
    <t>#16-54</t>
  </si>
  <si>
    <t>#15-54</t>
  </si>
  <si>
    <t>#14-54</t>
  </si>
  <si>
    <t>#13-54</t>
  </si>
  <si>
    <t>#12-54</t>
  </si>
  <si>
    <t>#11-54</t>
  </si>
  <si>
    <t>#10-54</t>
  </si>
  <si>
    <t>#09-54</t>
  </si>
  <si>
    <t>#08-54</t>
  </si>
  <si>
    <t>#07-54</t>
  </si>
  <si>
    <t>#06-54</t>
  </si>
  <si>
    <t>#05-54</t>
  </si>
  <si>
    <t>#04-54</t>
  </si>
  <si>
    <t>#03-54</t>
  </si>
  <si>
    <t>#02-54</t>
  </si>
  <si>
    <t>#21-55</t>
  </si>
  <si>
    <t>C2</t>
  </si>
  <si>
    <t>#20-55</t>
  </si>
  <si>
    <t>#19-55</t>
  </si>
  <si>
    <t>#18-55</t>
  </si>
  <si>
    <t>#17-55</t>
  </si>
  <si>
    <t>#16-55</t>
  </si>
  <si>
    <t>#15-55</t>
  </si>
  <si>
    <t>#14-55</t>
  </si>
  <si>
    <t>#13-55</t>
  </si>
  <si>
    <t>#12-55</t>
  </si>
  <si>
    <t>#11-55</t>
  </si>
  <si>
    <t>#10-55</t>
  </si>
  <si>
    <t>#09-55</t>
  </si>
  <si>
    <t>#08-55</t>
  </si>
  <si>
    <t>#07-55</t>
  </si>
  <si>
    <t>#06-55</t>
  </si>
  <si>
    <t>#05-55</t>
  </si>
  <si>
    <t>#04-55</t>
  </si>
  <si>
    <t>#03-55</t>
  </si>
  <si>
    <t>#02-55</t>
  </si>
  <si>
    <t>C2p</t>
  </si>
  <si>
    <t>Thomson Reserve: 2 Bedroom</t>
  </si>
  <si>
    <t>2 Bedroom (592 sqft): Types B1, B2, B3. 100 units across 5 stacks. Indicative only, anchored to the developer starting price and the project chief floor guide.</t>
  </si>
  <si>
    <t>Orange = view blocked / clubhouse roof in front. Bold green = mid-floor view premium fully loaded; bold navy = high-floor view premium fully loaded. Grey = floor does not exist. Luxury is always priced above Classic on the same floor.</t>
  </si>
  <si>
    <t>Block</t>
  </si>
  <si>
    <t>Tier &amp; stack position (low / mid / high)</t>
  </si>
  <si>
    <t>View clears from L (parallax)</t>
  </si>
  <si>
    <t>Eye passes roof at L (naive)</t>
  </si>
  <si>
    <t>Blocked by</t>
  </si>
  <si>
    <t>Mid view premium fully loaded by</t>
  </si>
  <si>
    <t>High view premium fully loaded by</t>
  </si>
  <si>
    <t>Lowest-floor price</t>
  </si>
  <si>
    <t>Top-floor price</t>
  </si>
  <si>
    <t>A. Estimated price ($)</t>
  </si>
  <si>
    <t>B. Estimated PSF ($ psf)</t>
  </si>
  <si>
    <t>Thomson Reserve: 2 Bedroom Premium</t>
  </si>
  <si>
    <t>2 Bedroom Premium (678 sqft): Types BP1 to BP9, incl. Luxury BP2(L), BP3(L), BP6(L), BP7(L). 416 units across 18 stacks. Indicative only, anchored to the developer starting price and the project chief floor guide.</t>
  </si>
  <si>
    <t>Thomson Reserve: 2 Bedroom Premium + Study</t>
  </si>
  <si>
    <t>2 Bedroom Premium + Study (732 sqft: BPS1, BPS2(L), BPS3(L); 775 sqft: BPS4, BPS4(L)). 200 units across 8 stacks. Indicative only, anchored to the developer starting price and the project chief floor guide.</t>
  </si>
  <si>
    <t>Thomson Reserve: 3 Bedroom</t>
  </si>
  <si>
    <t>3 Bedroom (947 sqft): Types C1, C2, C4, C3(L), C5(L). 120 units across 5 stacks. Indicative only, anchored to the developer starting price and the project chief floor guide.</t>
  </si>
  <si>
    <t>Thomson Reserve: 3 Bedroom Premium</t>
  </si>
  <si>
    <t>3 Bedroom Premium (1,055 sqft): Types CP1 to CP6, CP7(L). 170 units across 8 stacks. Indicative only, anchored to the developer starting price and the project chief floor guide.</t>
  </si>
  <si>
    <t>Thomson Reserve: 3 Bedroom Premium + Study</t>
  </si>
  <si>
    <t>3 Bedroom Premium + Study (1,152 sqft): Types CPS1, CPS2. 60 units across 3 stacks. Indicative only, anchored to the developer starting price and the project chief floor guide.</t>
  </si>
  <si>
    <t>Thomson Reserve: 4 Bedroom</t>
  </si>
  <si>
    <t>4 Bedroom (1,238 sqft): Types D1, D2, D3, D4(L). 90 units across 4 stacks. Indicative only, anchored to the developer starting price and the project chief floor guide.</t>
  </si>
  <si>
    <t>Thomson Reserve: 4 Bedroom Premium (w Private Lift)</t>
  </si>
  <si>
    <t>4 Bedroom Premium with private lift (1,367 sqft): Types DP1(L), DP2(L). 56 units across 2 stacks. Indicative only, anchored to the developer starting price and the project chief floor guide.</t>
  </si>
  <si>
    <t>Thomson Reserve: 4 Bedroom Premium + Study (w Private Lift)</t>
  </si>
  <si>
    <t>4 Bedroom Premium + Study with private lift (1,485 sqft): Type DPS1(L). 28 units across 1 stacks. Indicative only, anchored to the developer starting price and the project chief floor guide.</t>
  </si>
  <si>
    <t>Thomson Reserve: 5 Bedroom Suite (w Private Lift)</t>
  </si>
  <si>
    <t>5 Bedroom Suite with private lift (1,808 sqft): Type E1(L). 28 units across 1 stacks. Indicative only, anchored to the developer starting price and the project chief floor guide.</t>
  </si>
  <si>
    <t>Developer Price Estimation Matrix (latest)</t>
  </si>
  <si>
    <t>Reproduced for reference. Blue = PSF likely for Luxury Collection higher floors. Grey = not offered for that type.</t>
  </si>
  <si>
    <t>2 BR</t>
  </si>
  <si>
    <t>2 BR Premium</t>
  </si>
  <si>
    <t>2 BR Premium + Study</t>
  </si>
  <si>
    <t>3 BR</t>
  </si>
  <si>
    <t>3 BR Premium</t>
  </si>
  <si>
    <t>3 BR Premium + Study</t>
  </si>
  <si>
    <t>4 BR Premium</t>
  </si>
  <si>
    <t>4 BR Premium + Study</t>
  </si>
  <si>
    <t>5 BR Suite</t>
  </si>
  <si>
    <t>STARTING FROM</t>
  </si>
  <si>
    <t>Source: PropNex Thomson Reserve Price Estimation Matrix (latest, shared 18 Oct 2026). Prices are estimates and not official figures.</t>
  </si>
  <si>
    <t>Assumptions &amp; Inputs</t>
  </si>
  <si>
    <t>Yellow cells are inputs. Every price in the workbook flows from this tab.</t>
  </si>
  <si>
    <t>1. Pricing rules and parallax inputs</t>
  </si>
  <si>
    <t>Stack spread around the band average ($, +/-)</t>
  </si>
  <si>
    <t>Most inferior stack sits this much below the floor average, best stack this much above (in every floor band, per size &amp; collection)</t>
  </si>
  <si>
    <t>Luxury lead over Classic, same size &amp; floor (PSF)</t>
  </si>
  <si>
    <t>Cheapest Luxury unit on a floor is at least this much above the dearest Classic unit of the same size on that floor</t>
  </si>
  <si>
    <t>Foreground limit for blockage (m)</t>
  </si>
  <si>
    <t>Structures whose front edge is farther than this sit behind the pool / landscape and are treated as background</t>
  </si>
  <si>
    <t>Floor-to-floor height (m)</t>
  </si>
  <si>
    <t>2.85m ceiling (floor plans) + 0.30m slab</t>
  </si>
  <si>
    <t>Eye height, standing (m)</t>
  </si>
  <si>
    <t>Parallax: eye above finished floor</t>
  </si>
  <si>
    <t>Standing distance inside living room (m)</t>
  </si>
  <si>
    <t>Parallax: where a buyer stands, behind the balcony door</t>
  </si>
  <si>
    <t>Balcony depth (m)</t>
  </si>
  <si>
    <t>Parallax: your own balcony slab edge hides everything below the line from your eye over it</t>
  </si>
  <si>
    <t>Classic L2 floor level above Upper Thomson Rd (m)</t>
  </si>
  <si>
    <t>Site sections: ground about 10m + 4.3m podium (3D model)</t>
  </si>
  <si>
    <t>Luxury L1 floor level above Upper Thomson Rd (m)</t>
  </si>
  <si>
    <t>Site sections (3D model)</t>
  </si>
  <si>
    <t>2. Stack tiers: the tier sets each stack's base position; mid and high-floor view loadings (table 6) add on top</t>
  </si>
  <si>
    <t>Tier score</t>
  </si>
  <si>
    <t>What it means</t>
  </si>
  <si>
    <t>A</t>
  </si>
  <si>
    <t>Trophy: SW-facing direct landed estate + nature reserve, golf / reservoir views, Luxury trophy stacks</t>
  </si>
  <si>
    <t>B</t>
  </si>
  <si>
    <t>Inner pool facing and long pool / landscape vistas (pool facing commands a premium)</t>
  </si>
  <si>
    <t>C</t>
  </si>
  <si>
    <t>Road-side or west-sun stacks with landed / nature reserve views: inferior base, but the unblocked views load heavily on mid and high floors (e.g. Stack 01)</t>
  </si>
  <si>
    <t>D</t>
  </si>
  <si>
    <t>Drop-off, road-side or boundary facing</t>
  </si>
  <si>
    <t>E</t>
  </si>
  <si>
    <t>HDB / Thomson Three facing</t>
  </si>
  <si>
    <t>Stack score on each floor band = tier score + that band's view loading. Floors blocked by a structure in front score 0 until the view clears. Scores are relative: within each size, collection and floor band, the lowest score maps to minus the stack spread and the highest to plus the spread.</t>
  </si>
  <si>
    <t>3. Developer starting price by unit size (latest Price Estimation Matrix): the hard floor for every unit</t>
  </si>
  <si>
    <t>Dev "starting from" ($)</t>
  </si>
  <si>
    <t>Starting PSF used</t>
  </si>
  <si>
    <t>Starting PSF input (developer stated, or lowest row offered)</t>
  </si>
  <si>
    <t>Classic ceiling (safety rail only)</t>
  </si>
  <si>
    <t>Luxury ceiling (safety rail only)</t>
  </si>
  <si>
    <t>Developer top PSF, Classic (reference)</t>
  </si>
  <si>
    <t>Developer top PSF, Luxury (reference)</t>
  </si>
  <si>
    <t>Starting PSF source</t>
  </si>
  <si>
    <t>Developer "starting from" price and PSF as printed on the latest matrix</t>
  </si>
  <si>
    <t>Not yet confirmed by developer: lowest PSF row offered in the matrix</t>
  </si>
  <si>
    <t>4. Project chief floor guide (19 Oct 2026): floor bands, average PSF per band, and the smooth floor curve calibrated to it</t>
  </si>
  <si>
    <t>First floor</t>
  </si>
  <si>
    <t>Low band ends L</t>
  </si>
  <si>
    <t>Mid band ends L</t>
  </si>
  <si>
    <t>Top floor</t>
  </si>
  <si>
    <t>Guide PSF: low band</t>
  </si>
  <si>
    <t>Guide PSF: mid band</t>
  </si>
  <si>
    <t>Guide PSF: high band</t>
  </si>
  <si>
    <t>Target avg PSF: low</t>
  </si>
  <si>
    <t>Target avg PSF: mid</t>
  </si>
  <si>
    <t>Target avg PSF: high</t>
  </si>
  <si>
    <t>Curve point PSF: low band middle</t>
  </si>
  <si>
    <t>Curve point PSF: mid band middle</t>
  </si>
  <si>
    <t>Curve point PSF: high band middle</t>
  </si>
  <si>
    <t>Curve start PSF at first floor (anchored to developer start)</t>
  </si>
  <si>
    <t>Ceiling used</t>
  </si>
  <si>
    <t>Luxury uplift: base PSF</t>
  </si>
  <si>
    <t>Luxury uplift: PSF per floor (to L21)</t>
  </si>
  <si>
    <t>Low band middle (floor)</t>
  </si>
  <si>
    <t>Mid band middle (floor)</t>
  </si>
  <si>
    <t>High band middle (floor)</t>
  </si>
  <si>
    <t>Curve x0</t>
  </si>
  <si>
    <t>Curve y0</t>
  </si>
  <si>
    <t>$2,700</t>
  </si>
  <si>
    <t>$2,800 to $2,900</t>
  </si>
  <si>
    <t>$3,000</t>
  </si>
  <si>
    <t>$3,100</t>
  </si>
  <si>
    <t>$3,100 to $3,200</t>
  </si>
  <si>
    <t>$3,100 to $3,300</t>
  </si>
  <si>
    <t>$2,800</t>
  </si>
  <si>
    <t>$2,900 to $3,000</t>
  </si>
  <si>
    <t>How the curve works: a smooth line through the guide average of each band (plotted at the middle floor of the band), starting from the developer starting PSF for Classic and Luxury-only sizes. Curve points are calibrated so the model average in each band matches the guide average. Luxury sizes that also exist in Classic then get the smallest straight-line uplift that keeps every Luxury unit above every Classic unit of the same size on the same floor, so their averages run above the guide. Each stack then sits up to +/- the stack spread around the curve. No band jumps: prices climb floor by floor.</t>
  </si>
  <si>
    <t>5. Floor curve PSF by floor (before stack position). Each column: unit size and collection</t>
  </si>
  <si>
    <t>592 Classic</t>
  </si>
  <si>
    <t>678 Classic</t>
  </si>
  <si>
    <t>678 Luxury</t>
  </si>
  <si>
    <t>732 Classic</t>
  </si>
  <si>
    <t>732 Luxury</t>
  </si>
  <si>
    <t>775 Classic</t>
  </si>
  <si>
    <t>775 Luxury</t>
  </si>
  <si>
    <t>947 Classic</t>
  </si>
  <si>
    <t>947 Luxury</t>
  </si>
  <si>
    <t>1,055 Classic</t>
  </si>
  <si>
    <t>1,055 Luxury</t>
  </si>
  <si>
    <t>1,152 Classic</t>
  </si>
  <si>
    <t>1,238 Classic</t>
  </si>
  <si>
    <t>1,238 Luxury</t>
  </si>
  <si>
    <t>1,367 Luxury</t>
  </si>
  <si>
    <t>1,485 Luxury</t>
  </si>
  <si>
    <t>1,808 Luxury</t>
  </si>
  <si>
    <t>5b. Check: cheapest Luxury unit vs dearest Classic unit of the same size on each floor (OK = Luxury dearer)</t>
  </si>
  <si>
    <t>678 sqft</t>
  </si>
  <si>
    <t>732 sqft</t>
  </si>
  <si>
    <t>775 sqft</t>
  </si>
  <si>
    <t>947 sqft</t>
  </si>
  <si>
    <t>1,055 sqft</t>
  </si>
  <si>
    <t>1,238 sqft</t>
  </si>
  <si>
    <t>6. Stack register: view premiums (relative scores), stack position, blocked floors (3D site model, parallax) and facing</t>
  </si>
  <si>
    <t>Lowest floor</t>
  </si>
  <si>
    <t>Highest floor</t>
  </si>
  <si>
    <t>Tier (A-E)</t>
  </si>
  <si>
    <t>Score: low floors (tier, or 0 if blocked)</t>
  </si>
  <si>
    <t>Score: mid floors (tier + mid loading)</t>
  </si>
  <si>
    <t>View clears from L</t>
  </si>
  <si>
    <t>Mid premium full by L (input)</t>
  </si>
  <si>
    <t>Score: high floors (tier + high loading)</t>
  </si>
  <si>
    <t>High premium full by L</t>
  </si>
  <si>
    <t>Mid-floor view loading (input)</t>
  </si>
  <si>
    <t>Ceiling PSF</t>
  </si>
  <si>
    <t>High-floor view loading (input)</t>
  </si>
  <si>
    <t>Curve first floor</t>
  </si>
  <si>
    <t>Low band ends</t>
  </si>
  <si>
    <t>Mid band ends</t>
  </si>
  <si>
    <t>View / facing (sales kit)</t>
  </si>
  <si>
    <t>Blocker roof top (m above road)</t>
  </si>
  <si>
    <t>Blocker near edge (m)</t>
  </si>
  <si>
    <t>Blocker far edge (m)</t>
  </si>
  <si>
    <t>Share of living-room view</t>
  </si>
  <si>
    <t>Eye height needed to clear front roof edge (m)</t>
  </si>
  <si>
    <t>Whole roof out of sight at L (far edge)</t>
  </si>
  <si>
    <t>Lowest score in size &amp; collection (any band, reference)</t>
  </si>
  <si>
    <t>Blocked-floor override L (input)</t>
  </si>
  <si>
    <t>Mid premium actually full by L</t>
  </si>
  <si>
    <t>Highest score in size &amp; collection (any band, reference)</t>
  </si>
  <si>
    <t>Facing &amp; premium rationale</t>
  </si>
  <si>
    <t>Stack position $: low floors</t>
  </si>
  <si>
    <t>Stack position $: mid floors</t>
  </si>
  <si>
    <t>Stack position $: high floors</t>
  </si>
  <si>
    <t>Unblocked landed estate + nature reserve + city view</t>
  </si>
  <si>
    <t>SSE. Unblocked landed estate + nature reserve + city; MacRitchie Reservoir Park unblocked from mid floor; road noise on low floors. Tier C: below pool-facing 06/18 on low floors, dearer than them on high floors</t>
  </si>
  <si>
    <t>Forest Grill Pavilion 2: 41% of view, 27.5 to 37m away</t>
  </si>
  <si>
    <t>Price jump from mid floor: unblocked landed, nature reserve &amp; city views</t>
  </si>
  <si>
    <t>SSE. Forest Grill pavilions in front of low floors; landed, nature reserve &amp; city views open from mid floor</t>
  </si>
  <si>
    <t>Forest Grill Pavilion 2: 66% of view, 22.5 to 32.5m away</t>
  </si>
  <si>
    <t>Forest Grill Pavilion 2: 75% of view, 18.8 to 28.5m away</t>
  </si>
  <si>
    <t>Approx 81m setback to road; unblocked landed &amp; greenery view</t>
  </si>
  <si>
    <t>SSE. 81m setback to road; landed &amp; greenery; same view corridor as Stacks 01-05 from mid floor</t>
  </si>
  <si>
    <t>Forest Grill Pavilion 1: 75% of view, 19.2 to 28m away</t>
  </si>
  <si>
    <t>81m to road; low floors face Forest Grill pavilions, mid floor up landed + nature + city</t>
  </si>
  <si>
    <t>SSE. Low floors face Forest Grill pavilions; super unblocked landed + nature reserve + city from mid floor; reservoir body on high floors</t>
  </si>
  <si>
    <t>Island Club: 41% of view, 16.4 to 64.1m away</t>
  </si>
  <si>
    <t>Internal view of Island Club facilities, pool &amp; landscaping</t>
  </si>
  <si>
    <t>NNW. Inner pool facing (Island Club); clubhouse in front of low floors, pool premium loads from the clear floor</t>
  </si>
  <si>
    <t>Island Club: 51% of view, 23.5 to 66m away</t>
  </si>
  <si>
    <t>Low floors overlook drop-off &amp; facilities; better from mid floor</t>
  </si>
  <si>
    <t>NNW. Low floors overlook drop-off; Island Club in front; better from mid floor</t>
  </si>
  <si>
    <t>Island Club: 52% of view, 31.7 to 66m away</t>
  </si>
  <si>
    <t>Facing landed estate, quiet facing</t>
  </si>
  <si>
    <t>ENE. Faces landed estate, quiet</t>
  </si>
  <si>
    <t>Landed estate view + nature reserve view</t>
  </si>
  <si>
    <t>SSW. Super unblocked landed estate + nature reserve; premium loaded on mid &amp; high floors</t>
  </si>
  <si>
    <t>Approx 24m setback to road, 14.5m elevation; overlooking landed</t>
  </si>
  <si>
    <t>SSW. 24m setback to road (road noise), overlooking landed; landed / nature view improves from mid floor</t>
  </si>
  <si>
    <t>Unblocked direct view of landed estate &amp; nature reserve</t>
  </si>
  <si>
    <t>SSW. Unblocked direct view of landed estate &amp; nature reserve</t>
  </si>
  <si>
    <t>Pool Cabana: 16% of view, 28.4 to 34.3m away</t>
  </si>
  <si>
    <t>Approx 171m pool &amp; landscape view, nature reserve + landed</t>
  </si>
  <si>
    <t>WNW: almost direct west sun. 171m pool &amp; facilities view, nature reserve + landed; Pool Cabana in front of low floors</t>
  </si>
  <si>
    <t>Approx 171m pool &amp; landscape view; 240m block distance</t>
  </si>
  <si>
    <t>WNW: almost direct west sun. 171m pool &amp; facilities view, nature reserve + landed</t>
  </si>
  <si>
    <t>Shorter pool view (~80m to Blk 11); slightly limited by side walls</t>
  </si>
  <si>
    <t>NNE. Shorter pool view (~80m to Blk 11), partly limited by side walls</t>
  </si>
  <si>
    <t>NNE. Inner pool facing: Island Pool in front, Island Club behind it</t>
  </si>
  <si>
    <t>Direct landed + nature reserve; 171m pool view; possible MacRitchie view on top floors</t>
  </si>
  <si>
    <t>SW. The only 5BR: direct landed + nature reserve, 171m pool; possible MacRitchie Reservoir on top floors</t>
  </si>
  <si>
    <t>Direct view of landed estate + nature reserve</t>
  </si>
  <si>
    <t>SW, same direction as the 5BR. Direct landed estate + nature reserve</t>
  </si>
  <si>
    <t>SW, same direction as the 5BR. Direct landed estate + nature reserve; private lift</t>
  </si>
  <si>
    <t>Olive Lounge / function rooms (Canopy Lap Pool): 52% of view, 39.1 to 45.3m away</t>
  </si>
  <si>
    <t>Facing pool &amp; landscape</t>
  </si>
  <si>
    <t>NE. Inner pool &amp; landscape (Canopy Lap Pool); Olive Lounge / function rooms in front of low floors</t>
  </si>
  <si>
    <t>Olive Lounge / function rooms (Canopy Lap Pool): 74% of view, 37.1 to 42.8m away</t>
  </si>
  <si>
    <t>Approx 55m setback; expansive pool &amp; landscaping views</t>
  </si>
  <si>
    <t>NE. 55m setback; inner pool &amp; landscape; Olive Lounge / function rooms in front of low floors</t>
  </si>
  <si>
    <t>Olive Lounge / function rooms (Canopy Lap Pool): 89% of view, 35.7 to 42.8m away</t>
  </si>
  <si>
    <t>55m setback to Thomson Three; pool views; L22+ may see unblocked to Bishan</t>
  </si>
  <si>
    <t>NE. Inner pool &amp; landscape; Olive Lounge in front of low floors; unblocked towards Bishan above L22</t>
  </si>
  <si>
    <t>Pool view towards Thomson Three &amp; Sin Ming HDB</t>
  </si>
  <si>
    <t>NE. Pool view towards Thomson Three &amp; Sin Ming HDB; Olive Lounge in front of low floors</t>
  </si>
  <si>
    <t>171m pool &amp; landscape view, nature reserve + landed; no afternoon sun</t>
  </si>
  <si>
    <t>SE: no afternoon sun. 171m pool &amp; landscape, nature reserve + landed; Luxury block. Most premium 4BR stack</t>
  </si>
  <si>
    <t>SW. Unblocked landed estate + nature reserve + city view</t>
  </si>
  <si>
    <t>Wellness Pod Pavilion 1: 18% of view, 24.2 to 30.1m away</t>
  </si>
  <si>
    <t>70m setback from tennis court; Wellness Club, golf course, landed, nature reserve, Lower Peirce (L20+)</t>
  </si>
  <si>
    <t>NW. Wellness Club, golf course, landed, nature reserve; Lower Peirce Reservoir from L20</t>
  </si>
  <si>
    <t>Wellness Pod Pavilion 1: 36% of view, 26.2 to 32.1m away</t>
  </si>
  <si>
    <t>Wellness Pod Pavilion 1: 61% of view, 29 to 34.9m away</t>
  </si>
  <si>
    <t>Poolside BBQ Pavilion 2 (charcoal): 61% of view, 29.1 to 38m away</t>
  </si>
  <si>
    <t>70m setback from tennis court; golf course, landed, nature reserve, Lower Peirce (L20+)</t>
  </si>
  <si>
    <t>NW. Charcoal BBQ &amp; wellness pavilions in front of low floors; golf course, Lower Peirce Reservoir from L20; private lift</t>
  </si>
  <si>
    <t>Facing pool; 240m unblocked landscaping view</t>
  </si>
  <si>
    <t>SE: no afternoon sun. 240m unblocked pool &amp; landscape</t>
  </si>
  <si>
    <t>Up to 240m pool &amp; landscape view; N-S orientation, no afternoon sun</t>
  </si>
  <si>
    <t>SE: no afternoon sun. Up to 240m pool &amp; landscape</t>
  </si>
  <si>
    <t>240m entire pool &amp; landscape view; no afternoon sun</t>
  </si>
  <si>
    <t>SE: no afternoon sun. 240m entire pool &amp; landscape</t>
  </si>
  <si>
    <t>SW. Direct landed estate + nature reserve; private lift</t>
  </si>
  <si>
    <t>Structure in front of low floors; pool properly seen from L10</t>
  </si>
  <si>
    <t>190m unblocked view of the landscape</t>
  </si>
  <si>
    <t>WNW (west sun). 190m view across the whole project; structure in front of low floors, pool properly seen from L10</t>
  </si>
  <si>
    <t>Paw Garden Pavilion: 21% of view, 25.8 to 32.7m away</t>
  </si>
  <si>
    <t>View towards Thomson Three &amp; Sin Ming HDB</t>
  </si>
  <si>
    <t>NNE. View towards Thomson Three &amp; Sin Ming HDB; Paw Garden pavilion in front of low floors</t>
  </si>
  <si>
    <t>Paw Garden Pavilion: 20% of view, 22.9 to 29.9m away</t>
  </si>
  <si>
    <t>Paw Garden Pavilion: 20% of view, 23 to 29.9m away</t>
  </si>
  <si>
    <t>28m setback; faces Thomson Three cluster houses, next to Relaxation Bubble Pool</t>
  </si>
  <si>
    <t>NNE. 28m to boundary facing Thomson Three cluster houses, next to Relaxation Bubble Pool</t>
  </si>
  <si>
    <t>95m to entrance; Island Pool view + landed estate view</t>
  </si>
  <si>
    <t>ESE. Inner Island Pool + landed estate view (Island Club sits behind the pool)</t>
  </si>
  <si>
    <t>Infinity pool view; landed + nature reserve from mid floor</t>
  </si>
  <si>
    <t>SSW. Infinity pool view; landed + nature reserve from mid floor</t>
  </si>
  <si>
    <t>60m setback to Upper Thomson Rd; landscaping &amp; landed, nature reserve from mid floor</t>
  </si>
  <si>
    <t>SSW. 60m setback to Upper Thomson Rd; landscaping &amp; landed; nature reserve from mid floor</t>
  </si>
  <si>
    <t>Pool view; landed + nature reserve from mid floor</t>
  </si>
  <si>
    <t>SSW. Unblocked pool view on low floors; unblocked nature reserve from mid floor</t>
  </si>
  <si>
    <t>Facing HDB, landed &amp; mid-view city</t>
  </si>
  <si>
    <t>NE. Facing HDB, landed &amp; mid-view city</t>
  </si>
  <si>
    <t>Forest Pavilion: 21% of view, 21.6 to 28.5m away</t>
  </si>
  <si>
    <t>View towards HDB, landed on the right; higher floors may see Kwang Ming San</t>
  </si>
  <si>
    <t>NE. Facing HDB, landed on the right; higher floors may see Kwang Ming San</t>
  </si>
  <si>
    <t>Forest Pavilion: 20% of view, 23.5 to 30.3m away</t>
  </si>
  <si>
    <t>Forest Pavilion: 15% of view, 27.7 to 34.7m away</t>
  </si>
  <si>
    <t>Drop-off / driveway below (noise, cars entering and exiting)</t>
  </si>
  <si>
    <t>Landed estate + nature reserve + city view</t>
  </si>
  <si>
    <t>SSE. Landed + nature reserve + city; low floors closest to the drop-off / driveway, premium from L10</t>
  </si>
  <si>
    <t>SE. Landed + nature reserve + city; low floors closest to the drop-off / driveway, premium from L10</t>
  </si>
  <si>
    <t>Island Club: 87% of view, 35.9 to 51.6m away</t>
  </si>
  <si>
    <t>Pool &amp; facilities; side views of landed + nature reserve from mid floor</t>
  </si>
  <si>
    <t>SW. Inner pool &amp; facilities; Island Club in front of low floors; side landed + nature reserve from mid floor</t>
  </si>
  <si>
    <t>Island Club: 98% of view, 33.5 to 55.2m away</t>
  </si>
  <si>
    <t>Internal pool view, 80m block distance</t>
  </si>
  <si>
    <t>SW. Internal pool view; Island Club in front of low floors</t>
  </si>
  <si>
    <t>Island Club: 62% of view, 28.9 to 40m away</t>
  </si>
  <si>
    <t>80m to opposite block; pocket landscaping &amp; landed view</t>
  </si>
  <si>
    <t>SW. Pocket landscaping &amp; landed; Island Club in front of low floors</t>
  </si>
  <si>
    <t>Island Club (lengthwise, in front of living room &amp; balcony): 67% of view, 32.5 to 63.1m away</t>
  </si>
  <si>
    <t>77m pool &amp; landscape view; nature reserve on higher floors</t>
  </si>
  <si>
    <t>SW. 77m pool &amp; landscape (Central Lawn, Island Pool); Island Club in front of living room on low floors; nature reserve on higher floors</t>
  </si>
  <si>
    <t>Scores = tier score + view loading (blocked low floors score 0). Within each size, collection and floor band, the lowest score maps to minus the stack spread (most inferior) and the highest to plus the spread (trophy). A stack moves from its low-floor position at its lowest floor to its mid position by "mid premium full by L", then to its high position by "high premium full by L", one floor at a time (no single-floor jump). View clears from L (parallax) = first floor where eye height &gt;= roof top + (eye height / (standing distance + balcony depth)) x (front-edge distance + standing distance + balcony depth).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</si>
</sst>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quot;($&quot;#,##0\);\-"/>
    <numFmt numFmtId="165" formatCode="\$#,##0"/>
    <numFmt numFmtId="166" formatCode="00"/>
    <numFmt numFmtId="167" formatCode="\$#,##0.0"/>
    <numFmt numFmtId="168" formatCode="\$#,##0;&quot;-$&quot;#,##0;\-"/>
    <numFmt numFmtId="169" formatCode="\$#,##0.0;&quot;-$&quot;#,##0.0;\-"/>
    <numFmt numFmtId="170" formatCode="\L0"/>
    <numFmt numFmtId="171" formatCode="&quot;Level &quot;00"/>
    <numFmt numFmtId="172" formatCode="\$#,##0&quot; PSF&quot;"/>
    <numFmt numFmtId="173" formatCode="0.0"/>
    <numFmt numFmtId="174" formatCode="\$#,##0.00"/>
    <numFmt numFmtId="175" formatCode="\L00"/>
  </numFmts>
  <fonts count="15" x14ac:knownFonts="1">
    <font>
      <sz val="11"/>
      <color theme="1"/>
      <name val="Calibri"/>
      <family val="2"/>
      <charset val="1"/>
    </font>
    <font>
      <b/>
      <sz val="14"/>
      <color rgb="FF1F3A5F"/>
      <name val="Arial"/>
      <family val="2"/>
    </font>
    <font>
      <i/>
      <sz val="9"/>
      <color rgb="FF555555"/>
      <name val="Arial"/>
      <family val="2"/>
    </font>
    <font>
      <b/>
      <sz val="10"/>
      <color rgb="FF1F3A5F"/>
      <name val="Arial"/>
      <family val="2"/>
    </font>
    <font>
      <b/>
      <sz val="10"/>
      <name val="Arial"/>
      <family val="2"/>
    </font>
    <font>
      <sz val="10"/>
      <name val="Arial"/>
      <family val="2"/>
    </font>
    <font>
      <b/>
      <sz val="10"/>
      <color rgb="FFC00000"/>
      <name val="Arial"/>
      <family val="2"/>
    </font>
    <font>
      <b/>
      <sz val="10"/>
      <color rgb="FFFFFFFF"/>
      <name val="Arial"/>
      <family val="2"/>
    </font>
    <font>
      <sz val="10"/>
      <color rgb="FF008000"/>
      <name val="Arial"/>
      <family val="2"/>
    </font>
    <font>
      <b/>
      <sz val="11"/>
      <color rgb="FF1F3A5F"/>
      <name val="Arial"/>
      <family val="2"/>
    </font>
    <font>
      <sz val="9"/>
      <name val="Arial"/>
      <family val="2"/>
    </font>
    <font>
      <sz val="9"/>
      <color rgb="FF008000"/>
      <name val="Arial"/>
      <family val="2"/>
    </font>
    <font>
      <b/>
      <sz val="9"/>
      <color rgb="FF008000"/>
      <name val="Arial"/>
      <family val="2"/>
    </font>
    <font>
      <sz val="8"/>
      <color rgb="FF008000"/>
      <name val="Arial"/>
      <family val="2"/>
    </font>
    <font>
      <sz val="10"/>
      <color rgb="FF0000FF"/>
      <name val="Arial"/>
      <family val="2"/>
    </font>
  </fonts>
  <fills count="12">
    <fill>
      <patternFill patternType="none"/>
    </fill>
    <fill>
      <patternFill patternType="gray125"/>
    </fill>
    <fill>
      <patternFill patternType="solid">
        <fgColor rgb="FFEDEDED"/>
        <bgColor rgb="FFF3EFE3"/>
      </patternFill>
    </fill>
    <fill>
      <patternFill patternType="solid">
        <fgColor rgb="FF1F3A5F"/>
        <bgColor rgb="FF333399"/>
      </patternFill>
    </fill>
    <fill>
      <patternFill patternType="solid">
        <fgColor rgb="FFF3EFE3"/>
        <bgColor rgb="FFEDEDED"/>
      </patternFill>
    </fill>
    <fill>
      <patternFill patternType="solid">
        <fgColor rgb="FFE3EEF4"/>
        <bgColor rgb="FFEDEDED"/>
      </patternFill>
    </fill>
    <fill>
      <patternFill patternType="solid">
        <fgColor rgb="FFD9E1F2"/>
        <bgColor rgb="FFD9D9D9"/>
      </patternFill>
    </fill>
    <fill>
      <patternFill patternType="solid">
        <fgColor rgb="FF2E6E73"/>
        <bgColor rgb="FF555555"/>
      </patternFill>
    </fill>
    <fill>
      <patternFill patternType="solid">
        <fgColor rgb="FFD9D9D9"/>
        <bgColor rgb="FFD9E1F2"/>
      </patternFill>
    </fill>
    <fill>
      <patternFill patternType="solid">
        <fgColor rgb="FF262626"/>
        <bgColor rgb="FF333300"/>
      </patternFill>
    </fill>
    <fill>
      <patternFill patternType="solid">
        <fgColor rgb="FF9FD8F2"/>
        <bgColor rgb="FFBFBFBF"/>
      </patternFill>
    </fill>
    <fill>
      <patternFill patternType="solid">
        <fgColor rgb="FFFFFF00"/>
        <bgColor rgb="FFFFFF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103">
    <xf numFmtId="0" fontId="0" fillId="0" borderId="0" xfId="0"/>
    <xf numFmtId="0" fontId="4" fillId="2" borderId="1" xfId="0" applyFont="1" applyFill="1" applyBorder="1" applyAlignment="1">
      <alignment horizontal="left" vertical="top" wrapText="1"/>
    </xf>
    <xf numFmtId="0" fontId="1" fillId="0" borderId="0" xfId="0" applyFont="1"/>
    <xf numFmtId="0" fontId="2" fillId="0" borderId="0" xfId="0" applyFont="1"/>
    <xf numFmtId="0" fontId="3" fillId="0" borderId="0" xfId="0" applyFont="1"/>
    <xf numFmtId="0" fontId="5" fillId="0" borderId="1" xfId="0" applyFont="1" applyBorder="1" applyAlignment="1">
      <alignment horizontal="left" vertical="top" wrapText="1"/>
    </xf>
    <xf numFmtId="0" fontId="6" fillId="0" borderId="0" xfId="0" applyFont="1"/>
    <xf numFmtId="0" fontId="7" fillId="3" borderId="1"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5" fillId="0" borderId="1" xfId="0" applyFont="1" applyBorder="1"/>
    <xf numFmtId="3" fontId="5" fillId="0" borderId="1" xfId="0" applyNumberFormat="1" applyFont="1" applyBorder="1" applyAlignment="1">
      <alignment horizontal="center" vertical="center" wrapText="1"/>
    </xf>
    <xf numFmtId="164" fontId="8"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165" fontId="8" fillId="0" borderId="1" xfId="0" applyNumberFormat="1" applyFont="1" applyBorder="1" applyAlignment="1">
      <alignment horizontal="center" vertical="center" wrapText="1"/>
    </xf>
    <xf numFmtId="0" fontId="4" fillId="2" borderId="1" xfId="0" applyFont="1" applyFill="1" applyBorder="1"/>
    <xf numFmtId="3" fontId="4" fillId="2" borderId="1" xfId="0" applyNumberFormat="1" applyFont="1" applyFill="1" applyBorder="1" applyAlignment="1">
      <alignment horizontal="center" vertical="center" wrapText="1"/>
    </xf>
    <xf numFmtId="0" fontId="9" fillId="0" borderId="0" xfId="0" applyFont="1"/>
    <xf numFmtId="0" fontId="5" fillId="4" borderId="1" xfId="0" applyFont="1" applyFill="1" applyBorder="1"/>
    <xf numFmtId="3"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xf numFmtId="164" fontId="4"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5" fillId="5" borderId="1" xfId="0" applyFont="1" applyFill="1" applyBorder="1"/>
    <xf numFmtId="3" fontId="5" fillId="5" borderId="1" xfId="0" applyNumberFormat="1" applyFont="1" applyFill="1" applyBorder="1" applyAlignment="1">
      <alignment horizontal="center" vertical="center" wrapText="1"/>
    </xf>
    <xf numFmtId="0" fontId="5" fillId="5" borderId="1" xfId="0"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0" fontId="4" fillId="6" borderId="1" xfId="0" applyFont="1" applyFill="1" applyBorder="1"/>
    <xf numFmtId="0" fontId="8" fillId="4" borderId="1" xfId="0" applyFont="1" applyFill="1" applyBorder="1"/>
    <xf numFmtId="3" fontId="8"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165" fontId="4" fillId="4" borderId="1" xfId="0" applyNumberFormat="1" applyFont="1" applyFill="1" applyBorder="1" applyAlignment="1">
      <alignment horizontal="center" vertical="center" wrapText="1"/>
    </xf>
    <xf numFmtId="0" fontId="8" fillId="5" borderId="1" xfId="0" applyFont="1" applyFill="1" applyBorder="1"/>
    <xf numFmtId="3" fontId="8"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165" fontId="4" fillId="5" borderId="1" xfId="0" applyNumberFormat="1" applyFont="1" applyFill="1" applyBorder="1" applyAlignment="1">
      <alignment horizontal="center" vertical="center" wrapText="1"/>
    </xf>
    <xf numFmtId="166" fontId="5"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67" fontId="8" fillId="0" borderId="1" xfId="0" applyNumberFormat="1" applyFont="1" applyBorder="1" applyAlignment="1">
      <alignment horizontal="center" vertical="center" wrapText="1"/>
    </xf>
    <xf numFmtId="168" fontId="5" fillId="0" borderId="1" xfId="0" applyNumberFormat="1" applyFont="1" applyBorder="1" applyAlignment="1">
      <alignment horizontal="center" vertical="center" wrapText="1"/>
    </xf>
    <xf numFmtId="169"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0" fontId="10" fillId="0" borderId="1" xfId="0" applyFont="1" applyBorder="1" applyAlignment="1">
      <alignment vertical="center"/>
    </xf>
    <xf numFmtId="0" fontId="11" fillId="0" borderId="1" xfId="0" applyFont="1" applyBorder="1"/>
    <xf numFmtId="0" fontId="4" fillId="5" borderId="1" xfId="0" applyFont="1" applyFill="1" applyBorder="1" applyAlignment="1">
      <alignment horizontal="center" vertical="center" wrapText="1"/>
    </xf>
    <xf numFmtId="166" fontId="5" fillId="5" borderId="1"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67" fontId="8" fillId="5" borderId="1" xfId="0" applyNumberFormat="1" applyFont="1" applyFill="1" applyBorder="1" applyAlignment="1">
      <alignment horizontal="center" vertical="center" wrapText="1"/>
    </xf>
    <xf numFmtId="168" fontId="5" fillId="5" borderId="1" xfId="0" applyNumberFormat="1" applyFont="1" applyFill="1" applyBorder="1" applyAlignment="1">
      <alignment horizontal="center" vertical="center" wrapText="1"/>
    </xf>
    <xf numFmtId="169" fontId="5" fillId="5" borderId="1" xfId="0" applyNumberFormat="1" applyFont="1" applyFill="1" applyBorder="1" applyAlignment="1">
      <alignment horizontal="center" vertical="center" wrapText="1"/>
    </xf>
    <xf numFmtId="165" fontId="5" fillId="5" borderId="1" xfId="0" applyNumberFormat="1" applyFont="1" applyFill="1" applyBorder="1" applyAlignment="1">
      <alignment horizontal="center" vertical="center" wrapText="1"/>
    </xf>
    <xf numFmtId="0" fontId="10" fillId="5" borderId="1" xfId="0" applyFont="1" applyFill="1" applyBorder="1" applyAlignment="1">
      <alignment vertical="center"/>
    </xf>
    <xf numFmtId="0" fontId="11" fillId="5" borderId="1" xfId="0" applyFont="1" applyFill="1" applyBorder="1"/>
    <xf numFmtId="0" fontId="4" fillId="2" borderId="1" xfId="0" applyFont="1" applyFill="1" applyBorder="1" applyAlignment="1">
      <alignment horizontal="right" vertical="center"/>
    </xf>
    <xf numFmtId="166" fontId="9"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1" fontId="8"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70" fontId="8"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71" fontId="4" fillId="2" borderId="1" xfId="0" applyNumberFormat="1" applyFont="1" applyFill="1" applyBorder="1" applyAlignment="1">
      <alignment horizontal="center" vertical="center" wrapText="1"/>
    </xf>
    <xf numFmtId="0" fontId="5" fillId="8" borderId="1" xfId="0" applyFont="1" applyFill="1" applyBorder="1"/>
    <xf numFmtId="166" fontId="9"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172" fontId="4" fillId="2" borderId="1" xfId="0" applyNumberFormat="1" applyFont="1" applyFill="1" applyBorder="1" applyAlignment="1">
      <alignment horizontal="center" vertical="center" wrapText="1"/>
    </xf>
    <xf numFmtId="0" fontId="5" fillId="9" borderId="1" xfId="0" applyFont="1" applyFill="1" applyBorder="1"/>
    <xf numFmtId="164" fontId="5" fillId="10"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164" fontId="14" fillId="11" borderId="1" xfId="0" applyNumberFormat="1" applyFont="1" applyFill="1" applyBorder="1" applyAlignment="1">
      <alignment horizontal="center" vertical="center" wrapText="1"/>
    </xf>
    <xf numFmtId="165" fontId="14" fillId="11" borderId="1" xfId="0" applyNumberFormat="1" applyFont="1" applyFill="1" applyBorder="1" applyAlignment="1">
      <alignment horizontal="center" vertical="center" wrapText="1"/>
    </xf>
    <xf numFmtId="1" fontId="14" fillId="11" borderId="1" xfId="0" applyNumberFormat="1" applyFont="1" applyFill="1" applyBorder="1" applyAlignment="1">
      <alignment horizontal="center" vertical="center" wrapText="1"/>
    </xf>
    <xf numFmtId="2" fontId="14" fillId="11" borderId="1" xfId="0" applyNumberFormat="1" applyFont="1" applyFill="1" applyBorder="1" applyAlignment="1">
      <alignment horizontal="center" vertical="center" wrapText="1"/>
    </xf>
    <xf numFmtId="173" fontId="14" fillId="11" borderId="1" xfId="0" applyNumberFormat="1" applyFont="1" applyFill="1" applyBorder="1" applyAlignment="1">
      <alignment horizontal="center" vertical="center" wrapText="1"/>
    </xf>
    <xf numFmtId="0" fontId="5" fillId="0" borderId="0" xfId="0" applyFont="1"/>
    <xf numFmtId="0" fontId="2" fillId="0" borderId="1" xfId="0" applyFont="1" applyBorder="1" applyAlignment="1">
      <alignment horizontal="left" vertical="top" wrapText="1"/>
    </xf>
    <xf numFmtId="3" fontId="4" fillId="4" borderId="1" xfId="0" applyNumberFormat="1" applyFont="1" applyFill="1" applyBorder="1" applyAlignment="1">
      <alignment horizontal="center" vertical="center" wrapText="1"/>
    </xf>
    <xf numFmtId="0" fontId="14" fillId="11" borderId="1" xfId="0" applyFont="1" applyFill="1" applyBorder="1" applyAlignment="1">
      <alignment horizontal="center" vertical="center" wrapText="1"/>
    </xf>
    <xf numFmtId="167" fontId="14" fillId="0" borderId="1" xfId="0" applyNumberFormat="1" applyFont="1" applyBorder="1" applyAlignment="1">
      <alignment horizontal="center" vertical="center" wrapText="1"/>
    </xf>
    <xf numFmtId="167" fontId="14" fillId="11" borderId="1" xfId="0" applyNumberFormat="1" applyFont="1" applyFill="1" applyBorder="1" applyAlignment="1">
      <alignment horizontal="center" vertical="center" wrapText="1"/>
    </xf>
    <xf numFmtId="167" fontId="5" fillId="0" borderId="1" xfId="0" applyNumberFormat="1" applyFont="1" applyBorder="1" applyAlignment="1">
      <alignment horizontal="center" vertical="center" wrapText="1"/>
    </xf>
    <xf numFmtId="174" fontId="14" fillId="11" borderId="1" xfId="0" applyNumberFormat="1" applyFont="1" applyFill="1" applyBorder="1" applyAlignment="1">
      <alignment horizontal="center" vertical="center" wrapText="1"/>
    </xf>
    <xf numFmtId="173" fontId="5" fillId="0" borderId="1" xfId="0" applyNumberFormat="1" applyFont="1" applyBorder="1" applyAlignment="1">
      <alignment horizontal="center" vertical="center" wrapText="1"/>
    </xf>
    <xf numFmtId="3" fontId="4" fillId="5" borderId="1" xfId="0" applyNumberFormat="1" applyFont="1" applyFill="1" applyBorder="1" applyAlignment="1">
      <alignment horizontal="center" vertical="center" wrapText="1"/>
    </xf>
    <xf numFmtId="175" fontId="4" fillId="2" borderId="1" xfId="0" applyNumberFormat="1" applyFont="1" applyFill="1" applyBorder="1" applyAlignment="1">
      <alignment horizontal="center" vertical="center" wrapText="1"/>
    </xf>
    <xf numFmtId="167" fontId="5" fillId="5"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0" fontId="5" fillId="0" borderId="1" xfId="0" applyFont="1" applyBorder="1" applyAlignment="1">
      <alignment vertical="center" wrapText="1"/>
    </xf>
    <xf numFmtId="9" fontId="5" fillId="0" borderId="1" xfId="0" applyNumberFormat="1" applyFont="1" applyBorder="1" applyAlignment="1">
      <alignment horizontal="center" vertical="center" wrapText="1"/>
    </xf>
    <xf numFmtId="168" fontId="4" fillId="0" borderId="1" xfId="0" applyNumberFormat="1" applyFont="1" applyBorder="1" applyAlignment="1">
      <alignment horizontal="center" vertical="center" wrapText="1"/>
    </xf>
    <xf numFmtId="166" fontId="4" fillId="5" borderId="1" xfId="0" applyNumberFormat="1" applyFont="1" applyFill="1" applyBorder="1" applyAlignment="1">
      <alignment horizontal="center" vertical="center" wrapText="1"/>
    </xf>
    <xf numFmtId="0" fontId="7" fillId="7" borderId="2" xfId="0" applyFont="1" applyFill="1" applyBorder="1" applyAlignment="1">
      <alignment horizontal="left" vertical="center"/>
    </xf>
    <xf numFmtId="0" fontId="4" fillId="2" borderId="1" xfId="0" applyFont="1" applyFill="1" applyBorder="1" applyAlignment="1">
      <alignment horizontal="left" vertical="top" wrapText="1"/>
    </xf>
    <xf numFmtId="0" fontId="2" fillId="0" borderId="0" xfId="0" applyFont="1" applyAlignment="1">
      <alignment horizontal="left" vertical="top" wrapText="1"/>
    </xf>
    <xf numFmtId="0" fontId="4" fillId="2" borderId="1" xfId="0" applyFont="1" applyFill="1" applyBorder="1" applyAlignment="1">
      <alignment horizontal="right" vertical="center" wrapText="1"/>
    </xf>
  </cellXfs>
  <cellStyles count="1">
    <cellStyle name="Normal" xfId="0" builtinId="0"/>
  </cellStyles>
  <dxfs count="60">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
      <font>
        <b/>
        <color rgb="FF007A3D"/>
        <name val="Arial"/>
        <charset val="1"/>
      </font>
    </dxf>
    <dxf>
      <font>
        <b/>
        <color rgb="FF1F3A5F"/>
        <name val="Arial"/>
        <charset val="1"/>
      </font>
    </dxf>
    <dxf>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7A3D"/>
      <rgbColor rgb="FFBFBFBF"/>
      <rgbColor rgb="FF808080"/>
      <rgbColor rgb="FF9999FF"/>
      <rgbColor rgb="FF993366"/>
      <rgbColor rgb="FFF3EFE3"/>
      <rgbColor rgb="FFE3EEF4"/>
      <rgbColor rgb="FF660066"/>
      <rgbColor rgb="FFFF8080"/>
      <rgbColor rgb="FF0066CC"/>
      <rgbColor rgb="FFD9D9D9"/>
      <rgbColor rgb="FF000080"/>
      <rgbColor rgb="FFFF00FF"/>
      <rgbColor rgb="FFFFFF00"/>
      <rgbColor rgb="FF00FFFF"/>
      <rgbColor rgb="FF800080"/>
      <rgbColor rgb="FF800000"/>
      <rgbColor rgb="FF2E6E73"/>
      <rgbColor rgb="FF0000FF"/>
      <rgbColor rgb="FF00CCFF"/>
      <rgbColor rgb="FFEDEDED"/>
      <rgbColor rgb="FFD9E1F2"/>
      <rgbColor rgb="FFFFFF99"/>
      <rgbColor rgb="FF9FD8F2"/>
      <rgbColor rgb="FFFF99CC"/>
      <rgbColor rgb="FFCC99FF"/>
      <rgbColor rgb="FFF8CBAD"/>
      <rgbColor rgb="FF3366FF"/>
      <rgbColor rgb="FF33CCCC"/>
      <rgbColor rgb="FF99CC00"/>
      <rgbColor rgb="FFFFC000"/>
      <rgbColor rgb="FFFF9900"/>
      <rgbColor rgb="FFFF6600"/>
      <rgbColor rgb="FF555555"/>
      <rgbColor rgb="FF969696"/>
      <rgbColor rgb="FF1F3A5F"/>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16"/>
  <sheetViews>
    <sheetView showGridLines="0" topLeftCell="A4" zoomScale="90" zoomScaleNormal="90" workbookViewId="0"/>
  </sheetViews>
  <sheetFormatPr baseColWidth="10" defaultColWidth="8.6640625" defaultRowHeight="15" x14ac:dyDescent="0.2"/>
  <cols>
    <col min="1" max="1" width="3" customWidth="1"/>
    <col min="2" max="2" width="30" customWidth="1"/>
    <col min="3" max="3" width="112" customWidth="1"/>
  </cols>
  <sheetData>
    <row r="1" spans="2:3" ht="18" x14ac:dyDescent="0.2">
      <c r="B1" s="2" t="s">
        <v>0</v>
      </c>
    </row>
    <row r="2" spans="2:3" x14ac:dyDescent="0.2">
      <c r="B2" s="3" t="s">
        <v>1</v>
      </c>
    </row>
    <row r="3" spans="2:3" x14ac:dyDescent="0.2">
      <c r="B3" s="4" t="s">
        <v>2</v>
      </c>
    </row>
    <row r="5" spans="2:3" ht="45" customHeight="1" x14ac:dyDescent="0.2">
      <c r="B5" s="1" t="s">
        <v>3</v>
      </c>
      <c r="C5" s="5" t="s">
        <v>4</v>
      </c>
    </row>
    <row r="6" spans="2:3" ht="45" customHeight="1" x14ac:dyDescent="0.2">
      <c r="B6" s="1" t="s">
        <v>5</v>
      </c>
      <c r="C6" s="5" t="s">
        <v>6</v>
      </c>
    </row>
    <row r="7" spans="2:3" ht="90" customHeight="1" x14ac:dyDescent="0.2">
      <c r="B7" s="1" t="s">
        <v>7</v>
      </c>
      <c r="C7" s="5" t="s">
        <v>8</v>
      </c>
    </row>
    <row r="8" spans="2:3" ht="75" customHeight="1" x14ac:dyDescent="0.2">
      <c r="B8" s="1" t="s">
        <v>9</v>
      </c>
      <c r="C8" s="5" t="s">
        <v>10</v>
      </c>
    </row>
    <row r="9" spans="2:3" ht="45" customHeight="1" x14ac:dyDescent="0.2">
      <c r="B9" s="1" t="s">
        <v>11</v>
      </c>
      <c r="C9" s="5" t="s">
        <v>12</v>
      </c>
    </row>
    <row r="10" spans="2:3" ht="18" customHeight="1" x14ac:dyDescent="0.2">
      <c r="B10" s="1" t="s">
        <v>13</v>
      </c>
      <c r="C10" s="5" t="s">
        <v>14</v>
      </c>
    </row>
    <row r="11" spans="2:3" ht="45" customHeight="1" x14ac:dyDescent="0.2">
      <c r="B11" s="1" t="s">
        <v>15</v>
      </c>
      <c r="C11" s="5" t="s">
        <v>16</v>
      </c>
    </row>
    <row r="12" spans="2:3" ht="45" customHeight="1" x14ac:dyDescent="0.2">
      <c r="B12" s="1" t="s">
        <v>17</v>
      </c>
      <c r="C12" s="5" t="s">
        <v>18</v>
      </c>
    </row>
    <row r="13" spans="2:3" ht="30" customHeight="1" x14ac:dyDescent="0.2">
      <c r="B13" s="1" t="s">
        <v>19</v>
      </c>
      <c r="C13" s="5" t="s">
        <v>20</v>
      </c>
    </row>
    <row r="14" spans="2:3" ht="18" customHeight="1" x14ac:dyDescent="0.2">
      <c r="B14" s="1" t="s">
        <v>21</v>
      </c>
      <c r="C14" s="5" t="s">
        <v>22</v>
      </c>
    </row>
    <row r="15" spans="2:3" ht="30" customHeight="1" x14ac:dyDescent="0.2">
      <c r="B15" s="1" t="s">
        <v>23</v>
      </c>
      <c r="C15" s="5" t="s">
        <v>24</v>
      </c>
    </row>
    <row r="16" spans="2:3" ht="30" customHeight="1" x14ac:dyDescent="0.2">
      <c r="B16" s="1" t="s">
        <v>25</v>
      </c>
      <c r="C16" s="5" t="s">
        <v>26</v>
      </c>
    </row>
  </sheetData>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A5F"/>
    <pageSetUpPr fitToPage="1"/>
  </sheetPr>
  <dimension ref="A1:L70"/>
  <sheetViews>
    <sheetView showGridLines="0" zoomScale="90" zoomScaleNormal="90" workbookViewId="0">
      <pane ySplit="5" topLeftCell="A55" activePane="bottomLeft" state="frozen"/>
      <selection pane="bottomLeft" activeCell="A3" sqref="A3"/>
    </sheetView>
  </sheetViews>
  <sheetFormatPr baseColWidth="10" defaultColWidth="8.6640625" defaultRowHeight="15" x14ac:dyDescent="0.2"/>
  <cols>
    <col min="1" max="1" width="44" customWidth="1"/>
    <col min="2" max="2" width="24" customWidth="1"/>
    <col min="3" max="3" width="11" customWidth="1"/>
    <col min="4" max="4" width="14" customWidth="1"/>
    <col min="5" max="7" width="22" customWidth="1"/>
    <col min="8" max="8" width="13" customWidth="1"/>
    <col min="9" max="9" width="16" customWidth="1"/>
    <col min="10" max="10" width="12" customWidth="1"/>
    <col min="11" max="11" width="14" customWidth="1"/>
    <col min="12" max="12" width="13" customWidth="1"/>
  </cols>
  <sheetData>
    <row r="1" spans="1:12" ht="18" x14ac:dyDescent="0.2">
      <c r="A1" s="2" t="s">
        <v>27</v>
      </c>
    </row>
    <row r="2" spans="1:12" x14ac:dyDescent="0.2">
      <c r="A2" s="3" t="s">
        <v>28</v>
      </c>
    </row>
    <row r="3" spans="1:12" x14ac:dyDescent="0.2">
      <c r="A3" s="6" t="str">
        <f>"Stack spread: +/- "&amp;TEXT(Assumptions!$C$5,"$#,##0")&amp;" around the floor average  |  Luxury lead over Classic, same floor: at least "&amp;TEXT(Assumptions!$C$6,"$#,##0")&amp;" psf"</f>
        <v>Stack spread: +/- $50,000 around the floor average  |  Luxury lead over Classic, same floor: at least $20 psf</v>
      </c>
    </row>
    <row r="5" spans="1:12" ht="42" customHeight="1" x14ac:dyDescent="0.2">
      <c r="A5" s="7" t="s">
        <v>29</v>
      </c>
      <c r="B5" s="7" t="s">
        <v>30</v>
      </c>
      <c r="C5" s="7" t="s">
        <v>31</v>
      </c>
      <c r="D5" s="7" t="s">
        <v>32</v>
      </c>
      <c r="E5" s="7" t="s">
        <v>33</v>
      </c>
      <c r="F5" s="7" t="s">
        <v>34</v>
      </c>
      <c r="G5" s="7" t="s">
        <v>35</v>
      </c>
      <c r="H5" s="7" t="s">
        <v>36</v>
      </c>
      <c r="I5" s="7" t="s">
        <v>37</v>
      </c>
      <c r="J5" s="7" t="s">
        <v>38</v>
      </c>
      <c r="K5" s="7" t="s">
        <v>39</v>
      </c>
      <c r="L5" s="7" t="s">
        <v>40</v>
      </c>
    </row>
    <row r="6" spans="1:12" x14ac:dyDescent="0.2">
      <c r="A6" s="8">
        <v>592</v>
      </c>
      <c r="B6" s="9" t="s">
        <v>41</v>
      </c>
      <c r="C6" s="10">
        <f>COUNTIFS('All Units'!$G$5:$G$1272,A6)</f>
        <v>100</v>
      </c>
      <c r="D6" s="11">
        <f>IF(Assumptions!$C$26="","not confirmed",Assumptions!$C$26)</f>
        <v>1544000</v>
      </c>
      <c r="E6" s="12">
        <f>_xlfn.MINIFS('All Units'!$R$5:$R$1272,'All Units'!$G$5:$G$1272,A6)</f>
        <v>1544000</v>
      </c>
      <c r="F6" s="13" t="str">
        <f>IF(_xlfn.MINIFS('All Units'!$Q$5:$Q$1272,'All Units'!$G$5:$G$1272,A6)&lt;&gt;Assumptions!$E$26,"CHECK",IF(ISNUMBER(D6),IF(E6=D6,"Yes","CHECK"),"Yes (PSF)"))</f>
        <v>Yes</v>
      </c>
      <c r="G6" s="14" t="str">
        <f>IF(COUNTIFS('All Units'!$G$5:$G$1272,A6,'All Units'!$H$5:$H$1272,"Classic")=0,"-",TEXT(_xlfn.MINIFS('All Units'!$Q$5:$Q$1272,'All Units'!$G$5:$G$1272,A6,'All Units'!$H$5:$H$1272,"Classic"),"$#,##0")&amp;" to "&amp;TEXT(_xlfn.MAXIFS('All Units'!$Q$5:$Q$1272,'All Units'!$G$5:$G$1272,A6,'All Units'!$H$5:$H$1272,"Classic"),"$#,##0"))</f>
        <v>$2,608 to $3,171</v>
      </c>
      <c r="H6" s="15">
        <f>IF(Assumptions!$H$26="","-",Assumptions!$H$26)</f>
        <v>3000</v>
      </c>
      <c r="I6" s="14" t="str">
        <f>IF(COUNTIFS('All Units'!$G$5:$G$1272,A6,'All Units'!$H$5:$H$1272,"Luxury")=0,"-",TEXT(_xlfn.MINIFS('All Units'!$Q$5:$Q$1272,'All Units'!$G$5:$G$1272,A6,'All Units'!$H$5:$H$1272,"Luxury"),"$#,##0")&amp;" to "&amp;TEXT(_xlfn.MAXIFS('All Units'!$Q$5:$Q$1272,'All Units'!$G$5:$G$1272,A6,'All Units'!$H$5:$H$1272,"Luxury"),"$#,##0"))</f>
        <v>-</v>
      </c>
      <c r="J6" s="15" t="str">
        <f>IF(Assumptions!$I$26="","-",Assumptions!$I$26)</f>
        <v>-</v>
      </c>
      <c r="K6" s="12">
        <f>_xlfn.MAXIFS('All Units'!$R$5:$R$1272,'All Units'!$G$5:$G$1272,A6)</f>
        <v>1877200</v>
      </c>
      <c r="L6" s="14" t="s">
        <v>42</v>
      </c>
    </row>
    <row r="7" spans="1:12" x14ac:dyDescent="0.2">
      <c r="A7" s="8">
        <v>678</v>
      </c>
      <c r="B7" s="9" t="s">
        <v>43</v>
      </c>
      <c r="C7" s="10">
        <f>COUNTIFS('All Units'!$G$5:$G$1272,A7)</f>
        <v>416</v>
      </c>
      <c r="D7" s="11">
        <f>IF(Assumptions!$C$27="","not confirmed",Assumptions!$C$27)</f>
        <v>1772000</v>
      </c>
      <c r="E7" s="12">
        <f>_xlfn.MINIFS('All Units'!$R$5:$R$1272,'All Units'!$G$5:$G$1272,A7)</f>
        <v>1772000</v>
      </c>
      <c r="F7" s="13" t="str">
        <f>IF(_xlfn.MINIFS('All Units'!$Q$5:$Q$1272,'All Units'!$G$5:$G$1272,A7)&lt;&gt;Assumptions!$E$27,"CHECK",IF(ISNUMBER(D7),IF(E7=D7,"Yes","CHECK"),"Yes (PSF)"))</f>
        <v>Yes</v>
      </c>
      <c r="G7" s="14" t="str">
        <f>IF(COUNTIFS('All Units'!$G$5:$G$1272,A7,'All Units'!$H$5:$H$1272,"Classic")=0,"-",TEXT(_xlfn.MINIFS('All Units'!$Q$5:$Q$1272,'All Units'!$G$5:$G$1272,A7,'All Units'!$H$5:$H$1272,"Classic"),"$#,##0")&amp;" to "&amp;TEXT(_xlfn.MAXIFS('All Units'!$Q$5:$Q$1272,'All Units'!$G$5:$G$1272,A7,'All Units'!$H$5:$H$1272,"Classic"),"$#,##0"))</f>
        <v>$2,613 to $3,125</v>
      </c>
      <c r="H7" s="15">
        <f>IF(Assumptions!$H$27="","-",Assumptions!$H$27)</f>
        <v>2900</v>
      </c>
      <c r="I7" s="14" t="str">
        <f>IF(COUNTIFS('All Units'!$G$5:$G$1272,A7,'All Units'!$H$5:$H$1272,"Luxury")=0,"-",TEXT(_xlfn.MINIFS('All Units'!$Q$5:$Q$1272,'All Units'!$G$5:$G$1272,A7,'All Units'!$H$5:$H$1272,"Luxury"),"$#,##0")&amp;" to "&amp;TEXT(_xlfn.MAXIFS('All Units'!$Q$5:$Q$1272,'All Units'!$G$5:$G$1272,A7,'All Units'!$H$5:$H$1272,"Luxury"),"$#,##0"))</f>
        <v>$2,762 to $3,408</v>
      </c>
      <c r="J7" s="15">
        <f>IF(Assumptions!$I$27="","-",Assumptions!$I$27)</f>
        <v>3100</v>
      </c>
      <c r="K7" s="12">
        <f>_xlfn.MAXIFS('All Units'!$R$5:$R$1272,'All Units'!$G$5:$G$1272,A7)</f>
        <v>2310600</v>
      </c>
      <c r="L7" s="13" t="str">
        <f>IF(COUNTIF(Assumptions!$B$94:$B$123,"CHECK")=0,"Yes","CHECK")</f>
        <v>Yes</v>
      </c>
    </row>
    <row r="8" spans="1:12" x14ac:dyDescent="0.2">
      <c r="A8" s="8">
        <v>732</v>
      </c>
      <c r="B8" s="9" t="s">
        <v>44</v>
      </c>
      <c r="C8" s="10">
        <f>COUNTIFS('All Units'!$G$5:$G$1272,A8)</f>
        <v>120</v>
      </c>
      <c r="D8" s="11">
        <f>IF(Assumptions!$C$28="","not confirmed",Assumptions!$C$28)</f>
        <v>1925000</v>
      </c>
      <c r="E8" s="12">
        <f>_xlfn.MINIFS('All Units'!$R$5:$R$1272,'All Units'!$G$5:$G$1272,A8)</f>
        <v>1925000</v>
      </c>
      <c r="F8" s="13" t="str">
        <f>IF(_xlfn.MINIFS('All Units'!$Q$5:$Q$1272,'All Units'!$G$5:$G$1272,A8)&lt;&gt;Assumptions!$E$28,"CHECK",IF(ISNUMBER(D8),IF(E8=D8,"Yes","CHECK"),"Yes (PSF)"))</f>
        <v>Yes</v>
      </c>
      <c r="G8" s="14" t="str">
        <f>IF(COUNTIFS('All Units'!$G$5:$G$1272,A8,'All Units'!$H$5:$H$1272,"Classic")=0,"-",TEXT(_xlfn.MINIFS('All Units'!$Q$5:$Q$1272,'All Units'!$G$5:$G$1272,A8,'All Units'!$H$5:$H$1272,"Classic"),"$#,##0")&amp;" to "&amp;TEXT(_xlfn.MAXIFS('All Units'!$Q$5:$Q$1272,'All Units'!$G$5:$G$1272,A8,'All Units'!$H$5:$H$1272,"Classic"),"$#,##0"))</f>
        <v>$2,630 to $3,149</v>
      </c>
      <c r="H8" s="15">
        <f>IF(Assumptions!$H$28="","-",Assumptions!$H$28)</f>
        <v>2900</v>
      </c>
      <c r="I8" s="14" t="str">
        <f>IF(COUNTIFS('All Units'!$G$5:$G$1272,A8,'All Units'!$H$5:$H$1272,"Luxury")=0,"-",TEXT(_xlfn.MINIFS('All Units'!$Q$5:$Q$1272,'All Units'!$G$5:$G$1272,A8,'All Units'!$H$5:$H$1272,"Luxury"),"$#,##0")&amp;" to "&amp;TEXT(_xlfn.MAXIFS('All Units'!$Q$5:$Q$1272,'All Units'!$G$5:$G$1272,A8,'All Units'!$H$5:$H$1272,"Luxury"),"$#,##0"))</f>
        <v>$2,773 to $3,389</v>
      </c>
      <c r="J8" s="15">
        <f>IF(Assumptions!$I$28="","-",Assumptions!$I$28)</f>
        <v>3100</v>
      </c>
      <c r="K8" s="12">
        <f>_xlfn.MAXIFS('All Units'!$R$5:$R$1272,'All Units'!$G$5:$G$1272,A8)</f>
        <v>2480700</v>
      </c>
      <c r="L8" s="13" t="str">
        <f>IF(COUNTIF(Assumptions!$C$94:$C$123,"CHECK")=0,"Yes","CHECK")</f>
        <v>Yes</v>
      </c>
    </row>
    <row r="9" spans="1:12" x14ac:dyDescent="0.2">
      <c r="A9" s="8">
        <v>775</v>
      </c>
      <c r="B9" s="9" t="s">
        <v>44</v>
      </c>
      <c r="C9" s="10">
        <f>COUNTIFS('All Units'!$G$5:$G$1272,A9)</f>
        <v>80</v>
      </c>
      <c r="D9" s="11" t="str">
        <f>IF(Assumptions!$C$29="","not confirmed",Assumptions!$C$29)</f>
        <v>not confirmed</v>
      </c>
      <c r="E9" s="12">
        <f>_xlfn.MINIFS('All Units'!$R$5:$R$1272,'All Units'!$G$5:$G$1272,A9)</f>
        <v>2053800</v>
      </c>
      <c r="F9" s="13" t="str">
        <f>IF(_xlfn.MINIFS('All Units'!$Q$5:$Q$1272,'All Units'!$G$5:$G$1272,A9)&lt;&gt;Assumptions!$E$29,"CHECK",IF(ISNUMBER(D9),IF(E9=D9,"Yes","CHECK"),"Yes (PSF)"))</f>
        <v>Yes (PSF)</v>
      </c>
      <c r="G9" s="14" t="str">
        <f>IF(COUNTIFS('All Units'!$G$5:$G$1272,A9,'All Units'!$H$5:$H$1272,"Classic")=0,"-",TEXT(_xlfn.MINIFS('All Units'!$Q$5:$Q$1272,'All Units'!$G$5:$G$1272,A9,'All Units'!$H$5:$H$1272,"Classic"),"$#,##0")&amp;" to "&amp;TEXT(_xlfn.MAXIFS('All Units'!$Q$5:$Q$1272,'All Units'!$G$5:$G$1272,A9,'All Units'!$H$5:$H$1272,"Classic"),"$#,##0"))</f>
        <v>$2,650 to $3,054</v>
      </c>
      <c r="H9" s="15">
        <f>IF(Assumptions!$H$29="","-",Assumptions!$H$29)</f>
        <v>2900</v>
      </c>
      <c r="I9" s="14" t="str">
        <f>IF(COUNTIFS('All Units'!$G$5:$G$1272,A9,'All Units'!$H$5:$H$1272,"Luxury")=0,"-",TEXT(_xlfn.MINIFS('All Units'!$Q$5:$Q$1272,'All Units'!$G$5:$G$1272,A9,'All Units'!$H$5:$H$1272,"Luxury"),"$#,##0")&amp;" to "&amp;TEXT(_xlfn.MAXIFS('All Units'!$Q$5:$Q$1272,'All Units'!$G$5:$G$1272,A9,'All Units'!$H$5:$H$1272,"Luxury"),"$#,##0"))</f>
        <v>$2,693 to $3,298</v>
      </c>
      <c r="J9" s="15">
        <f>IF(Assumptions!$I$29="","-",Assumptions!$I$29)</f>
        <v>3100</v>
      </c>
      <c r="K9" s="12">
        <f>_xlfn.MAXIFS('All Units'!$R$5:$R$1272,'All Units'!$G$5:$G$1272,A9)</f>
        <v>2556000</v>
      </c>
      <c r="L9" s="13" t="str">
        <f>IF(COUNTIF(Assumptions!$D$94:$D$123,"CHECK")=0,"Yes","CHECK")</f>
        <v>Yes</v>
      </c>
    </row>
    <row r="10" spans="1:12" x14ac:dyDescent="0.2">
      <c r="A10" s="8">
        <v>947</v>
      </c>
      <c r="B10" s="9" t="s">
        <v>45</v>
      </c>
      <c r="C10" s="10">
        <f>COUNTIFS('All Units'!$G$5:$G$1272,A10)</f>
        <v>120</v>
      </c>
      <c r="D10" s="11">
        <f>IF(Assumptions!$C$30="","not confirmed",Assumptions!$C$30)</f>
        <v>2503000</v>
      </c>
      <c r="E10" s="12">
        <f>_xlfn.MINIFS('All Units'!$R$5:$R$1272,'All Units'!$G$5:$G$1272,A10)</f>
        <v>2503000</v>
      </c>
      <c r="F10" s="13" t="str">
        <f>IF(_xlfn.MINIFS('All Units'!$Q$5:$Q$1272,'All Units'!$G$5:$G$1272,A10)&lt;&gt;Assumptions!$E$30,"CHECK",IF(ISNUMBER(D10),IF(E10=D10,"Yes","CHECK"),"Yes (PSF)"))</f>
        <v>Yes</v>
      </c>
      <c r="G10" s="14" t="str">
        <f>IF(COUNTIFS('All Units'!$G$5:$G$1272,A10,'All Units'!$H$5:$H$1272,"Classic")=0,"-",TEXT(_xlfn.MINIFS('All Units'!$Q$5:$Q$1272,'All Units'!$G$5:$G$1272,A10,'All Units'!$H$5:$H$1272,"Classic"),"$#,##0")&amp;" to "&amp;TEXT(_xlfn.MAXIFS('All Units'!$Q$5:$Q$1272,'All Units'!$G$5:$G$1272,A10,'All Units'!$H$5:$H$1272,"Classic"),"$#,##0"))</f>
        <v>$2,642 to $3,118</v>
      </c>
      <c r="H10" s="15">
        <f>IF(Assumptions!$H$30="","-",Assumptions!$H$30)</f>
        <v>3000</v>
      </c>
      <c r="I10" s="14" t="str">
        <f>IF(COUNTIFS('All Units'!$G$5:$G$1272,A10,'All Units'!$H$5:$H$1272,"Luxury")=0,"-",TEXT(_xlfn.MINIFS('All Units'!$Q$5:$Q$1272,'All Units'!$G$5:$G$1272,A10,'All Units'!$H$5:$H$1272,"Luxury"),"$#,##0")&amp;" to "&amp;TEXT(_xlfn.MAXIFS('All Units'!$Q$5:$Q$1272,'All Units'!$G$5:$G$1272,A10,'All Units'!$H$5:$H$1272,"Luxury"),"$#,##0"))</f>
        <v>$2,743 to $3,281</v>
      </c>
      <c r="J10" s="15">
        <f>IF(Assumptions!$I$30="","-",Assumptions!$I$30)</f>
        <v>3200</v>
      </c>
      <c r="K10" s="12">
        <f>_xlfn.MAXIFS('All Units'!$R$5:$R$1272,'All Units'!$G$5:$G$1272,A10)</f>
        <v>3107100</v>
      </c>
      <c r="L10" s="13" t="str">
        <f>IF(COUNTIF(Assumptions!$E$94:$E$123,"CHECK")=0,"Yes","CHECK")</f>
        <v>Yes</v>
      </c>
    </row>
    <row r="11" spans="1:12" x14ac:dyDescent="0.2">
      <c r="A11" s="8">
        <v>1055</v>
      </c>
      <c r="B11" s="9" t="s">
        <v>46</v>
      </c>
      <c r="C11" s="10">
        <f>COUNTIFS('All Units'!$G$5:$G$1272,A11)</f>
        <v>170</v>
      </c>
      <c r="D11" s="11">
        <f>IF(Assumptions!$C$31="","not confirmed",Assumptions!$C$31)</f>
        <v>2777000</v>
      </c>
      <c r="E11" s="12">
        <f>_xlfn.MINIFS('All Units'!$R$5:$R$1272,'All Units'!$G$5:$G$1272,A11)</f>
        <v>2777000</v>
      </c>
      <c r="F11" s="13" t="str">
        <f>IF(_xlfn.MINIFS('All Units'!$Q$5:$Q$1272,'All Units'!$G$5:$G$1272,A11)&lt;&gt;Assumptions!$E$31,"CHECK",IF(ISNUMBER(D11),IF(E11=D11,"Yes","CHECK"),"Yes (PSF)"))</f>
        <v>Yes</v>
      </c>
      <c r="G11" s="14" t="str">
        <f>IF(COUNTIFS('All Units'!$G$5:$G$1272,A11,'All Units'!$H$5:$H$1272,"Classic")=0,"-",TEXT(_xlfn.MINIFS('All Units'!$Q$5:$Q$1272,'All Units'!$G$5:$G$1272,A11,'All Units'!$H$5:$H$1272,"Classic"),"$#,##0")&amp;" to "&amp;TEXT(_xlfn.MAXIFS('All Units'!$Q$5:$Q$1272,'All Units'!$G$5:$G$1272,A11,'All Units'!$H$5:$H$1272,"Classic"),"$#,##0"))</f>
        <v>$2,633 to $3,090</v>
      </c>
      <c r="H11" s="15">
        <f>IF(Assumptions!$H$31="","-",Assumptions!$H$31)</f>
        <v>3000</v>
      </c>
      <c r="I11" s="14" t="str">
        <f>IF(COUNTIFS('All Units'!$G$5:$G$1272,A11,'All Units'!$H$5:$H$1272,"Luxury")=0,"-",TEXT(_xlfn.MINIFS('All Units'!$Q$5:$Q$1272,'All Units'!$G$5:$G$1272,A11,'All Units'!$H$5:$H$1272,"Luxury"),"$#,##0")&amp;" to "&amp;TEXT(_xlfn.MAXIFS('All Units'!$Q$5:$Q$1272,'All Units'!$G$5:$G$1272,A11,'All Units'!$H$5:$H$1272,"Luxury"),"$#,##0"))</f>
        <v>$2,776 to $3,254</v>
      </c>
      <c r="J11" s="15">
        <f>IF(Assumptions!$I$31="","-",Assumptions!$I$31)</f>
        <v>3200</v>
      </c>
      <c r="K11" s="12">
        <f>_xlfn.MAXIFS('All Units'!$R$5:$R$1272,'All Units'!$G$5:$G$1272,A11)</f>
        <v>3433000</v>
      </c>
      <c r="L11" s="13" t="str">
        <f>IF(COUNTIF(Assumptions!$F$94:$F$123,"CHECK")=0,"Yes","CHECK")</f>
        <v>Yes</v>
      </c>
    </row>
    <row r="12" spans="1:12" x14ac:dyDescent="0.2">
      <c r="A12" s="8">
        <v>1152</v>
      </c>
      <c r="B12" s="9" t="s">
        <v>47</v>
      </c>
      <c r="C12" s="10">
        <f>COUNTIFS('All Units'!$G$5:$G$1272,A12)</f>
        <v>60</v>
      </c>
      <c r="D12" s="11" t="str">
        <f>IF(Assumptions!$C$32="","not confirmed",Assumptions!$C$32)</f>
        <v>not confirmed</v>
      </c>
      <c r="E12" s="12">
        <f>_xlfn.MINIFS('All Units'!$R$5:$R$1272,'All Units'!$G$5:$G$1272,A12)</f>
        <v>3052800</v>
      </c>
      <c r="F12" s="13" t="str">
        <f>IF(_xlfn.MINIFS('All Units'!$Q$5:$Q$1272,'All Units'!$G$5:$G$1272,A12)&lt;&gt;Assumptions!$E$32,"CHECK",IF(ISNUMBER(D12),IF(E12=D12,"Yes","CHECK"),"Yes (PSF)"))</f>
        <v>Yes (PSF)</v>
      </c>
      <c r="G12" s="14" t="str">
        <f>IF(COUNTIFS('All Units'!$G$5:$G$1272,A12,'All Units'!$H$5:$H$1272,"Classic")=0,"-",TEXT(_xlfn.MINIFS('All Units'!$Q$5:$Q$1272,'All Units'!$G$5:$G$1272,A12,'All Units'!$H$5:$H$1272,"Classic"),"$#,##0")&amp;" to "&amp;TEXT(_xlfn.MAXIFS('All Units'!$Q$5:$Q$1272,'All Units'!$G$5:$G$1272,A12,'All Units'!$H$5:$H$1272,"Classic"),"$#,##0"))</f>
        <v>$2,650 to $3,092</v>
      </c>
      <c r="H12" s="15">
        <f>IF(Assumptions!$H$32="","-",Assumptions!$H$32)</f>
        <v>3000</v>
      </c>
      <c r="I12" s="14" t="str">
        <f>IF(COUNTIFS('All Units'!$G$5:$G$1272,A12,'All Units'!$H$5:$H$1272,"Luxury")=0,"-",TEXT(_xlfn.MINIFS('All Units'!$Q$5:$Q$1272,'All Units'!$G$5:$G$1272,A12,'All Units'!$H$5:$H$1272,"Luxury"),"$#,##0")&amp;" to "&amp;TEXT(_xlfn.MAXIFS('All Units'!$Q$5:$Q$1272,'All Units'!$G$5:$G$1272,A12,'All Units'!$H$5:$H$1272,"Luxury"),"$#,##0"))</f>
        <v>-</v>
      </c>
      <c r="J12" s="15" t="str">
        <f>IF(Assumptions!$I$32="","-",Assumptions!$I$32)</f>
        <v>-</v>
      </c>
      <c r="K12" s="12">
        <f>_xlfn.MAXIFS('All Units'!$R$5:$R$1272,'All Units'!$G$5:$G$1272,A12)</f>
        <v>3562000</v>
      </c>
      <c r="L12" s="14" t="s">
        <v>42</v>
      </c>
    </row>
    <row r="13" spans="1:12" x14ac:dyDescent="0.2">
      <c r="A13" s="8">
        <v>1238</v>
      </c>
      <c r="B13" s="9" t="s">
        <v>48</v>
      </c>
      <c r="C13" s="10">
        <f>COUNTIFS('All Units'!$G$5:$G$1272,A13)</f>
        <v>90</v>
      </c>
      <c r="D13" s="11">
        <f>IF(Assumptions!$C$33="","not confirmed",Assumptions!$C$33)</f>
        <v>3388000</v>
      </c>
      <c r="E13" s="12">
        <f>_xlfn.MINIFS('All Units'!$R$5:$R$1272,'All Units'!$G$5:$G$1272,A13)</f>
        <v>3388000</v>
      </c>
      <c r="F13" s="13" t="str">
        <f>IF(_xlfn.MINIFS('All Units'!$Q$5:$Q$1272,'All Units'!$G$5:$G$1272,A13)&lt;&gt;Assumptions!$E$33,"CHECK",IF(ISNUMBER(D13),IF(E13=D13,"Yes","CHECK"),"Yes (PSF)"))</f>
        <v>Yes</v>
      </c>
      <c r="G13" s="14" t="str">
        <f>IF(COUNTIFS('All Units'!$G$5:$G$1272,A13,'All Units'!$H$5:$H$1272,"Classic")=0,"-",TEXT(_xlfn.MINIFS('All Units'!$Q$5:$Q$1272,'All Units'!$G$5:$G$1272,A13,'All Units'!$H$5:$H$1272,"Classic"),"$#,##0")&amp;" to "&amp;TEXT(_xlfn.MAXIFS('All Units'!$Q$5:$Q$1272,'All Units'!$G$5:$G$1272,A13,'All Units'!$H$5:$H$1272,"Classic"),"$#,##0"))</f>
        <v>$2,737 to $3,113</v>
      </c>
      <c r="H13" s="15">
        <f>IF(Assumptions!$H$33="","-",Assumptions!$H$33)</f>
        <v>3000</v>
      </c>
      <c r="I13" s="14" t="str">
        <f>IF(COUNTIFS('All Units'!$G$5:$G$1272,A13,'All Units'!$H$5:$H$1272,"Luxury")=0,"-",TEXT(_xlfn.MINIFS('All Units'!$Q$5:$Q$1272,'All Units'!$G$5:$G$1272,A13,'All Units'!$H$5:$H$1272,"Luxury"),"$#,##0")&amp;" to "&amp;TEXT(_xlfn.MAXIFS('All Units'!$Q$5:$Q$1272,'All Units'!$G$5:$G$1272,A13,'All Units'!$H$5:$H$1272,"Luxury"),"$#,##0"))</f>
        <v>$2,825 to $3,331</v>
      </c>
      <c r="J13" s="15">
        <f>IF(Assumptions!$I$33="","-",Assumptions!$I$33)</f>
        <v>3200</v>
      </c>
      <c r="K13" s="12">
        <f>_xlfn.MAXIFS('All Units'!$R$5:$R$1272,'All Units'!$G$5:$G$1272,A13)</f>
        <v>4123800</v>
      </c>
      <c r="L13" s="13" t="str">
        <f>IF(COUNTIF(Assumptions!$G$94:$G$123,"CHECK")=0,"Yes","CHECK")</f>
        <v>Yes</v>
      </c>
    </row>
    <row r="14" spans="1:12" x14ac:dyDescent="0.2">
      <c r="A14" s="8">
        <v>1367</v>
      </c>
      <c r="B14" s="9" t="s">
        <v>49</v>
      </c>
      <c r="C14" s="10">
        <f>COUNTIFS('All Units'!$G$5:$G$1272,A14)</f>
        <v>56</v>
      </c>
      <c r="D14" s="11" t="str">
        <f>IF(Assumptions!$C$34="","not confirmed",Assumptions!$C$34)</f>
        <v>not confirmed</v>
      </c>
      <c r="E14" s="12">
        <f>_xlfn.MINIFS('All Units'!$R$5:$R$1272,'All Units'!$G$5:$G$1272,A14)</f>
        <v>3827600</v>
      </c>
      <c r="F14" s="13" t="str">
        <f>IF(_xlfn.MINIFS('All Units'!$Q$5:$Q$1272,'All Units'!$G$5:$G$1272,A14)&lt;&gt;Assumptions!$E$34,"CHECK",IF(ISNUMBER(D14),IF(E14=D14,"Yes","CHECK"),"Yes (PSF)"))</f>
        <v>Yes (PSF)</v>
      </c>
      <c r="G14" s="14" t="str">
        <f>IF(COUNTIFS('All Units'!$G$5:$G$1272,A14,'All Units'!$H$5:$H$1272,"Classic")=0,"-",TEXT(_xlfn.MINIFS('All Units'!$Q$5:$Q$1272,'All Units'!$G$5:$G$1272,A14,'All Units'!$H$5:$H$1272,"Classic"),"$#,##0")&amp;" to "&amp;TEXT(_xlfn.MAXIFS('All Units'!$Q$5:$Q$1272,'All Units'!$G$5:$G$1272,A14,'All Units'!$H$5:$H$1272,"Classic"),"$#,##0"))</f>
        <v>-</v>
      </c>
      <c r="H14" s="15" t="str">
        <f>IF(Assumptions!$H$34="","-",Assumptions!$H$34)</f>
        <v>-</v>
      </c>
      <c r="I14" s="14" t="str">
        <f>IF(COUNTIFS('All Units'!$G$5:$G$1272,A14,'All Units'!$H$5:$H$1272,"Luxury")=0,"-",TEXT(_xlfn.MINIFS('All Units'!$Q$5:$Q$1272,'All Units'!$G$5:$G$1272,A14,'All Units'!$H$5:$H$1272,"Luxury"),"$#,##0")&amp;" to "&amp;TEXT(_xlfn.MAXIFS('All Units'!$Q$5:$Q$1272,'All Units'!$G$5:$G$1272,A14,'All Units'!$H$5:$H$1272,"Luxury"),"$#,##0"))</f>
        <v>$2,800 to $3,356</v>
      </c>
      <c r="J14" s="15">
        <f>IF(Assumptions!$I$34="","-",Assumptions!$I$34)</f>
        <v>3300</v>
      </c>
      <c r="K14" s="12">
        <f>_xlfn.MAXIFS('All Units'!$R$5:$R$1272,'All Units'!$G$5:$G$1272,A14)</f>
        <v>4587700</v>
      </c>
      <c r="L14" s="14" t="s">
        <v>42</v>
      </c>
    </row>
    <row r="15" spans="1:12" x14ac:dyDescent="0.2">
      <c r="A15" s="8">
        <v>1485</v>
      </c>
      <c r="B15" s="9" t="s">
        <v>50</v>
      </c>
      <c r="C15" s="10">
        <f>COUNTIFS('All Units'!$G$5:$G$1272,A15)</f>
        <v>28</v>
      </c>
      <c r="D15" s="11" t="str">
        <f>IF(Assumptions!$C$35="","not confirmed",Assumptions!$C$35)</f>
        <v>not confirmed</v>
      </c>
      <c r="E15" s="12">
        <f>_xlfn.MINIFS('All Units'!$R$5:$R$1272,'All Units'!$G$5:$G$1272,A15)</f>
        <v>4158000</v>
      </c>
      <c r="F15" s="13" t="str">
        <f>IF(_xlfn.MINIFS('All Units'!$Q$5:$Q$1272,'All Units'!$G$5:$G$1272,A15)&lt;&gt;Assumptions!$E$35,"CHECK",IF(ISNUMBER(D15),IF(E15=D15,"Yes","CHECK"),"Yes (PSF)"))</f>
        <v>Yes (PSF)</v>
      </c>
      <c r="G15" s="14" t="str">
        <f>IF(COUNTIFS('All Units'!$G$5:$G$1272,A15,'All Units'!$H$5:$H$1272,"Classic")=0,"-",TEXT(_xlfn.MINIFS('All Units'!$Q$5:$Q$1272,'All Units'!$G$5:$G$1272,A15,'All Units'!$H$5:$H$1272,"Classic"),"$#,##0")&amp;" to "&amp;TEXT(_xlfn.MAXIFS('All Units'!$Q$5:$Q$1272,'All Units'!$G$5:$G$1272,A15,'All Units'!$H$5:$H$1272,"Classic"),"$#,##0"))</f>
        <v>-</v>
      </c>
      <c r="H15" s="15" t="str">
        <f>IF(Assumptions!$H$35="","-",Assumptions!$H$35)</f>
        <v>-</v>
      </c>
      <c r="I15" s="14" t="str">
        <f>IF(COUNTIFS('All Units'!$G$5:$G$1272,A15,'All Units'!$H$5:$H$1272,"Luxury")=0,"-",TEXT(_xlfn.MINIFS('All Units'!$Q$5:$Q$1272,'All Units'!$G$5:$G$1272,A15,'All Units'!$H$5:$H$1272,"Luxury"),"$#,##0")&amp;" to "&amp;TEXT(_xlfn.MAXIFS('All Units'!$Q$5:$Q$1272,'All Units'!$G$5:$G$1272,A15,'All Units'!$H$5:$H$1272,"Luxury"),"$#,##0"))</f>
        <v>$2,800 to $3,328</v>
      </c>
      <c r="J15" s="15">
        <f>IF(Assumptions!$I$35="","-",Assumptions!$I$35)</f>
        <v>3300</v>
      </c>
      <c r="K15" s="12">
        <f>_xlfn.MAXIFS('All Units'!$R$5:$R$1272,'All Units'!$G$5:$G$1272,A15)</f>
        <v>4942100</v>
      </c>
      <c r="L15" s="14" t="s">
        <v>42</v>
      </c>
    </row>
    <row r="16" spans="1:12" x14ac:dyDescent="0.2">
      <c r="A16" s="8">
        <v>1808</v>
      </c>
      <c r="B16" s="9" t="s">
        <v>51</v>
      </c>
      <c r="C16" s="10">
        <f>COUNTIFS('All Units'!$G$5:$G$1272,A16)</f>
        <v>28</v>
      </c>
      <c r="D16" s="11" t="str">
        <f>IF(Assumptions!$C$36="","not confirmed",Assumptions!$C$36)</f>
        <v>not confirmed</v>
      </c>
      <c r="E16" s="12">
        <f>_xlfn.MINIFS('All Units'!$R$5:$R$1272,'All Units'!$G$5:$G$1272,A16)</f>
        <v>5062400</v>
      </c>
      <c r="F16" s="13" t="str">
        <f>IF(_xlfn.MINIFS('All Units'!$Q$5:$Q$1272,'All Units'!$G$5:$G$1272,A16)&lt;&gt;Assumptions!$E$36,"CHECK",IF(ISNUMBER(D16),IF(E16=D16,"Yes","CHECK"),"Yes (PSF)"))</f>
        <v>Yes (PSF)</v>
      </c>
      <c r="G16" s="14" t="str">
        <f>IF(COUNTIFS('All Units'!$G$5:$G$1272,A16,'All Units'!$H$5:$H$1272,"Classic")=0,"-",TEXT(_xlfn.MINIFS('All Units'!$Q$5:$Q$1272,'All Units'!$G$5:$G$1272,A16,'All Units'!$H$5:$H$1272,"Classic"),"$#,##0")&amp;" to "&amp;TEXT(_xlfn.MAXIFS('All Units'!$Q$5:$Q$1272,'All Units'!$G$5:$G$1272,A16,'All Units'!$H$5:$H$1272,"Classic"),"$#,##0"))</f>
        <v>-</v>
      </c>
      <c r="H16" s="15" t="str">
        <f>IF(Assumptions!$H$36="","-",Assumptions!$H$36)</f>
        <v>-</v>
      </c>
      <c r="I16" s="14" t="str">
        <f>IF(COUNTIFS('All Units'!$G$5:$G$1272,A16,'All Units'!$H$5:$H$1272,"Luxury")=0,"-",TEXT(_xlfn.MINIFS('All Units'!$Q$5:$Q$1272,'All Units'!$G$5:$G$1272,A16,'All Units'!$H$5:$H$1272,"Luxury"),"$#,##0")&amp;" to "&amp;TEXT(_xlfn.MAXIFS('All Units'!$Q$5:$Q$1272,'All Units'!$G$5:$G$1272,A16,'All Units'!$H$5:$H$1272,"Luxury"),"$#,##0"))</f>
        <v>$2,800 to $3,328</v>
      </c>
      <c r="J16" s="15">
        <f>IF(Assumptions!$I$36="","-",Assumptions!$I$36)</f>
        <v>3300</v>
      </c>
      <c r="K16" s="12">
        <f>_xlfn.MAXIFS('All Units'!$R$5:$R$1272,'All Units'!$G$5:$G$1272,A16)</f>
        <v>6017000</v>
      </c>
      <c r="L16" s="14" t="s">
        <v>42</v>
      </c>
    </row>
    <row r="17" spans="1:11" x14ac:dyDescent="0.2">
      <c r="A17" s="16" t="s">
        <v>52</v>
      </c>
      <c r="C17" s="17">
        <f>SUM(C6:C16)</f>
        <v>1268</v>
      </c>
    </row>
    <row r="19" spans="1:11" x14ac:dyDescent="0.2">
      <c r="A19" s="18" t="s">
        <v>53</v>
      </c>
    </row>
    <row r="20" spans="1:11" ht="30" customHeight="1" x14ac:dyDescent="0.2">
      <c r="A20" s="7" t="s">
        <v>30</v>
      </c>
      <c r="B20" s="7" t="s">
        <v>29</v>
      </c>
      <c r="C20" s="7" t="s">
        <v>54</v>
      </c>
      <c r="D20" s="7" t="s">
        <v>31</v>
      </c>
      <c r="E20" s="7" t="s">
        <v>55</v>
      </c>
      <c r="F20" s="7" t="s">
        <v>56</v>
      </c>
      <c r="G20" s="7" t="s">
        <v>57</v>
      </c>
      <c r="H20" s="7" t="s">
        <v>58</v>
      </c>
      <c r="I20" s="7" t="s">
        <v>59</v>
      </c>
      <c r="J20" s="7" t="s">
        <v>60</v>
      </c>
      <c r="K20" s="7" t="s">
        <v>61</v>
      </c>
    </row>
    <row r="21" spans="1:11" x14ac:dyDescent="0.2">
      <c r="A21" s="19" t="s">
        <v>41</v>
      </c>
      <c r="B21" s="20">
        <v>592</v>
      </c>
      <c r="C21" s="21" t="s">
        <v>62</v>
      </c>
      <c r="D21" s="20">
        <f>COUNTIFS('All Units'!$G$5:$G$1272,$B21,'All Units'!$H$5:$H$1272,$C21)</f>
        <v>100</v>
      </c>
      <c r="E21" s="21" t="str">
        <f>IF(COUNTIFS('All Units'!$G$5:$G$1272,$B21,'All Units'!$H$5:$H$1272,$C21,'All Units'!$J$5:$J$1272,"Low")=0,"-",TEXT(_xlfn.MINIFS('All Units'!$R$5:$R$1272,'All Units'!$G$5:$G$1272,$B21,'All Units'!$H$5:$H$1272,$C21,'All Units'!$J$5:$J$1272,"Low")/1000000,"$0.000")&amp;"M to "&amp;TEXT(_xlfn.MAXIFS('All Units'!$R$5:$R$1272,'All Units'!$G$5:$G$1272,$B21,'All Units'!$H$5:$H$1272,$C21,'All Units'!$J$5:$J$1272,"Low")/1000000,"$0.000")&amp;"M")</f>
        <v>$1.544M to $1.701M</v>
      </c>
      <c r="F21" s="21" t="str">
        <f>IF(COUNTIFS('All Units'!$G$5:$G$1272,$B21,'All Units'!$H$5:$H$1272,$C21,'All Units'!$J$5:$J$1272,"Mid")=0,"-",TEXT(_xlfn.MINIFS('All Units'!$R$5:$R$1272,'All Units'!$G$5:$G$1272,$B21,'All Units'!$H$5:$H$1272,$C21,'All Units'!$J$5:$J$1272,"Mid")/1000000,"$0.000")&amp;"M to "&amp;TEXT(_xlfn.MAXIFS('All Units'!$R$5:$R$1272,'All Units'!$G$5:$G$1272,$B21,'All Units'!$H$5:$H$1272,$C21,'All Units'!$J$5:$J$1272,"Mid")/1000000,"$0.000")&amp;"M")</f>
        <v>$1.613M to $1.799M</v>
      </c>
      <c r="G21" s="21" t="str">
        <f>IF(COUNTIFS('All Units'!$G$5:$G$1272,$B21,'All Units'!$H$5:$H$1272,$C21,'All Units'!$J$5:$J$1272,"High")=0,"-",TEXT(_xlfn.MINIFS('All Units'!$R$5:$R$1272,'All Units'!$G$5:$G$1272,$B21,'All Units'!$H$5:$H$1272,$C21,'All Units'!$J$5:$J$1272,"High")/1000000,"$0.000")&amp;"M to "&amp;TEXT(_xlfn.MAXIFS('All Units'!$R$5:$R$1272,'All Units'!$G$5:$G$1272,$B21,'All Units'!$H$5:$H$1272,$C21,'All Units'!$J$5:$J$1272,"High")/1000000,"$0.000")&amp;"M")</f>
        <v>$1.712M to $1.877M</v>
      </c>
      <c r="H21" s="22">
        <f>_xlfn.MINIFS('All Units'!$R$5:$R$1272,'All Units'!$G$5:$G$1272,$B21,'All Units'!$H$5:$H$1272,$C21)</f>
        <v>1544000</v>
      </c>
      <c r="I21" s="22">
        <f>_xlfn.MAXIFS('All Units'!$R$5:$R$1272,'All Units'!$G$5:$G$1272,$B21,'All Units'!$H$5:$H$1272,$C21)</f>
        <v>1877200</v>
      </c>
      <c r="J21" s="19"/>
      <c r="K21" s="19"/>
    </row>
    <row r="22" spans="1:11" x14ac:dyDescent="0.2">
      <c r="A22" s="16" t="s">
        <v>63</v>
      </c>
      <c r="B22" s="23" t="s">
        <v>64</v>
      </c>
      <c r="C22" s="23"/>
      <c r="D22" s="17">
        <f>SUM(D21:D21)</f>
        <v>100</v>
      </c>
      <c r="E22" s="24"/>
      <c r="F22" s="24"/>
      <c r="G22" s="24"/>
      <c r="H22" s="25">
        <f>MIN(H21:H21)</f>
        <v>1544000</v>
      </c>
      <c r="I22" s="25">
        <f>MAX(I21:I21)</f>
        <v>1877200</v>
      </c>
      <c r="J22" s="26">
        <v>100</v>
      </c>
      <c r="K22" s="23" t="str">
        <f>IF(D22=J22,"Yes","CHECK")</f>
        <v>Yes</v>
      </c>
    </row>
    <row r="23" spans="1:11" x14ac:dyDescent="0.2">
      <c r="A23" s="19" t="s">
        <v>43</v>
      </c>
      <c r="B23" s="20">
        <v>678</v>
      </c>
      <c r="C23" s="21" t="s">
        <v>62</v>
      </c>
      <c r="D23" s="20">
        <f>COUNTIFS('All Units'!$G$5:$G$1272,$B23,'All Units'!$H$5:$H$1272,$C23)</f>
        <v>240</v>
      </c>
      <c r="E23" s="21" t="str">
        <f>IF(COUNTIFS('All Units'!$G$5:$G$1272,$B23,'All Units'!$H$5:$H$1272,$C23,'All Units'!$J$5:$J$1272,"Low")=0,"-",TEXT(_xlfn.MINIFS('All Units'!$R$5:$R$1272,'All Units'!$G$5:$G$1272,$B23,'All Units'!$H$5:$H$1272,$C23,'All Units'!$J$5:$J$1272,"Low")/1000000,"$0.000")&amp;"M to "&amp;TEXT(_xlfn.MAXIFS('All Units'!$R$5:$R$1272,'All Units'!$G$5:$G$1272,$B23,'All Units'!$H$5:$H$1272,$C23,'All Units'!$J$5:$J$1272,"Low")/1000000,"$0.000")&amp;"M")</f>
        <v>$1.772M to $1.924M</v>
      </c>
      <c r="F23" s="21" t="str">
        <f>IF(COUNTIFS('All Units'!$G$5:$G$1272,$B23,'All Units'!$H$5:$H$1272,$C23,'All Units'!$J$5:$J$1272,"Mid")=0,"-",TEXT(_xlfn.MINIFS('All Units'!$R$5:$R$1272,'All Units'!$G$5:$G$1272,$B23,'All Units'!$H$5:$H$1272,$C23,'All Units'!$J$5:$J$1272,"Mid")/1000000,"$0.000")&amp;"M to "&amp;TEXT(_xlfn.MAXIFS('All Units'!$R$5:$R$1272,'All Units'!$G$5:$G$1272,$B23,'All Units'!$H$5:$H$1272,$C23,'All Units'!$J$5:$J$1272,"Mid")/1000000,"$0.000")&amp;"M")</f>
        <v>$1.835M to $2.026M</v>
      </c>
      <c r="G23" s="21" t="str">
        <f>IF(COUNTIFS('All Units'!$G$5:$G$1272,$B23,'All Units'!$H$5:$H$1272,$C23,'All Units'!$J$5:$J$1272,"High")=0,"-",TEXT(_xlfn.MINIFS('All Units'!$R$5:$R$1272,'All Units'!$G$5:$G$1272,$B23,'All Units'!$H$5:$H$1272,$C23,'All Units'!$J$5:$J$1272,"High")/1000000,"$0.000")&amp;"M to "&amp;TEXT(_xlfn.MAXIFS('All Units'!$R$5:$R$1272,'All Units'!$G$5:$G$1272,$B23,'All Units'!$H$5:$H$1272,$C23,'All Units'!$J$5:$J$1272,"High")/1000000,"$0.000")&amp;"M")</f>
        <v>$1.941M to $2.119M</v>
      </c>
      <c r="H23" s="22">
        <f>_xlfn.MINIFS('All Units'!$R$5:$R$1272,'All Units'!$G$5:$G$1272,$B23,'All Units'!$H$5:$H$1272,$C23)</f>
        <v>1772000</v>
      </c>
      <c r="I23" s="22">
        <f>_xlfn.MAXIFS('All Units'!$R$5:$R$1272,'All Units'!$G$5:$G$1272,$B23,'All Units'!$H$5:$H$1272,$C23)</f>
        <v>2118800</v>
      </c>
      <c r="J23" s="19"/>
      <c r="K23" s="19"/>
    </row>
    <row r="24" spans="1:11" x14ac:dyDescent="0.2">
      <c r="A24" s="27" t="s">
        <v>43</v>
      </c>
      <c r="B24" s="28">
        <v>678</v>
      </c>
      <c r="C24" s="29" t="s">
        <v>65</v>
      </c>
      <c r="D24" s="28">
        <f>COUNTIFS('All Units'!$G$5:$G$1272,$B24,'All Units'!$H$5:$H$1272,$C24)</f>
        <v>176</v>
      </c>
      <c r="E24" s="29" t="str">
        <f>IF(COUNTIFS('All Units'!$G$5:$G$1272,$B24,'All Units'!$H$5:$H$1272,$C24,'All Units'!$J$5:$J$1272,"Low")=0,"-",TEXT(_xlfn.MINIFS('All Units'!$R$5:$R$1272,'All Units'!$G$5:$G$1272,$B24,'All Units'!$H$5:$H$1272,$C24,'All Units'!$J$5:$J$1272,"Low")/1000000,"$0.000")&amp;"M to "&amp;TEXT(_xlfn.MAXIFS('All Units'!$R$5:$R$1272,'All Units'!$G$5:$G$1272,$B24,'All Units'!$H$5:$H$1272,$C24,'All Units'!$J$5:$J$1272,"Low")/1000000,"$0.000")&amp;"M")</f>
        <v>$1.873M to $2.142M</v>
      </c>
      <c r="F24" s="29" t="str">
        <f>IF(COUNTIFS('All Units'!$G$5:$G$1272,$B24,'All Units'!$H$5:$H$1272,$C24,'All Units'!$J$5:$J$1272,"Mid")=0,"-",TEXT(_xlfn.MINIFS('All Units'!$R$5:$R$1272,'All Units'!$G$5:$G$1272,$B24,'All Units'!$H$5:$H$1272,$C24,'All Units'!$J$5:$J$1272,"Mid")/1000000,"$0.000")&amp;"M to "&amp;TEXT(_xlfn.MAXIFS('All Units'!$R$5:$R$1272,'All Units'!$G$5:$G$1272,$B24,'All Units'!$H$5:$H$1272,$C24,'All Units'!$J$5:$J$1272,"Mid")/1000000,"$0.000")&amp;"M")</f>
        <v>$2.055M to $2.233M</v>
      </c>
      <c r="G24" s="29" t="str">
        <f>IF(COUNTIFS('All Units'!$G$5:$G$1272,$B24,'All Units'!$H$5:$H$1272,$C24,'All Units'!$J$5:$J$1272,"High")=0,"-",TEXT(_xlfn.MINIFS('All Units'!$R$5:$R$1272,'All Units'!$G$5:$G$1272,$B24,'All Units'!$H$5:$H$1272,$C24,'All Units'!$J$5:$J$1272,"High")/1000000,"$0.000")&amp;"M to "&amp;TEXT(_xlfn.MAXIFS('All Units'!$R$5:$R$1272,'All Units'!$G$5:$G$1272,$B24,'All Units'!$H$5:$H$1272,$C24,'All Units'!$J$5:$J$1272,"High")/1000000,"$0.000")&amp;"M")</f>
        <v>$2.141M to $2.311M</v>
      </c>
      <c r="H24" s="30">
        <f>_xlfn.MINIFS('All Units'!$R$5:$R$1272,'All Units'!$G$5:$G$1272,$B24,'All Units'!$H$5:$H$1272,$C24)</f>
        <v>1872600</v>
      </c>
      <c r="I24" s="30">
        <f>_xlfn.MAXIFS('All Units'!$R$5:$R$1272,'All Units'!$G$5:$G$1272,$B24,'All Units'!$H$5:$H$1272,$C24)</f>
        <v>2310600</v>
      </c>
      <c r="J24" s="27"/>
      <c r="K24" s="27"/>
    </row>
    <row r="25" spans="1:11" x14ac:dyDescent="0.2">
      <c r="A25" s="16" t="s">
        <v>66</v>
      </c>
      <c r="B25" s="23" t="s">
        <v>67</v>
      </c>
      <c r="C25" s="23" t="s">
        <v>68</v>
      </c>
      <c r="D25" s="17">
        <f>SUM(D23:D24)</f>
        <v>416</v>
      </c>
      <c r="E25" s="24"/>
      <c r="F25" s="24"/>
      <c r="G25" s="24"/>
      <c r="H25" s="25">
        <f>MIN(H23:H24)</f>
        <v>1772000</v>
      </c>
      <c r="I25" s="25">
        <f>MAX(I23:I24)</f>
        <v>2310600</v>
      </c>
      <c r="J25" s="26">
        <v>416</v>
      </c>
      <c r="K25" s="23" t="str">
        <f>IF(D25=J25,"Yes","CHECK")</f>
        <v>Yes</v>
      </c>
    </row>
    <row r="26" spans="1:11" x14ac:dyDescent="0.2">
      <c r="A26" s="19" t="s">
        <v>44</v>
      </c>
      <c r="B26" s="20">
        <v>732</v>
      </c>
      <c r="C26" s="21" t="s">
        <v>62</v>
      </c>
      <c r="D26" s="20">
        <f>COUNTIFS('All Units'!$G$5:$G$1272,$B26,'All Units'!$H$5:$H$1272,$C26)</f>
        <v>60</v>
      </c>
      <c r="E26" s="21" t="str">
        <f>IF(COUNTIFS('All Units'!$G$5:$G$1272,$B26,'All Units'!$H$5:$H$1272,$C26,'All Units'!$J$5:$J$1272,"Low")=0,"-",TEXT(_xlfn.MINIFS('All Units'!$R$5:$R$1272,'All Units'!$G$5:$G$1272,$B26,'All Units'!$H$5:$H$1272,$C26,'All Units'!$J$5:$J$1272,"Low")/1000000,"$0.000")&amp;"M to "&amp;TEXT(_xlfn.MAXIFS('All Units'!$R$5:$R$1272,'All Units'!$G$5:$G$1272,$B26,'All Units'!$H$5:$H$1272,$C26,'All Units'!$J$5:$J$1272,"Low")/1000000,"$0.000")&amp;"M")</f>
        <v>$1.925M to $2.072M</v>
      </c>
      <c r="F26" s="21" t="str">
        <f>IF(COUNTIFS('All Units'!$G$5:$G$1272,$B26,'All Units'!$H$5:$H$1272,$C26,'All Units'!$J$5:$J$1272,"Mid")=0,"-",TEXT(_xlfn.MINIFS('All Units'!$R$5:$R$1272,'All Units'!$G$5:$G$1272,$B26,'All Units'!$H$5:$H$1272,$C26,'All Units'!$J$5:$J$1272,"Mid")/1000000,"$0.000")&amp;"M to "&amp;TEXT(_xlfn.MAXIFS('All Units'!$R$5:$R$1272,'All Units'!$G$5:$G$1272,$B26,'All Units'!$H$5:$H$1272,$C26,'All Units'!$J$5:$J$1272,"Mid")/1000000,"$0.000")&amp;"M")</f>
        <v>$2.023M to $2.203M</v>
      </c>
      <c r="G26" s="21" t="str">
        <f>IF(COUNTIFS('All Units'!$G$5:$G$1272,$B26,'All Units'!$H$5:$H$1272,$C26,'All Units'!$J$5:$J$1272,"High")=0,"-",TEXT(_xlfn.MINIFS('All Units'!$R$5:$R$1272,'All Units'!$G$5:$G$1272,$B26,'All Units'!$H$5:$H$1272,$C26,'All Units'!$J$5:$J$1272,"High")/1000000,"$0.000")&amp;"M to "&amp;TEXT(_xlfn.MAXIFS('All Units'!$R$5:$R$1272,'All Units'!$G$5:$G$1272,$B26,'All Units'!$H$5:$H$1272,$C26,'All Units'!$J$5:$J$1272,"High")/1000000,"$0.000")&amp;"M")</f>
        <v>$2.121M to $2.305M</v>
      </c>
      <c r="H26" s="22">
        <f>_xlfn.MINIFS('All Units'!$R$5:$R$1272,'All Units'!$G$5:$G$1272,$B26,'All Units'!$H$5:$H$1272,$C26)</f>
        <v>1925000</v>
      </c>
      <c r="I26" s="22">
        <f>_xlfn.MAXIFS('All Units'!$R$5:$R$1272,'All Units'!$G$5:$G$1272,$B26,'All Units'!$H$5:$H$1272,$C26)</f>
        <v>2305100</v>
      </c>
      <c r="J26" s="19"/>
      <c r="K26" s="19"/>
    </row>
    <row r="27" spans="1:11" x14ac:dyDescent="0.2">
      <c r="A27" s="27" t="s">
        <v>44</v>
      </c>
      <c r="B27" s="28">
        <v>732</v>
      </c>
      <c r="C27" s="29" t="s">
        <v>65</v>
      </c>
      <c r="D27" s="28">
        <f>COUNTIFS('All Units'!$G$5:$G$1272,$B27,'All Units'!$H$5:$H$1272,$C27)</f>
        <v>60</v>
      </c>
      <c r="E27" s="29" t="str">
        <f>IF(COUNTIFS('All Units'!$G$5:$G$1272,$B27,'All Units'!$H$5:$H$1272,$C27,'All Units'!$J$5:$J$1272,"Low")=0,"-",TEXT(_xlfn.MINIFS('All Units'!$R$5:$R$1272,'All Units'!$G$5:$G$1272,$B27,'All Units'!$H$5:$H$1272,$C27,'All Units'!$J$5:$J$1272,"Low")/1000000,"$0.000")&amp;"M to "&amp;TEXT(_xlfn.MAXIFS('All Units'!$R$5:$R$1272,'All Units'!$G$5:$G$1272,$B27,'All Units'!$H$5:$H$1272,$C27,'All Units'!$J$5:$J$1272,"Low")/1000000,"$0.000")&amp;"M")</f>
        <v>$2.030M to $2.208M</v>
      </c>
      <c r="F27" s="29" t="str">
        <f>IF(COUNTIFS('All Units'!$G$5:$G$1272,$B27,'All Units'!$H$5:$H$1272,$C27,'All Units'!$J$5:$J$1272,"Mid")=0,"-",TEXT(_xlfn.MINIFS('All Units'!$R$5:$R$1272,'All Units'!$G$5:$G$1272,$B27,'All Units'!$H$5:$H$1272,$C27,'All Units'!$J$5:$J$1272,"Mid")/1000000,"$0.000")&amp;"M to "&amp;TEXT(_xlfn.MAXIFS('All Units'!$R$5:$R$1272,'All Units'!$G$5:$G$1272,$B27,'All Units'!$H$5:$H$1272,$C27,'All Units'!$J$5:$J$1272,"Mid")/1000000,"$0.000")&amp;"M")</f>
        <v>$2.209M to $2.407M</v>
      </c>
      <c r="G27" s="29" t="str">
        <f>IF(COUNTIFS('All Units'!$G$5:$G$1272,$B27,'All Units'!$H$5:$H$1272,$C27,'All Units'!$J$5:$J$1272,"High")=0,"-",TEXT(_xlfn.MINIFS('All Units'!$R$5:$R$1272,'All Units'!$G$5:$G$1272,$B27,'All Units'!$H$5:$H$1272,$C27,'All Units'!$J$5:$J$1272,"High")/1000000,"$0.000")&amp;"M to "&amp;TEXT(_xlfn.MAXIFS('All Units'!$R$5:$R$1272,'All Units'!$G$5:$G$1272,$B27,'All Units'!$H$5:$H$1272,$C27,'All Units'!$J$5:$J$1272,"High")/1000000,"$0.000")&amp;"M")</f>
        <v>$2.320M to $2.481M</v>
      </c>
      <c r="H27" s="30">
        <f>_xlfn.MINIFS('All Units'!$R$5:$R$1272,'All Units'!$G$5:$G$1272,$B27,'All Units'!$H$5:$H$1272,$C27)</f>
        <v>2029800</v>
      </c>
      <c r="I27" s="30">
        <f>_xlfn.MAXIFS('All Units'!$R$5:$R$1272,'All Units'!$G$5:$G$1272,$B27,'All Units'!$H$5:$H$1272,$C27)</f>
        <v>2480700</v>
      </c>
      <c r="J27" s="27"/>
      <c r="K27" s="27"/>
    </row>
    <row r="28" spans="1:11" x14ac:dyDescent="0.2">
      <c r="A28" s="19" t="s">
        <v>44</v>
      </c>
      <c r="B28" s="20">
        <v>775</v>
      </c>
      <c r="C28" s="21" t="s">
        <v>62</v>
      </c>
      <c r="D28" s="20">
        <f>COUNTIFS('All Units'!$G$5:$G$1272,$B28,'All Units'!$H$5:$H$1272,$C28)</f>
        <v>20</v>
      </c>
      <c r="E28" s="21" t="str">
        <f>IF(COUNTIFS('All Units'!$G$5:$G$1272,$B28,'All Units'!$H$5:$H$1272,$C28,'All Units'!$J$5:$J$1272,"Low")=0,"-",TEXT(_xlfn.MINIFS('All Units'!$R$5:$R$1272,'All Units'!$G$5:$G$1272,$B28,'All Units'!$H$5:$H$1272,$C28,'All Units'!$J$5:$J$1272,"Low")/1000000,"$0.000")&amp;"M to "&amp;TEXT(_xlfn.MAXIFS('All Units'!$R$5:$R$1272,'All Units'!$G$5:$G$1272,$B28,'All Units'!$H$5:$H$1272,$C28,'All Units'!$J$5:$J$1272,"Low")/1000000,"$0.000")&amp;"M")</f>
        <v>$2.054M to $2.135M</v>
      </c>
      <c r="F28" s="21" t="str">
        <f>IF(COUNTIFS('All Units'!$G$5:$G$1272,$B28,'All Units'!$H$5:$H$1272,$C28,'All Units'!$J$5:$J$1272,"Mid")=0,"-",TEXT(_xlfn.MINIFS('All Units'!$R$5:$R$1272,'All Units'!$G$5:$G$1272,$B28,'All Units'!$H$5:$H$1272,$C28,'All Units'!$J$5:$J$1272,"Mid")/1000000,"$0.000")&amp;"M to "&amp;TEXT(_xlfn.MAXIFS('All Units'!$R$5:$R$1272,'All Units'!$G$5:$G$1272,$B28,'All Units'!$H$5:$H$1272,$C28,'All Units'!$J$5:$J$1272,"Mid")/1000000,"$0.000")&amp;"M")</f>
        <v>$2.151M to $2.267M</v>
      </c>
      <c r="G28" s="21" t="str">
        <f>IF(COUNTIFS('All Units'!$G$5:$G$1272,$B28,'All Units'!$H$5:$H$1272,$C28,'All Units'!$J$5:$J$1272,"High")=0,"-",TEXT(_xlfn.MINIFS('All Units'!$R$5:$R$1272,'All Units'!$G$5:$G$1272,$B28,'All Units'!$H$5:$H$1272,$C28,'All Units'!$J$5:$J$1272,"High")/1000000,"$0.000")&amp;"M to "&amp;TEXT(_xlfn.MAXIFS('All Units'!$R$5:$R$1272,'All Units'!$G$5:$G$1272,$B28,'All Units'!$H$5:$H$1272,$C28,'All Units'!$J$5:$J$1272,"High")/1000000,"$0.000")&amp;"M")</f>
        <v>$2.283M to $2.367M</v>
      </c>
      <c r="H28" s="22">
        <f>_xlfn.MINIFS('All Units'!$R$5:$R$1272,'All Units'!$G$5:$G$1272,$B28,'All Units'!$H$5:$H$1272,$C28)</f>
        <v>2053800</v>
      </c>
      <c r="I28" s="22">
        <f>_xlfn.MAXIFS('All Units'!$R$5:$R$1272,'All Units'!$G$5:$G$1272,$B28,'All Units'!$H$5:$H$1272,$C28)</f>
        <v>2366900</v>
      </c>
      <c r="J28" s="19"/>
      <c r="K28" s="19"/>
    </row>
    <row r="29" spans="1:11" x14ac:dyDescent="0.2">
      <c r="A29" s="27" t="s">
        <v>44</v>
      </c>
      <c r="B29" s="28">
        <v>775</v>
      </c>
      <c r="C29" s="29" t="s">
        <v>65</v>
      </c>
      <c r="D29" s="28">
        <f>COUNTIFS('All Units'!$G$5:$G$1272,$B29,'All Units'!$H$5:$H$1272,$C29)</f>
        <v>60</v>
      </c>
      <c r="E29" s="29" t="str">
        <f>IF(COUNTIFS('All Units'!$G$5:$G$1272,$B29,'All Units'!$H$5:$H$1272,$C29,'All Units'!$J$5:$J$1272,"Low")=0,"-",TEXT(_xlfn.MINIFS('All Units'!$R$5:$R$1272,'All Units'!$G$5:$G$1272,$B29,'All Units'!$H$5:$H$1272,$C29,'All Units'!$J$5:$J$1272,"Low")/1000000,"$0.000")&amp;"M to "&amp;TEXT(_xlfn.MAXIFS('All Units'!$R$5:$R$1272,'All Units'!$G$5:$G$1272,$B29,'All Units'!$H$5:$H$1272,$C29,'All Units'!$J$5:$J$1272,"Low")/1000000,"$0.000")&amp;"M")</f>
        <v>$2.087M to $2.289M</v>
      </c>
      <c r="F29" s="29" t="str">
        <f>IF(COUNTIFS('All Units'!$G$5:$G$1272,$B29,'All Units'!$H$5:$H$1272,$C29,'All Units'!$J$5:$J$1272,"Mid")=0,"-",TEXT(_xlfn.MINIFS('All Units'!$R$5:$R$1272,'All Units'!$G$5:$G$1272,$B29,'All Units'!$H$5:$H$1272,$C29,'All Units'!$J$5:$J$1272,"Mid")/1000000,"$0.000")&amp;"M to "&amp;TEXT(_xlfn.MAXIFS('All Units'!$R$5:$R$1272,'All Units'!$G$5:$G$1272,$B29,'All Units'!$H$5:$H$1272,$C29,'All Units'!$J$5:$J$1272,"Mid")/1000000,"$0.000")&amp;"M")</f>
        <v>$2.292M to $2.463M</v>
      </c>
      <c r="G29" s="29" t="str">
        <f>IF(COUNTIFS('All Units'!$G$5:$G$1272,$B29,'All Units'!$H$5:$H$1272,$C29,'All Units'!$J$5:$J$1272,"High")=0,"-",TEXT(_xlfn.MINIFS('All Units'!$R$5:$R$1272,'All Units'!$G$5:$G$1272,$B29,'All Units'!$H$5:$H$1272,$C29,'All Units'!$J$5:$J$1272,"High")/1000000,"$0.000")&amp;"M to "&amp;TEXT(_xlfn.MAXIFS('All Units'!$R$5:$R$1272,'All Units'!$G$5:$G$1272,$B29,'All Units'!$H$5:$H$1272,$C29,'All Units'!$J$5:$J$1272,"High")/1000000,"$0.000")&amp;"M")</f>
        <v>$2.383M to $2.556M</v>
      </c>
      <c r="H29" s="30">
        <f>_xlfn.MINIFS('All Units'!$R$5:$R$1272,'All Units'!$G$5:$G$1272,$B29,'All Units'!$H$5:$H$1272,$C29)</f>
        <v>2087100</v>
      </c>
      <c r="I29" s="30">
        <f>_xlfn.MAXIFS('All Units'!$R$5:$R$1272,'All Units'!$G$5:$G$1272,$B29,'All Units'!$H$5:$H$1272,$C29)</f>
        <v>2556000</v>
      </c>
      <c r="J29" s="27"/>
      <c r="K29" s="27"/>
    </row>
    <row r="30" spans="1:11" x14ac:dyDescent="0.2">
      <c r="A30" s="16" t="s">
        <v>69</v>
      </c>
      <c r="B30" s="23" t="s">
        <v>70</v>
      </c>
      <c r="C30" s="23" t="s">
        <v>68</v>
      </c>
      <c r="D30" s="17">
        <f>SUM(D26:D29)</f>
        <v>200</v>
      </c>
      <c r="E30" s="24"/>
      <c r="F30" s="24"/>
      <c r="G30" s="24"/>
      <c r="H30" s="25">
        <f>MIN(H26:H29)</f>
        <v>1925000</v>
      </c>
      <c r="I30" s="25">
        <f>MAX(I26:I29)</f>
        <v>2556000</v>
      </c>
      <c r="J30" s="26">
        <v>200</v>
      </c>
      <c r="K30" s="23" t="str">
        <f>IF(D30=J30,"Yes","CHECK")</f>
        <v>Yes</v>
      </c>
    </row>
    <row r="31" spans="1:11" x14ac:dyDescent="0.2">
      <c r="A31" s="19" t="s">
        <v>45</v>
      </c>
      <c r="B31" s="20">
        <v>947</v>
      </c>
      <c r="C31" s="21" t="s">
        <v>62</v>
      </c>
      <c r="D31" s="20">
        <f>COUNTIFS('All Units'!$G$5:$G$1272,$B31,'All Units'!$H$5:$H$1272,$C31)</f>
        <v>60</v>
      </c>
      <c r="E31" s="21" t="str">
        <f>IF(COUNTIFS('All Units'!$G$5:$G$1272,$B31,'All Units'!$H$5:$H$1272,$C31,'All Units'!$J$5:$J$1272,"Low")=0,"-",TEXT(_xlfn.MINIFS('All Units'!$R$5:$R$1272,'All Units'!$G$5:$G$1272,$B31,'All Units'!$H$5:$H$1272,$C31,'All Units'!$J$5:$J$1272,"Low")/1000000,"$0.000")&amp;"M to "&amp;TEXT(_xlfn.MAXIFS('All Units'!$R$5:$R$1272,'All Units'!$G$5:$G$1272,$B31,'All Units'!$H$5:$H$1272,$C31,'All Units'!$J$5:$J$1272,"Low")/1000000,"$0.000")&amp;"M")</f>
        <v>$2.503M to $2.688M</v>
      </c>
      <c r="F31" s="21" t="str">
        <f>IF(COUNTIFS('All Units'!$G$5:$G$1272,$B31,'All Units'!$H$5:$H$1272,$C31,'All Units'!$J$5:$J$1272,"Mid")=0,"-",TEXT(_xlfn.MINIFS('All Units'!$R$5:$R$1272,'All Units'!$G$5:$G$1272,$B31,'All Units'!$H$5:$H$1272,$C31,'All Units'!$J$5:$J$1272,"Mid")/1000000,"$0.000")&amp;"M to "&amp;TEXT(_xlfn.MAXIFS('All Units'!$R$5:$R$1272,'All Units'!$G$5:$G$1272,$B31,'All Units'!$H$5:$H$1272,$C31,'All Units'!$J$5:$J$1272,"Mid")/1000000,"$0.000")&amp;"M")</f>
        <v>$2.601M to $2.814M</v>
      </c>
      <c r="G31" s="21" t="str">
        <f>IF(COUNTIFS('All Units'!$G$5:$G$1272,$B31,'All Units'!$H$5:$H$1272,$C31,'All Units'!$J$5:$J$1272,"High")=0,"-",TEXT(_xlfn.MINIFS('All Units'!$R$5:$R$1272,'All Units'!$G$5:$G$1272,$B31,'All Units'!$H$5:$H$1272,$C31,'All Units'!$J$5:$J$1272,"High")/1000000,"$0.000")&amp;"M to "&amp;TEXT(_xlfn.MAXIFS('All Units'!$R$5:$R$1272,'All Units'!$G$5:$G$1272,$B31,'All Units'!$H$5:$H$1272,$C31,'All Units'!$J$5:$J$1272,"High")/1000000,"$0.000")&amp;"M")</f>
        <v>$2.737M to $2.953M</v>
      </c>
      <c r="H31" s="22">
        <f>_xlfn.MINIFS('All Units'!$R$5:$R$1272,'All Units'!$G$5:$G$1272,$B31,'All Units'!$H$5:$H$1272,$C31)</f>
        <v>2503000</v>
      </c>
      <c r="I31" s="22">
        <f>_xlfn.MAXIFS('All Units'!$R$5:$R$1272,'All Units'!$G$5:$G$1272,$B31,'All Units'!$H$5:$H$1272,$C31)</f>
        <v>2952700</v>
      </c>
      <c r="J31" s="19"/>
      <c r="K31" s="19"/>
    </row>
    <row r="32" spans="1:11" x14ac:dyDescent="0.2">
      <c r="A32" s="27" t="s">
        <v>45</v>
      </c>
      <c r="B32" s="28">
        <v>947</v>
      </c>
      <c r="C32" s="29" t="s">
        <v>65</v>
      </c>
      <c r="D32" s="28">
        <f>COUNTIFS('All Units'!$G$5:$G$1272,$B32,'All Units'!$H$5:$H$1272,$C32)</f>
        <v>60</v>
      </c>
      <c r="E32" s="29" t="str">
        <f>IF(COUNTIFS('All Units'!$G$5:$G$1272,$B32,'All Units'!$H$5:$H$1272,$C32,'All Units'!$J$5:$J$1272,"Low")=0,"-",TEXT(_xlfn.MINIFS('All Units'!$R$5:$R$1272,'All Units'!$G$5:$G$1272,$B32,'All Units'!$H$5:$H$1272,$C32,'All Units'!$J$5:$J$1272,"Low")/1000000,"$0.000")&amp;"M to "&amp;TEXT(_xlfn.MAXIFS('All Units'!$R$5:$R$1272,'All Units'!$G$5:$G$1272,$B32,'All Units'!$H$5:$H$1272,$C32,'All Units'!$J$5:$J$1272,"Low")/1000000,"$0.000")&amp;"M")</f>
        <v>$2.598M to $2.814M</v>
      </c>
      <c r="F32" s="29" t="str">
        <f>IF(COUNTIFS('All Units'!$G$5:$G$1272,$B32,'All Units'!$H$5:$H$1272,$C32,'All Units'!$J$5:$J$1272,"Mid")=0,"-",TEXT(_xlfn.MINIFS('All Units'!$R$5:$R$1272,'All Units'!$G$5:$G$1272,$B32,'All Units'!$H$5:$H$1272,$C32,'All Units'!$J$5:$J$1272,"Mid")/1000000,"$0.000")&amp;"M to "&amp;TEXT(_xlfn.MAXIFS('All Units'!$R$5:$R$1272,'All Units'!$G$5:$G$1272,$B32,'All Units'!$H$5:$H$1272,$C32,'All Units'!$J$5:$J$1272,"Mid")/1000000,"$0.000")&amp;"M")</f>
        <v>$2.826M to $2.956M</v>
      </c>
      <c r="G32" s="29" t="str">
        <f>IF(COUNTIFS('All Units'!$G$5:$G$1272,$B32,'All Units'!$H$5:$H$1272,$C32,'All Units'!$J$5:$J$1272,"High")=0,"-",TEXT(_xlfn.MINIFS('All Units'!$R$5:$R$1272,'All Units'!$G$5:$G$1272,$B32,'All Units'!$H$5:$H$1272,$C32,'All Units'!$J$5:$J$1272,"High")/1000000,"$0.000")&amp;"M to "&amp;TEXT(_xlfn.MAXIFS('All Units'!$R$5:$R$1272,'All Units'!$G$5:$G$1272,$B32,'All Units'!$H$5:$H$1272,$C32,'All Units'!$J$5:$J$1272,"High")/1000000,"$0.000")&amp;"M")</f>
        <v>$2.973M to $3.107M</v>
      </c>
      <c r="H32" s="30">
        <f>_xlfn.MINIFS('All Units'!$R$5:$R$1272,'All Units'!$G$5:$G$1272,$B32,'All Units'!$H$5:$H$1272,$C32)</f>
        <v>2597600</v>
      </c>
      <c r="I32" s="30">
        <f>_xlfn.MAXIFS('All Units'!$R$5:$R$1272,'All Units'!$G$5:$G$1272,$B32,'All Units'!$H$5:$H$1272,$C32)</f>
        <v>3107100</v>
      </c>
      <c r="J32" s="27"/>
      <c r="K32" s="27"/>
    </row>
    <row r="33" spans="1:11" x14ac:dyDescent="0.2">
      <c r="A33" s="16" t="s">
        <v>71</v>
      </c>
      <c r="B33" s="23" t="s">
        <v>72</v>
      </c>
      <c r="C33" s="23" t="s">
        <v>68</v>
      </c>
      <c r="D33" s="17">
        <f>SUM(D31:D32)</f>
        <v>120</v>
      </c>
      <c r="E33" s="24"/>
      <c r="F33" s="24"/>
      <c r="G33" s="24"/>
      <c r="H33" s="25">
        <f>MIN(H31:H32)</f>
        <v>2503000</v>
      </c>
      <c r="I33" s="25">
        <f>MAX(I31:I32)</f>
        <v>3107100</v>
      </c>
      <c r="J33" s="26">
        <v>120</v>
      </c>
      <c r="K33" s="23" t="str">
        <f>IF(D33=J33,"Yes","CHECK")</f>
        <v>Yes</v>
      </c>
    </row>
    <row r="34" spans="1:11" x14ac:dyDescent="0.2">
      <c r="A34" s="19" t="s">
        <v>46</v>
      </c>
      <c r="B34" s="20">
        <v>1055</v>
      </c>
      <c r="C34" s="21" t="s">
        <v>62</v>
      </c>
      <c r="D34" s="20">
        <f>COUNTIFS('All Units'!$G$5:$G$1272,$B34,'All Units'!$H$5:$H$1272,$C34)</f>
        <v>140</v>
      </c>
      <c r="E34" s="21" t="str">
        <f>IF(COUNTIFS('All Units'!$G$5:$G$1272,$B34,'All Units'!$H$5:$H$1272,$C34,'All Units'!$J$5:$J$1272,"Low")=0,"-",TEXT(_xlfn.MINIFS('All Units'!$R$5:$R$1272,'All Units'!$G$5:$G$1272,$B34,'All Units'!$H$5:$H$1272,$C34,'All Units'!$J$5:$J$1272,"Low")/1000000,"$0.000")&amp;"M to "&amp;TEXT(_xlfn.MAXIFS('All Units'!$R$5:$R$1272,'All Units'!$G$5:$G$1272,$B34,'All Units'!$H$5:$H$1272,$C34,'All Units'!$J$5:$J$1272,"Low")/1000000,"$0.000")&amp;"M")</f>
        <v>$2.777M to $2.956M</v>
      </c>
      <c r="F34" s="21" t="str">
        <f>IF(COUNTIFS('All Units'!$G$5:$G$1272,$B34,'All Units'!$H$5:$H$1272,$C34,'All Units'!$J$5:$J$1272,"Mid")=0,"-",TEXT(_xlfn.MINIFS('All Units'!$R$5:$R$1272,'All Units'!$G$5:$G$1272,$B34,'All Units'!$H$5:$H$1272,$C34,'All Units'!$J$5:$J$1272,"Mid")/1000000,"$0.000")&amp;"M to "&amp;TEXT(_xlfn.MAXIFS('All Units'!$R$5:$R$1272,'All Units'!$G$5:$G$1272,$B34,'All Units'!$H$5:$H$1272,$C34,'All Units'!$J$5:$J$1272,"Mid")/1000000,"$0.000")&amp;"M")</f>
        <v>$2.875M to $3.121M</v>
      </c>
      <c r="G34" s="21" t="str">
        <f>IF(COUNTIFS('All Units'!$G$5:$G$1272,$B34,'All Units'!$H$5:$H$1272,$C34,'All Units'!$J$5:$J$1272,"High")=0,"-",TEXT(_xlfn.MINIFS('All Units'!$R$5:$R$1272,'All Units'!$G$5:$G$1272,$B34,'All Units'!$H$5:$H$1272,$C34,'All Units'!$J$5:$J$1272,"High")/1000000,"$0.000")&amp;"M to "&amp;TEXT(_xlfn.MAXIFS('All Units'!$R$5:$R$1272,'All Units'!$G$5:$G$1272,$B34,'All Units'!$H$5:$H$1272,$C34,'All Units'!$J$5:$J$1272,"High")/1000000,"$0.000")&amp;"M")</f>
        <v>$3.049M to $3.260M</v>
      </c>
      <c r="H34" s="22">
        <f>_xlfn.MINIFS('All Units'!$R$5:$R$1272,'All Units'!$G$5:$G$1272,$B34,'All Units'!$H$5:$H$1272,$C34)</f>
        <v>2777000</v>
      </c>
      <c r="I34" s="22">
        <f>_xlfn.MAXIFS('All Units'!$R$5:$R$1272,'All Units'!$G$5:$G$1272,$B34,'All Units'!$H$5:$H$1272,$C34)</f>
        <v>3260000</v>
      </c>
      <c r="J34" s="19"/>
      <c r="K34" s="19"/>
    </row>
    <row r="35" spans="1:11" x14ac:dyDescent="0.2">
      <c r="A35" s="27" t="s">
        <v>46</v>
      </c>
      <c r="B35" s="28">
        <v>1055</v>
      </c>
      <c r="C35" s="29" t="s">
        <v>65</v>
      </c>
      <c r="D35" s="28">
        <f>COUNTIFS('All Units'!$G$5:$G$1272,$B35,'All Units'!$H$5:$H$1272,$C35)</f>
        <v>30</v>
      </c>
      <c r="E35" s="29" t="str">
        <f>IF(COUNTIFS('All Units'!$G$5:$G$1272,$B35,'All Units'!$H$5:$H$1272,$C35,'All Units'!$J$5:$J$1272,"Low")=0,"-",TEXT(_xlfn.MINIFS('All Units'!$R$5:$R$1272,'All Units'!$G$5:$G$1272,$B35,'All Units'!$H$5:$H$1272,$C35,'All Units'!$J$5:$J$1272,"Low")/1000000,"$0.000")&amp;"M to "&amp;TEXT(_xlfn.MAXIFS('All Units'!$R$5:$R$1272,'All Units'!$G$5:$G$1272,$B35,'All Units'!$H$5:$H$1272,$C35,'All Units'!$J$5:$J$1272,"Low")/1000000,"$0.000")&amp;"M")</f>
        <v>$2.929M to $3.085M</v>
      </c>
      <c r="F35" s="29" t="str">
        <f>IF(COUNTIFS('All Units'!$G$5:$G$1272,$B35,'All Units'!$H$5:$H$1272,$C35,'All Units'!$J$5:$J$1272,"Mid")=0,"-",TEXT(_xlfn.MINIFS('All Units'!$R$5:$R$1272,'All Units'!$G$5:$G$1272,$B35,'All Units'!$H$5:$H$1272,$C35,'All Units'!$J$5:$J$1272,"Mid")/1000000,"$0.000")&amp;"M to "&amp;TEXT(_xlfn.MAXIFS('All Units'!$R$5:$R$1272,'All Units'!$G$5:$G$1272,$B35,'All Units'!$H$5:$H$1272,$C35,'All Units'!$J$5:$J$1272,"Mid")/1000000,"$0.000")&amp;"M")</f>
        <v>$3.101M to $3.261M</v>
      </c>
      <c r="G35" s="29" t="str">
        <f>IF(COUNTIFS('All Units'!$G$5:$G$1272,$B35,'All Units'!$H$5:$H$1272,$C35,'All Units'!$J$5:$J$1272,"High")=0,"-",TEXT(_xlfn.MINIFS('All Units'!$R$5:$R$1272,'All Units'!$G$5:$G$1272,$B35,'All Units'!$H$5:$H$1272,$C35,'All Units'!$J$5:$J$1272,"High")/1000000,"$0.000")&amp;"M to "&amp;TEXT(_xlfn.MAXIFS('All Units'!$R$5:$R$1272,'All Units'!$G$5:$G$1272,$B35,'All Units'!$H$5:$H$1272,$C35,'All Units'!$J$5:$J$1272,"High")/1000000,"$0.000")&amp;"M")</f>
        <v>$3.282M to $3.433M</v>
      </c>
      <c r="H35" s="30">
        <f>_xlfn.MINIFS('All Units'!$R$5:$R$1272,'All Units'!$G$5:$G$1272,$B35,'All Units'!$H$5:$H$1272,$C35)</f>
        <v>2928700</v>
      </c>
      <c r="I35" s="30">
        <f>_xlfn.MAXIFS('All Units'!$R$5:$R$1272,'All Units'!$G$5:$G$1272,$B35,'All Units'!$H$5:$H$1272,$C35)</f>
        <v>3433000</v>
      </c>
      <c r="J35" s="27"/>
      <c r="K35" s="27"/>
    </row>
    <row r="36" spans="1:11" x14ac:dyDescent="0.2">
      <c r="A36" s="16" t="s">
        <v>73</v>
      </c>
      <c r="B36" s="23" t="s">
        <v>74</v>
      </c>
      <c r="C36" s="23" t="s">
        <v>68</v>
      </c>
      <c r="D36" s="17">
        <f>SUM(D34:D35)</f>
        <v>170</v>
      </c>
      <c r="E36" s="24"/>
      <c r="F36" s="24"/>
      <c r="G36" s="24"/>
      <c r="H36" s="25">
        <f>MIN(H34:H35)</f>
        <v>2777000</v>
      </c>
      <c r="I36" s="25">
        <f>MAX(I34:I35)</f>
        <v>3433000</v>
      </c>
      <c r="J36" s="26">
        <v>170</v>
      </c>
      <c r="K36" s="23" t="str">
        <f>IF(D36=J36,"Yes","CHECK")</f>
        <v>Yes</v>
      </c>
    </row>
    <row r="37" spans="1:11" x14ac:dyDescent="0.2">
      <c r="A37" s="19" t="s">
        <v>47</v>
      </c>
      <c r="B37" s="20">
        <v>1152</v>
      </c>
      <c r="C37" s="21" t="s">
        <v>62</v>
      </c>
      <c r="D37" s="20">
        <f>COUNTIFS('All Units'!$G$5:$G$1272,$B37,'All Units'!$H$5:$H$1272,$C37)</f>
        <v>60</v>
      </c>
      <c r="E37" s="21" t="str">
        <f>IF(COUNTIFS('All Units'!$G$5:$G$1272,$B37,'All Units'!$H$5:$H$1272,$C37,'All Units'!$J$5:$J$1272,"Low")=0,"-",TEXT(_xlfn.MINIFS('All Units'!$R$5:$R$1272,'All Units'!$G$5:$G$1272,$B37,'All Units'!$H$5:$H$1272,$C37,'All Units'!$J$5:$J$1272,"Low")/1000000,"$0.000")&amp;"M to "&amp;TEXT(_xlfn.MAXIFS('All Units'!$R$5:$R$1272,'All Units'!$G$5:$G$1272,$B37,'All Units'!$H$5:$H$1272,$C37,'All Units'!$J$5:$J$1272,"Low")/1000000,"$0.000")&amp;"M")</f>
        <v>$3.053M to $3.235M</v>
      </c>
      <c r="F37" s="21" t="str">
        <f>IF(COUNTIFS('All Units'!$G$5:$G$1272,$B37,'All Units'!$H$5:$H$1272,$C37,'All Units'!$J$5:$J$1272,"Mid")=0,"-",TEXT(_xlfn.MINIFS('All Units'!$R$5:$R$1272,'All Units'!$G$5:$G$1272,$B37,'All Units'!$H$5:$H$1272,$C37,'All Units'!$J$5:$J$1272,"Mid")/1000000,"$0.000")&amp;"M to "&amp;TEXT(_xlfn.MAXIFS('All Units'!$R$5:$R$1272,'All Units'!$G$5:$G$1272,$B37,'All Units'!$H$5:$H$1272,$C37,'All Units'!$J$5:$J$1272,"Mid")/1000000,"$0.000")&amp;"M")</f>
        <v>$3.165M to $3.396M</v>
      </c>
      <c r="G37" s="21" t="str">
        <f>IF(COUNTIFS('All Units'!$G$5:$G$1272,$B37,'All Units'!$H$5:$H$1272,$C37,'All Units'!$J$5:$J$1272,"High")=0,"-",TEXT(_xlfn.MINIFS('All Units'!$R$5:$R$1272,'All Units'!$G$5:$G$1272,$B37,'All Units'!$H$5:$H$1272,$C37,'All Units'!$J$5:$J$1272,"High")/1000000,"$0.000")&amp;"M to "&amp;TEXT(_xlfn.MAXIFS('All Units'!$R$5:$R$1272,'All Units'!$G$5:$G$1272,$B37,'All Units'!$H$5:$H$1272,$C37,'All Units'!$J$5:$J$1272,"High")/1000000,"$0.000")&amp;"M")</f>
        <v>$3.324M to $3.562M</v>
      </c>
      <c r="H37" s="22">
        <f>_xlfn.MINIFS('All Units'!$R$5:$R$1272,'All Units'!$G$5:$G$1272,$B37,'All Units'!$H$5:$H$1272,$C37)</f>
        <v>3052800</v>
      </c>
      <c r="I37" s="22">
        <f>_xlfn.MAXIFS('All Units'!$R$5:$R$1272,'All Units'!$G$5:$G$1272,$B37,'All Units'!$H$5:$H$1272,$C37)</f>
        <v>3562000</v>
      </c>
      <c r="J37" s="19"/>
      <c r="K37" s="19"/>
    </row>
    <row r="38" spans="1:11" x14ac:dyDescent="0.2">
      <c r="A38" s="16" t="s">
        <v>75</v>
      </c>
      <c r="B38" s="23" t="s">
        <v>76</v>
      </c>
      <c r="C38" s="23"/>
      <c r="D38" s="17">
        <f>SUM(D37:D37)</f>
        <v>60</v>
      </c>
      <c r="E38" s="24"/>
      <c r="F38" s="24"/>
      <c r="G38" s="24"/>
      <c r="H38" s="25">
        <f>MIN(H37:H37)</f>
        <v>3052800</v>
      </c>
      <c r="I38" s="25">
        <f>MAX(I37:I37)</f>
        <v>3562000</v>
      </c>
      <c r="J38" s="26">
        <v>60</v>
      </c>
      <c r="K38" s="23" t="str">
        <f>IF(D38=J38,"Yes","CHECK")</f>
        <v>Yes</v>
      </c>
    </row>
    <row r="39" spans="1:11" x14ac:dyDescent="0.2">
      <c r="A39" s="19" t="s">
        <v>48</v>
      </c>
      <c r="B39" s="20">
        <v>1238</v>
      </c>
      <c r="C39" s="21" t="s">
        <v>62</v>
      </c>
      <c r="D39" s="20">
        <f>COUNTIFS('All Units'!$G$5:$G$1272,$B39,'All Units'!$H$5:$H$1272,$C39)</f>
        <v>60</v>
      </c>
      <c r="E39" s="21" t="str">
        <f>IF(COUNTIFS('All Units'!$G$5:$G$1272,$B39,'All Units'!$H$5:$H$1272,$C39,'All Units'!$J$5:$J$1272,"Low")=0,"-",TEXT(_xlfn.MINIFS('All Units'!$R$5:$R$1272,'All Units'!$G$5:$G$1272,$B39,'All Units'!$H$5:$H$1272,$C39,'All Units'!$J$5:$J$1272,"Low")/1000000,"$0.000")&amp;"M to "&amp;TEXT(_xlfn.MAXIFS('All Units'!$R$5:$R$1272,'All Units'!$G$5:$G$1272,$B39,'All Units'!$H$5:$H$1272,$C39,'All Units'!$J$5:$J$1272,"Low")/1000000,"$0.000")&amp;"M")</f>
        <v>$3.388M to $3.533M</v>
      </c>
      <c r="F39" s="21" t="str">
        <f>IF(COUNTIFS('All Units'!$G$5:$G$1272,$B39,'All Units'!$H$5:$H$1272,$C39,'All Units'!$J$5:$J$1272,"Mid")=0,"-",TEXT(_xlfn.MINIFS('All Units'!$R$5:$R$1272,'All Units'!$G$5:$G$1272,$B39,'All Units'!$H$5:$H$1272,$C39,'All Units'!$J$5:$J$1272,"Mid")/1000000,"$0.000")&amp;"M to "&amp;TEXT(_xlfn.MAXIFS('All Units'!$R$5:$R$1272,'All Units'!$G$5:$G$1272,$B39,'All Units'!$H$5:$H$1272,$C39,'All Units'!$J$5:$J$1272,"Mid")/1000000,"$0.000")&amp;"M")</f>
        <v>$3.443M to $3.678M</v>
      </c>
      <c r="G39" s="21" t="str">
        <f>IF(COUNTIFS('All Units'!$G$5:$G$1272,$B39,'All Units'!$H$5:$H$1272,$C39,'All Units'!$J$5:$J$1272,"High")=0,"-",TEXT(_xlfn.MINIFS('All Units'!$R$5:$R$1272,'All Units'!$G$5:$G$1272,$B39,'All Units'!$H$5:$H$1272,$C39,'All Units'!$J$5:$J$1272,"High")/1000000,"$0.000")&amp;"M to "&amp;TEXT(_xlfn.MAXIFS('All Units'!$R$5:$R$1272,'All Units'!$G$5:$G$1272,$B39,'All Units'!$H$5:$H$1272,$C39,'All Units'!$J$5:$J$1272,"High")/1000000,"$0.000")&amp;"M")</f>
        <v>$3.608M to $3.854M</v>
      </c>
      <c r="H39" s="22">
        <f>_xlfn.MINIFS('All Units'!$R$5:$R$1272,'All Units'!$G$5:$G$1272,$B39,'All Units'!$H$5:$H$1272,$C39)</f>
        <v>3388000</v>
      </c>
      <c r="I39" s="22">
        <f>_xlfn.MAXIFS('All Units'!$R$5:$R$1272,'All Units'!$G$5:$G$1272,$B39,'All Units'!$H$5:$H$1272,$C39)</f>
        <v>3853900</v>
      </c>
      <c r="J39" s="19"/>
      <c r="K39" s="19"/>
    </row>
    <row r="40" spans="1:11" x14ac:dyDescent="0.2">
      <c r="A40" s="27" t="s">
        <v>48</v>
      </c>
      <c r="B40" s="28">
        <v>1238</v>
      </c>
      <c r="C40" s="29" t="s">
        <v>65</v>
      </c>
      <c r="D40" s="28">
        <f>COUNTIFS('All Units'!$G$5:$G$1272,$B40,'All Units'!$H$5:$H$1272,$C40)</f>
        <v>30</v>
      </c>
      <c r="E40" s="29" t="str">
        <f>IF(COUNTIFS('All Units'!$G$5:$G$1272,$B40,'All Units'!$H$5:$H$1272,$C40,'All Units'!$J$5:$J$1272,"Low")=0,"-",TEXT(_xlfn.MINIFS('All Units'!$R$5:$R$1272,'All Units'!$G$5:$G$1272,$B40,'All Units'!$H$5:$H$1272,$C40,'All Units'!$J$5:$J$1272,"Low")/1000000,"$0.000")&amp;"M to "&amp;TEXT(_xlfn.MAXIFS('All Units'!$R$5:$R$1272,'All Units'!$G$5:$G$1272,$B40,'All Units'!$H$5:$H$1272,$C40,'All Units'!$J$5:$J$1272,"Low")/1000000,"$0.000")&amp;"M")</f>
        <v>$3.497M to $3.665M</v>
      </c>
      <c r="F40" s="29" t="str">
        <f>IF(COUNTIFS('All Units'!$G$5:$G$1272,$B40,'All Units'!$H$5:$H$1272,$C40,'All Units'!$J$5:$J$1272,"Mid")=0,"-",TEXT(_xlfn.MINIFS('All Units'!$R$5:$R$1272,'All Units'!$G$5:$G$1272,$B40,'All Units'!$H$5:$H$1272,$C40,'All Units'!$J$5:$J$1272,"Mid")/1000000,"$0.000")&amp;"M to "&amp;TEXT(_xlfn.MAXIFS('All Units'!$R$5:$R$1272,'All Units'!$G$5:$G$1272,$B40,'All Units'!$H$5:$H$1272,$C40,'All Units'!$J$5:$J$1272,"Mid")/1000000,"$0.000")&amp;"M")</f>
        <v>$3.681M to $3.853M</v>
      </c>
      <c r="G40" s="29" t="str">
        <f>IF(COUNTIFS('All Units'!$G$5:$G$1272,$B40,'All Units'!$H$5:$H$1272,$C40,'All Units'!$J$5:$J$1272,"High")=0,"-",TEXT(_xlfn.MINIFS('All Units'!$R$5:$R$1272,'All Units'!$G$5:$G$1272,$B40,'All Units'!$H$5:$H$1272,$C40,'All Units'!$J$5:$J$1272,"High")/1000000,"$0.000")&amp;"M to "&amp;TEXT(_xlfn.MAXIFS('All Units'!$R$5:$R$1272,'All Units'!$G$5:$G$1272,$B40,'All Units'!$H$5:$H$1272,$C40,'All Units'!$J$5:$J$1272,"High")/1000000,"$0.000")&amp;"M")</f>
        <v>$3.880M to $4.124M</v>
      </c>
      <c r="H40" s="30">
        <f>_xlfn.MINIFS('All Units'!$R$5:$R$1272,'All Units'!$G$5:$G$1272,$B40,'All Units'!$H$5:$H$1272,$C40)</f>
        <v>3497400</v>
      </c>
      <c r="I40" s="30">
        <f>_xlfn.MAXIFS('All Units'!$R$5:$R$1272,'All Units'!$G$5:$G$1272,$B40,'All Units'!$H$5:$H$1272,$C40)</f>
        <v>4123800</v>
      </c>
      <c r="J40" s="27"/>
      <c r="K40" s="27"/>
    </row>
    <row r="41" spans="1:11" x14ac:dyDescent="0.2">
      <c r="A41" s="16" t="s">
        <v>77</v>
      </c>
      <c r="B41" s="23" t="s">
        <v>78</v>
      </c>
      <c r="C41" s="23" t="s">
        <v>68</v>
      </c>
      <c r="D41" s="17">
        <f>SUM(D39:D40)</f>
        <v>90</v>
      </c>
      <c r="E41" s="24"/>
      <c r="F41" s="24"/>
      <c r="G41" s="24"/>
      <c r="H41" s="25">
        <f>MIN(H39:H40)</f>
        <v>3388000</v>
      </c>
      <c r="I41" s="25">
        <f>MAX(I39:I40)</f>
        <v>4123800</v>
      </c>
      <c r="J41" s="26">
        <v>90</v>
      </c>
      <c r="K41" s="23" t="str">
        <f>IF(D41=J41,"Yes","CHECK")</f>
        <v>Yes</v>
      </c>
    </row>
    <row r="42" spans="1:11" x14ac:dyDescent="0.2">
      <c r="A42" s="27" t="s">
        <v>49</v>
      </c>
      <c r="B42" s="28">
        <v>1367</v>
      </c>
      <c r="C42" s="29" t="s">
        <v>65</v>
      </c>
      <c r="D42" s="28">
        <f>COUNTIFS('All Units'!$G$5:$G$1272,$B42,'All Units'!$H$5:$H$1272,$C42)</f>
        <v>56</v>
      </c>
      <c r="E42" s="29" t="str">
        <f>IF(COUNTIFS('All Units'!$G$5:$G$1272,$B42,'All Units'!$H$5:$H$1272,$C42,'All Units'!$J$5:$J$1272,"Low")=0,"-",TEXT(_xlfn.MINIFS('All Units'!$R$5:$R$1272,'All Units'!$G$5:$G$1272,$B42,'All Units'!$H$5:$H$1272,$C42,'All Units'!$J$5:$J$1272,"Low")/1000000,"$0.000")&amp;"M to "&amp;TEXT(_xlfn.MAXIFS('All Units'!$R$5:$R$1272,'All Units'!$G$5:$G$1272,$B42,'All Units'!$H$5:$H$1272,$C42,'All Units'!$J$5:$J$1272,"Low")/1000000,"$0.000")&amp;"M")</f>
        <v>$3.828M to $4.085M</v>
      </c>
      <c r="F42" s="29" t="str">
        <f>IF(COUNTIFS('All Units'!$G$5:$G$1272,$B42,'All Units'!$H$5:$H$1272,$C42,'All Units'!$J$5:$J$1272,"Mid")=0,"-",TEXT(_xlfn.MINIFS('All Units'!$R$5:$R$1272,'All Units'!$G$5:$G$1272,$B42,'All Units'!$H$5:$H$1272,$C42,'All Units'!$J$5:$J$1272,"Mid")/1000000,"$0.000")&amp;"M to "&amp;TEXT(_xlfn.MAXIFS('All Units'!$R$5:$R$1272,'All Units'!$G$5:$G$1272,$B42,'All Units'!$H$5:$H$1272,$C42,'All Units'!$J$5:$J$1272,"Mid")/1000000,"$0.000")&amp;"M")</f>
        <v>$3.999M to $4.225M</v>
      </c>
      <c r="G42" s="29" t="str">
        <f>IF(COUNTIFS('All Units'!$G$5:$G$1272,$B42,'All Units'!$H$5:$H$1272,$C42,'All Units'!$J$5:$J$1272,"High")=0,"-",TEXT(_xlfn.MINIFS('All Units'!$R$5:$R$1272,'All Units'!$G$5:$G$1272,$B42,'All Units'!$H$5:$H$1272,$C42,'All Units'!$J$5:$J$1272,"High")/1000000,"$0.000")&amp;"M to "&amp;TEXT(_xlfn.MAXIFS('All Units'!$R$5:$R$1272,'All Units'!$G$5:$G$1272,$B42,'All Units'!$H$5:$H$1272,$C42,'All Units'!$J$5:$J$1272,"High")/1000000,"$0.000")&amp;"M")</f>
        <v>$4.161M to $4.588M</v>
      </c>
      <c r="H42" s="30">
        <f>_xlfn.MINIFS('All Units'!$R$5:$R$1272,'All Units'!$G$5:$G$1272,$B42,'All Units'!$H$5:$H$1272,$C42)</f>
        <v>3827600</v>
      </c>
      <c r="I42" s="30">
        <f>_xlfn.MAXIFS('All Units'!$R$5:$R$1272,'All Units'!$G$5:$G$1272,$B42,'All Units'!$H$5:$H$1272,$C42)</f>
        <v>4587700</v>
      </c>
      <c r="J42" s="27"/>
      <c r="K42" s="27"/>
    </row>
    <row r="43" spans="1:11" x14ac:dyDescent="0.2">
      <c r="A43" s="16" t="s">
        <v>79</v>
      </c>
      <c r="B43" s="23" t="s">
        <v>80</v>
      </c>
      <c r="C43" s="23"/>
      <c r="D43" s="17">
        <f>SUM(D42:D42)</f>
        <v>56</v>
      </c>
      <c r="E43" s="24"/>
      <c r="F43" s="24"/>
      <c r="G43" s="24"/>
      <c r="H43" s="25">
        <f>MIN(H42:H42)</f>
        <v>3827600</v>
      </c>
      <c r="I43" s="25">
        <f>MAX(I42:I42)</f>
        <v>4587700</v>
      </c>
      <c r="J43" s="26">
        <v>56</v>
      </c>
      <c r="K43" s="23" t="str">
        <f>IF(D43=J43,"Yes","CHECK")</f>
        <v>Yes</v>
      </c>
    </row>
    <row r="44" spans="1:11" x14ac:dyDescent="0.2">
      <c r="A44" s="27" t="s">
        <v>50</v>
      </c>
      <c r="B44" s="28">
        <v>1485</v>
      </c>
      <c r="C44" s="29" t="s">
        <v>65</v>
      </c>
      <c r="D44" s="28">
        <f>COUNTIFS('All Units'!$G$5:$G$1272,$B44,'All Units'!$H$5:$H$1272,$C44)</f>
        <v>28</v>
      </c>
      <c r="E44" s="29" t="str">
        <f>IF(COUNTIFS('All Units'!$G$5:$G$1272,$B44,'All Units'!$H$5:$H$1272,$C44,'All Units'!$J$5:$J$1272,"Low")=0,"-",TEXT(_xlfn.MINIFS('All Units'!$R$5:$R$1272,'All Units'!$G$5:$G$1272,$B44,'All Units'!$H$5:$H$1272,$C44,'All Units'!$J$5:$J$1272,"Low")/1000000,"$0.000")&amp;"M to "&amp;TEXT(_xlfn.MAXIFS('All Units'!$R$5:$R$1272,'All Units'!$G$5:$G$1272,$B44,'All Units'!$H$5:$H$1272,$C44,'All Units'!$J$5:$J$1272,"Low")/1000000,"$0.000")&amp;"M")</f>
        <v>$4.158M to $4.277M</v>
      </c>
      <c r="F44" s="29" t="str">
        <f>IF(COUNTIFS('All Units'!$G$5:$G$1272,$B44,'All Units'!$H$5:$H$1272,$C44,'All Units'!$J$5:$J$1272,"Mid")=0,"-",TEXT(_xlfn.MINIFS('All Units'!$R$5:$R$1272,'All Units'!$G$5:$G$1272,$B44,'All Units'!$H$5:$H$1272,$C44,'All Units'!$J$5:$J$1272,"Mid")/1000000,"$0.000")&amp;"M to "&amp;TEXT(_xlfn.MAXIFS('All Units'!$R$5:$R$1272,'All Units'!$G$5:$G$1272,$B44,'All Units'!$H$5:$H$1272,$C44,'All Units'!$J$5:$J$1272,"Mid")/1000000,"$0.000")&amp;"M")</f>
        <v>$4.292M to $4.519M</v>
      </c>
      <c r="G44" s="29" t="str">
        <f>IF(COUNTIFS('All Units'!$G$5:$G$1272,$B44,'All Units'!$H$5:$H$1272,$C44,'All Units'!$J$5:$J$1272,"High")=0,"-",TEXT(_xlfn.MINIFS('All Units'!$R$5:$R$1272,'All Units'!$G$5:$G$1272,$B44,'All Units'!$H$5:$H$1272,$C44,'All Units'!$J$5:$J$1272,"High")/1000000,"$0.000")&amp;"M to "&amp;TEXT(_xlfn.MAXIFS('All Units'!$R$5:$R$1272,'All Units'!$G$5:$G$1272,$B44,'All Units'!$H$5:$H$1272,$C44,'All Units'!$J$5:$J$1272,"High")/1000000,"$0.000")&amp;"M")</f>
        <v>$4.562M to $4.942M</v>
      </c>
      <c r="H44" s="30">
        <f>_xlfn.MINIFS('All Units'!$R$5:$R$1272,'All Units'!$G$5:$G$1272,$B44,'All Units'!$H$5:$H$1272,$C44)</f>
        <v>4158000</v>
      </c>
      <c r="I44" s="30">
        <f>_xlfn.MAXIFS('All Units'!$R$5:$R$1272,'All Units'!$G$5:$G$1272,$B44,'All Units'!$H$5:$H$1272,$C44)</f>
        <v>4942100</v>
      </c>
      <c r="J44" s="27"/>
      <c r="K44" s="27"/>
    </row>
    <row r="45" spans="1:11" x14ac:dyDescent="0.2">
      <c r="A45" s="16" t="s">
        <v>81</v>
      </c>
      <c r="B45" s="23" t="s">
        <v>82</v>
      </c>
      <c r="C45" s="23"/>
      <c r="D45" s="17">
        <f>SUM(D44:D44)</f>
        <v>28</v>
      </c>
      <c r="E45" s="24"/>
      <c r="F45" s="24"/>
      <c r="G45" s="24"/>
      <c r="H45" s="25">
        <f>MIN(H44:H44)</f>
        <v>4158000</v>
      </c>
      <c r="I45" s="25">
        <f>MAX(I44:I44)</f>
        <v>4942100</v>
      </c>
      <c r="J45" s="26">
        <v>28</v>
      </c>
      <c r="K45" s="23" t="str">
        <f>IF(D45=J45,"Yes","CHECK")</f>
        <v>Yes</v>
      </c>
    </row>
    <row r="46" spans="1:11" x14ac:dyDescent="0.2">
      <c r="A46" s="27" t="s">
        <v>51</v>
      </c>
      <c r="B46" s="28">
        <v>1808</v>
      </c>
      <c r="C46" s="29" t="s">
        <v>65</v>
      </c>
      <c r="D46" s="28">
        <f>COUNTIFS('All Units'!$G$5:$G$1272,$B46,'All Units'!$H$5:$H$1272,$C46)</f>
        <v>28</v>
      </c>
      <c r="E46" s="29" t="str">
        <f>IF(COUNTIFS('All Units'!$G$5:$G$1272,$B46,'All Units'!$H$5:$H$1272,$C46,'All Units'!$J$5:$J$1272,"Low")=0,"-",TEXT(_xlfn.MINIFS('All Units'!$R$5:$R$1272,'All Units'!$G$5:$G$1272,$B46,'All Units'!$H$5:$H$1272,$C46,'All Units'!$J$5:$J$1272,"Low")/1000000,"$0.000")&amp;"M to "&amp;TEXT(_xlfn.MAXIFS('All Units'!$R$5:$R$1272,'All Units'!$G$5:$G$1272,$B46,'All Units'!$H$5:$H$1272,$C46,'All Units'!$J$5:$J$1272,"Low")/1000000,"$0.000")&amp;"M")</f>
        <v>$5.062M to $5.207M</v>
      </c>
      <c r="F46" s="29" t="str">
        <f>IF(COUNTIFS('All Units'!$G$5:$G$1272,$B46,'All Units'!$H$5:$H$1272,$C46,'All Units'!$J$5:$J$1272,"Mid")=0,"-",TEXT(_xlfn.MINIFS('All Units'!$R$5:$R$1272,'All Units'!$G$5:$G$1272,$B46,'All Units'!$H$5:$H$1272,$C46,'All Units'!$J$5:$J$1272,"Mid")/1000000,"$0.000")&amp;"M to "&amp;TEXT(_xlfn.MAXIFS('All Units'!$R$5:$R$1272,'All Units'!$G$5:$G$1272,$B46,'All Units'!$H$5:$H$1272,$C46,'All Units'!$J$5:$J$1272,"Mid")/1000000,"$0.000")&amp;"M")</f>
        <v>$5.225M to $5.502M</v>
      </c>
      <c r="G46" s="29" t="str">
        <f>IF(COUNTIFS('All Units'!$G$5:$G$1272,$B46,'All Units'!$H$5:$H$1272,$C46,'All Units'!$J$5:$J$1272,"High")=0,"-",TEXT(_xlfn.MINIFS('All Units'!$R$5:$R$1272,'All Units'!$G$5:$G$1272,$B46,'All Units'!$H$5:$H$1272,$C46,'All Units'!$J$5:$J$1272,"High")/1000000,"$0.000")&amp;"M to "&amp;TEXT(_xlfn.MAXIFS('All Units'!$R$5:$R$1272,'All Units'!$G$5:$G$1272,$B46,'All Units'!$H$5:$H$1272,$C46,'All Units'!$J$5:$J$1272,"High")/1000000,"$0.000")&amp;"M")</f>
        <v>$5.554M to $6.017M</v>
      </c>
      <c r="H46" s="30">
        <f>_xlfn.MINIFS('All Units'!$R$5:$R$1272,'All Units'!$G$5:$G$1272,$B46,'All Units'!$H$5:$H$1272,$C46)</f>
        <v>5062400</v>
      </c>
      <c r="I46" s="30">
        <f>_xlfn.MAXIFS('All Units'!$R$5:$R$1272,'All Units'!$G$5:$G$1272,$B46,'All Units'!$H$5:$H$1272,$C46)</f>
        <v>6017000</v>
      </c>
      <c r="J46" s="27"/>
      <c r="K46" s="27"/>
    </row>
    <row r="47" spans="1:11" x14ac:dyDescent="0.2">
      <c r="A47" s="16" t="s">
        <v>83</v>
      </c>
      <c r="B47" s="23" t="s">
        <v>84</v>
      </c>
      <c r="C47" s="23"/>
      <c r="D47" s="17">
        <f>SUM(D46:D46)</f>
        <v>28</v>
      </c>
      <c r="E47" s="24"/>
      <c r="F47" s="24"/>
      <c r="G47" s="24"/>
      <c r="H47" s="25">
        <f>MIN(H46:H46)</f>
        <v>5062400</v>
      </c>
      <c r="I47" s="25">
        <f>MAX(I46:I46)</f>
        <v>6017000</v>
      </c>
      <c r="J47" s="26">
        <v>28</v>
      </c>
      <c r="K47" s="23" t="str">
        <f>IF(D47=J47,"Yes","CHECK")</f>
        <v>Yes</v>
      </c>
    </row>
    <row r="48" spans="1:11" x14ac:dyDescent="0.2">
      <c r="A48" s="31" t="s">
        <v>85</v>
      </c>
      <c r="D48" s="8">
        <f>D22+D25+D30+D33+D36+D38+D41+D43+D45+D47</f>
        <v>1268</v>
      </c>
      <c r="J48" s="10">
        <v>1268</v>
      </c>
      <c r="K48" s="13" t="str">
        <f>IF(D48=J48,"Yes","CHECK")</f>
        <v>Yes</v>
      </c>
    </row>
    <row r="49" spans="1:9" x14ac:dyDescent="0.2">
      <c r="A49" s="3" t="s">
        <v>86</v>
      </c>
    </row>
    <row r="51" spans="1:9" x14ac:dyDescent="0.2">
      <c r="A51" s="18" t="s">
        <v>87</v>
      </c>
    </row>
    <row r="52" spans="1:9" ht="30" customHeight="1" x14ac:dyDescent="0.2">
      <c r="A52" s="7" t="s">
        <v>30</v>
      </c>
      <c r="B52" s="7" t="s">
        <v>29</v>
      </c>
      <c r="C52" s="7" t="s">
        <v>54</v>
      </c>
      <c r="D52" s="7" t="s">
        <v>88</v>
      </c>
      <c r="E52" s="7" t="s">
        <v>89</v>
      </c>
      <c r="F52" s="7" t="s">
        <v>90</v>
      </c>
      <c r="G52" s="7" t="s">
        <v>91</v>
      </c>
      <c r="H52" s="7" t="s">
        <v>92</v>
      </c>
      <c r="I52" s="7" t="s">
        <v>93</v>
      </c>
    </row>
    <row r="53" spans="1:9" ht="28" x14ac:dyDescent="0.2">
      <c r="A53" s="32" t="str">
        <f>Assumptions!$C$40</f>
        <v>2 Bedroom</v>
      </c>
      <c r="B53" s="33">
        <f>Assumptions!$A$40</f>
        <v>592</v>
      </c>
      <c r="C53" s="34" t="str">
        <f>Assumptions!$B$40</f>
        <v>Classic</v>
      </c>
      <c r="D53" s="21" t="str">
        <f>"L"&amp;Assumptions!$D$40&amp;"-"&amp;Assumptions!$E$40&amp;" / L"&amp;(Assumptions!$E$40+1)&amp;"-"&amp;Assumptions!$F$40&amp;" / L"&amp;(Assumptions!$F$40+1)&amp;"-"&amp;Assumptions!$G$40</f>
        <v>L2-7 / L8-15 / L16-21</v>
      </c>
      <c r="E53" s="21" t="str">
        <f>Assumptions!$H$40&amp;" / "&amp;Assumptions!$I$40&amp;" / "&amp;Assumptions!$J$40</f>
        <v>$2,700 / $2,800 to $2,900 / $3,000</v>
      </c>
      <c r="F53" s="35">
        <f>Assumptions!$S$40</f>
        <v>2722.2666666666669</v>
      </c>
      <c r="G53" s="35">
        <f>Assumptions!$T$40</f>
        <v>2850.05</v>
      </c>
      <c r="H53" s="35">
        <f>Assumptions!$U$40</f>
        <v>3000</v>
      </c>
      <c r="I53" s="21" t="str">
        <f>Assumptions!$V$40</f>
        <v>n/a / 0 / 0</v>
      </c>
    </row>
    <row r="54" spans="1:9" ht="28" x14ac:dyDescent="0.2">
      <c r="A54" s="32" t="str">
        <f>Assumptions!$C$41</f>
        <v>2 Bedroom Premium</v>
      </c>
      <c r="B54" s="33">
        <f>Assumptions!$A$41</f>
        <v>678</v>
      </c>
      <c r="C54" s="34" t="str">
        <f>Assumptions!$B$41</f>
        <v>Classic</v>
      </c>
      <c r="D54" s="21" t="str">
        <f>"L"&amp;Assumptions!$D$41&amp;"-"&amp;Assumptions!$E$41&amp;" / L"&amp;(Assumptions!$E$41+1)&amp;"-"&amp;Assumptions!$F$41&amp;" / L"&amp;(Assumptions!$F$41+1)&amp;"-"&amp;Assumptions!$G$41</f>
        <v>L2-7 / L8-15 / L16-21</v>
      </c>
      <c r="E54" s="21" t="str">
        <f>Assumptions!$H$41&amp;" / "&amp;Assumptions!$I$41&amp;" / "&amp;Assumptions!$J$41</f>
        <v>$2,700 / $2,800 to $2,900 / $3,000</v>
      </c>
      <c r="F54" s="35">
        <f>Assumptions!$S$41</f>
        <v>2716.2638888888887</v>
      </c>
      <c r="G54" s="35">
        <f>Assumptions!$T$41</f>
        <v>2849.9895833333335</v>
      </c>
      <c r="H54" s="35">
        <f>Assumptions!$U$41</f>
        <v>3000.0555555555557</v>
      </c>
      <c r="I54" s="21" t="str">
        <f>Assumptions!$V$41</f>
        <v>n/a / 0 / 0</v>
      </c>
    </row>
    <row r="55" spans="1:9" ht="28" x14ac:dyDescent="0.2">
      <c r="A55" s="36" t="str">
        <f>Assumptions!$C$42</f>
        <v>2 Bedroom Premium</v>
      </c>
      <c r="B55" s="37">
        <f>Assumptions!$A$42</f>
        <v>678</v>
      </c>
      <c r="C55" s="38" t="str">
        <f>Assumptions!$B$42</f>
        <v>Luxury</v>
      </c>
      <c r="D55" s="29" t="str">
        <f>"L"&amp;Assumptions!$D$42&amp;"-"&amp;Assumptions!$E$42&amp;" / L"&amp;(Assumptions!$E$42+1)&amp;"-"&amp;Assumptions!$F$42&amp;" / L"&amp;(Assumptions!$F$42+1)&amp;"-"&amp;Assumptions!$G$42</f>
        <v>L1-14 / L15-21 / L22-30</v>
      </c>
      <c r="E55" s="29" t="str">
        <f>Assumptions!$H$42&amp;" / "&amp;Assumptions!$I$42&amp;" / "&amp;Assumptions!$J$42</f>
        <v>$2,800 to $2,900 / $3,000 / $3,100</v>
      </c>
      <c r="F55" s="39">
        <f>Assumptions!$S$42</f>
        <v>2976.0374999999999</v>
      </c>
      <c r="G55" s="39">
        <f>Assumptions!$T$42</f>
        <v>3190.2857142857142</v>
      </c>
      <c r="H55" s="39">
        <f>Assumptions!$U$42</f>
        <v>3309.2407407407409</v>
      </c>
      <c r="I55" s="29" t="str">
        <f>Assumptions!$V$42</f>
        <v>+$126 / +$190 / +$209</v>
      </c>
    </row>
    <row r="56" spans="1:9" ht="28" x14ac:dyDescent="0.2">
      <c r="A56" s="32" t="str">
        <f>Assumptions!$C$43</f>
        <v>2 Bedroom Premium + Study</v>
      </c>
      <c r="B56" s="33">
        <f>Assumptions!$A$43</f>
        <v>732</v>
      </c>
      <c r="C56" s="34" t="str">
        <f>Assumptions!$B$43</f>
        <v>Classic</v>
      </c>
      <c r="D56" s="21" t="str">
        <f>"L"&amp;Assumptions!$D$43&amp;"-"&amp;Assumptions!$E$43&amp;" / L"&amp;(Assumptions!$E$43+1)&amp;"-"&amp;Assumptions!$F$43&amp;" / L"&amp;(Assumptions!$F$43+1)&amp;"-"&amp;Assumptions!$G$43</f>
        <v>L2-7 / L8-15 / L16-21</v>
      </c>
      <c r="E56" s="21" t="str">
        <f>Assumptions!$H$43&amp;" / "&amp;Assumptions!$I$43&amp;" / "&amp;Assumptions!$J$43</f>
        <v>$2,700 / $2,800 to $2,900 / $3,000</v>
      </c>
      <c r="F56" s="35">
        <f>Assumptions!$S$43</f>
        <v>2729</v>
      </c>
      <c r="G56" s="35">
        <f>Assumptions!$T$43</f>
        <v>2852.1666666666665</v>
      </c>
      <c r="H56" s="35">
        <f>Assumptions!$U$43</f>
        <v>3000</v>
      </c>
      <c r="I56" s="21" t="str">
        <f>Assumptions!$V$43</f>
        <v>n/a / +$2 / 0</v>
      </c>
    </row>
    <row r="57" spans="1:9" ht="28" x14ac:dyDescent="0.2">
      <c r="A57" s="36" t="str">
        <f>Assumptions!$C$44</f>
        <v>2 Bedroom Premium + Study</v>
      </c>
      <c r="B57" s="37">
        <f>Assumptions!$A$44</f>
        <v>732</v>
      </c>
      <c r="C57" s="38" t="str">
        <f>Assumptions!$B$44</f>
        <v>Luxury</v>
      </c>
      <c r="D57" s="29" t="str">
        <f>"L"&amp;Assumptions!$D$44&amp;"-"&amp;Assumptions!$E$44&amp;" / L"&amp;(Assumptions!$E$44+1)&amp;"-"&amp;Assumptions!$F$44&amp;" / L"&amp;(Assumptions!$F$44+1)&amp;"-"&amp;Assumptions!$G$44</f>
        <v>L1-11 / L12-20 / L21-30</v>
      </c>
      <c r="E57" s="29" t="str">
        <f>Assumptions!$H$44&amp;" / "&amp;Assumptions!$I$44&amp;" / "&amp;Assumptions!$J$44</f>
        <v>$2,800 to $2,900 / $3,000 / $3,100</v>
      </c>
      <c r="F57" s="39">
        <f>Assumptions!$S$44</f>
        <v>2888.2727272727275</v>
      </c>
      <c r="G57" s="39">
        <f>Assumptions!$T$44</f>
        <v>3131.8888888888887</v>
      </c>
      <c r="H57" s="39">
        <f>Assumptions!$U$44</f>
        <v>3279.5</v>
      </c>
      <c r="I57" s="29" t="str">
        <f>Assumptions!$V$44</f>
        <v>+$38 / +$132 / +$180</v>
      </c>
    </row>
    <row r="58" spans="1:9" ht="28" x14ac:dyDescent="0.2">
      <c r="A58" s="32" t="str">
        <f>Assumptions!$C$45</f>
        <v>2 Bedroom Premium + Study</v>
      </c>
      <c r="B58" s="33">
        <f>Assumptions!$A$45</f>
        <v>775</v>
      </c>
      <c r="C58" s="34" t="str">
        <f>Assumptions!$B$45</f>
        <v>Classic</v>
      </c>
      <c r="D58" s="21" t="str">
        <f>"L"&amp;Assumptions!$D$45&amp;"-"&amp;Assumptions!$E$45&amp;" / L"&amp;(Assumptions!$E$45+1)&amp;"-"&amp;Assumptions!$F$45&amp;" / L"&amp;(Assumptions!$F$45+1)&amp;"-"&amp;Assumptions!$G$45</f>
        <v>L2-7 / L8-15 / L16-21</v>
      </c>
      <c r="E58" s="21" t="str">
        <f>Assumptions!$H$45&amp;" / "&amp;Assumptions!$I$45&amp;" / "&amp;Assumptions!$J$45</f>
        <v>$2,700 / $2,800 to $2,900 / $3,000</v>
      </c>
      <c r="F58" s="35">
        <f>Assumptions!$S$45</f>
        <v>2702.5</v>
      </c>
      <c r="G58" s="35">
        <f>Assumptions!$T$45</f>
        <v>2850.125</v>
      </c>
      <c r="H58" s="35">
        <f>Assumptions!$U$45</f>
        <v>3000</v>
      </c>
      <c r="I58" s="21" t="str">
        <f>Assumptions!$V$45</f>
        <v>n/a / 0 / 0</v>
      </c>
    </row>
    <row r="59" spans="1:9" ht="28" x14ac:dyDescent="0.2">
      <c r="A59" s="36" t="str">
        <f>Assumptions!$C$46</f>
        <v>2 Bedroom Premium + Study</v>
      </c>
      <c r="B59" s="37">
        <f>Assumptions!$A$46</f>
        <v>775</v>
      </c>
      <c r="C59" s="38" t="str">
        <f>Assumptions!$B$46</f>
        <v>Luxury</v>
      </c>
      <c r="D59" s="29" t="str">
        <f>"L"&amp;Assumptions!$D$46&amp;"-"&amp;Assumptions!$E$46&amp;" / L"&amp;(Assumptions!$E$46+1)&amp;"-"&amp;Assumptions!$F$46&amp;" / L"&amp;(Assumptions!$F$46+1)&amp;"-"&amp;Assumptions!$G$46</f>
        <v>L1-11 / L12-20 / L21-30</v>
      </c>
      <c r="E59" s="29" t="str">
        <f>Assumptions!$H$46&amp;" / "&amp;Assumptions!$I$46&amp;" / "&amp;Assumptions!$J$46</f>
        <v>$2,800 to $2,900 / $3,000 / $3,100</v>
      </c>
      <c r="F59" s="39">
        <f>Assumptions!$S$46</f>
        <v>2851.909090909091</v>
      </c>
      <c r="G59" s="39">
        <f>Assumptions!$T$46</f>
        <v>3050</v>
      </c>
      <c r="H59" s="39">
        <f>Assumptions!$U$46</f>
        <v>3186.05</v>
      </c>
      <c r="I59" s="29" t="str">
        <f>Assumptions!$V$46</f>
        <v>+$2 / +$50 / +$86</v>
      </c>
    </row>
    <row r="60" spans="1:9" ht="28" x14ac:dyDescent="0.2">
      <c r="A60" s="32" t="str">
        <f>Assumptions!$C$47</f>
        <v>3 Bedroom</v>
      </c>
      <c r="B60" s="33">
        <f>Assumptions!$A$47</f>
        <v>947</v>
      </c>
      <c r="C60" s="34" t="str">
        <f>Assumptions!$B$47</f>
        <v>Classic</v>
      </c>
      <c r="D60" s="21" t="str">
        <f>"L"&amp;Assumptions!$D$47&amp;"-"&amp;Assumptions!$E$47&amp;" / L"&amp;(Assumptions!$E$47+1)&amp;"-"&amp;Assumptions!$F$47&amp;" / L"&amp;(Assumptions!$F$47+1)&amp;"-"&amp;Assumptions!$G$47</f>
        <v>L2-8 / L9-15 / L16-21</v>
      </c>
      <c r="E60" s="21" t="str">
        <f>Assumptions!$H$47&amp;" / "&amp;Assumptions!$I$47&amp;" / "&amp;Assumptions!$J$47</f>
        <v>$2,700 / $2,800 to $2,900 / $3,000</v>
      </c>
      <c r="F60" s="35">
        <f>Assumptions!$S$47</f>
        <v>2733.8095238095239</v>
      </c>
      <c r="G60" s="35">
        <f>Assumptions!$T$47</f>
        <v>2850</v>
      </c>
      <c r="H60" s="35">
        <f>Assumptions!$U$47</f>
        <v>2999.8333333333335</v>
      </c>
      <c r="I60" s="21" t="str">
        <f>Assumptions!$V$47</f>
        <v>n/a / 0 / 0</v>
      </c>
    </row>
    <row r="61" spans="1:9" ht="28" x14ac:dyDescent="0.2">
      <c r="A61" s="36" t="str">
        <f>Assumptions!$C$48</f>
        <v>3 Bedroom</v>
      </c>
      <c r="B61" s="37">
        <f>Assumptions!$A$48</f>
        <v>947</v>
      </c>
      <c r="C61" s="38" t="str">
        <f>Assumptions!$B$48</f>
        <v>Luxury</v>
      </c>
      <c r="D61" s="29" t="str">
        <f>"L"&amp;Assumptions!$D$48&amp;"-"&amp;Assumptions!$E$48&amp;" / L"&amp;(Assumptions!$E$48+1)&amp;"-"&amp;Assumptions!$F$48&amp;" / L"&amp;(Assumptions!$F$48+1)&amp;"-"&amp;Assumptions!$G$48</f>
        <v>L1-11 / L12-20 / L21-30</v>
      </c>
      <c r="E61" s="29" t="str">
        <f>Assumptions!$H$48&amp;" / "&amp;Assumptions!$I$48&amp;" / "&amp;Assumptions!$J$48</f>
        <v>$2,800 to $2,900 / $3,000 / $3,100 to $3,200</v>
      </c>
      <c r="F61" s="39">
        <f>Assumptions!$S$48</f>
        <v>2887.1363636363635</v>
      </c>
      <c r="G61" s="39">
        <f>Assumptions!$T$48</f>
        <v>3052.3333333333335</v>
      </c>
      <c r="H61" s="39">
        <f>Assumptions!$U$48</f>
        <v>3209.7</v>
      </c>
      <c r="I61" s="29" t="str">
        <f>Assumptions!$V$48</f>
        <v>+$37 / +$52 / +$60</v>
      </c>
    </row>
    <row r="62" spans="1:9" ht="28" x14ac:dyDescent="0.2">
      <c r="A62" s="32" t="str">
        <f>Assumptions!$C$49</f>
        <v>3 Bedroom Premium</v>
      </c>
      <c r="B62" s="33">
        <f>Assumptions!$A$49</f>
        <v>1055</v>
      </c>
      <c r="C62" s="34" t="str">
        <f>Assumptions!$B$49</f>
        <v>Classic</v>
      </c>
      <c r="D62" s="21" t="str">
        <f>"L"&amp;Assumptions!$D$49&amp;"-"&amp;Assumptions!$E$49&amp;" / L"&amp;(Assumptions!$E$49+1)&amp;"-"&amp;Assumptions!$F$49&amp;" / L"&amp;(Assumptions!$F$49+1)&amp;"-"&amp;Assumptions!$G$49</f>
        <v>L2-8 / L9-16 / L17-21</v>
      </c>
      <c r="E62" s="21" t="str">
        <f>Assumptions!$H$49&amp;" / "&amp;Assumptions!$I$49&amp;" / "&amp;Assumptions!$J$49</f>
        <v>$2,700 / $2,800 to $2,900 / $3,000</v>
      </c>
      <c r="F62" s="35">
        <f>Assumptions!$S$49</f>
        <v>2718.1020408163267</v>
      </c>
      <c r="G62" s="35">
        <f>Assumptions!$T$49</f>
        <v>2849.9285714285716</v>
      </c>
      <c r="H62" s="35">
        <f>Assumptions!$U$49</f>
        <v>3000</v>
      </c>
      <c r="I62" s="21" t="str">
        <f>Assumptions!$V$49</f>
        <v>n/a / 0 / 0</v>
      </c>
    </row>
    <row r="63" spans="1:9" ht="28" x14ac:dyDescent="0.2">
      <c r="A63" s="36" t="str">
        <f>Assumptions!$C$50</f>
        <v>3 Bedroom Premium</v>
      </c>
      <c r="B63" s="37">
        <f>Assumptions!$A$50</f>
        <v>1055</v>
      </c>
      <c r="C63" s="38" t="str">
        <f>Assumptions!$B$50</f>
        <v>Luxury</v>
      </c>
      <c r="D63" s="29" t="str">
        <f>"L"&amp;Assumptions!$D$50&amp;"-"&amp;Assumptions!$E$50&amp;" / L"&amp;(Assumptions!$E$50+1)&amp;"-"&amp;Assumptions!$F$50&amp;" / L"&amp;(Assumptions!$F$50+1)&amp;"-"&amp;Assumptions!$G$50</f>
        <v>L1-11 / L12-20 / L21-30</v>
      </c>
      <c r="E63" s="29" t="str">
        <f>Assumptions!$H$50&amp;" / "&amp;Assumptions!$I$50&amp;" / "&amp;Assumptions!$J$50</f>
        <v>$2,800 to $2,900 / $3,000 / $3,100 to $3,200</v>
      </c>
      <c r="F63" s="39">
        <f>Assumptions!$S$50</f>
        <v>2850</v>
      </c>
      <c r="G63" s="39">
        <f>Assumptions!$T$50</f>
        <v>3012.8888888888887</v>
      </c>
      <c r="H63" s="39">
        <f>Assumptions!$U$50</f>
        <v>3182.1</v>
      </c>
      <c r="I63" s="29" t="str">
        <f>Assumptions!$V$50</f>
        <v>0 / +$13 / +$32</v>
      </c>
    </row>
    <row r="64" spans="1:9" ht="28" x14ac:dyDescent="0.2">
      <c r="A64" s="32" t="str">
        <f>Assumptions!$C$51</f>
        <v>3 Bedroom Premium + Study</v>
      </c>
      <c r="B64" s="33">
        <f>Assumptions!$A$51</f>
        <v>1152</v>
      </c>
      <c r="C64" s="34" t="str">
        <f>Assumptions!$B$51</f>
        <v>Classic</v>
      </c>
      <c r="D64" s="21" t="str">
        <f>"L"&amp;Assumptions!$D$51&amp;"-"&amp;Assumptions!$E$51&amp;" / L"&amp;(Assumptions!$E$51+1)&amp;"-"&amp;Assumptions!$F$51&amp;" / L"&amp;(Assumptions!$F$51+1)&amp;"-"&amp;Assumptions!$G$51</f>
        <v>L2-8 / L9-15 / L16-21</v>
      </c>
      <c r="E64" s="21" t="str">
        <f>Assumptions!$H$51&amp;" / "&amp;Assumptions!$I$51&amp;" / "&amp;Assumptions!$J$51</f>
        <v>$2,700 / $2,800 to $2,900 / $3,000</v>
      </c>
      <c r="F64" s="35">
        <f>Assumptions!$S$51</f>
        <v>2746.4285714285716</v>
      </c>
      <c r="G64" s="35">
        <f>Assumptions!$T$51</f>
        <v>2850</v>
      </c>
      <c r="H64" s="35">
        <f>Assumptions!$U$51</f>
        <v>3000</v>
      </c>
      <c r="I64" s="21" t="str">
        <f>Assumptions!$V$51</f>
        <v>n/a / 0 / 0</v>
      </c>
    </row>
    <row r="65" spans="1:9" ht="28" x14ac:dyDescent="0.2">
      <c r="A65" s="32" t="str">
        <f>Assumptions!$C$52</f>
        <v>4 Bedroom</v>
      </c>
      <c r="B65" s="33">
        <f>Assumptions!$A$52</f>
        <v>1238</v>
      </c>
      <c r="C65" s="34" t="str">
        <f>Assumptions!$B$52</f>
        <v>Classic</v>
      </c>
      <c r="D65" s="21" t="str">
        <f>"L"&amp;Assumptions!$D$52&amp;"-"&amp;Assumptions!$E$52&amp;" / L"&amp;(Assumptions!$E$52+1)&amp;"-"&amp;Assumptions!$F$52&amp;" / L"&amp;(Assumptions!$F$52+1)&amp;"-"&amp;Assumptions!$G$52</f>
        <v>L2-7 / L8-15 / L16-21</v>
      </c>
      <c r="E65" s="21" t="str">
        <f>Assumptions!$H$52&amp;" / "&amp;Assumptions!$I$52&amp;" / "&amp;Assumptions!$J$52</f>
        <v>$2,700 / $2,800 to $2,900 / $3,000</v>
      </c>
      <c r="F65" s="35">
        <f>Assumptions!$S$52</f>
        <v>2794.1111111111113</v>
      </c>
      <c r="G65" s="35">
        <f>Assumptions!$T$52</f>
        <v>2850.5</v>
      </c>
      <c r="H65" s="35">
        <f>Assumptions!$U$52</f>
        <v>2999.8888888888887</v>
      </c>
      <c r="I65" s="21" t="str">
        <f>Assumptions!$V$52</f>
        <v>n/a / +$1 / 0</v>
      </c>
    </row>
    <row r="66" spans="1:9" ht="28" x14ac:dyDescent="0.2">
      <c r="A66" s="36" t="str">
        <f>Assumptions!$C$53</f>
        <v>4 Bedroom</v>
      </c>
      <c r="B66" s="37">
        <f>Assumptions!$A$53</f>
        <v>1238</v>
      </c>
      <c r="C66" s="38" t="str">
        <f>Assumptions!$B$53</f>
        <v>Luxury</v>
      </c>
      <c r="D66" s="29" t="str">
        <f>"L"&amp;Assumptions!$D$53&amp;"-"&amp;Assumptions!$E$53&amp;" / L"&amp;(Assumptions!$E$53+1)&amp;"-"&amp;Assumptions!$F$53&amp;" / L"&amp;(Assumptions!$F$53+1)&amp;"-"&amp;Assumptions!$G$53</f>
        <v>L1-11 / L12-20 / L21-30</v>
      </c>
      <c r="E66" s="29" t="str">
        <f>Assumptions!$H$53&amp;" / "&amp;Assumptions!$I$53&amp;" / "&amp;Assumptions!$J$53</f>
        <v>$2,800 to $2,900 / $3,000 / $3,100 to $3,300</v>
      </c>
      <c r="F66" s="39">
        <f>Assumptions!$S$53</f>
        <v>2892.7272727272725</v>
      </c>
      <c r="G66" s="39">
        <f>Assumptions!$T$53</f>
        <v>3035.8888888888887</v>
      </c>
      <c r="H66" s="39">
        <f>Assumptions!$U$53</f>
        <v>3232.1</v>
      </c>
      <c r="I66" s="29" t="str">
        <f>Assumptions!$V$53</f>
        <v>+$43 / +$36 / +$32</v>
      </c>
    </row>
    <row r="67" spans="1:9" ht="28" x14ac:dyDescent="0.2">
      <c r="A67" s="36" t="str">
        <f>Assumptions!$C$54</f>
        <v>4 Bedroom Premium (w Private Lift)</v>
      </c>
      <c r="B67" s="37">
        <f>Assumptions!$A$54</f>
        <v>1367</v>
      </c>
      <c r="C67" s="38" t="str">
        <f>Assumptions!$B$54</f>
        <v>Luxury</v>
      </c>
      <c r="D67" s="29" t="str">
        <f>"L"&amp;Assumptions!$D$54&amp;"-"&amp;Assumptions!$E$54&amp;" / L"&amp;(Assumptions!$E$54+1)&amp;"-"&amp;Assumptions!$F$54&amp;" / L"&amp;(Assumptions!$F$54+1)&amp;"-"&amp;Assumptions!$G$54</f>
        <v>L3-14 / L15-20 / L21-30</v>
      </c>
      <c r="E67" s="29" t="str">
        <f>Assumptions!$H$54&amp;" / "&amp;Assumptions!$I$54&amp;" / "&amp;Assumptions!$J$54</f>
        <v>$2,800 to $2,900 / $3,000 / $3,100 to $3,300</v>
      </c>
      <c r="F67" s="39">
        <f>Assumptions!$S$54</f>
        <v>2894</v>
      </c>
      <c r="G67" s="39">
        <f>Assumptions!$T$54</f>
        <v>3000</v>
      </c>
      <c r="H67" s="39">
        <f>Assumptions!$U$54</f>
        <v>3200</v>
      </c>
      <c r="I67" s="29" t="str">
        <f>Assumptions!$V$54</f>
        <v>+$44 / 0 / 0</v>
      </c>
    </row>
    <row r="68" spans="1:9" ht="28" x14ac:dyDescent="0.2">
      <c r="A68" s="36" t="str">
        <f>Assumptions!$C$55</f>
        <v>4 Bedroom Premium + Study (w Private Lift)</v>
      </c>
      <c r="B68" s="37">
        <f>Assumptions!$A$55</f>
        <v>1485</v>
      </c>
      <c r="C68" s="38" t="str">
        <f>Assumptions!$B$55</f>
        <v>Luxury</v>
      </c>
      <c r="D68" s="29" t="str">
        <f>"L"&amp;Assumptions!$D$55&amp;"-"&amp;Assumptions!$E$55&amp;" / L"&amp;(Assumptions!$E$55+1)&amp;"-"&amp;Assumptions!$F$55&amp;" / L"&amp;(Assumptions!$F$55+1)&amp;"-"&amp;Assumptions!$G$55</f>
        <v>L3-11 / L12-20 / L21-30</v>
      </c>
      <c r="E68" s="29" t="str">
        <f>Assumptions!$H$55&amp;" / "&amp;Assumptions!$I$55&amp;" / "&amp;Assumptions!$J$55</f>
        <v>$2,800 / $2,900 to $3,000 / $3,100 to $3,300</v>
      </c>
      <c r="F68" s="39">
        <f>Assumptions!$S$55</f>
        <v>2840</v>
      </c>
      <c r="G68" s="39">
        <f>Assumptions!$T$55</f>
        <v>2949.7777777777778</v>
      </c>
      <c r="H68" s="39">
        <f>Assumptions!$U$55</f>
        <v>3200</v>
      </c>
      <c r="I68" s="29" t="str">
        <f>Assumptions!$V$55</f>
        <v>n/a / 0 / 0</v>
      </c>
    </row>
    <row r="69" spans="1:9" ht="28" x14ac:dyDescent="0.2">
      <c r="A69" s="36" t="str">
        <f>Assumptions!$C$56</f>
        <v>5 Bedroom Suite (w Private Lift)</v>
      </c>
      <c r="B69" s="37">
        <f>Assumptions!$A$56</f>
        <v>1808</v>
      </c>
      <c r="C69" s="38" t="str">
        <f>Assumptions!$B$56</f>
        <v>Luxury</v>
      </c>
      <c r="D69" s="29" t="str">
        <f>"L"&amp;Assumptions!$D$56&amp;"-"&amp;Assumptions!$E$56&amp;" / L"&amp;(Assumptions!$E$56+1)&amp;"-"&amp;Assumptions!$F$56&amp;" / L"&amp;(Assumptions!$F$56+1)&amp;"-"&amp;Assumptions!$G$56</f>
        <v>L3-11 / L12-20 / L21-30</v>
      </c>
      <c r="E69" s="29" t="str">
        <f>Assumptions!$H$56&amp;" / "&amp;Assumptions!$I$56&amp;" / "&amp;Assumptions!$J$56</f>
        <v>$2,800 / $2,900 to $3,000 / $3,100 to $3,300</v>
      </c>
      <c r="F69" s="39">
        <f>Assumptions!$S$56</f>
        <v>2840</v>
      </c>
      <c r="G69" s="39">
        <f>Assumptions!$T$56</f>
        <v>2949.7777777777778</v>
      </c>
      <c r="H69" s="39">
        <f>Assumptions!$U$56</f>
        <v>3200</v>
      </c>
      <c r="I69" s="29" t="str">
        <f>Assumptions!$V$56</f>
        <v>n/a / 0 / 0</v>
      </c>
    </row>
    <row r="70" spans="1:9" x14ac:dyDescent="0.2">
      <c r="A70" s="3" t="s">
        <v>94</v>
      </c>
    </row>
  </sheetData>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A5F"/>
    <pageSetUpPr fitToPage="1"/>
  </sheetPr>
  <dimension ref="A1:T1272"/>
  <sheetViews>
    <sheetView showGridLines="0" zoomScale="90" zoomScaleNormal="9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x14ac:dyDescent="0.2"/>
  <cols>
    <col min="1" max="1" width="9" customWidth="1"/>
    <col min="2" max="2" width="5" customWidth="1"/>
    <col min="3" max="4" width="6" customWidth="1"/>
    <col min="5" max="5" width="36" customWidth="1"/>
    <col min="6" max="6" width="13" customWidth="1"/>
    <col min="7" max="7" width="8" customWidth="1"/>
    <col min="8" max="8" width="9" customWidth="1"/>
    <col min="9" max="9" width="5" customWidth="1"/>
    <col min="10" max="10" width="8" customWidth="1"/>
    <col min="11" max="12" width="9" customWidth="1"/>
    <col min="13" max="13" width="10" customWidth="1"/>
    <col min="14" max="17" width="9" customWidth="1"/>
    <col min="18" max="18" width="12" customWidth="1"/>
    <col min="19" max="20" width="46" customWidth="1"/>
  </cols>
  <sheetData>
    <row r="1" spans="1:20" ht="18" x14ac:dyDescent="0.2">
      <c r="A1" s="2" t="s">
        <v>95</v>
      </c>
    </row>
    <row r="2" spans="1:20" x14ac:dyDescent="0.2">
      <c r="A2" s="3" t="s">
        <v>96</v>
      </c>
    </row>
    <row r="4" spans="1:20" ht="31.5" customHeight="1" x14ac:dyDescent="0.2">
      <c r="A4" s="7" t="s">
        <v>97</v>
      </c>
      <c r="B4" s="7" t="s">
        <v>98</v>
      </c>
      <c r="C4" s="7" t="s">
        <v>99</v>
      </c>
      <c r="D4" s="7" t="s">
        <v>100</v>
      </c>
      <c r="E4" s="7" t="s">
        <v>30</v>
      </c>
      <c r="F4" s="7" t="s">
        <v>101</v>
      </c>
      <c r="G4" s="7" t="s">
        <v>29</v>
      </c>
      <c r="H4" s="7" t="s">
        <v>54</v>
      </c>
      <c r="I4" s="7" t="s">
        <v>102</v>
      </c>
      <c r="J4" s="7" t="s">
        <v>103</v>
      </c>
      <c r="K4" s="7" t="s">
        <v>104</v>
      </c>
      <c r="L4" s="7" t="s">
        <v>105</v>
      </c>
      <c r="M4" s="7" t="s">
        <v>106</v>
      </c>
      <c r="N4" s="7" t="s">
        <v>107</v>
      </c>
      <c r="O4" s="7" t="s">
        <v>108</v>
      </c>
      <c r="P4" s="7" t="s">
        <v>109</v>
      </c>
      <c r="Q4" s="7" t="s">
        <v>110</v>
      </c>
      <c r="R4" s="7" t="s">
        <v>111</v>
      </c>
      <c r="S4" s="7" t="s">
        <v>112</v>
      </c>
      <c r="T4" s="7" t="s">
        <v>113</v>
      </c>
    </row>
    <row r="5" spans="1:20" x14ac:dyDescent="0.2">
      <c r="A5" s="13" t="s">
        <v>114</v>
      </c>
      <c r="B5" s="14">
        <v>1</v>
      </c>
      <c r="C5" s="40">
        <v>1</v>
      </c>
      <c r="D5" s="40">
        <v>21</v>
      </c>
      <c r="E5" s="9" t="s">
        <v>46</v>
      </c>
      <c r="F5" s="14" t="s">
        <v>115</v>
      </c>
      <c r="G5" s="10">
        <v>1055</v>
      </c>
      <c r="H5" s="14" t="s">
        <v>62</v>
      </c>
      <c r="I5" s="41" t="str">
        <f>Assumptions!$I$127</f>
        <v>C</v>
      </c>
      <c r="J5" s="14" t="str">
        <f>IF(D5&lt;=Assumptions!$V$127,"Low",IF(D5&lt;=Assumptions!$W$127,"Mid","High"))</f>
        <v>High</v>
      </c>
      <c r="K5" s="15">
        <f>Assumptions!$Q$127</f>
        <v>2633</v>
      </c>
      <c r="L5" s="42">
        <f>INDEX(Assumptions!$K$61:$K$90,D5)</f>
        <v>3042.1538461538462</v>
      </c>
      <c r="M5" s="43">
        <f>IF(D5&lt;=Assumptions!$G$127,Assumptions!$AK$127,IF(D5&lt;Assumptions!$AH$127,Assumptions!$AK$127+(Assumptions!$AL$127-Assumptions!$AK$127)*(D5-Assumptions!$G$127)/(Assumptions!$AH$127-Assumptions!$G$127),IF(D5&lt;Assumptions!$P$127,Assumptions!$AL$127+(Assumptions!$AM$127-Assumptions!$AL$127)*(D5-Assumptions!$AH$127)/(Assumptions!$P$127-Assumptions!$AH$127),Assumptions!$AM$127)))</f>
        <v>50000</v>
      </c>
      <c r="N5" s="44">
        <f t="shared" ref="N5:N68" si="0">M5/G5</f>
        <v>47.393364928909953</v>
      </c>
      <c r="O5" s="45">
        <f t="shared" ref="O5:O68" si="1">ROUND(L5+N5,0)</f>
        <v>3090</v>
      </c>
      <c r="P5" s="14" t="str">
        <f>IF(D5&gt;=Assumptions!$P$127,"High",IF(D5&gt;=Assumptions!$AH$127,"Mid",IF(D5&lt;=Assumptions!$G$127,"Low","Loading")))</f>
        <v>High</v>
      </c>
      <c r="Q5" s="46">
        <f>MAX(K5,MIN(Assumptions!$S$127,O5),Q6)</f>
        <v>3090</v>
      </c>
      <c r="R5" s="12">
        <f>IF(AND(Q5&lt;=K5,INDEX(Assumptions!$C$26:$C$36,MATCH(G5,Assumptions!$A$26:$A$36,0))&lt;&gt;""),INDEX(Assumptions!$C$26:$C$36,MATCH(G5,Assumptions!$A$26:$A$36,0)),ROUND(G5*Q5,-2))</f>
        <v>3260000</v>
      </c>
      <c r="S5" s="47" t="str">
        <f>TRIM(IF(AND(Assumptions!$L$127&lt;&gt;"",D5&lt;Assumptions!$L$127),"View blocked / roof in front ("&amp;Assumptions!$M$127&amp;"); view premium still loading until L"&amp;Assumptions!$L$127&amp;". ","")&amp;IF(D5=Assumptions!$AH$127,"Mid-floor view premium fully loaded. ","")&amp;IF(D5=Assumptions!$P$127,"High-floor view premium fully loaded. ","")&amp;IF(Q5&lt;=K5,"At developer starting price.",""))</f>
        <v/>
      </c>
      <c r="T5" s="48" t="str">
        <f>Assumptions!$AJ$127</f>
        <v>SSE. Unblocked landed estate + nature reserve + city; MacRitchie Reservoir Park unblocked from mid floor; road noise on low floors. Tier C: below pool-facing 06/18 on low floors, dearer than them on high floors</v>
      </c>
    </row>
    <row r="6" spans="1:20" x14ac:dyDescent="0.2">
      <c r="A6" s="13" t="s">
        <v>116</v>
      </c>
      <c r="B6" s="14">
        <v>1</v>
      </c>
      <c r="C6" s="40">
        <v>1</v>
      </c>
      <c r="D6" s="40">
        <v>20</v>
      </c>
      <c r="E6" s="9" t="s">
        <v>46</v>
      </c>
      <c r="F6" s="14" t="s">
        <v>115</v>
      </c>
      <c r="G6" s="10">
        <v>1055</v>
      </c>
      <c r="H6" s="14" t="s">
        <v>62</v>
      </c>
      <c r="I6" s="41" t="str">
        <f>Assumptions!$I$127</f>
        <v>C</v>
      </c>
      <c r="J6" s="14" t="str">
        <f>IF(D6&lt;=Assumptions!$V$127,"Low",IF(D6&lt;=Assumptions!$W$127,"Mid","High"))</f>
        <v>High</v>
      </c>
      <c r="K6" s="15">
        <f>Assumptions!$Q$127</f>
        <v>2633</v>
      </c>
      <c r="L6" s="42">
        <f>INDEX(Assumptions!$K$61:$K$90,D6)</f>
        <v>3015.876923076923</v>
      </c>
      <c r="M6" s="43">
        <f>IF(D6&lt;=Assumptions!$G$127,Assumptions!$AK$127,IF(D6&lt;Assumptions!$AH$127,Assumptions!$AK$127+(Assumptions!$AL$127-Assumptions!$AK$127)*(D6-Assumptions!$G$127)/(Assumptions!$AH$127-Assumptions!$G$127),IF(D6&lt;Assumptions!$P$127,Assumptions!$AL$127+(Assumptions!$AM$127-Assumptions!$AL$127)*(D6-Assumptions!$AH$127)/(Assumptions!$P$127-Assumptions!$AH$127),Assumptions!$AM$127)))</f>
        <v>50000</v>
      </c>
      <c r="N6" s="44">
        <f t="shared" si="0"/>
        <v>47.393364928909953</v>
      </c>
      <c r="O6" s="45">
        <f t="shared" si="1"/>
        <v>3063</v>
      </c>
      <c r="P6" s="14" t="str">
        <f>IF(D6&gt;=Assumptions!$P$127,"High",IF(D6&gt;=Assumptions!$AH$127,"Mid",IF(D6&lt;=Assumptions!$G$127,"Low","Loading")))</f>
        <v>High</v>
      </c>
      <c r="Q6" s="46">
        <f>MAX(K6,MIN(Assumptions!$S$127,O6),Q7)</f>
        <v>3063</v>
      </c>
      <c r="R6" s="12">
        <f>IF(AND(Q6&lt;=K6,INDEX(Assumptions!$C$26:$C$36,MATCH(G6,Assumptions!$A$26:$A$36,0))&lt;&gt;""),INDEX(Assumptions!$C$26:$C$36,MATCH(G6,Assumptions!$A$26:$A$36,0)),ROUND(G6*Q6,-2))</f>
        <v>3231500</v>
      </c>
      <c r="S6" s="47" t="str">
        <f>TRIM(IF(AND(Assumptions!$L$127&lt;&gt;"",D6&lt;Assumptions!$L$127),"View blocked / roof in front ("&amp;Assumptions!$M$127&amp;"); view premium still loading until L"&amp;Assumptions!$L$127&amp;". ","")&amp;IF(D6=Assumptions!$AH$127,"Mid-floor view premium fully loaded. ","")&amp;IF(D6=Assumptions!$P$127,"High-floor view premium fully loaded. ","")&amp;IF(Q6&lt;=K6,"At developer starting price.",""))</f>
        <v/>
      </c>
      <c r="T6" s="48" t="str">
        <f>Assumptions!$AJ$127</f>
        <v>SSE. Unblocked landed estate + nature reserve + city; MacRitchie Reservoir Park unblocked from mid floor; road noise on low floors. Tier C: below pool-facing 06/18 on low floors, dearer than them on high floors</v>
      </c>
    </row>
    <row r="7" spans="1:20" x14ac:dyDescent="0.2">
      <c r="A7" s="13" t="s">
        <v>117</v>
      </c>
      <c r="B7" s="14">
        <v>1</v>
      </c>
      <c r="C7" s="40">
        <v>1</v>
      </c>
      <c r="D7" s="40">
        <v>19</v>
      </c>
      <c r="E7" s="9" t="s">
        <v>46</v>
      </c>
      <c r="F7" s="14" t="s">
        <v>115</v>
      </c>
      <c r="G7" s="10">
        <v>1055</v>
      </c>
      <c r="H7" s="14" t="s">
        <v>62</v>
      </c>
      <c r="I7" s="41" t="str">
        <f>Assumptions!$I$127</f>
        <v>C</v>
      </c>
      <c r="J7" s="14" t="str">
        <f>IF(D7&lt;=Assumptions!$V$127,"Low",IF(D7&lt;=Assumptions!$W$127,"Mid","High"))</f>
        <v>High</v>
      </c>
      <c r="K7" s="15">
        <f>Assumptions!$Q$127</f>
        <v>2633</v>
      </c>
      <c r="L7" s="42">
        <f>INDEX(Assumptions!$K$61:$K$90,D7)</f>
        <v>2989.6</v>
      </c>
      <c r="M7" s="43">
        <f>IF(D7&lt;=Assumptions!$G$127,Assumptions!$AK$127,IF(D7&lt;Assumptions!$AH$127,Assumptions!$AK$127+(Assumptions!$AL$127-Assumptions!$AK$127)*(D7-Assumptions!$G$127)/(Assumptions!$AH$127-Assumptions!$G$127),IF(D7&lt;Assumptions!$P$127,Assumptions!$AL$127+(Assumptions!$AM$127-Assumptions!$AL$127)*(D7-Assumptions!$AH$127)/(Assumptions!$P$127-Assumptions!$AH$127),Assumptions!$AM$127)))</f>
        <v>50000</v>
      </c>
      <c r="N7" s="44">
        <f t="shared" si="0"/>
        <v>47.393364928909953</v>
      </c>
      <c r="O7" s="45">
        <f t="shared" si="1"/>
        <v>3037</v>
      </c>
      <c r="P7" s="14" t="str">
        <f>IF(D7&gt;=Assumptions!$P$127,"High",IF(D7&gt;=Assumptions!$AH$127,"Mid",IF(D7&lt;=Assumptions!$G$127,"Low","Loading")))</f>
        <v>High</v>
      </c>
      <c r="Q7" s="46">
        <f>MAX(K7,MIN(Assumptions!$S$127,O7),Q8)</f>
        <v>3037</v>
      </c>
      <c r="R7" s="12">
        <f>IF(AND(Q7&lt;=K7,INDEX(Assumptions!$C$26:$C$36,MATCH(G7,Assumptions!$A$26:$A$36,0))&lt;&gt;""),INDEX(Assumptions!$C$26:$C$36,MATCH(G7,Assumptions!$A$26:$A$36,0)),ROUND(G7*Q7,-2))</f>
        <v>3204000</v>
      </c>
      <c r="S7" s="47" t="str">
        <f>TRIM(IF(AND(Assumptions!$L$127&lt;&gt;"",D7&lt;Assumptions!$L$127),"View blocked / roof in front ("&amp;Assumptions!$M$127&amp;"); view premium still loading until L"&amp;Assumptions!$L$127&amp;". ","")&amp;IF(D7=Assumptions!$AH$127,"Mid-floor view premium fully loaded. ","")&amp;IF(D7=Assumptions!$P$127,"High-floor view premium fully loaded. ","")&amp;IF(Q7&lt;=K7,"At developer starting price.",""))</f>
        <v/>
      </c>
      <c r="T7" s="48" t="str">
        <f>Assumptions!$AJ$127</f>
        <v>SSE. Unblocked landed estate + nature reserve + city; MacRitchie Reservoir Park unblocked from mid floor; road noise on low floors. Tier C: below pool-facing 06/18 on low floors, dearer than them on high floors</v>
      </c>
    </row>
    <row r="8" spans="1:20" x14ac:dyDescent="0.2">
      <c r="A8" s="13" t="s">
        <v>118</v>
      </c>
      <c r="B8" s="14">
        <v>1</v>
      </c>
      <c r="C8" s="40">
        <v>1</v>
      </c>
      <c r="D8" s="40">
        <v>18</v>
      </c>
      <c r="E8" s="9" t="s">
        <v>46</v>
      </c>
      <c r="F8" s="14" t="s">
        <v>115</v>
      </c>
      <c r="G8" s="10">
        <v>1055</v>
      </c>
      <c r="H8" s="14" t="s">
        <v>62</v>
      </c>
      <c r="I8" s="41" t="str">
        <f>Assumptions!$I$127</f>
        <v>C</v>
      </c>
      <c r="J8" s="14" t="str">
        <f>IF(D8&lt;=Assumptions!$V$127,"Low",IF(D8&lt;=Assumptions!$W$127,"Mid","High"))</f>
        <v>High</v>
      </c>
      <c r="K8" s="15">
        <f>Assumptions!$Q$127</f>
        <v>2633</v>
      </c>
      <c r="L8" s="42">
        <f>INDEX(Assumptions!$K$61:$K$90,D8)</f>
        <v>2963.3230769230768</v>
      </c>
      <c r="M8" s="43">
        <f>IF(D8&lt;=Assumptions!$G$127,Assumptions!$AK$127,IF(D8&lt;Assumptions!$AH$127,Assumptions!$AK$127+(Assumptions!$AL$127-Assumptions!$AK$127)*(D8-Assumptions!$G$127)/(Assumptions!$AH$127-Assumptions!$G$127),IF(D8&lt;Assumptions!$P$127,Assumptions!$AL$127+(Assumptions!$AM$127-Assumptions!$AL$127)*(D8-Assumptions!$AH$127)/(Assumptions!$P$127-Assumptions!$AH$127),Assumptions!$AM$127)))</f>
        <v>50000</v>
      </c>
      <c r="N8" s="44">
        <f t="shared" si="0"/>
        <v>47.393364928909953</v>
      </c>
      <c r="O8" s="45">
        <f t="shared" si="1"/>
        <v>3011</v>
      </c>
      <c r="P8" s="14" t="str">
        <f>IF(D8&gt;=Assumptions!$P$127,"High",IF(D8&gt;=Assumptions!$AH$127,"Mid",IF(D8&lt;=Assumptions!$G$127,"Low","Loading")))</f>
        <v>High</v>
      </c>
      <c r="Q8" s="46">
        <f>MAX(K8,MIN(Assumptions!$S$127,O8),Q9)</f>
        <v>3011</v>
      </c>
      <c r="R8" s="12">
        <f>IF(AND(Q8&lt;=K8,INDEX(Assumptions!$C$26:$C$36,MATCH(G8,Assumptions!$A$26:$A$36,0))&lt;&gt;""),INDEX(Assumptions!$C$26:$C$36,MATCH(G8,Assumptions!$A$26:$A$36,0)),ROUND(G8*Q8,-2))</f>
        <v>3176600</v>
      </c>
      <c r="S8" s="47" t="str">
        <f>TRIM(IF(AND(Assumptions!$L$127&lt;&gt;"",D8&lt;Assumptions!$L$127),"View blocked / roof in front ("&amp;Assumptions!$M$127&amp;"); view premium still loading until L"&amp;Assumptions!$L$127&amp;". ","")&amp;IF(D8=Assumptions!$AH$127,"Mid-floor view premium fully loaded. ","")&amp;IF(D8=Assumptions!$P$127,"High-floor view premium fully loaded. ","")&amp;IF(Q8&lt;=K8,"At developer starting price.",""))</f>
        <v/>
      </c>
      <c r="T8" s="48" t="str">
        <f>Assumptions!$AJ$127</f>
        <v>SSE. Unblocked landed estate + nature reserve + city; MacRitchie Reservoir Park unblocked from mid floor; road noise on low floors. Tier C: below pool-facing 06/18 on low floors, dearer than them on high floors</v>
      </c>
    </row>
    <row r="9" spans="1:20" x14ac:dyDescent="0.2">
      <c r="A9" s="13" t="s">
        <v>119</v>
      </c>
      <c r="B9" s="14">
        <v>1</v>
      </c>
      <c r="C9" s="40">
        <v>1</v>
      </c>
      <c r="D9" s="40">
        <v>17</v>
      </c>
      <c r="E9" s="9" t="s">
        <v>46</v>
      </c>
      <c r="F9" s="14" t="s">
        <v>115</v>
      </c>
      <c r="G9" s="10">
        <v>1055</v>
      </c>
      <c r="H9" s="14" t="s">
        <v>62</v>
      </c>
      <c r="I9" s="41" t="str">
        <f>Assumptions!$I$127</f>
        <v>C</v>
      </c>
      <c r="J9" s="14" t="str">
        <f>IF(D9&lt;=Assumptions!$V$127,"Low",IF(D9&lt;=Assumptions!$W$127,"Mid","High"))</f>
        <v>High</v>
      </c>
      <c r="K9" s="15">
        <f>Assumptions!$Q$127</f>
        <v>2633</v>
      </c>
      <c r="L9" s="42">
        <f>INDEX(Assumptions!$K$61:$K$90,D9)</f>
        <v>2937.0461538461536</v>
      </c>
      <c r="M9" s="43">
        <f>IF(D9&lt;=Assumptions!$G$127,Assumptions!$AK$127,IF(D9&lt;Assumptions!$AH$127,Assumptions!$AK$127+(Assumptions!$AL$127-Assumptions!$AK$127)*(D9-Assumptions!$G$127)/(Assumptions!$AH$127-Assumptions!$G$127),IF(D9&lt;Assumptions!$P$127,Assumptions!$AL$127+(Assumptions!$AM$127-Assumptions!$AL$127)*(D9-Assumptions!$AH$127)/(Assumptions!$P$127-Assumptions!$AH$127),Assumptions!$AM$127)))</f>
        <v>50000</v>
      </c>
      <c r="N9" s="44">
        <f t="shared" si="0"/>
        <v>47.393364928909953</v>
      </c>
      <c r="O9" s="45">
        <f t="shared" si="1"/>
        <v>2984</v>
      </c>
      <c r="P9" s="14" t="str">
        <f>IF(D9&gt;=Assumptions!$P$127,"High",IF(D9&gt;=Assumptions!$AH$127,"Mid",IF(D9&lt;=Assumptions!$G$127,"Low","Loading")))</f>
        <v>High</v>
      </c>
      <c r="Q9" s="46">
        <f>MAX(K9,MIN(Assumptions!$S$127,O9),Q10)</f>
        <v>2984</v>
      </c>
      <c r="R9" s="12">
        <f>IF(AND(Q9&lt;=K9,INDEX(Assumptions!$C$26:$C$36,MATCH(G9,Assumptions!$A$26:$A$36,0))&lt;&gt;""),INDEX(Assumptions!$C$26:$C$36,MATCH(G9,Assumptions!$A$26:$A$36,0)),ROUND(G9*Q9,-2))</f>
        <v>3148100</v>
      </c>
      <c r="S9" s="47" t="str">
        <f>TRIM(IF(AND(Assumptions!$L$127&lt;&gt;"",D9&lt;Assumptions!$L$127),"View blocked / roof in front ("&amp;Assumptions!$M$127&amp;"); view premium still loading until L"&amp;Assumptions!$L$127&amp;". ","")&amp;IF(D9=Assumptions!$AH$127,"Mid-floor view premium fully loaded. ","")&amp;IF(D9=Assumptions!$P$127,"High-floor view premium fully loaded. ","")&amp;IF(Q9&lt;=K9,"At developer starting price.",""))</f>
        <v>High-floor view premium fully loaded.</v>
      </c>
      <c r="T9" s="48" t="str">
        <f>Assumptions!$AJ$127</f>
        <v>SSE. Unblocked landed estate + nature reserve + city; MacRitchie Reservoir Park unblocked from mid floor; road noise on low floors. Tier C: below pool-facing 06/18 on low floors, dearer than them on high floors</v>
      </c>
    </row>
    <row r="10" spans="1:20" x14ac:dyDescent="0.2">
      <c r="A10" s="13" t="s">
        <v>120</v>
      </c>
      <c r="B10" s="14">
        <v>1</v>
      </c>
      <c r="C10" s="40">
        <v>1</v>
      </c>
      <c r="D10" s="40">
        <v>16</v>
      </c>
      <c r="E10" s="9" t="s">
        <v>46</v>
      </c>
      <c r="F10" s="14" t="s">
        <v>115</v>
      </c>
      <c r="G10" s="10">
        <v>1055</v>
      </c>
      <c r="H10" s="14" t="s">
        <v>62</v>
      </c>
      <c r="I10" s="41" t="str">
        <f>Assumptions!$I$127</f>
        <v>C</v>
      </c>
      <c r="J10" s="14" t="str">
        <f>IF(D10&lt;=Assumptions!$V$127,"Low",IF(D10&lt;=Assumptions!$W$127,"Mid","High"))</f>
        <v>Mid</v>
      </c>
      <c r="K10" s="15">
        <f>Assumptions!$Q$127</f>
        <v>2633</v>
      </c>
      <c r="L10" s="42">
        <f>INDEX(Assumptions!$K$61:$K$90,D10)</f>
        <v>2910.7692307692309</v>
      </c>
      <c r="M10" s="43">
        <f>IF(D10&lt;=Assumptions!$G$127,Assumptions!$AK$127,IF(D10&lt;Assumptions!$AH$127,Assumptions!$AK$127+(Assumptions!$AL$127-Assumptions!$AK$127)*(D10-Assumptions!$G$127)/(Assumptions!$AH$127-Assumptions!$G$127),IF(D10&lt;Assumptions!$P$127,Assumptions!$AL$127+(Assumptions!$AM$127-Assumptions!$AL$127)*(D10-Assumptions!$AH$127)/(Assumptions!$P$127-Assumptions!$AH$127),Assumptions!$AM$127)))</f>
        <v>50000</v>
      </c>
      <c r="N10" s="44">
        <f t="shared" si="0"/>
        <v>47.393364928909953</v>
      </c>
      <c r="O10" s="45">
        <f t="shared" si="1"/>
        <v>2958</v>
      </c>
      <c r="P10" s="14" t="str">
        <f>IF(D10&gt;=Assumptions!$P$127,"High",IF(D10&gt;=Assumptions!$AH$127,"Mid",IF(D10&lt;=Assumptions!$G$127,"Low","Loading")))</f>
        <v>Mid</v>
      </c>
      <c r="Q10" s="46">
        <f>MAX(K10,MIN(Assumptions!$S$127,O10),Q11)</f>
        <v>2958</v>
      </c>
      <c r="R10" s="12">
        <f>IF(AND(Q10&lt;=K10,INDEX(Assumptions!$C$26:$C$36,MATCH(G10,Assumptions!$A$26:$A$36,0))&lt;&gt;""),INDEX(Assumptions!$C$26:$C$36,MATCH(G10,Assumptions!$A$26:$A$36,0)),ROUND(G10*Q10,-2))</f>
        <v>3120700</v>
      </c>
      <c r="S10" s="47" t="str">
        <f>TRIM(IF(AND(Assumptions!$L$127&lt;&gt;"",D10&lt;Assumptions!$L$127),"View blocked / roof in front ("&amp;Assumptions!$M$127&amp;"); view premium still loading until L"&amp;Assumptions!$L$127&amp;". ","")&amp;IF(D10=Assumptions!$AH$127,"Mid-floor view premium fully loaded. ","")&amp;IF(D10=Assumptions!$P$127,"High-floor view premium fully loaded. ","")&amp;IF(Q10&lt;=K10,"At developer starting price.",""))</f>
        <v/>
      </c>
      <c r="T10" s="48" t="str">
        <f>Assumptions!$AJ$127</f>
        <v>SSE. Unblocked landed estate + nature reserve + city; MacRitchie Reservoir Park unblocked from mid floor; road noise on low floors. Tier C: below pool-facing 06/18 on low floors, dearer than them on high floors</v>
      </c>
    </row>
    <row r="11" spans="1:20" x14ac:dyDescent="0.2">
      <c r="A11" s="13" t="s">
        <v>121</v>
      </c>
      <c r="B11" s="14">
        <v>1</v>
      </c>
      <c r="C11" s="40">
        <v>1</v>
      </c>
      <c r="D11" s="40">
        <v>15</v>
      </c>
      <c r="E11" s="9" t="s">
        <v>46</v>
      </c>
      <c r="F11" s="14" t="s">
        <v>115</v>
      </c>
      <c r="G11" s="10">
        <v>1055</v>
      </c>
      <c r="H11" s="14" t="s">
        <v>62</v>
      </c>
      <c r="I11" s="41" t="str">
        <f>Assumptions!$I$127</f>
        <v>C</v>
      </c>
      <c r="J11" s="14" t="str">
        <f>IF(D11&lt;=Assumptions!$V$127,"Low",IF(D11&lt;=Assumptions!$W$127,"Mid","High"))</f>
        <v>Mid</v>
      </c>
      <c r="K11" s="15">
        <f>Assumptions!$Q$127</f>
        <v>2633</v>
      </c>
      <c r="L11" s="42">
        <f>INDEX(Assumptions!$K$61:$K$90,D11)</f>
        <v>2884.4923076923078</v>
      </c>
      <c r="M11" s="43">
        <f>IF(D11&lt;=Assumptions!$G$127,Assumptions!$AK$127,IF(D11&lt;Assumptions!$AH$127,Assumptions!$AK$127+(Assumptions!$AL$127-Assumptions!$AK$127)*(D11-Assumptions!$G$127)/(Assumptions!$AH$127-Assumptions!$G$127),IF(D11&lt;Assumptions!$P$127,Assumptions!$AL$127+(Assumptions!$AM$127-Assumptions!$AL$127)*(D11-Assumptions!$AH$127)/(Assumptions!$P$127-Assumptions!$AH$127),Assumptions!$AM$127)))</f>
        <v>50000</v>
      </c>
      <c r="N11" s="44">
        <f t="shared" si="0"/>
        <v>47.393364928909953</v>
      </c>
      <c r="O11" s="45">
        <f t="shared" si="1"/>
        <v>2932</v>
      </c>
      <c r="P11" s="14" t="str">
        <f>IF(D11&gt;=Assumptions!$P$127,"High",IF(D11&gt;=Assumptions!$AH$127,"Mid",IF(D11&lt;=Assumptions!$G$127,"Low","Loading")))</f>
        <v>Mid</v>
      </c>
      <c r="Q11" s="46">
        <f>MAX(K11,MIN(Assumptions!$S$127,O11),Q12)</f>
        <v>2932</v>
      </c>
      <c r="R11" s="12">
        <f>IF(AND(Q11&lt;=K11,INDEX(Assumptions!$C$26:$C$36,MATCH(G11,Assumptions!$A$26:$A$36,0))&lt;&gt;""),INDEX(Assumptions!$C$26:$C$36,MATCH(G11,Assumptions!$A$26:$A$36,0)),ROUND(G11*Q11,-2))</f>
        <v>3093300</v>
      </c>
      <c r="S11" s="47" t="str">
        <f>TRIM(IF(AND(Assumptions!$L$127&lt;&gt;"",D11&lt;Assumptions!$L$127),"View blocked / roof in front ("&amp;Assumptions!$M$127&amp;"); view premium still loading until L"&amp;Assumptions!$L$127&amp;". ","")&amp;IF(D11=Assumptions!$AH$127,"Mid-floor view premium fully loaded. ","")&amp;IF(D11=Assumptions!$P$127,"High-floor view premium fully loaded. ","")&amp;IF(Q11&lt;=K11,"At developer starting price.",""))</f>
        <v/>
      </c>
      <c r="T11" s="48" t="str">
        <f>Assumptions!$AJ$127</f>
        <v>SSE. Unblocked landed estate + nature reserve + city; MacRitchie Reservoir Park unblocked from mid floor; road noise on low floors. Tier C: below pool-facing 06/18 on low floors, dearer than them on high floors</v>
      </c>
    </row>
    <row r="12" spans="1:20" x14ac:dyDescent="0.2">
      <c r="A12" s="13" t="s">
        <v>122</v>
      </c>
      <c r="B12" s="14">
        <v>1</v>
      </c>
      <c r="C12" s="40">
        <v>1</v>
      </c>
      <c r="D12" s="40">
        <v>14</v>
      </c>
      <c r="E12" s="9" t="s">
        <v>46</v>
      </c>
      <c r="F12" s="14" t="s">
        <v>115</v>
      </c>
      <c r="G12" s="10">
        <v>1055</v>
      </c>
      <c r="H12" s="14" t="s">
        <v>62</v>
      </c>
      <c r="I12" s="41" t="str">
        <f>Assumptions!$I$127</f>
        <v>C</v>
      </c>
      <c r="J12" s="14" t="str">
        <f>IF(D12&lt;=Assumptions!$V$127,"Low",IF(D12&lt;=Assumptions!$W$127,"Mid","High"))</f>
        <v>Mid</v>
      </c>
      <c r="K12" s="15">
        <f>Assumptions!$Q$127</f>
        <v>2633</v>
      </c>
      <c r="L12" s="42">
        <f>INDEX(Assumptions!$K$61:$K$90,D12)</f>
        <v>2858.2153846153847</v>
      </c>
      <c r="M12" s="43">
        <f>IF(D12&lt;=Assumptions!$G$127,Assumptions!$AK$127,IF(D12&lt;Assumptions!$AH$127,Assumptions!$AK$127+(Assumptions!$AL$127-Assumptions!$AK$127)*(D12-Assumptions!$G$127)/(Assumptions!$AH$127-Assumptions!$G$127),IF(D12&lt;Assumptions!$P$127,Assumptions!$AL$127+(Assumptions!$AM$127-Assumptions!$AL$127)*(D12-Assumptions!$AH$127)/(Assumptions!$P$127-Assumptions!$AH$127),Assumptions!$AM$127)))</f>
        <v>50000</v>
      </c>
      <c r="N12" s="44">
        <f t="shared" si="0"/>
        <v>47.393364928909953</v>
      </c>
      <c r="O12" s="45">
        <f t="shared" si="1"/>
        <v>2906</v>
      </c>
      <c r="P12" s="14" t="str">
        <f>IF(D12&gt;=Assumptions!$P$127,"High",IF(D12&gt;=Assumptions!$AH$127,"Mid",IF(D12&lt;=Assumptions!$G$127,"Low","Loading")))</f>
        <v>Mid</v>
      </c>
      <c r="Q12" s="46">
        <f>MAX(K12,MIN(Assumptions!$S$127,O12),Q13)</f>
        <v>2906</v>
      </c>
      <c r="R12" s="12">
        <f>IF(AND(Q12&lt;=K12,INDEX(Assumptions!$C$26:$C$36,MATCH(G12,Assumptions!$A$26:$A$36,0))&lt;&gt;""),INDEX(Assumptions!$C$26:$C$36,MATCH(G12,Assumptions!$A$26:$A$36,0)),ROUND(G12*Q12,-2))</f>
        <v>3065800</v>
      </c>
      <c r="S12" s="47" t="str">
        <f>TRIM(IF(AND(Assumptions!$L$127&lt;&gt;"",D12&lt;Assumptions!$L$127),"View blocked / roof in front ("&amp;Assumptions!$M$127&amp;"); view premium still loading until L"&amp;Assumptions!$L$127&amp;". ","")&amp;IF(D12=Assumptions!$AH$127,"Mid-floor view premium fully loaded. ","")&amp;IF(D12=Assumptions!$P$127,"High-floor view premium fully loaded. ","")&amp;IF(Q12&lt;=K12,"At developer starting price.",""))</f>
        <v/>
      </c>
      <c r="T12" s="48" t="str">
        <f>Assumptions!$AJ$127</f>
        <v>SSE. Unblocked landed estate + nature reserve + city; MacRitchie Reservoir Park unblocked from mid floor; road noise on low floors. Tier C: below pool-facing 06/18 on low floors, dearer than them on high floors</v>
      </c>
    </row>
    <row r="13" spans="1:20" x14ac:dyDescent="0.2">
      <c r="A13" s="13" t="s">
        <v>123</v>
      </c>
      <c r="B13" s="14">
        <v>1</v>
      </c>
      <c r="C13" s="40">
        <v>1</v>
      </c>
      <c r="D13" s="40">
        <v>13</v>
      </c>
      <c r="E13" s="9" t="s">
        <v>46</v>
      </c>
      <c r="F13" s="14" t="s">
        <v>115</v>
      </c>
      <c r="G13" s="10">
        <v>1055</v>
      </c>
      <c r="H13" s="14" t="s">
        <v>62</v>
      </c>
      <c r="I13" s="41" t="str">
        <f>Assumptions!$I$127</f>
        <v>C</v>
      </c>
      <c r="J13" s="14" t="str">
        <f>IF(D13&lt;=Assumptions!$V$127,"Low",IF(D13&lt;=Assumptions!$W$127,"Mid","High"))</f>
        <v>Mid</v>
      </c>
      <c r="K13" s="15">
        <f>Assumptions!$Q$127</f>
        <v>2633</v>
      </c>
      <c r="L13" s="42">
        <f>INDEX(Assumptions!$K$61:$K$90,D13)</f>
        <v>2831.9384615384615</v>
      </c>
      <c r="M13" s="43">
        <f>IF(D13&lt;=Assumptions!$G$127,Assumptions!$AK$127,IF(D13&lt;Assumptions!$AH$127,Assumptions!$AK$127+(Assumptions!$AL$127-Assumptions!$AK$127)*(D13-Assumptions!$G$127)/(Assumptions!$AH$127-Assumptions!$G$127),IF(D13&lt;Assumptions!$P$127,Assumptions!$AL$127+(Assumptions!$AM$127-Assumptions!$AL$127)*(D13-Assumptions!$AH$127)/(Assumptions!$P$127-Assumptions!$AH$127),Assumptions!$AM$127)))</f>
        <v>50000</v>
      </c>
      <c r="N13" s="44">
        <f t="shared" si="0"/>
        <v>47.393364928909953</v>
      </c>
      <c r="O13" s="45">
        <f t="shared" si="1"/>
        <v>2879</v>
      </c>
      <c r="P13" s="14" t="str">
        <f>IF(D13&gt;=Assumptions!$P$127,"High",IF(D13&gt;=Assumptions!$AH$127,"Mid",IF(D13&lt;=Assumptions!$G$127,"Low","Loading")))</f>
        <v>Mid</v>
      </c>
      <c r="Q13" s="46">
        <f>MAX(K13,MIN(Assumptions!$S$127,O13),Q14)</f>
        <v>2879</v>
      </c>
      <c r="R13" s="12">
        <f>IF(AND(Q13&lt;=K13,INDEX(Assumptions!$C$26:$C$36,MATCH(G13,Assumptions!$A$26:$A$36,0))&lt;&gt;""),INDEX(Assumptions!$C$26:$C$36,MATCH(G13,Assumptions!$A$26:$A$36,0)),ROUND(G13*Q13,-2))</f>
        <v>3037300</v>
      </c>
      <c r="S13" s="47" t="str">
        <f>TRIM(IF(AND(Assumptions!$L$127&lt;&gt;"",D13&lt;Assumptions!$L$127),"View blocked / roof in front ("&amp;Assumptions!$M$127&amp;"); view premium still loading until L"&amp;Assumptions!$L$127&amp;". ","")&amp;IF(D13=Assumptions!$AH$127,"Mid-floor view premium fully loaded. ","")&amp;IF(D13=Assumptions!$P$127,"High-floor view premium fully loaded. ","")&amp;IF(Q13&lt;=K13,"At developer starting price.",""))</f>
        <v/>
      </c>
      <c r="T13" s="48" t="str">
        <f>Assumptions!$AJ$127</f>
        <v>SSE. Unblocked landed estate + nature reserve + city; MacRitchie Reservoir Park unblocked from mid floor; road noise on low floors. Tier C: below pool-facing 06/18 on low floors, dearer than them on high floors</v>
      </c>
    </row>
    <row r="14" spans="1:20" x14ac:dyDescent="0.2">
      <c r="A14" s="13" t="s">
        <v>124</v>
      </c>
      <c r="B14" s="14">
        <v>1</v>
      </c>
      <c r="C14" s="40">
        <v>1</v>
      </c>
      <c r="D14" s="40">
        <v>12</v>
      </c>
      <c r="E14" s="9" t="s">
        <v>46</v>
      </c>
      <c r="F14" s="14" t="s">
        <v>115</v>
      </c>
      <c r="G14" s="10">
        <v>1055</v>
      </c>
      <c r="H14" s="14" t="s">
        <v>62</v>
      </c>
      <c r="I14" s="41" t="str">
        <f>Assumptions!$I$127</f>
        <v>C</v>
      </c>
      <c r="J14" s="14" t="str">
        <f>IF(D14&lt;=Assumptions!$V$127,"Low",IF(D14&lt;=Assumptions!$W$127,"Mid","High"))</f>
        <v>Mid</v>
      </c>
      <c r="K14" s="15">
        <f>Assumptions!$Q$127</f>
        <v>2633</v>
      </c>
      <c r="L14" s="42">
        <f>INDEX(Assumptions!$K$61:$K$90,D14)</f>
        <v>2812.209207853758</v>
      </c>
      <c r="M14" s="43">
        <f>IF(D14&lt;=Assumptions!$G$127,Assumptions!$AK$127,IF(D14&lt;Assumptions!$AH$127,Assumptions!$AK$127+(Assumptions!$AL$127-Assumptions!$AK$127)*(D14-Assumptions!$G$127)/(Assumptions!$AH$127-Assumptions!$G$127),IF(D14&lt;Assumptions!$P$127,Assumptions!$AL$127+(Assumptions!$AM$127-Assumptions!$AL$127)*(D14-Assumptions!$AH$127)/(Assumptions!$P$127-Assumptions!$AH$127),Assumptions!$AM$127)))</f>
        <v>50000</v>
      </c>
      <c r="N14" s="44">
        <f t="shared" si="0"/>
        <v>47.393364928909953</v>
      </c>
      <c r="O14" s="45">
        <f t="shared" si="1"/>
        <v>2860</v>
      </c>
      <c r="P14" s="14" t="str">
        <f>IF(D14&gt;=Assumptions!$P$127,"High",IF(D14&gt;=Assumptions!$AH$127,"Mid",IF(D14&lt;=Assumptions!$G$127,"Low","Loading")))</f>
        <v>Mid</v>
      </c>
      <c r="Q14" s="46">
        <f>MAX(K14,MIN(Assumptions!$S$127,O14),Q15)</f>
        <v>2860</v>
      </c>
      <c r="R14" s="12">
        <f>IF(AND(Q14&lt;=K14,INDEX(Assumptions!$C$26:$C$36,MATCH(G14,Assumptions!$A$26:$A$36,0))&lt;&gt;""),INDEX(Assumptions!$C$26:$C$36,MATCH(G14,Assumptions!$A$26:$A$36,0)),ROUND(G14*Q14,-2))</f>
        <v>3017300</v>
      </c>
      <c r="S14" s="47" t="str">
        <f>TRIM(IF(AND(Assumptions!$L$127&lt;&gt;"",D14&lt;Assumptions!$L$127),"View blocked / roof in front ("&amp;Assumptions!$M$127&amp;"); view premium still loading until L"&amp;Assumptions!$L$127&amp;". ","")&amp;IF(D14=Assumptions!$AH$127,"Mid-floor view premium fully loaded. ","")&amp;IF(D14=Assumptions!$P$127,"High-floor view premium fully loaded. ","")&amp;IF(Q14&lt;=K14,"At developer starting price.",""))</f>
        <v/>
      </c>
      <c r="T14" s="48" t="str">
        <f>Assumptions!$AJ$127</f>
        <v>SSE. Unblocked landed estate + nature reserve + city; MacRitchie Reservoir Park unblocked from mid floor; road noise on low floors. Tier C: below pool-facing 06/18 on low floors, dearer than them on high floors</v>
      </c>
    </row>
    <row r="15" spans="1:20" x14ac:dyDescent="0.2">
      <c r="A15" s="13" t="s">
        <v>125</v>
      </c>
      <c r="B15" s="14">
        <v>1</v>
      </c>
      <c r="C15" s="40">
        <v>1</v>
      </c>
      <c r="D15" s="40">
        <v>11</v>
      </c>
      <c r="E15" s="9" t="s">
        <v>46</v>
      </c>
      <c r="F15" s="14" t="s">
        <v>115</v>
      </c>
      <c r="G15" s="10">
        <v>1055</v>
      </c>
      <c r="H15" s="14" t="s">
        <v>62</v>
      </c>
      <c r="I15" s="41" t="str">
        <f>Assumptions!$I$127</f>
        <v>C</v>
      </c>
      <c r="J15" s="14" t="str">
        <f>IF(D15&lt;=Assumptions!$V$127,"Low",IF(D15&lt;=Assumptions!$W$127,"Mid","High"))</f>
        <v>Mid</v>
      </c>
      <c r="K15" s="15">
        <f>Assumptions!$Q$127</f>
        <v>2633</v>
      </c>
      <c r="L15" s="42">
        <f>INDEX(Assumptions!$K$61:$K$90,D15)</f>
        <v>2799.0276235612732</v>
      </c>
      <c r="M15" s="43">
        <f>IF(D15&lt;=Assumptions!$G$127,Assumptions!$AK$127,IF(D15&lt;Assumptions!$AH$127,Assumptions!$AK$127+(Assumptions!$AL$127-Assumptions!$AK$127)*(D15-Assumptions!$G$127)/(Assumptions!$AH$127-Assumptions!$G$127),IF(D15&lt;Assumptions!$P$127,Assumptions!$AL$127+(Assumptions!$AM$127-Assumptions!$AL$127)*(D15-Assumptions!$AH$127)/(Assumptions!$P$127-Assumptions!$AH$127),Assumptions!$AM$127)))</f>
        <v>50000</v>
      </c>
      <c r="N15" s="44">
        <f t="shared" si="0"/>
        <v>47.393364928909953</v>
      </c>
      <c r="O15" s="45">
        <f t="shared" si="1"/>
        <v>2846</v>
      </c>
      <c r="P15" s="14" t="str">
        <f>IF(D15&gt;=Assumptions!$P$127,"High",IF(D15&gt;=Assumptions!$AH$127,"Mid",IF(D15&lt;=Assumptions!$G$127,"Low","Loading")))</f>
        <v>Mid</v>
      </c>
      <c r="Q15" s="46">
        <f>MAX(K15,MIN(Assumptions!$S$127,O15),Q16)</f>
        <v>2846</v>
      </c>
      <c r="R15" s="12">
        <f>IF(AND(Q15&lt;=K15,INDEX(Assumptions!$C$26:$C$36,MATCH(G15,Assumptions!$A$26:$A$36,0))&lt;&gt;""),INDEX(Assumptions!$C$26:$C$36,MATCH(G15,Assumptions!$A$26:$A$36,0)),ROUND(G15*Q15,-2))</f>
        <v>3002500</v>
      </c>
      <c r="S15" s="47" t="str">
        <f>TRIM(IF(AND(Assumptions!$L$127&lt;&gt;"",D15&lt;Assumptions!$L$127),"View blocked / roof in front ("&amp;Assumptions!$M$127&amp;"); view premium still loading until L"&amp;Assumptions!$L$127&amp;". ","")&amp;IF(D15=Assumptions!$AH$127,"Mid-floor view premium fully loaded. ","")&amp;IF(D15=Assumptions!$P$127,"High-floor view premium fully loaded. ","")&amp;IF(Q15&lt;=K15,"At developer starting price.",""))</f>
        <v/>
      </c>
      <c r="T15" s="48" t="str">
        <f>Assumptions!$AJ$127</f>
        <v>SSE. Unblocked landed estate + nature reserve + city; MacRitchie Reservoir Park unblocked from mid floor; road noise on low floors. Tier C: below pool-facing 06/18 on low floors, dearer than them on high floors</v>
      </c>
    </row>
    <row r="16" spans="1:20" x14ac:dyDescent="0.2">
      <c r="A16" s="13" t="s">
        <v>126</v>
      </c>
      <c r="B16" s="14">
        <v>1</v>
      </c>
      <c r="C16" s="40">
        <v>1</v>
      </c>
      <c r="D16" s="40">
        <v>10</v>
      </c>
      <c r="E16" s="9" t="s">
        <v>46</v>
      </c>
      <c r="F16" s="14" t="s">
        <v>115</v>
      </c>
      <c r="G16" s="10">
        <v>1055</v>
      </c>
      <c r="H16" s="14" t="s">
        <v>62</v>
      </c>
      <c r="I16" s="41" t="str">
        <f>Assumptions!$I$127</f>
        <v>C</v>
      </c>
      <c r="J16" s="14" t="str">
        <f>IF(D16&lt;=Assumptions!$V$127,"Low",IF(D16&lt;=Assumptions!$W$127,"Mid","High"))</f>
        <v>Mid</v>
      </c>
      <c r="K16" s="15">
        <f>Assumptions!$Q$127</f>
        <v>2633</v>
      </c>
      <c r="L16" s="42">
        <f>INDEX(Assumptions!$K$61:$K$90,D16)</f>
        <v>2785.8460392687884</v>
      </c>
      <c r="M16" s="43">
        <f>IF(D16&lt;=Assumptions!$G$127,Assumptions!$AK$127,IF(D16&lt;Assumptions!$AH$127,Assumptions!$AK$127+(Assumptions!$AL$127-Assumptions!$AK$127)*(D16-Assumptions!$G$127)/(Assumptions!$AH$127-Assumptions!$G$127),IF(D16&lt;Assumptions!$P$127,Assumptions!$AL$127+(Assumptions!$AM$127-Assumptions!$AL$127)*(D16-Assumptions!$AH$127)/(Assumptions!$P$127-Assumptions!$AH$127),Assumptions!$AM$127)))</f>
        <v>50000</v>
      </c>
      <c r="N16" s="44">
        <f t="shared" si="0"/>
        <v>47.393364928909953</v>
      </c>
      <c r="O16" s="45">
        <f t="shared" si="1"/>
        <v>2833</v>
      </c>
      <c r="P16" s="14" t="str">
        <f>IF(D16&gt;=Assumptions!$P$127,"High",IF(D16&gt;=Assumptions!$AH$127,"Mid",IF(D16&lt;=Assumptions!$G$127,"Low","Loading")))</f>
        <v>Mid</v>
      </c>
      <c r="Q16" s="46">
        <f>MAX(K16,MIN(Assumptions!$S$127,O16),Q17)</f>
        <v>2833</v>
      </c>
      <c r="R16" s="12">
        <f>IF(AND(Q16&lt;=K16,INDEX(Assumptions!$C$26:$C$36,MATCH(G16,Assumptions!$A$26:$A$36,0))&lt;&gt;""),INDEX(Assumptions!$C$26:$C$36,MATCH(G16,Assumptions!$A$26:$A$36,0)),ROUND(G16*Q16,-2))</f>
        <v>2988800</v>
      </c>
      <c r="S16" s="47" t="str">
        <f>TRIM(IF(AND(Assumptions!$L$127&lt;&gt;"",D16&lt;Assumptions!$L$127),"View blocked / roof in front ("&amp;Assumptions!$M$127&amp;"); view premium still loading until L"&amp;Assumptions!$L$127&amp;". ","")&amp;IF(D16=Assumptions!$AH$127,"Mid-floor view premium fully loaded. ","")&amp;IF(D16=Assumptions!$P$127,"High-floor view premium fully loaded. ","")&amp;IF(Q16&lt;=K16,"At developer starting price.",""))</f>
        <v/>
      </c>
      <c r="T16" s="48" t="str">
        <f>Assumptions!$AJ$127</f>
        <v>SSE. Unblocked landed estate + nature reserve + city; MacRitchie Reservoir Park unblocked from mid floor; road noise on low floors. Tier C: below pool-facing 06/18 on low floors, dearer than them on high floors</v>
      </c>
    </row>
    <row r="17" spans="1:20" x14ac:dyDescent="0.2">
      <c r="A17" s="13" t="s">
        <v>127</v>
      </c>
      <c r="B17" s="14">
        <v>1</v>
      </c>
      <c r="C17" s="40">
        <v>1</v>
      </c>
      <c r="D17" s="40">
        <v>9</v>
      </c>
      <c r="E17" s="9" t="s">
        <v>46</v>
      </c>
      <c r="F17" s="14" t="s">
        <v>115</v>
      </c>
      <c r="G17" s="10">
        <v>1055</v>
      </c>
      <c r="H17" s="14" t="s">
        <v>62</v>
      </c>
      <c r="I17" s="41" t="str">
        <f>Assumptions!$I$127</f>
        <v>C</v>
      </c>
      <c r="J17" s="14" t="str">
        <f>IF(D17&lt;=Assumptions!$V$127,"Low",IF(D17&lt;=Assumptions!$W$127,"Mid","High"))</f>
        <v>Mid</v>
      </c>
      <c r="K17" s="15">
        <f>Assumptions!$Q$127</f>
        <v>2633</v>
      </c>
      <c r="L17" s="42">
        <f>INDEX(Assumptions!$K$61:$K$90,D17)</f>
        <v>2772.6644549763037</v>
      </c>
      <c r="M17" s="43">
        <f>IF(D17&lt;=Assumptions!$G$127,Assumptions!$AK$127,IF(D17&lt;Assumptions!$AH$127,Assumptions!$AK$127+(Assumptions!$AL$127-Assumptions!$AK$127)*(D17-Assumptions!$G$127)/(Assumptions!$AH$127-Assumptions!$G$127),IF(D17&lt;Assumptions!$P$127,Assumptions!$AL$127+(Assumptions!$AM$127-Assumptions!$AL$127)*(D17-Assumptions!$AH$127)/(Assumptions!$P$127-Assumptions!$AH$127),Assumptions!$AM$127)))</f>
        <v>50000</v>
      </c>
      <c r="N17" s="44">
        <f t="shared" si="0"/>
        <v>47.393364928909953</v>
      </c>
      <c r="O17" s="45">
        <f t="shared" si="1"/>
        <v>2820</v>
      </c>
      <c r="P17" s="14" t="str">
        <f>IF(D17&gt;=Assumptions!$P$127,"High",IF(D17&gt;=Assumptions!$AH$127,"Mid",IF(D17&lt;=Assumptions!$G$127,"Low","Loading")))</f>
        <v>Mid</v>
      </c>
      <c r="Q17" s="46">
        <f>MAX(K17,MIN(Assumptions!$S$127,O17),Q18)</f>
        <v>2820</v>
      </c>
      <c r="R17" s="12">
        <f>IF(AND(Q17&lt;=K17,INDEX(Assumptions!$C$26:$C$36,MATCH(G17,Assumptions!$A$26:$A$36,0))&lt;&gt;""),INDEX(Assumptions!$C$26:$C$36,MATCH(G17,Assumptions!$A$26:$A$36,0)),ROUND(G17*Q17,-2))</f>
        <v>2975100</v>
      </c>
      <c r="S17" s="47" t="str">
        <f>TRIM(IF(AND(Assumptions!$L$127&lt;&gt;"",D17&lt;Assumptions!$L$127),"View blocked / roof in front ("&amp;Assumptions!$M$127&amp;"); view premium still loading until L"&amp;Assumptions!$L$127&amp;". ","")&amp;IF(D17=Assumptions!$AH$127,"Mid-floor view premium fully loaded. ","")&amp;IF(D17=Assumptions!$P$127,"High-floor view premium fully loaded. ","")&amp;IF(Q17&lt;=K17,"At developer starting price.",""))</f>
        <v>Mid-floor view premium fully loaded.</v>
      </c>
      <c r="T17" s="48" t="str">
        <f>Assumptions!$AJ$127</f>
        <v>SSE. Unblocked landed estate + nature reserve + city; MacRitchie Reservoir Park unblocked from mid floor; road noise on low floors. Tier C: below pool-facing 06/18 on low floors, dearer than them on high floors</v>
      </c>
    </row>
    <row r="18" spans="1:20" x14ac:dyDescent="0.2">
      <c r="A18" s="13" t="s">
        <v>128</v>
      </c>
      <c r="B18" s="14">
        <v>1</v>
      </c>
      <c r="C18" s="40">
        <v>1</v>
      </c>
      <c r="D18" s="40">
        <v>8</v>
      </c>
      <c r="E18" s="9" t="s">
        <v>46</v>
      </c>
      <c r="F18" s="14" t="s">
        <v>115</v>
      </c>
      <c r="G18" s="10">
        <v>1055</v>
      </c>
      <c r="H18" s="14" t="s">
        <v>62</v>
      </c>
      <c r="I18" s="41" t="str">
        <f>Assumptions!$I$127</f>
        <v>C</v>
      </c>
      <c r="J18" s="14" t="str">
        <f>IF(D18&lt;=Assumptions!$V$127,"Low",IF(D18&lt;=Assumptions!$W$127,"Mid","High"))</f>
        <v>Low</v>
      </c>
      <c r="K18" s="15">
        <f>Assumptions!$Q$127</f>
        <v>2633</v>
      </c>
      <c r="L18" s="42">
        <f>INDEX(Assumptions!$K$61:$K$90,D18)</f>
        <v>2759.4828706838189</v>
      </c>
      <c r="M18" s="43">
        <f>IF(D18&lt;=Assumptions!$G$127,Assumptions!$AK$127,IF(D18&lt;Assumptions!$AH$127,Assumptions!$AK$127+(Assumptions!$AL$127-Assumptions!$AK$127)*(D18-Assumptions!$G$127)/(Assumptions!$AH$127-Assumptions!$G$127),IF(D18&lt;Assumptions!$P$127,Assumptions!$AL$127+(Assumptions!$AM$127-Assumptions!$AL$127)*(D18-Assumptions!$AH$127)/(Assumptions!$P$127-Assumptions!$AH$127),Assumptions!$AM$127)))</f>
        <v>45238.095238095237</v>
      </c>
      <c r="N18" s="44">
        <f t="shared" si="0"/>
        <v>42.879711126156622</v>
      </c>
      <c r="O18" s="45">
        <f t="shared" si="1"/>
        <v>2802</v>
      </c>
      <c r="P18" s="14" t="str">
        <f>IF(D18&gt;=Assumptions!$P$127,"High",IF(D18&gt;=Assumptions!$AH$127,"Mid",IF(D18&lt;=Assumptions!$G$127,"Low","Loading")))</f>
        <v>Loading</v>
      </c>
      <c r="Q18" s="46">
        <f>MAX(K18,MIN(Assumptions!$S$127,O18),Q19)</f>
        <v>2802</v>
      </c>
      <c r="R18" s="12">
        <f>IF(AND(Q18&lt;=K18,INDEX(Assumptions!$C$26:$C$36,MATCH(G18,Assumptions!$A$26:$A$36,0))&lt;&gt;""),INDEX(Assumptions!$C$26:$C$36,MATCH(G18,Assumptions!$A$26:$A$36,0)),ROUND(G18*Q18,-2))</f>
        <v>2956100</v>
      </c>
      <c r="S18" s="47" t="str">
        <f>TRIM(IF(AND(Assumptions!$L$127&lt;&gt;"",D18&lt;Assumptions!$L$127),"View blocked / roof in front ("&amp;Assumptions!$M$127&amp;"); view premium still loading until L"&amp;Assumptions!$L$127&amp;". ","")&amp;IF(D18=Assumptions!$AH$127,"Mid-floor view premium fully loaded. ","")&amp;IF(D18=Assumptions!$P$127,"High-floor view premium fully loaded. ","")&amp;IF(Q18&lt;=K18,"At developer starting price.",""))</f>
        <v/>
      </c>
      <c r="T18" s="48" t="str">
        <f>Assumptions!$AJ$127</f>
        <v>SSE. Unblocked landed estate + nature reserve + city; MacRitchie Reservoir Park unblocked from mid floor; road noise on low floors. Tier C: below pool-facing 06/18 on low floors, dearer than them on high floors</v>
      </c>
    </row>
    <row r="19" spans="1:20" x14ac:dyDescent="0.2">
      <c r="A19" s="13" t="s">
        <v>129</v>
      </c>
      <c r="B19" s="14">
        <v>1</v>
      </c>
      <c r="C19" s="40">
        <v>1</v>
      </c>
      <c r="D19" s="40">
        <v>7</v>
      </c>
      <c r="E19" s="9" t="s">
        <v>46</v>
      </c>
      <c r="F19" s="14" t="s">
        <v>115</v>
      </c>
      <c r="G19" s="10">
        <v>1055</v>
      </c>
      <c r="H19" s="14" t="s">
        <v>62</v>
      </c>
      <c r="I19" s="41" t="str">
        <f>Assumptions!$I$127</f>
        <v>C</v>
      </c>
      <c r="J19" s="14" t="str">
        <f>IF(D19&lt;=Assumptions!$V$127,"Low",IF(D19&lt;=Assumptions!$W$127,"Mid","High"))</f>
        <v>Low</v>
      </c>
      <c r="K19" s="15">
        <f>Assumptions!$Q$127</f>
        <v>2633</v>
      </c>
      <c r="L19" s="42">
        <f>INDEX(Assumptions!$K$61:$K$90,D19)</f>
        <v>2746.3012863913341</v>
      </c>
      <c r="M19" s="43">
        <f>IF(D19&lt;=Assumptions!$G$127,Assumptions!$AK$127,IF(D19&lt;Assumptions!$AH$127,Assumptions!$AK$127+(Assumptions!$AL$127-Assumptions!$AK$127)*(D19-Assumptions!$G$127)/(Assumptions!$AH$127-Assumptions!$G$127),IF(D19&lt;Assumptions!$P$127,Assumptions!$AL$127+(Assumptions!$AM$127-Assumptions!$AL$127)*(D19-Assumptions!$AH$127)/(Assumptions!$P$127-Assumptions!$AH$127),Assumptions!$AM$127)))</f>
        <v>40476.190476190473</v>
      </c>
      <c r="N19" s="44">
        <f t="shared" si="0"/>
        <v>38.36605732340329</v>
      </c>
      <c r="O19" s="45">
        <f t="shared" si="1"/>
        <v>2785</v>
      </c>
      <c r="P19" s="14" t="str">
        <f>IF(D19&gt;=Assumptions!$P$127,"High",IF(D19&gt;=Assumptions!$AH$127,"Mid",IF(D19&lt;=Assumptions!$G$127,"Low","Loading")))</f>
        <v>Loading</v>
      </c>
      <c r="Q19" s="46">
        <f>MAX(K19,MIN(Assumptions!$S$127,O19),Q20)</f>
        <v>2785</v>
      </c>
      <c r="R19" s="12">
        <f>IF(AND(Q19&lt;=K19,INDEX(Assumptions!$C$26:$C$36,MATCH(G19,Assumptions!$A$26:$A$36,0))&lt;&gt;""),INDEX(Assumptions!$C$26:$C$36,MATCH(G19,Assumptions!$A$26:$A$36,0)),ROUND(G19*Q19,-2))</f>
        <v>2938200</v>
      </c>
      <c r="S19" s="47" t="str">
        <f>TRIM(IF(AND(Assumptions!$L$127&lt;&gt;"",D19&lt;Assumptions!$L$127),"View blocked / roof in front ("&amp;Assumptions!$M$127&amp;"); view premium still loading until L"&amp;Assumptions!$L$127&amp;". ","")&amp;IF(D19=Assumptions!$AH$127,"Mid-floor view premium fully loaded. ","")&amp;IF(D19=Assumptions!$P$127,"High-floor view premium fully loaded. ","")&amp;IF(Q19&lt;=K19,"At developer starting price.",""))</f>
        <v/>
      </c>
      <c r="T19" s="48" t="str">
        <f>Assumptions!$AJ$127</f>
        <v>SSE. Unblocked landed estate + nature reserve + city; MacRitchie Reservoir Park unblocked from mid floor; road noise on low floors. Tier C: below pool-facing 06/18 on low floors, dearer than them on high floors</v>
      </c>
    </row>
    <row r="20" spans="1:20" x14ac:dyDescent="0.2">
      <c r="A20" s="13" t="s">
        <v>130</v>
      </c>
      <c r="B20" s="14">
        <v>1</v>
      </c>
      <c r="C20" s="40">
        <v>1</v>
      </c>
      <c r="D20" s="40">
        <v>6</v>
      </c>
      <c r="E20" s="9" t="s">
        <v>46</v>
      </c>
      <c r="F20" s="14" t="s">
        <v>115</v>
      </c>
      <c r="G20" s="10">
        <v>1055</v>
      </c>
      <c r="H20" s="14" t="s">
        <v>62</v>
      </c>
      <c r="I20" s="41" t="str">
        <f>Assumptions!$I$127</f>
        <v>C</v>
      </c>
      <c r="J20" s="14" t="str">
        <f>IF(D20&lt;=Assumptions!$V$127,"Low",IF(D20&lt;=Assumptions!$W$127,"Mid","High"))</f>
        <v>Low</v>
      </c>
      <c r="K20" s="15">
        <f>Assumptions!$Q$127</f>
        <v>2633</v>
      </c>
      <c r="L20" s="42">
        <f>INDEX(Assumptions!$K$61:$K$90,D20)</f>
        <v>2733.1197020988493</v>
      </c>
      <c r="M20" s="43">
        <f>IF(D20&lt;=Assumptions!$G$127,Assumptions!$AK$127,IF(D20&lt;Assumptions!$AH$127,Assumptions!$AK$127+(Assumptions!$AL$127-Assumptions!$AK$127)*(D20-Assumptions!$G$127)/(Assumptions!$AH$127-Assumptions!$G$127),IF(D20&lt;Assumptions!$P$127,Assumptions!$AL$127+(Assumptions!$AM$127-Assumptions!$AL$127)*(D20-Assumptions!$AH$127)/(Assumptions!$P$127-Assumptions!$AH$127),Assumptions!$AM$127)))</f>
        <v>35714.285714285717</v>
      </c>
      <c r="N20" s="44">
        <f t="shared" si="0"/>
        <v>33.852403520649972</v>
      </c>
      <c r="O20" s="45">
        <f t="shared" si="1"/>
        <v>2767</v>
      </c>
      <c r="P20" s="14" t="str">
        <f>IF(D20&gt;=Assumptions!$P$127,"High",IF(D20&gt;=Assumptions!$AH$127,"Mid",IF(D20&lt;=Assumptions!$G$127,"Low","Loading")))</f>
        <v>Loading</v>
      </c>
      <c r="Q20" s="46">
        <f>MAX(K20,MIN(Assumptions!$S$127,O20),Q21)</f>
        <v>2767</v>
      </c>
      <c r="R20" s="12">
        <f>IF(AND(Q20&lt;=K20,INDEX(Assumptions!$C$26:$C$36,MATCH(G20,Assumptions!$A$26:$A$36,0))&lt;&gt;""),INDEX(Assumptions!$C$26:$C$36,MATCH(G20,Assumptions!$A$26:$A$36,0)),ROUND(G20*Q20,-2))</f>
        <v>2919200</v>
      </c>
      <c r="S20" s="47" t="str">
        <f>TRIM(IF(AND(Assumptions!$L$127&lt;&gt;"",D20&lt;Assumptions!$L$127),"View blocked / roof in front ("&amp;Assumptions!$M$127&amp;"); view premium still loading until L"&amp;Assumptions!$L$127&amp;". ","")&amp;IF(D20=Assumptions!$AH$127,"Mid-floor view premium fully loaded. ","")&amp;IF(D20=Assumptions!$P$127,"High-floor view premium fully loaded. ","")&amp;IF(Q20&lt;=K20,"At developer starting price.",""))</f>
        <v/>
      </c>
      <c r="T20" s="48" t="str">
        <f>Assumptions!$AJ$127</f>
        <v>SSE. Unblocked landed estate + nature reserve + city; MacRitchie Reservoir Park unblocked from mid floor; road noise on low floors. Tier C: below pool-facing 06/18 on low floors, dearer than them on high floors</v>
      </c>
    </row>
    <row r="21" spans="1:20" x14ac:dyDescent="0.2">
      <c r="A21" s="13" t="s">
        <v>131</v>
      </c>
      <c r="B21" s="14">
        <v>1</v>
      </c>
      <c r="C21" s="40">
        <v>1</v>
      </c>
      <c r="D21" s="40">
        <v>5</v>
      </c>
      <c r="E21" s="9" t="s">
        <v>46</v>
      </c>
      <c r="F21" s="14" t="s">
        <v>115</v>
      </c>
      <c r="G21" s="10">
        <v>1055</v>
      </c>
      <c r="H21" s="14" t="s">
        <v>62</v>
      </c>
      <c r="I21" s="41" t="str">
        <f>Assumptions!$I$127</f>
        <v>C</v>
      </c>
      <c r="J21" s="14" t="str">
        <f>IF(D21&lt;=Assumptions!$V$127,"Low",IF(D21&lt;=Assumptions!$W$127,"Mid","High"))</f>
        <v>Low</v>
      </c>
      <c r="K21" s="15">
        <f>Assumptions!$Q$127</f>
        <v>2633</v>
      </c>
      <c r="L21" s="42">
        <f>INDEX(Assumptions!$K$61:$K$90,D21)</f>
        <v>2719.9381178063645</v>
      </c>
      <c r="M21" s="43">
        <f>IF(D21&lt;=Assumptions!$G$127,Assumptions!$AK$127,IF(D21&lt;Assumptions!$AH$127,Assumptions!$AK$127+(Assumptions!$AL$127-Assumptions!$AK$127)*(D21-Assumptions!$G$127)/(Assumptions!$AH$127-Assumptions!$G$127),IF(D21&lt;Assumptions!$P$127,Assumptions!$AL$127+(Assumptions!$AM$127-Assumptions!$AL$127)*(D21-Assumptions!$AH$127)/(Assumptions!$P$127-Assumptions!$AH$127),Assumptions!$AM$127)))</f>
        <v>30952.380952380954</v>
      </c>
      <c r="N21" s="44">
        <f t="shared" si="0"/>
        <v>29.33874971789664</v>
      </c>
      <c r="O21" s="45">
        <f t="shared" si="1"/>
        <v>2749</v>
      </c>
      <c r="P21" s="14" t="str">
        <f>IF(D21&gt;=Assumptions!$P$127,"High",IF(D21&gt;=Assumptions!$AH$127,"Mid",IF(D21&lt;=Assumptions!$G$127,"Low","Loading")))</f>
        <v>Loading</v>
      </c>
      <c r="Q21" s="46">
        <f>MAX(K21,MIN(Assumptions!$S$127,O21),Q22)</f>
        <v>2749</v>
      </c>
      <c r="R21" s="12">
        <f>IF(AND(Q21&lt;=K21,INDEX(Assumptions!$C$26:$C$36,MATCH(G21,Assumptions!$A$26:$A$36,0))&lt;&gt;""),INDEX(Assumptions!$C$26:$C$36,MATCH(G21,Assumptions!$A$26:$A$36,0)),ROUND(G21*Q21,-2))</f>
        <v>2900200</v>
      </c>
      <c r="S21" s="47" t="str">
        <f>TRIM(IF(AND(Assumptions!$L$127&lt;&gt;"",D21&lt;Assumptions!$L$127),"View blocked / roof in front ("&amp;Assumptions!$M$127&amp;"); view premium still loading until L"&amp;Assumptions!$L$127&amp;". ","")&amp;IF(D21=Assumptions!$AH$127,"Mid-floor view premium fully loaded. ","")&amp;IF(D21=Assumptions!$P$127,"High-floor view premium fully loaded. ","")&amp;IF(Q21&lt;=K21,"At developer starting price.",""))</f>
        <v/>
      </c>
      <c r="T21" s="48" t="str">
        <f>Assumptions!$AJ$127</f>
        <v>SSE. Unblocked landed estate + nature reserve + city; MacRitchie Reservoir Park unblocked from mid floor; road noise on low floors. Tier C: below pool-facing 06/18 on low floors, dearer than them on high floors</v>
      </c>
    </row>
    <row r="22" spans="1:20" x14ac:dyDescent="0.2">
      <c r="A22" s="13" t="s">
        <v>132</v>
      </c>
      <c r="B22" s="14">
        <v>1</v>
      </c>
      <c r="C22" s="40">
        <v>1</v>
      </c>
      <c r="D22" s="40">
        <v>4</v>
      </c>
      <c r="E22" s="9" t="s">
        <v>46</v>
      </c>
      <c r="F22" s="14" t="s">
        <v>115</v>
      </c>
      <c r="G22" s="10">
        <v>1055</v>
      </c>
      <c r="H22" s="14" t="s">
        <v>62</v>
      </c>
      <c r="I22" s="41" t="str">
        <f>Assumptions!$I$127</f>
        <v>C</v>
      </c>
      <c r="J22" s="14" t="str">
        <f>IF(D22&lt;=Assumptions!$V$127,"Low",IF(D22&lt;=Assumptions!$W$127,"Mid","High"))</f>
        <v>Low</v>
      </c>
      <c r="K22" s="15">
        <f>Assumptions!$Q$127</f>
        <v>2633</v>
      </c>
      <c r="L22" s="42">
        <f>INDEX(Assumptions!$K$61:$K$90,D22)</f>
        <v>2706.7565335138797</v>
      </c>
      <c r="M22" s="43">
        <f>IF(D22&lt;=Assumptions!$G$127,Assumptions!$AK$127,IF(D22&lt;Assumptions!$AH$127,Assumptions!$AK$127+(Assumptions!$AL$127-Assumptions!$AK$127)*(D22-Assumptions!$G$127)/(Assumptions!$AH$127-Assumptions!$G$127),IF(D22&lt;Assumptions!$P$127,Assumptions!$AL$127+(Assumptions!$AM$127-Assumptions!$AL$127)*(D22-Assumptions!$AH$127)/(Assumptions!$P$127-Assumptions!$AH$127),Assumptions!$AM$127)))</f>
        <v>26190.476190476194</v>
      </c>
      <c r="N22" s="44">
        <f t="shared" si="0"/>
        <v>24.825095915143311</v>
      </c>
      <c r="O22" s="45">
        <f t="shared" si="1"/>
        <v>2732</v>
      </c>
      <c r="P22" s="14" t="str">
        <f>IF(D22&gt;=Assumptions!$P$127,"High",IF(D22&gt;=Assumptions!$AH$127,"Mid",IF(D22&lt;=Assumptions!$G$127,"Low","Loading")))</f>
        <v>Loading</v>
      </c>
      <c r="Q22" s="46">
        <f>MAX(K22,MIN(Assumptions!$S$127,O22),Q23)</f>
        <v>2732</v>
      </c>
      <c r="R22" s="12">
        <f>IF(AND(Q22&lt;=K22,INDEX(Assumptions!$C$26:$C$36,MATCH(G22,Assumptions!$A$26:$A$36,0))&lt;&gt;""),INDEX(Assumptions!$C$26:$C$36,MATCH(G22,Assumptions!$A$26:$A$36,0)),ROUND(G22*Q22,-2))</f>
        <v>2882300</v>
      </c>
      <c r="S22" s="47" t="str">
        <f>TRIM(IF(AND(Assumptions!$L$127&lt;&gt;"",D22&lt;Assumptions!$L$127),"View blocked / roof in front ("&amp;Assumptions!$M$127&amp;"); view premium still loading until L"&amp;Assumptions!$L$127&amp;". ","")&amp;IF(D22=Assumptions!$AH$127,"Mid-floor view premium fully loaded. ","")&amp;IF(D22=Assumptions!$P$127,"High-floor view premium fully loaded. ","")&amp;IF(Q22&lt;=K22,"At developer starting price.",""))</f>
        <v/>
      </c>
      <c r="T22" s="48" t="str">
        <f>Assumptions!$AJ$127</f>
        <v>SSE. Unblocked landed estate + nature reserve + city; MacRitchie Reservoir Park unblocked from mid floor; road noise on low floors. Tier C: below pool-facing 06/18 on low floors, dearer than them on high floors</v>
      </c>
    </row>
    <row r="23" spans="1:20" x14ac:dyDescent="0.2">
      <c r="A23" s="13" t="s">
        <v>133</v>
      </c>
      <c r="B23" s="14">
        <v>1</v>
      </c>
      <c r="C23" s="40">
        <v>1</v>
      </c>
      <c r="D23" s="40">
        <v>3</v>
      </c>
      <c r="E23" s="9" t="s">
        <v>46</v>
      </c>
      <c r="F23" s="14" t="s">
        <v>115</v>
      </c>
      <c r="G23" s="10">
        <v>1055</v>
      </c>
      <c r="H23" s="14" t="s">
        <v>62</v>
      </c>
      <c r="I23" s="41" t="str">
        <f>Assumptions!$I$127</f>
        <v>C</v>
      </c>
      <c r="J23" s="14" t="str">
        <f>IF(D23&lt;=Assumptions!$V$127,"Low",IF(D23&lt;=Assumptions!$W$127,"Mid","High"))</f>
        <v>Low</v>
      </c>
      <c r="K23" s="15">
        <f>Assumptions!$Q$127</f>
        <v>2633</v>
      </c>
      <c r="L23" s="42">
        <f>INDEX(Assumptions!$K$61:$K$90,D23)</f>
        <v>2693.5749492213949</v>
      </c>
      <c r="M23" s="43">
        <f>IF(D23&lt;=Assumptions!$G$127,Assumptions!$AK$127,IF(D23&lt;Assumptions!$AH$127,Assumptions!$AK$127+(Assumptions!$AL$127-Assumptions!$AK$127)*(D23-Assumptions!$G$127)/(Assumptions!$AH$127-Assumptions!$G$127),IF(D23&lt;Assumptions!$P$127,Assumptions!$AL$127+(Assumptions!$AM$127-Assumptions!$AL$127)*(D23-Assumptions!$AH$127)/(Assumptions!$P$127-Assumptions!$AH$127),Assumptions!$AM$127)))</f>
        <v>21428.571428571435</v>
      </c>
      <c r="N23" s="44">
        <f t="shared" si="0"/>
        <v>20.311442112389987</v>
      </c>
      <c r="O23" s="45">
        <f t="shared" si="1"/>
        <v>2714</v>
      </c>
      <c r="P23" s="14" t="str">
        <f>IF(D23&gt;=Assumptions!$P$127,"High",IF(D23&gt;=Assumptions!$AH$127,"Mid",IF(D23&lt;=Assumptions!$G$127,"Low","Loading")))</f>
        <v>Loading</v>
      </c>
      <c r="Q23" s="46">
        <f>MAX(K23,MIN(Assumptions!$S$127,O23),Q24)</f>
        <v>2714</v>
      </c>
      <c r="R23" s="12">
        <f>IF(AND(Q23&lt;=K23,INDEX(Assumptions!$C$26:$C$36,MATCH(G23,Assumptions!$A$26:$A$36,0))&lt;&gt;""),INDEX(Assumptions!$C$26:$C$36,MATCH(G23,Assumptions!$A$26:$A$36,0)),ROUND(G23*Q23,-2))</f>
        <v>2863300</v>
      </c>
      <c r="S23" s="47" t="str">
        <f>TRIM(IF(AND(Assumptions!$L$127&lt;&gt;"",D23&lt;Assumptions!$L$127),"View blocked / roof in front ("&amp;Assumptions!$M$127&amp;"); view premium still loading until L"&amp;Assumptions!$L$127&amp;". ","")&amp;IF(D23=Assumptions!$AH$127,"Mid-floor view premium fully loaded. ","")&amp;IF(D23=Assumptions!$P$127,"High-floor view premium fully loaded. ","")&amp;IF(Q23&lt;=K23,"At developer starting price.",""))</f>
        <v/>
      </c>
      <c r="T23" s="48" t="str">
        <f>Assumptions!$AJ$127</f>
        <v>SSE. Unblocked landed estate + nature reserve + city; MacRitchie Reservoir Park unblocked from mid floor; road noise on low floors. Tier C: below pool-facing 06/18 on low floors, dearer than them on high floors</v>
      </c>
    </row>
    <row r="24" spans="1:20" x14ac:dyDescent="0.2">
      <c r="A24" s="13" t="s">
        <v>134</v>
      </c>
      <c r="B24" s="14">
        <v>1</v>
      </c>
      <c r="C24" s="40">
        <v>1</v>
      </c>
      <c r="D24" s="40">
        <v>2</v>
      </c>
      <c r="E24" s="9" t="s">
        <v>46</v>
      </c>
      <c r="F24" s="14" t="s">
        <v>135</v>
      </c>
      <c r="G24" s="10">
        <v>1055</v>
      </c>
      <c r="H24" s="14" t="s">
        <v>62</v>
      </c>
      <c r="I24" s="41" t="str">
        <f>Assumptions!$I$127</f>
        <v>C</v>
      </c>
      <c r="J24" s="14" t="str">
        <f>IF(D24&lt;=Assumptions!$V$127,"Low",IF(D24&lt;=Assumptions!$W$127,"Mid","High"))</f>
        <v>Low</v>
      </c>
      <c r="K24" s="15">
        <f>Assumptions!$Q$127</f>
        <v>2633</v>
      </c>
      <c r="L24" s="42">
        <f>INDEX(Assumptions!$K$61:$K$90,D24)</f>
        <v>2680.3933649289102</v>
      </c>
      <c r="M24" s="43">
        <f>IF(D24&lt;=Assumptions!$G$127,Assumptions!$AK$127,IF(D24&lt;Assumptions!$AH$127,Assumptions!$AK$127+(Assumptions!$AL$127-Assumptions!$AK$127)*(D24-Assumptions!$G$127)/(Assumptions!$AH$127-Assumptions!$G$127),IF(D24&lt;Assumptions!$P$127,Assumptions!$AL$127+(Assumptions!$AM$127-Assumptions!$AL$127)*(D24-Assumptions!$AH$127)/(Assumptions!$P$127-Assumptions!$AH$127),Assumptions!$AM$127)))</f>
        <v>16666.666666666672</v>
      </c>
      <c r="N24" s="44">
        <f t="shared" si="0"/>
        <v>15.797788309636655</v>
      </c>
      <c r="O24" s="45">
        <f t="shared" si="1"/>
        <v>2696</v>
      </c>
      <c r="P24" s="14" t="str">
        <f>IF(D24&gt;=Assumptions!$P$127,"High",IF(D24&gt;=Assumptions!$AH$127,"Mid",IF(D24&lt;=Assumptions!$G$127,"Low","Loading")))</f>
        <v>Low</v>
      </c>
      <c r="Q24" s="46">
        <f>MAX(K24,MIN(Assumptions!$S$127,O24))</f>
        <v>2696</v>
      </c>
      <c r="R24" s="12">
        <f>IF(AND(Q24&lt;=K24,INDEX(Assumptions!$C$26:$C$36,MATCH(G24,Assumptions!$A$26:$A$36,0))&lt;&gt;""),INDEX(Assumptions!$C$26:$C$36,MATCH(G24,Assumptions!$A$26:$A$36,0)),ROUND(G24*Q24,-2))</f>
        <v>2844300</v>
      </c>
      <c r="S24" s="47" t="str">
        <f>TRIM(IF(AND(Assumptions!$L$127&lt;&gt;"",D24&lt;Assumptions!$L$127),"View blocked / roof in front ("&amp;Assumptions!$M$127&amp;"); view premium still loading until L"&amp;Assumptions!$L$127&amp;". ","")&amp;IF(D24=Assumptions!$AH$127,"Mid-floor view premium fully loaded. ","")&amp;IF(D24=Assumptions!$P$127,"High-floor view premium fully loaded. ","")&amp;IF(Q24&lt;=K24,"At developer starting price.",""))</f>
        <v/>
      </c>
      <c r="T24" s="48" t="str">
        <f>Assumptions!$AJ$127</f>
        <v>SSE. Unblocked landed estate + nature reserve + city; MacRitchie Reservoir Park unblocked from mid floor; road noise on low floors. Tier C: below pool-facing 06/18 on low floors, dearer than them on high floors</v>
      </c>
    </row>
    <row r="25" spans="1:20" x14ac:dyDescent="0.2">
      <c r="A25" s="13" t="s">
        <v>136</v>
      </c>
      <c r="B25" s="14">
        <v>1</v>
      </c>
      <c r="C25" s="40">
        <v>2</v>
      </c>
      <c r="D25" s="40">
        <v>21</v>
      </c>
      <c r="E25" s="9" t="s">
        <v>43</v>
      </c>
      <c r="F25" s="14" t="s">
        <v>137</v>
      </c>
      <c r="G25" s="10">
        <v>678</v>
      </c>
      <c r="H25" s="14" t="s">
        <v>62</v>
      </c>
      <c r="I25" s="41" t="str">
        <f>Assumptions!$I$128</f>
        <v>B</v>
      </c>
      <c r="J25" s="14" t="str">
        <f>IF(D25&lt;=Assumptions!$V$128,"Low",IF(D25&lt;=Assumptions!$W$128,"Mid","High"))</f>
        <v>High</v>
      </c>
      <c r="K25" s="15">
        <f>Assumptions!$Q$128</f>
        <v>2613</v>
      </c>
      <c r="L25" s="42">
        <f>INDEX(Assumptions!$C$61:$C$90,D25)</f>
        <v>3050.8642857142859</v>
      </c>
      <c r="M25" s="43">
        <f>IF(D25&lt;=Assumptions!$G$128,Assumptions!$AK$128,IF(D25&lt;Assumptions!$AH$128,Assumptions!$AK$128+(Assumptions!$AL$128-Assumptions!$AK$128)*(D25-Assumptions!$G$128)/(Assumptions!$AH$128-Assumptions!$G$128),IF(D25&lt;Assumptions!$P$128,Assumptions!$AL$128+(Assumptions!$AM$128-Assumptions!$AL$128)*(D25-Assumptions!$AH$128)/(Assumptions!$P$128-Assumptions!$AH$128),Assumptions!$AM$128)))</f>
        <v>50000</v>
      </c>
      <c r="N25" s="44">
        <f t="shared" si="0"/>
        <v>73.746312684365776</v>
      </c>
      <c r="O25" s="45">
        <f t="shared" si="1"/>
        <v>3125</v>
      </c>
      <c r="P25" s="14" t="str">
        <f>IF(D25&gt;=Assumptions!$P$128,"High",IF(D25&gt;=Assumptions!$AH$128,"Mid",IF(D25&lt;=Assumptions!$G$128,"Low","Loading")))</f>
        <v>High</v>
      </c>
      <c r="Q25" s="46">
        <f>MAX(K25,MIN(Assumptions!$S$128,O25),Q26)</f>
        <v>3125</v>
      </c>
      <c r="R25" s="12">
        <f>IF(AND(Q25&lt;=K25,INDEX(Assumptions!$C$26:$C$36,MATCH(G25,Assumptions!$A$26:$A$36,0))&lt;&gt;""),INDEX(Assumptions!$C$26:$C$36,MATCH(G25,Assumptions!$A$26:$A$36,0)),ROUND(G25*Q25,-2))</f>
        <v>2118800</v>
      </c>
      <c r="S25" s="47" t="str">
        <f>TRIM(IF(AND(Assumptions!$L$128&lt;&gt;"",D25&lt;Assumptions!$L$128),"View blocked / roof in front ("&amp;Assumptions!$M$128&amp;"); view premium still loading until L"&amp;Assumptions!$L$128&amp;". ","")&amp;IF(D25=Assumptions!$AH$128,"Mid-floor view premium fully loaded. ","")&amp;IF(D25=Assumptions!$P$128,"High-floor view premium fully loaded. ","")&amp;IF(Q25&lt;=K25,"At developer starting price.",""))</f>
        <v/>
      </c>
      <c r="T25" s="48" t="str">
        <f>Assumptions!$AJ$128</f>
        <v>SSE. Forest Grill pavilions in front of low floors; landed, nature reserve &amp; city views open from mid floor</v>
      </c>
    </row>
    <row r="26" spans="1:20" x14ac:dyDescent="0.2">
      <c r="A26" s="13" t="s">
        <v>138</v>
      </c>
      <c r="B26" s="14">
        <v>1</v>
      </c>
      <c r="C26" s="40">
        <v>2</v>
      </c>
      <c r="D26" s="40">
        <v>20</v>
      </c>
      <c r="E26" s="9" t="s">
        <v>43</v>
      </c>
      <c r="F26" s="14" t="s">
        <v>137</v>
      </c>
      <c r="G26" s="10">
        <v>678</v>
      </c>
      <c r="H26" s="14" t="s">
        <v>62</v>
      </c>
      <c r="I26" s="41" t="str">
        <f>Assumptions!$I$128</f>
        <v>B</v>
      </c>
      <c r="J26" s="14" t="str">
        <f>IF(D26&lt;=Assumptions!$V$128,"Low",IF(D26&lt;=Assumptions!$W$128,"Mid","High"))</f>
        <v>High</v>
      </c>
      <c r="K26" s="15">
        <f>Assumptions!$Q$128</f>
        <v>2613</v>
      </c>
      <c r="L26" s="42">
        <f>INDEX(Assumptions!$C$61:$C$90,D26)</f>
        <v>3028.0785714285716</v>
      </c>
      <c r="M26" s="43">
        <f>IF(D26&lt;=Assumptions!$G$128,Assumptions!$AK$128,IF(D26&lt;Assumptions!$AH$128,Assumptions!$AK$128+(Assumptions!$AL$128-Assumptions!$AK$128)*(D26-Assumptions!$G$128)/(Assumptions!$AH$128-Assumptions!$G$128),IF(D26&lt;Assumptions!$P$128,Assumptions!$AL$128+(Assumptions!$AM$128-Assumptions!$AL$128)*(D26-Assumptions!$AH$128)/(Assumptions!$P$128-Assumptions!$AH$128),Assumptions!$AM$128)))</f>
        <v>50000</v>
      </c>
      <c r="N26" s="44">
        <f t="shared" si="0"/>
        <v>73.746312684365776</v>
      </c>
      <c r="O26" s="45">
        <f t="shared" si="1"/>
        <v>3102</v>
      </c>
      <c r="P26" s="14" t="str">
        <f>IF(D26&gt;=Assumptions!$P$128,"High",IF(D26&gt;=Assumptions!$AH$128,"Mid",IF(D26&lt;=Assumptions!$G$128,"Low","Loading")))</f>
        <v>High</v>
      </c>
      <c r="Q26" s="46">
        <f>MAX(K26,MIN(Assumptions!$S$128,O26),Q27)</f>
        <v>3102</v>
      </c>
      <c r="R26" s="12">
        <f>IF(AND(Q26&lt;=K26,INDEX(Assumptions!$C$26:$C$36,MATCH(G26,Assumptions!$A$26:$A$36,0))&lt;&gt;""),INDEX(Assumptions!$C$26:$C$36,MATCH(G26,Assumptions!$A$26:$A$36,0)),ROUND(G26*Q26,-2))</f>
        <v>2103200</v>
      </c>
      <c r="S26" s="47" t="str">
        <f>TRIM(IF(AND(Assumptions!$L$128&lt;&gt;"",D26&lt;Assumptions!$L$128),"View blocked / roof in front ("&amp;Assumptions!$M$128&amp;"); view premium still loading until L"&amp;Assumptions!$L$128&amp;". ","")&amp;IF(D26=Assumptions!$AH$128,"Mid-floor view premium fully loaded. ","")&amp;IF(D26=Assumptions!$P$128,"High-floor view premium fully loaded. ","")&amp;IF(Q26&lt;=K26,"At developer starting price.",""))</f>
        <v/>
      </c>
      <c r="T26" s="48" t="str">
        <f>Assumptions!$AJ$128</f>
        <v>SSE. Forest Grill pavilions in front of low floors; landed, nature reserve &amp; city views open from mid floor</v>
      </c>
    </row>
    <row r="27" spans="1:20" x14ac:dyDescent="0.2">
      <c r="A27" s="13" t="s">
        <v>139</v>
      </c>
      <c r="B27" s="14">
        <v>1</v>
      </c>
      <c r="C27" s="40">
        <v>2</v>
      </c>
      <c r="D27" s="40">
        <v>19</v>
      </c>
      <c r="E27" s="9" t="s">
        <v>43</v>
      </c>
      <c r="F27" s="14" t="s">
        <v>137</v>
      </c>
      <c r="G27" s="10">
        <v>678</v>
      </c>
      <c r="H27" s="14" t="s">
        <v>62</v>
      </c>
      <c r="I27" s="41" t="str">
        <f>Assumptions!$I$128</f>
        <v>B</v>
      </c>
      <c r="J27" s="14" t="str">
        <f>IF(D27&lt;=Assumptions!$V$128,"Low",IF(D27&lt;=Assumptions!$W$128,"Mid","High"))</f>
        <v>High</v>
      </c>
      <c r="K27" s="15">
        <f>Assumptions!$Q$128</f>
        <v>2613</v>
      </c>
      <c r="L27" s="42">
        <f>INDEX(Assumptions!$C$61:$C$90,D27)</f>
        <v>3005.2928571428574</v>
      </c>
      <c r="M27" s="43">
        <f>IF(D27&lt;=Assumptions!$G$128,Assumptions!$AK$128,IF(D27&lt;Assumptions!$AH$128,Assumptions!$AK$128+(Assumptions!$AL$128-Assumptions!$AK$128)*(D27-Assumptions!$G$128)/(Assumptions!$AH$128-Assumptions!$G$128),IF(D27&lt;Assumptions!$P$128,Assumptions!$AL$128+(Assumptions!$AM$128-Assumptions!$AL$128)*(D27-Assumptions!$AH$128)/(Assumptions!$P$128-Assumptions!$AH$128),Assumptions!$AM$128)))</f>
        <v>50000</v>
      </c>
      <c r="N27" s="44">
        <f t="shared" si="0"/>
        <v>73.746312684365776</v>
      </c>
      <c r="O27" s="45">
        <f t="shared" si="1"/>
        <v>3079</v>
      </c>
      <c r="P27" s="14" t="str">
        <f>IF(D27&gt;=Assumptions!$P$128,"High",IF(D27&gt;=Assumptions!$AH$128,"Mid",IF(D27&lt;=Assumptions!$G$128,"Low","Loading")))</f>
        <v>High</v>
      </c>
      <c r="Q27" s="46">
        <f>MAX(K27,MIN(Assumptions!$S$128,O27),Q28)</f>
        <v>3079</v>
      </c>
      <c r="R27" s="12">
        <f>IF(AND(Q27&lt;=K27,INDEX(Assumptions!$C$26:$C$36,MATCH(G27,Assumptions!$A$26:$A$36,0))&lt;&gt;""),INDEX(Assumptions!$C$26:$C$36,MATCH(G27,Assumptions!$A$26:$A$36,0)),ROUND(G27*Q27,-2))</f>
        <v>2087600</v>
      </c>
      <c r="S27" s="47" t="str">
        <f>TRIM(IF(AND(Assumptions!$L$128&lt;&gt;"",D27&lt;Assumptions!$L$128),"View blocked / roof in front ("&amp;Assumptions!$M$128&amp;"); view premium still loading until L"&amp;Assumptions!$L$128&amp;". ","")&amp;IF(D27=Assumptions!$AH$128,"Mid-floor view premium fully loaded. ","")&amp;IF(D27=Assumptions!$P$128,"High-floor view premium fully loaded. ","")&amp;IF(Q27&lt;=K27,"At developer starting price.",""))</f>
        <v/>
      </c>
      <c r="T27" s="48" t="str">
        <f>Assumptions!$AJ$128</f>
        <v>SSE. Forest Grill pavilions in front of low floors; landed, nature reserve &amp; city views open from mid floor</v>
      </c>
    </row>
    <row r="28" spans="1:20" x14ac:dyDescent="0.2">
      <c r="A28" s="13" t="s">
        <v>140</v>
      </c>
      <c r="B28" s="14">
        <v>1</v>
      </c>
      <c r="C28" s="40">
        <v>2</v>
      </c>
      <c r="D28" s="40">
        <v>18</v>
      </c>
      <c r="E28" s="9" t="s">
        <v>43</v>
      </c>
      <c r="F28" s="14" t="s">
        <v>137</v>
      </c>
      <c r="G28" s="10">
        <v>678</v>
      </c>
      <c r="H28" s="14" t="s">
        <v>62</v>
      </c>
      <c r="I28" s="41" t="str">
        <f>Assumptions!$I$128</f>
        <v>B</v>
      </c>
      <c r="J28" s="14" t="str">
        <f>IF(D28&lt;=Assumptions!$V$128,"Low",IF(D28&lt;=Assumptions!$W$128,"Mid","High"))</f>
        <v>High</v>
      </c>
      <c r="K28" s="15">
        <f>Assumptions!$Q$128</f>
        <v>2613</v>
      </c>
      <c r="L28" s="42">
        <f>INDEX(Assumptions!$C$61:$C$90,D28)</f>
        <v>2982.5071428571428</v>
      </c>
      <c r="M28" s="43">
        <f>IF(D28&lt;=Assumptions!$G$128,Assumptions!$AK$128,IF(D28&lt;Assumptions!$AH$128,Assumptions!$AK$128+(Assumptions!$AL$128-Assumptions!$AK$128)*(D28-Assumptions!$G$128)/(Assumptions!$AH$128-Assumptions!$G$128),IF(D28&lt;Assumptions!$P$128,Assumptions!$AL$128+(Assumptions!$AM$128-Assumptions!$AL$128)*(D28-Assumptions!$AH$128)/(Assumptions!$P$128-Assumptions!$AH$128),Assumptions!$AM$128)))</f>
        <v>50000</v>
      </c>
      <c r="N28" s="44">
        <f t="shared" si="0"/>
        <v>73.746312684365776</v>
      </c>
      <c r="O28" s="45">
        <f t="shared" si="1"/>
        <v>3056</v>
      </c>
      <c r="P28" s="14" t="str">
        <f>IF(D28&gt;=Assumptions!$P$128,"High",IF(D28&gt;=Assumptions!$AH$128,"Mid",IF(D28&lt;=Assumptions!$G$128,"Low","Loading")))</f>
        <v>High</v>
      </c>
      <c r="Q28" s="46">
        <f>MAX(K28,MIN(Assumptions!$S$128,O28),Q29)</f>
        <v>3056</v>
      </c>
      <c r="R28" s="12">
        <f>IF(AND(Q28&lt;=K28,INDEX(Assumptions!$C$26:$C$36,MATCH(G28,Assumptions!$A$26:$A$36,0))&lt;&gt;""),INDEX(Assumptions!$C$26:$C$36,MATCH(G28,Assumptions!$A$26:$A$36,0)),ROUND(G28*Q28,-2))</f>
        <v>2072000</v>
      </c>
      <c r="S28" s="47" t="str">
        <f>TRIM(IF(AND(Assumptions!$L$128&lt;&gt;"",D28&lt;Assumptions!$L$128),"View blocked / roof in front ("&amp;Assumptions!$M$128&amp;"); view premium still loading until L"&amp;Assumptions!$L$128&amp;". ","")&amp;IF(D28=Assumptions!$AH$128,"Mid-floor view premium fully loaded. ","")&amp;IF(D28=Assumptions!$P$128,"High-floor view premium fully loaded. ","")&amp;IF(Q28&lt;=K28,"At developer starting price.",""))</f>
        <v/>
      </c>
      <c r="T28" s="48" t="str">
        <f>Assumptions!$AJ$128</f>
        <v>SSE. Forest Grill pavilions in front of low floors; landed, nature reserve &amp; city views open from mid floor</v>
      </c>
    </row>
    <row r="29" spans="1:20" x14ac:dyDescent="0.2">
      <c r="A29" s="13" t="s">
        <v>141</v>
      </c>
      <c r="B29" s="14">
        <v>1</v>
      </c>
      <c r="C29" s="40">
        <v>2</v>
      </c>
      <c r="D29" s="40">
        <v>17</v>
      </c>
      <c r="E29" s="9" t="s">
        <v>43</v>
      </c>
      <c r="F29" s="14" t="s">
        <v>137</v>
      </c>
      <c r="G29" s="10">
        <v>678</v>
      </c>
      <c r="H29" s="14" t="s">
        <v>62</v>
      </c>
      <c r="I29" s="41" t="str">
        <f>Assumptions!$I$128</f>
        <v>B</v>
      </c>
      <c r="J29" s="14" t="str">
        <f>IF(D29&lt;=Assumptions!$V$128,"Low",IF(D29&lt;=Assumptions!$W$128,"Mid","High"))</f>
        <v>High</v>
      </c>
      <c r="K29" s="15">
        <f>Assumptions!$Q$128</f>
        <v>2613</v>
      </c>
      <c r="L29" s="42">
        <f>INDEX(Assumptions!$C$61:$C$90,D29)</f>
        <v>2959.7214285714285</v>
      </c>
      <c r="M29" s="43">
        <f>IF(D29&lt;=Assumptions!$G$128,Assumptions!$AK$128,IF(D29&lt;Assumptions!$AH$128,Assumptions!$AK$128+(Assumptions!$AL$128-Assumptions!$AK$128)*(D29-Assumptions!$G$128)/(Assumptions!$AH$128-Assumptions!$G$128),IF(D29&lt;Assumptions!$P$128,Assumptions!$AL$128+(Assumptions!$AM$128-Assumptions!$AL$128)*(D29-Assumptions!$AH$128)/(Assumptions!$P$128-Assumptions!$AH$128),Assumptions!$AM$128)))</f>
        <v>50000</v>
      </c>
      <c r="N29" s="44">
        <f t="shared" si="0"/>
        <v>73.746312684365776</v>
      </c>
      <c r="O29" s="45">
        <f t="shared" si="1"/>
        <v>3033</v>
      </c>
      <c r="P29" s="14" t="str">
        <f>IF(D29&gt;=Assumptions!$P$128,"High",IF(D29&gt;=Assumptions!$AH$128,"Mid",IF(D29&lt;=Assumptions!$G$128,"Low","Loading")))</f>
        <v>High</v>
      </c>
      <c r="Q29" s="46">
        <f>MAX(K29,MIN(Assumptions!$S$128,O29),Q30)</f>
        <v>3033</v>
      </c>
      <c r="R29" s="12">
        <f>IF(AND(Q29&lt;=K29,INDEX(Assumptions!$C$26:$C$36,MATCH(G29,Assumptions!$A$26:$A$36,0))&lt;&gt;""),INDEX(Assumptions!$C$26:$C$36,MATCH(G29,Assumptions!$A$26:$A$36,0)),ROUND(G29*Q29,-2))</f>
        <v>2056400</v>
      </c>
      <c r="S29" s="47" t="str">
        <f>TRIM(IF(AND(Assumptions!$L$128&lt;&gt;"",D29&lt;Assumptions!$L$128),"View blocked / roof in front ("&amp;Assumptions!$M$128&amp;"); view premium still loading until L"&amp;Assumptions!$L$128&amp;". ","")&amp;IF(D29=Assumptions!$AH$128,"Mid-floor view premium fully loaded. ","")&amp;IF(D29=Assumptions!$P$128,"High-floor view premium fully loaded. ","")&amp;IF(Q29&lt;=K29,"At developer starting price.",""))</f>
        <v/>
      </c>
      <c r="T29" s="48" t="str">
        <f>Assumptions!$AJ$128</f>
        <v>SSE. Forest Grill pavilions in front of low floors; landed, nature reserve &amp; city views open from mid floor</v>
      </c>
    </row>
    <row r="30" spans="1:20" x14ac:dyDescent="0.2">
      <c r="A30" s="13" t="s">
        <v>142</v>
      </c>
      <c r="B30" s="14">
        <v>1</v>
      </c>
      <c r="C30" s="40">
        <v>2</v>
      </c>
      <c r="D30" s="40">
        <v>16</v>
      </c>
      <c r="E30" s="9" t="s">
        <v>43</v>
      </c>
      <c r="F30" s="14" t="s">
        <v>137</v>
      </c>
      <c r="G30" s="10">
        <v>678</v>
      </c>
      <c r="H30" s="14" t="s">
        <v>62</v>
      </c>
      <c r="I30" s="41" t="str">
        <f>Assumptions!$I$128</f>
        <v>B</v>
      </c>
      <c r="J30" s="14" t="str">
        <f>IF(D30&lt;=Assumptions!$V$128,"Low",IF(D30&lt;=Assumptions!$W$128,"Mid","High"))</f>
        <v>High</v>
      </c>
      <c r="K30" s="15">
        <f>Assumptions!$Q$128</f>
        <v>2613</v>
      </c>
      <c r="L30" s="42">
        <f>INDEX(Assumptions!$C$61:$C$90,D30)</f>
        <v>2936.9357142857143</v>
      </c>
      <c r="M30" s="43">
        <f>IF(D30&lt;=Assumptions!$G$128,Assumptions!$AK$128,IF(D30&lt;Assumptions!$AH$128,Assumptions!$AK$128+(Assumptions!$AL$128-Assumptions!$AK$128)*(D30-Assumptions!$G$128)/(Assumptions!$AH$128-Assumptions!$G$128),IF(D30&lt;Assumptions!$P$128,Assumptions!$AL$128+(Assumptions!$AM$128-Assumptions!$AL$128)*(D30-Assumptions!$AH$128)/(Assumptions!$P$128-Assumptions!$AH$128),Assumptions!$AM$128)))</f>
        <v>50000</v>
      </c>
      <c r="N30" s="44">
        <f t="shared" si="0"/>
        <v>73.746312684365776</v>
      </c>
      <c r="O30" s="45">
        <f t="shared" si="1"/>
        <v>3011</v>
      </c>
      <c r="P30" s="14" t="str">
        <f>IF(D30&gt;=Assumptions!$P$128,"High",IF(D30&gt;=Assumptions!$AH$128,"Mid",IF(D30&lt;=Assumptions!$G$128,"Low","Loading")))</f>
        <v>High</v>
      </c>
      <c r="Q30" s="46">
        <f>MAX(K30,MIN(Assumptions!$S$128,O30),Q31)</f>
        <v>3011</v>
      </c>
      <c r="R30" s="12">
        <f>IF(AND(Q30&lt;=K30,INDEX(Assumptions!$C$26:$C$36,MATCH(G30,Assumptions!$A$26:$A$36,0))&lt;&gt;""),INDEX(Assumptions!$C$26:$C$36,MATCH(G30,Assumptions!$A$26:$A$36,0)),ROUND(G30*Q30,-2))</f>
        <v>2041500</v>
      </c>
      <c r="S30" s="47" t="str">
        <f>TRIM(IF(AND(Assumptions!$L$128&lt;&gt;"",D30&lt;Assumptions!$L$128),"View blocked / roof in front ("&amp;Assumptions!$M$128&amp;"); view premium still loading until L"&amp;Assumptions!$L$128&amp;". ","")&amp;IF(D30=Assumptions!$AH$128,"Mid-floor view premium fully loaded. ","")&amp;IF(D30=Assumptions!$P$128,"High-floor view premium fully loaded. ","")&amp;IF(Q30&lt;=K30,"At developer starting price.",""))</f>
        <v>High-floor view premium fully loaded.</v>
      </c>
      <c r="T30" s="48" t="str">
        <f>Assumptions!$AJ$128</f>
        <v>SSE. Forest Grill pavilions in front of low floors; landed, nature reserve &amp; city views open from mid floor</v>
      </c>
    </row>
    <row r="31" spans="1:20" x14ac:dyDescent="0.2">
      <c r="A31" s="13" t="s">
        <v>143</v>
      </c>
      <c r="B31" s="14">
        <v>1</v>
      </c>
      <c r="C31" s="40">
        <v>2</v>
      </c>
      <c r="D31" s="40">
        <v>15</v>
      </c>
      <c r="E31" s="9" t="s">
        <v>43</v>
      </c>
      <c r="F31" s="14" t="s">
        <v>137</v>
      </c>
      <c r="G31" s="10">
        <v>678</v>
      </c>
      <c r="H31" s="14" t="s">
        <v>62</v>
      </c>
      <c r="I31" s="41" t="str">
        <f>Assumptions!$I$128</f>
        <v>B</v>
      </c>
      <c r="J31" s="14" t="str">
        <f>IF(D31&lt;=Assumptions!$V$128,"Low",IF(D31&lt;=Assumptions!$W$128,"Mid","High"))</f>
        <v>Mid</v>
      </c>
      <c r="K31" s="15">
        <f>Assumptions!$Q$128</f>
        <v>2613</v>
      </c>
      <c r="L31" s="42">
        <f>INDEX(Assumptions!$C$61:$C$90,D31)</f>
        <v>2914.15</v>
      </c>
      <c r="M31" s="43">
        <f>IF(D31&lt;=Assumptions!$G$128,Assumptions!$AK$128,IF(D31&lt;Assumptions!$AH$128,Assumptions!$AK$128+(Assumptions!$AL$128-Assumptions!$AK$128)*(D31-Assumptions!$G$128)/(Assumptions!$AH$128-Assumptions!$G$128),IF(D31&lt;Assumptions!$P$128,Assumptions!$AL$128+(Assumptions!$AM$128-Assumptions!$AL$128)*(D31-Assumptions!$AH$128)/(Assumptions!$P$128-Assumptions!$AH$128),Assumptions!$AM$128)))</f>
        <v>50000</v>
      </c>
      <c r="N31" s="44">
        <f t="shared" si="0"/>
        <v>73.746312684365776</v>
      </c>
      <c r="O31" s="45">
        <f t="shared" si="1"/>
        <v>2988</v>
      </c>
      <c r="P31" s="14" t="str">
        <f>IF(D31&gt;=Assumptions!$P$128,"High",IF(D31&gt;=Assumptions!$AH$128,"Mid",IF(D31&lt;=Assumptions!$G$128,"Low","Loading")))</f>
        <v>Mid</v>
      </c>
      <c r="Q31" s="46">
        <f>MAX(K31,MIN(Assumptions!$S$128,O31),Q32)</f>
        <v>2988</v>
      </c>
      <c r="R31" s="12">
        <f>IF(AND(Q31&lt;=K31,INDEX(Assumptions!$C$26:$C$36,MATCH(G31,Assumptions!$A$26:$A$36,0))&lt;&gt;""),INDEX(Assumptions!$C$26:$C$36,MATCH(G31,Assumptions!$A$26:$A$36,0)),ROUND(G31*Q31,-2))</f>
        <v>2025900</v>
      </c>
      <c r="S31" s="47" t="str">
        <f>TRIM(IF(AND(Assumptions!$L$128&lt;&gt;"",D31&lt;Assumptions!$L$128),"View blocked / roof in front ("&amp;Assumptions!$M$128&amp;"); view premium still loading until L"&amp;Assumptions!$L$128&amp;". ","")&amp;IF(D31=Assumptions!$AH$128,"Mid-floor view premium fully loaded. ","")&amp;IF(D31=Assumptions!$P$128,"High-floor view premium fully loaded. ","")&amp;IF(Q31&lt;=K31,"At developer starting price.",""))</f>
        <v/>
      </c>
      <c r="T31" s="48" t="str">
        <f>Assumptions!$AJ$128</f>
        <v>SSE. Forest Grill pavilions in front of low floors; landed, nature reserve &amp; city views open from mid floor</v>
      </c>
    </row>
    <row r="32" spans="1:20" x14ac:dyDescent="0.2">
      <c r="A32" s="13" t="s">
        <v>144</v>
      </c>
      <c r="B32" s="14">
        <v>1</v>
      </c>
      <c r="C32" s="40">
        <v>2</v>
      </c>
      <c r="D32" s="40">
        <v>14</v>
      </c>
      <c r="E32" s="9" t="s">
        <v>43</v>
      </c>
      <c r="F32" s="14" t="s">
        <v>137</v>
      </c>
      <c r="G32" s="10">
        <v>678</v>
      </c>
      <c r="H32" s="14" t="s">
        <v>62</v>
      </c>
      <c r="I32" s="41" t="str">
        <f>Assumptions!$I$128</f>
        <v>B</v>
      </c>
      <c r="J32" s="14" t="str">
        <f>IF(D32&lt;=Assumptions!$V$128,"Low",IF(D32&lt;=Assumptions!$W$128,"Mid","High"))</f>
        <v>Mid</v>
      </c>
      <c r="K32" s="15">
        <f>Assumptions!$Q$128</f>
        <v>2613</v>
      </c>
      <c r="L32" s="42">
        <f>INDEX(Assumptions!$C$61:$C$90,D32)</f>
        <v>2891.3642857142859</v>
      </c>
      <c r="M32" s="43">
        <f>IF(D32&lt;=Assumptions!$G$128,Assumptions!$AK$128,IF(D32&lt;Assumptions!$AH$128,Assumptions!$AK$128+(Assumptions!$AL$128-Assumptions!$AK$128)*(D32-Assumptions!$G$128)/(Assumptions!$AH$128-Assumptions!$G$128),IF(D32&lt;Assumptions!$P$128,Assumptions!$AL$128+(Assumptions!$AM$128-Assumptions!$AL$128)*(D32-Assumptions!$AH$128)/(Assumptions!$P$128-Assumptions!$AH$128),Assumptions!$AM$128)))</f>
        <v>50000</v>
      </c>
      <c r="N32" s="44">
        <f t="shared" si="0"/>
        <v>73.746312684365776</v>
      </c>
      <c r="O32" s="45">
        <f t="shared" si="1"/>
        <v>2965</v>
      </c>
      <c r="P32" s="14" t="str">
        <f>IF(D32&gt;=Assumptions!$P$128,"High",IF(D32&gt;=Assumptions!$AH$128,"Mid",IF(D32&lt;=Assumptions!$G$128,"Low","Loading")))</f>
        <v>Mid</v>
      </c>
      <c r="Q32" s="46">
        <f>MAX(K32,MIN(Assumptions!$S$128,O32),Q33)</f>
        <v>2965</v>
      </c>
      <c r="R32" s="12">
        <f>IF(AND(Q32&lt;=K32,INDEX(Assumptions!$C$26:$C$36,MATCH(G32,Assumptions!$A$26:$A$36,0))&lt;&gt;""),INDEX(Assumptions!$C$26:$C$36,MATCH(G32,Assumptions!$A$26:$A$36,0)),ROUND(G32*Q32,-2))</f>
        <v>2010300</v>
      </c>
      <c r="S32" s="47" t="str">
        <f>TRIM(IF(AND(Assumptions!$L$128&lt;&gt;"",D32&lt;Assumptions!$L$128),"View blocked / roof in front ("&amp;Assumptions!$M$128&amp;"); view premium still loading until L"&amp;Assumptions!$L$128&amp;". ","")&amp;IF(D32=Assumptions!$AH$128,"Mid-floor view premium fully loaded. ","")&amp;IF(D32=Assumptions!$P$128,"High-floor view premium fully loaded. ","")&amp;IF(Q32&lt;=K32,"At developer starting price.",""))</f>
        <v/>
      </c>
      <c r="T32" s="48" t="str">
        <f>Assumptions!$AJ$128</f>
        <v>SSE. Forest Grill pavilions in front of low floors; landed, nature reserve &amp; city views open from mid floor</v>
      </c>
    </row>
    <row r="33" spans="1:20" x14ac:dyDescent="0.2">
      <c r="A33" s="13" t="s">
        <v>145</v>
      </c>
      <c r="B33" s="14">
        <v>1</v>
      </c>
      <c r="C33" s="40">
        <v>2</v>
      </c>
      <c r="D33" s="40">
        <v>13</v>
      </c>
      <c r="E33" s="9" t="s">
        <v>43</v>
      </c>
      <c r="F33" s="14" t="s">
        <v>137</v>
      </c>
      <c r="G33" s="10">
        <v>678</v>
      </c>
      <c r="H33" s="14" t="s">
        <v>62</v>
      </c>
      <c r="I33" s="41" t="str">
        <f>Assumptions!$I$128</f>
        <v>B</v>
      </c>
      <c r="J33" s="14" t="str">
        <f>IF(D33&lt;=Assumptions!$V$128,"Low",IF(D33&lt;=Assumptions!$W$128,"Mid","High"))</f>
        <v>Mid</v>
      </c>
      <c r="K33" s="15">
        <f>Assumptions!$Q$128</f>
        <v>2613</v>
      </c>
      <c r="L33" s="42">
        <f>INDEX(Assumptions!$C$61:$C$90,D33)</f>
        <v>2868.5785714285716</v>
      </c>
      <c r="M33" s="43">
        <f>IF(D33&lt;=Assumptions!$G$128,Assumptions!$AK$128,IF(D33&lt;Assumptions!$AH$128,Assumptions!$AK$128+(Assumptions!$AL$128-Assumptions!$AK$128)*(D33-Assumptions!$G$128)/(Assumptions!$AH$128-Assumptions!$G$128),IF(D33&lt;Assumptions!$P$128,Assumptions!$AL$128+(Assumptions!$AM$128-Assumptions!$AL$128)*(D33-Assumptions!$AH$128)/(Assumptions!$P$128-Assumptions!$AH$128),Assumptions!$AM$128)))</f>
        <v>50000</v>
      </c>
      <c r="N33" s="44">
        <f t="shared" si="0"/>
        <v>73.746312684365776</v>
      </c>
      <c r="O33" s="45">
        <f t="shared" si="1"/>
        <v>2942</v>
      </c>
      <c r="P33" s="14" t="str">
        <f>IF(D33&gt;=Assumptions!$P$128,"High",IF(D33&gt;=Assumptions!$AH$128,"Mid",IF(D33&lt;=Assumptions!$G$128,"Low","Loading")))</f>
        <v>Mid</v>
      </c>
      <c r="Q33" s="46">
        <f>MAX(K33,MIN(Assumptions!$S$128,O33),Q34)</f>
        <v>2942</v>
      </c>
      <c r="R33" s="12">
        <f>IF(AND(Q33&lt;=K33,INDEX(Assumptions!$C$26:$C$36,MATCH(G33,Assumptions!$A$26:$A$36,0))&lt;&gt;""),INDEX(Assumptions!$C$26:$C$36,MATCH(G33,Assumptions!$A$26:$A$36,0)),ROUND(G33*Q33,-2))</f>
        <v>1994700</v>
      </c>
      <c r="S33" s="47" t="str">
        <f>TRIM(IF(AND(Assumptions!$L$128&lt;&gt;"",D33&lt;Assumptions!$L$128),"View blocked / roof in front ("&amp;Assumptions!$M$128&amp;"); view premium still loading until L"&amp;Assumptions!$L$128&amp;". ","")&amp;IF(D33=Assumptions!$AH$128,"Mid-floor view premium fully loaded. ","")&amp;IF(D33=Assumptions!$P$128,"High-floor view premium fully loaded. ","")&amp;IF(Q33&lt;=K33,"At developer starting price.",""))</f>
        <v/>
      </c>
      <c r="T33" s="48" t="str">
        <f>Assumptions!$AJ$128</f>
        <v>SSE. Forest Grill pavilions in front of low floors; landed, nature reserve &amp; city views open from mid floor</v>
      </c>
    </row>
    <row r="34" spans="1:20" x14ac:dyDescent="0.2">
      <c r="A34" s="13" t="s">
        <v>146</v>
      </c>
      <c r="B34" s="14">
        <v>1</v>
      </c>
      <c r="C34" s="40">
        <v>2</v>
      </c>
      <c r="D34" s="40">
        <v>12</v>
      </c>
      <c r="E34" s="9" t="s">
        <v>43</v>
      </c>
      <c r="F34" s="14" t="s">
        <v>137</v>
      </c>
      <c r="G34" s="10">
        <v>678</v>
      </c>
      <c r="H34" s="14" t="s">
        <v>62</v>
      </c>
      <c r="I34" s="41" t="str">
        <f>Assumptions!$I$128</f>
        <v>B</v>
      </c>
      <c r="J34" s="14" t="str">
        <f>IF(D34&lt;=Assumptions!$V$128,"Low",IF(D34&lt;=Assumptions!$W$128,"Mid","High"))</f>
        <v>Mid</v>
      </c>
      <c r="K34" s="15">
        <f>Assumptions!$Q$128</f>
        <v>2613</v>
      </c>
      <c r="L34" s="42">
        <f>INDEX(Assumptions!$C$61:$C$90,D34)</f>
        <v>2845.7928571428574</v>
      </c>
      <c r="M34" s="43">
        <f>IF(D34&lt;=Assumptions!$G$128,Assumptions!$AK$128,IF(D34&lt;Assumptions!$AH$128,Assumptions!$AK$128+(Assumptions!$AL$128-Assumptions!$AK$128)*(D34-Assumptions!$G$128)/(Assumptions!$AH$128-Assumptions!$G$128),IF(D34&lt;Assumptions!$P$128,Assumptions!$AL$128+(Assumptions!$AM$128-Assumptions!$AL$128)*(D34-Assumptions!$AH$128)/(Assumptions!$P$128-Assumptions!$AH$128),Assumptions!$AM$128)))</f>
        <v>50000</v>
      </c>
      <c r="N34" s="44">
        <f t="shared" si="0"/>
        <v>73.746312684365776</v>
      </c>
      <c r="O34" s="45">
        <f t="shared" si="1"/>
        <v>2920</v>
      </c>
      <c r="P34" s="14" t="str">
        <f>IF(D34&gt;=Assumptions!$P$128,"High",IF(D34&gt;=Assumptions!$AH$128,"Mid",IF(D34&lt;=Assumptions!$G$128,"Low","Loading")))</f>
        <v>Mid</v>
      </c>
      <c r="Q34" s="46">
        <f>MAX(K34,MIN(Assumptions!$S$128,O34),Q35)</f>
        <v>2920</v>
      </c>
      <c r="R34" s="12">
        <f>IF(AND(Q34&lt;=K34,INDEX(Assumptions!$C$26:$C$36,MATCH(G34,Assumptions!$A$26:$A$36,0))&lt;&gt;""),INDEX(Assumptions!$C$26:$C$36,MATCH(G34,Assumptions!$A$26:$A$36,0)),ROUND(G34*Q34,-2))</f>
        <v>1979800</v>
      </c>
      <c r="S34" s="47" t="str">
        <f>TRIM(IF(AND(Assumptions!$L$128&lt;&gt;"",D34&lt;Assumptions!$L$128),"View blocked / roof in front ("&amp;Assumptions!$M$128&amp;"); view premium still loading until L"&amp;Assumptions!$L$128&amp;". ","")&amp;IF(D34=Assumptions!$AH$128,"Mid-floor view premium fully loaded. ","")&amp;IF(D34=Assumptions!$P$128,"High-floor view premium fully loaded. ","")&amp;IF(Q34&lt;=K34,"At developer starting price.",""))</f>
        <v/>
      </c>
      <c r="T34" s="48" t="str">
        <f>Assumptions!$AJ$128</f>
        <v>SSE. Forest Grill pavilions in front of low floors; landed, nature reserve &amp; city views open from mid floor</v>
      </c>
    </row>
    <row r="35" spans="1:20" x14ac:dyDescent="0.2">
      <c r="A35" s="13" t="s">
        <v>147</v>
      </c>
      <c r="B35" s="14">
        <v>1</v>
      </c>
      <c r="C35" s="40">
        <v>2</v>
      </c>
      <c r="D35" s="40">
        <v>11</v>
      </c>
      <c r="E35" s="9" t="s">
        <v>43</v>
      </c>
      <c r="F35" s="14" t="s">
        <v>137</v>
      </c>
      <c r="G35" s="10">
        <v>678</v>
      </c>
      <c r="H35" s="14" t="s">
        <v>62</v>
      </c>
      <c r="I35" s="41" t="str">
        <f>Assumptions!$I$128</f>
        <v>B</v>
      </c>
      <c r="J35" s="14" t="str">
        <f>IF(D35&lt;=Assumptions!$V$128,"Low",IF(D35&lt;=Assumptions!$W$128,"Mid","High"))</f>
        <v>Mid</v>
      </c>
      <c r="K35" s="15">
        <f>Assumptions!$Q$128</f>
        <v>2613</v>
      </c>
      <c r="L35" s="42">
        <f>INDEX(Assumptions!$C$61:$C$90,D35)</f>
        <v>2826.6287532991773</v>
      </c>
      <c r="M35" s="43">
        <f>IF(D35&lt;=Assumptions!$G$128,Assumptions!$AK$128,IF(D35&lt;Assumptions!$AH$128,Assumptions!$AK$128+(Assumptions!$AL$128-Assumptions!$AK$128)*(D35-Assumptions!$G$128)/(Assumptions!$AH$128-Assumptions!$G$128),IF(D35&lt;Assumptions!$P$128,Assumptions!$AL$128+(Assumptions!$AM$128-Assumptions!$AL$128)*(D35-Assumptions!$AH$128)/(Assumptions!$P$128-Assumptions!$AH$128),Assumptions!$AM$128)))</f>
        <v>50000</v>
      </c>
      <c r="N35" s="44">
        <f t="shared" si="0"/>
        <v>73.746312684365776</v>
      </c>
      <c r="O35" s="45">
        <f t="shared" si="1"/>
        <v>2900</v>
      </c>
      <c r="P35" s="14" t="str">
        <f>IF(D35&gt;=Assumptions!$P$128,"High",IF(D35&gt;=Assumptions!$AH$128,"Mid",IF(D35&lt;=Assumptions!$G$128,"Low","Loading")))</f>
        <v>Mid</v>
      </c>
      <c r="Q35" s="46">
        <f>MAX(K35,MIN(Assumptions!$S$128,O35),Q36)</f>
        <v>2900</v>
      </c>
      <c r="R35" s="12">
        <f>IF(AND(Q35&lt;=K35,INDEX(Assumptions!$C$26:$C$36,MATCH(G35,Assumptions!$A$26:$A$36,0))&lt;&gt;""),INDEX(Assumptions!$C$26:$C$36,MATCH(G35,Assumptions!$A$26:$A$36,0)),ROUND(G35*Q35,-2))</f>
        <v>1966200</v>
      </c>
      <c r="S35" s="47" t="str">
        <f>TRIM(IF(AND(Assumptions!$L$128&lt;&gt;"",D35&lt;Assumptions!$L$128),"View blocked / roof in front ("&amp;Assumptions!$M$128&amp;"); view premium still loading until L"&amp;Assumptions!$L$128&amp;". ","")&amp;IF(D35=Assumptions!$AH$128,"Mid-floor view premium fully loaded. ","")&amp;IF(D35=Assumptions!$P$128,"High-floor view premium fully loaded. ","")&amp;IF(Q35&lt;=K35,"At developer starting price.",""))</f>
        <v/>
      </c>
      <c r="T35" s="48" t="str">
        <f>Assumptions!$AJ$128</f>
        <v>SSE. Forest Grill pavilions in front of low floors; landed, nature reserve &amp; city views open from mid floor</v>
      </c>
    </row>
    <row r="36" spans="1:20" x14ac:dyDescent="0.2">
      <c r="A36" s="13" t="s">
        <v>148</v>
      </c>
      <c r="B36" s="14">
        <v>1</v>
      </c>
      <c r="C36" s="40">
        <v>2</v>
      </c>
      <c r="D36" s="40">
        <v>10</v>
      </c>
      <c r="E36" s="9" t="s">
        <v>43</v>
      </c>
      <c r="F36" s="14" t="s">
        <v>137</v>
      </c>
      <c r="G36" s="10">
        <v>678</v>
      </c>
      <c r="H36" s="14" t="s">
        <v>62</v>
      </c>
      <c r="I36" s="41" t="str">
        <f>Assumptions!$I$128</f>
        <v>B</v>
      </c>
      <c r="J36" s="14" t="str">
        <f>IF(D36&lt;=Assumptions!$V$128,"Low",IF(D36&lt;=Assumptions!$W$128,"Mid","High"))</f>
        <v>Mid</v>
      </c>
      <c r="K36" s="15">
        <f>Assumptions!$Q$128</f>
        <v>2613</v>
      </c>
      <c r="L36" s="42">
        <f>INDEX(Assumptions!$C$61:$C$90,D36)</f>
        <v>2811.0862598975314</v>
      </c>
      <c r="M36" s="43">
        <f>IF(D36&lt;=Assumptions!$G$128,Assumptions!$AK$128,IF(D36&lt;Assumptions!$AH$128,Assumptions!$AK$128+(Assumptions!$AL$128-Assumptions!$AK$128)*(D36-Assumptions!$G$128)/(Assumptions!$AH$128-Assumptions!$G$128),IF(D36&lt;Assumptions!$P$128,Assumptions!$AL$128+(Assumptions!$AM$128-Assumptions!$AL$128)*(D36-Assumptions!$AH$128)/(Assumptions!$P$128-Assumptions!$AH$128),Assumptions!$AM$128)))</f>
        <v>50000</v>
      </c>
      <c r="N36" s="44">
        <f t="shared" si="0"/>
        <v>73.746312684365776</v>
      </c>
      <c r="O36" s="45">
        <f t="shared" si="1"/>
        <v>2885</v>
      </c>
      <c r="P36" s="14" t="str">
        <f>IF(D36&gt;=Assumptions!$P$128,"High",IF(D36&gt;=Assumptions!$AH$128,"Mid",IF(D36&lt;=Assumptions!$G$128,"Low","Loading")))</f>
        <v>Mid</v>
      </c>
      <c r="Q36" s="46">
        <f>MAX(K36,MIN(Assumptions!$S$128,O36),Q37)</f>
        <v>2885</v>
      </c>
      <c r="R36" s="12">
        <f>IF(AND(Q36&lt;=K36,INDEX(Assumptions!$C$26:$C$36,MATCH(G36,Assumptions!$A$26:$A$36,0))&lt;&gt;""),INDEX(Assumptions!$C$26:$C$36,MATCH(G36,Assumptions!$A$26:$A$36,0)),ROUND(G36*Q36,-2))</f>
        <v>1956000</v>
      </c>
      <c r="S36" s="47" t="str">
        <f>TRIM(IF(AND(Assumptions!$L$128&lt;&gt;"",D36&lt;Assumptions!$L$128),"View blocked / roof in front ("&amp;Assumptions!$M$128&amp;"); view premium still loading until L"&amp;Assumptions!$L$128&amp;". ","")&amp;IF(D36=Assumptions!$AH$128,"Mid-floor view premium fully loaded. ","")&amp;IF(D36=Assumptions!$P$128,"High-floor view premium fully loaded. ","")&amp;IF(Q36&lt;=K36,"At developer starting price.",""))</f>
        <v/>
      </c>
      <c r="T36" s="48" t="str">
        <f>Assumptions!$AJ$128</f>
        <v>SSE. Forest Grill pavilions in front of low floors; landed, nature reserve &amp; city views open from mid floor</v>
      </c>
    </row>
    <row r="37" spans="1:20" x14ac:dyDescent="0.2">
      <c r="A37" s="13" t="s">
        <v>149</v>
      </c>
      <c r="B37" s="14">
        <v>1</v>
      </c>
      <c r="C37" s="40">
        <v>2</v>
      </c>
      <c r="D37" s="40">
        <v>9</v>
      </c>
      <c r="E37" s="9" t="s">
        <v>43</v>
      </c>
      <c r="F37" s="14" t="s">
        <v>137</v>
      </c>
      <c r="G37" s="10">
        <v>678</v>
      </c>
      <c r="H37" s="14" t="s">
        <v>62</v>
      </c>
      <c r="I37" s="41" t="str">
        <f>Assumptions!$I$128</f>
        <v>B</v>
      </c>
      <c r="J37" s="14" t="str">
        <f>IF(D37&lt;=Assumptions!$V$128,"Low",IF(D37&lt;=Assumptions!$W$128,"Mid","High"))</f>
        <v>Mid</v>
      </c>
      <c r="K37" s="15">
        <f>Assumptions!$Q$128</f>
        <v>2613</v>
      </c>
      <c r="L37" s="42">
        <f>INDEX(Assumptions!$C$61:$C$90,D37)</f>
        <v>2795.5437664958858</v>
      </c>
      <c r="M37" s="43">
        <f>IF(D37&lt;=Assumptions!$G$128,Assumptions!$AK$128,IF(D37&lt;Assumptions!$AH$128,Assumptions!$AK$128+(Assumptions!$AL$128-Assumptions!$AK$128)*(D37-Assumptions!$G$128)/(Assumptions!$AH$128-Assumptions!$G$128),IF(D37&lt;Assumptions!$P$128,Assumptions!$AL$128+(Assumptions!$AM$128-Assumptions!$AL$128)*(D37-Assumptions!$AH$128)/(Assumptions!$P$128-Assumptions!$AH$128),Assumptions!$AM$128)))</f>
        <v>50000</v>
      </c>
      <c r="N37" s="44">
        <f t="shared" si="0"/>
        <v>73.746312684365776</v>
      </c>
      <c r="O37" s="45">
        <f t="shared" si="1"/>
        <v>2869</v>
      </c>
      <c r="P37" s="14" t="str">
        <f>IF(D37&gt;=Assumptions!$P$128,"High",IF(D37&gt;=Assumptions!$AH$128,"Mid",IF(D37&lt;=Assumptions!$G$128,"Low","Loading")))</f>
        <v>Mid</v>
      </c>
      <c r="Q37" s="46">
        <f>MAX(K37,MIN(Assumptions!$S$128,O37),Q38)</f>
        <v>2869</v>
      </c>
      <c r="R37" s="12">
        <f>IF(AND(Q37&lt;=K37,INDEX(Assumptions!$C$26:$C$36,MATCH(G37,Assumptions!$A$26:$A$36,0))&lt;&gt;""),INDEX(Assumptions!$C$26:$C$36,MATCH(G37,Assumptions!$A$26:$A$36,0)),ROUND(G37*Q37,-2))</f>
        <v>1945200</v>
      </c>
      <c r="S37" s="47" t="str">
        <f>TRIM(IF(AND(Assumptions!$L$128&lt;&gt;"",D37&lt;Assumptions!$L$128),"View blocked / roof in front ("&amp;Assumptions!$M$128&amp;"); view premium still loading until L"&amp;Assumptions!$L$128&amp;". ","")&amp;IF(D37=Assumptions!$AH$128,"Mid-floor view premium fully loaded. ","")&amp;IF(D37=Assumptions!$P$128,"High-floor view premium fully loaded. ","")&amp;IF(Q37&lt;=K37,"At developer starting price.",""))</f>
        <v/>
      </c>
      <c r="T37" s="48" t="str">
        <f>Assumptions!$AJ$128</f>
        <v>SSE. Forest Grill pavilions in front of low floors; landed, nature reserve &amp; city views open from mid floor</v>
      </c>
    </row>
    <row r="38" spans="1:20" x14ac:dyDescent="0.2">
      <c r="A38" s="13" t="s">
        <v>150</v>
      </c>
      <c r="B38" s="14">
        <v>1</v>
      </c>
      <c r="C38" s="40">
        <v>2</v>
      </c>
      <c r="D38" s="40">
        <v>8</v>
      </c>
      <c r="E38" s="9" t="s">
        <v>43</v>
      </c>
      <c r="F38" s="14" t="s">
        <v>137</v>
      </c>
      <c r="G38" s="10">
        <v>678</v>
      </c>
      <c r="H38" s="14" t="s">
        <v>62</v>
      </c>
      <c r="I38" s="41" t="str">
        <f>Assumptions!$I$128</f>
        <v>B</v>
      </c>
      <c r="J38" s="14" t="str">
        <f>IF(D38&lt;=Assumptions!$V$128,"Low",IF(D38&lt;=Assumptions!$W$128,"Mid","High"))</f>
        <v>Mid</v>
      </c>
      <c r="K38" s="15">
        <f>Assumptions!$Q$128</f>
        <v>2613</v>
      </c>
      <c r="L38" s="42">
        <f>INDEX(Assumptions!$C$61:$C$90,D38)</f>
        <v>2780.0012730942403</v>
      </c>
      <c r="M38" s="43">
        <f>IF(D38&lt;=Assumptions!$G$128,Assumptions!$AK$128,IF(D38&lt;Assumptions!$AH$128,Assumptions!$AK$128+(Assumptions!$AL$128-Assumptions!$AK$128)*(D38-Assumptions!$G$128)/(Assumptions!$AH$128-Assumptions!$G$128),IF(D38&lt;Assumptions!$P$128,Assumptions!$AL$128+(Assumptions!$AM$128-Assumptions!$AL$128)*(D38-Assumptions!$AH$128)/(Assumptions!$P$128-Assumptions!$AH$128),Assumptions!$AM$128)))</f>
        <v>50000</v>
      </c>
      <c r="N38" s="44">
        <f t="shared" si="0"/>
        <v>73.746312684365776</v>
      </c>
      <c r="O38" s="45">
        <f t="shared" si="1"/>
        <v>2854</v>
      </c>
      <c r="P38" s="14" t="str">
        <f>IF(D38&gt;=Assumptions!$P$128,"High",IF(D38&gt;=Assumptions!$AH$128,"Mid",IF(D38&lt;=Assumptions!$G$128,"Low","Loading")))</f>
        <v>Mid</v>
      </c>
      <c r="Q38" s="46">
        <f>MAX(K38,MIN(Assumptions!$S$128,O38),Q39)</f>
        <v>2854</v>
      </c>
      <c r="R38" s="12">
        <f>IF(AND(Q38&lt;=K38,INDEX(Assumptions!$C$26:$C$36,MATCH(G38,Assumptions!$A$26:$A$36,0))&lt;&gt;""),INDEX(Assumptions!$C$26:$C$36,MATCH(G38,Assumptions!$A$26:$A$36,0)),ROUND(G38*Q38,-2))</f>
        <v>1935000</v>
      </c>
      <c r="S38" s="47" t="str">
        <f>TRIM(IF(AND(Assumptions!$L$128&lt;&gt;"",D38&lt;Assumptions!$L$128),"View blocked / roof in front ("&amp;Assumptions!$M$128&amp;"); view premium still loading until L"&amp;Assumptions!$L$128&amp;". ","")&amp;IF(D38=Assumptions!$AH$128,"Mid-floor view premium fully loaded. ","")&amp;IF(D38=Assumptions!$P$128,"High-floor view premium fully loaded. ","")&amp;IF(Q38&lt;=K38,"At developer starting price.",""))</f>
        <v>Mid-floor view premium fully loaded.</v>
      </c>
      <c r="T38" s="48" t="str">
        <f>Assumptions!$AJ$128</f>
        <v>SSE. Forest Grill pavilions in front of low floors; landed, nature reserve &amp; city views open from mid floor</v>
      </c>
    </row>
    <row r="39" spans="1:20" x14ac:dyDescent="0.2">
      <c r="A39" s="13" t="s">
        <v>151</v>
      </c>
      <c r="B39" s="14">
        <v>1</v>
      </c>
      <c r="C39" s="40">
        <v>2</v>
      </c>
      <c r="D39" s="40">
        <v>7</v>
      </c>
      <c r="E39" s="9" t="s">
        <v>43</v>
      </c>
      <c r="F39" s="14" t="s">
        <v>137</v>
      </c>
      <c r="G39" s="10">
        <v>678</v>
      </c>
      <c r="H39" s="14" t="s">
        <v>62</v>
      </c>
      <c r="I39" s="41" t="str">
        <f>Assumptions!$I$128</f>
        <v>B</v>
      </c>
      <c r="J39" s="14" t="str">
        <f>IF(D39&lt;=Assumptions!$V$128,"Low",IF(D39&lt;=Assumptions!$W$128,"Mid","High"))</f>
        <v>Low</v>
      </c>
      <c r="K39" s="15">
        <f>Assumptions!$Q$128</f>
        <v>2613</v>
      </c>
      <c r="L39" s="42">
        <f>INDEX(Assumptions!$C$61:$C$90,D39)</f>
        <v>2764.4587796925944</v>
      </c>
      <c r="M39" s="43">
        <f>IF(D39&lt;=Assumptions!$G$128,Assumptions!$AK$128,IF(D39&lt;Assumptions!$AH$128,Assumptions!$AK$128+(Assumptions!$AL$128-Assumptions!$AK$128)*(D39-Assumptions!$G$128)/(Assumptions!$AH$128-Assumptions!$G$128),IF(D39&lt;Assumptions!$P$128,Assumptions!$AL$128+(Assumptions!$AM$128-Assumptions!$AL$128)*(D39-Assumptions!$AH$128)/(Assumptions!$P$128-Assumptions!$AH$128),Assumptions!$AM$128)))</f>
        <v>33333.333333333328</v>
      </c>
      <c r="N39" s="44">
        <f t="shared" si="0"/>
        <v>49.164208456243848</v>
      </c>
      <c r="O39" s="45">
        <f t="shared" si="1"/>
        <v>2814</v>
      </c>
      <c r="P39" s="14" t="str">
        <f>IF(D39&gt;=Assumptions!$P$128,"High",IF(D39&gt;=Assumptions!$AH$128,"Mid",IF(D39&lt;=Assumptions!$G$128,"Low","Loading")))</f>
        <v>Loading</v>
      </c>
      <c r="Q39" s="46">
        <f>MAX(K39,MIN(Assumptions!$S$128,O39),Q40)</f>
        <v>2814</v>
      </c>
      <c r="R39" s="12">
        <f>IF(AND(Q39&lt;=K39,INDEX(Assumptions!$C$26:$C$36,MATCH(G39,Assumptions!$A$26:$A$36,0))&lt;&gt;""),INDEX(Assumptions!$C$26:$C$36,MATCH(G39,Assumptions!$A$26:$A$36,0)),ROUND(G39*Q39,-2))</f>
        <v>1907900</v>
      </c>
      <c r="S39" s="47" t="str">
        <f>TRIM(IF(AND(Assumptions!$L$128&lt;&gt;"",D39&lt;Assumptions!$L$128),"View blocked / roof in front ("&amp;Assumptions!$M$128&amp;"); view premium still loading until L"&amp;Assumptions!$L$128&amp;". ","")&amp;IF(D39=Assumptions!$AH$128,"Mid-floor view premium fully loaded. ","")&amp;IF(D39=Assumptions!$P$128,"High-floor view premium fully loaded. ","")&amp;IF(Q39&lt;=K39,"At developer starting price.",""))</f>
        <v/>
      </c>
      <c r="T39" s="48" t="str">
        <f>Assumptions!$AJ$128</f>
        <v>SSE. Forest Grill pavilions in front of low floors; landed, nature reserve &amp; city views open from mid floor</v>
      </c>
    </row>
    <row r="40" spans="1:20" x14ac:dyDescent="0.2">
      <c r="A40" s="13" t="s">
        <v>152</v>
      </c>
      <c r="B40" s="14">
        <v>1</v>
      </c>
      <c r="C40" s="40">
        <v>2</v>
      </c>
      <c r="D40" s="40">
        <v>6</v>
      </c>
      <c r="E40" s="9" t="s">
        <v>43</v>
      </c>
      <c r="F40" s="14" t="s">
        <v>137</v>
      </c>
      <c r="G40" s="10">
        <v>678</v>
      </c>
      <c r="H40" s="14" t="s">
        <v>62</v>
      </c>
      <c r="I40" s="41" t="str">
        <f>Assumptions!$I$128</f>
        <v>B</v>
      </c>
      <c r="J40" s="14" t="str">
        <f>IF(D40&lt;=Assumptions!$V$128,"Low",IF(D40&lt;=Assumptions!$W$128,"Mid","High"))</f>
        <v>Low</v>
      </c>
      <c r="K40" s="15">
        <f>Assumptions!$Q$128</f>
        <v>2613</v>
      </c>
      <c r="L40" s="42">
        <f>INDEX(Assumptions!$C$61:$C$90,D40)</f>
        <v>2748.9162862909488</v>
      </c>
      <c r="M40" s="43">
        <f>IF(D40&lt;=Assumptions!$G$128,Assumptions!$AK$128,IF(D40&lt;Assumptions!$AH$128,Assumptions!$AK$128+(Assumptions!$AL$128-Assumptions!$AK$128)*(D40-Assumptions!$G$128)/(Assumptions!$AH$128-Assumptions!$G$128),IF(D40&lt;Assumptions!$P$128,Assumptions!$AL$128+(Assumptions!$AM$128-Assumptions!$AL$128)*(D40-Assumptions!$AH$128)/(Assumptions!$P$128-Assumptions!$AH$128),Assumptions!$AM$128)))</f>
        <v>16666.666666666672</v>
      </c>
      <c r="N40" s="44">
        <f t="shared" si="0"/>
        <v>24.582104228121935</v>
      </c>
      <c r="O40" s="45">
        <f t="shared" si="1"/>
        <v>2773</v>
      </c>
      <c r="P40" s="14" t="str">
        <f>IF(D40&gt;=Assumptions!$P$128,"High",IF(D40&gt;=Assumptions!$AH$128,"Mid",IF(D40&lt;=Assumptions!$G$128,"Low","Loading")))</f>
        <v>Loading</v>
      </c>
      <c r="Q40" s="46">
        <f>MAX(K40,MIN(Assumptions!$S$128,O40),Q41)</f>
        <v>2773</v>
      </c>
      <c r="R40" s="12">
        <f>IF(AND(Q40&lt;=K40,INDEX(Assumptions!$C$26:$C$36,MATCH(G40,Assumptions!$A$26:$A$36,0))&lt;&gt;""),INDEX(Assumptions!$C$26:$C$36,MATCH(G40,Assumptions!$A$26:$A$36,0)),ROUND(G40*Q40,-2))</f>
        <v>1880100</v>
      </c>
      <c r="S40" s="47" t="str">
        <f>TRIM(IF(AND(Assumptions!$L$128&lt;&gt;"",D40&lt;Assumptions!$L$128),"View blocked / roof in front ("&amp;Assumptions!$M$128&amp;"); view premium still loading until L"&amp;Assumptions!$L$128&amp;". ","")&amp;IF(D40=Assumptions!$AH$128,"Mid-floor view premium fully loaded. ","")&amp;IF(D40=Assumptions!$P$128,"High-floor view premium fully loaded. ","")&amp;IF(Q40&lt;=K40,"At developer starting price.",""))</f>
        <v/>
      </c>
      <c r="T40" s="48" t="str">
        <f>Assumptions!$AJ$128</f>
        <v>SSE. Forest Grill pavilions in front of low floors; landed, nature reserve &amp; city views open from mid floor</v>
      </c>
    </row>
    <row r="41" spans="1:20" x14ac:dyDescent="0.2">
      <c r="A41" s="13" t="s">
        <v>153</v>
      </c>
      <c r="B41" s="14">
        <v>1</v>
      </c>
      <c r="C41" s="40">
        <v>2</v>
      </c>
      <c r="D41" s="40">
        <v>5</v>
      </c>
      <c r="E41" s="9" t="s">
        <v>43</v>
      </c>
      <c r="F41" s="14" t="s">
        <v>137</v>
      </c>
      <c r="G41" s="10">
        <v>678</v>
      </c>
      <c r="H41" s="14" t="s">
        <v>62</v>
      </c>
      <c r="I41" s="41" t="str">
        <f>Assumptions!$I$128</f>
        <v>B</v>
      </c>
      <c r="J41" s="14" t="str">
        <f>IF(D41&lt;=Assumptions!$V$128,"Low",IF(D41&lt;=Assumptions!$W$128,"Mid","High"))</f>
        <v>Low</v>
      </c>
      <c r="K41" s="15">
        <f>Assumptions!$Q$128</f>
        <v>2613</v>
      </c>
      <c r="L41" s="42">
        <f>INDEX(Assumptions!$C$61:$C$90,D41)</f>
        <v>2733.3737928893029</v>
      </c>
      <c r="M41" s="43">
        <f>IF(D41&lt;=Assumptions!$G$128,Assumptions!$AK$128,IF(D41&lt;Assumptions!$AH$128,Assumptions!$AK$128+(Assumptions!$AL$128-Assumptions!$AK$128)*(D41-Assumptions!$G$128)/(Assumptions!$AH$128-Assumptions!$G$128),IF(D41&lt;Assumptions!$P$128,Assumptions!$AL$128+(Assumptions!$AM$128-Assumptions!$AL$128)*(D41-Assumptions!$AH$128)/(Assumptions!$P$128-Assumptions!$AH$128),Assumptions!$AM$128)))</f>
        <v>0</v>
      </c>
      <c r="N41" s="44">
        <f t="shared" si="0"/>
        <v>0</v>
      </c>
      <c r="O41" s="45">
        <f t="shared" si="1"/>
        <v>2733</v>
      </c>
      <c r="P41" s="14" t="str">
        <f>IF(D41&gt;=Assumptions!$P$128,"High",IF(D41&gt;=Assumptions!$AH$128,"Mid",IF(D41&lt;=Assumptions!$G$128,"Low","Loading")))</f>
        <v>Loading</v>
      </c>
      <c r="Q41" s="46">
        <f>MAX(K41,MIN(Assumptions!$S$128,O41),Q42)</f>
        <v>2733</v>
      </c>
      <c r="R41" s="12">
        <f>IF(AND(Q41&lt;=K41,INDEX(Assumptions!$C$26:$C$36,MATCH(G41,Assumptions!$A$26:$A$36,0))&lt;&gt;""),INDEX(Assumptions!$C$26:$C$36,MATCH(G41,Assumptions!$A$26:$A$36,0)),ROUND(G41*Q41,-2))</f>
        <v>1853000</v>
      </c>
      <c r="S41" s="47" t="str">
        <f>TRIM(IF(AND(Assumptions!$L$128&lt;&gt;"",D41&lt;Assumptions!$L$128),"View blocked / roof in front ("&amp;Assumptions!$M$128&amp;"); view premium still loading until L"&amp;Assumptions!$L$128&amp;". ","")&amp;IF(D41=Assumptions!$AH$128,"Mid-floor view premium fully loaded. ","")&amp;IF(D41=Assumptions!$P$128,"High-floor view premium fully loaded. ","")&amp;IF(Q41&lt;=K41,"At developer starting price.",""))</f>
        <v/>
      </c>
      <c r="T41" s="48" t="str">
        <f>Assumptions!$AJ$128</f>
        <v>SSE. Forest Grill pavilions in front of low floors; landed, nature reserve &amp; city views open from mid floor</v>
      </c>
    </row>
    <row r="42" spans="1:20" x14ac:dyDescent="0.2">
      <c r="A42" s="13" t="s">
        <v>154</v>
      </c>
      <c r="B42" s="14">
        <v>1</v>
      </c>
      <c r="C42" s="40">
        <v>2</v>
      </c>
      <c r="D42" s="40">
        <v>4</v>
      </c>
      <c r="E42" s="9" t="s">
        <v>43</v>
      </c>
      <c r="F42" s="14" t="s">
        <v>137</v>
      </c>
      <c r="G42" s="10">
        <v>678</v>
      </c>
      <c r="H42" s="14" t="s">
        <v>62</v>
      </c>
      <c r="I42" s="41" t="str">
        <f>Assumptions!$I$128</f>
        <v>B</v>
      </c>
      <c r="J42" s="14" t="str">
        <f>IF(D42&lt;=Assumptions!$V$128,"Low",IF(D42&lt;=Assumptions!$W$128,"Mid","High"))</f>
        <v>Low</v>
      </c>
      <c r="K42" s="15">
        <f>Assumptions!$Q$128</f>
        <v>2613</v>
      </c>
      <c r="L42" s="42">
        <f>INDEX(Assumptions!$C$61:$C$90,D42)</f>
        <v>2717.8312994876574</v>
      </c>
      <c r="M42" s="43">
        <f>IF(D42&lt;=Assumptions!$G$128,Assumptions!$AK$128,IF(D42&lt;Assumptions!$AH$128,Assumptions!$AK$128+(Assumptions!$AL$128-Assumptions!$AK$128)*(D42-Assumptions!$G$128)/(Assumptions!$AH$128-Assumptions!$G$128),IF(D42&lt;Assumptions!$P$128,Assumptions!$AL$128+(Assumptions!$AM$128-Assumptions!$AL$128)*(D42-Assumptions!$AH$128)/(Assumptions!$P$128-Assumptions!$AH$128),Assumptions!$AM$128)))</f>
        <v>-16666.666666666664</v>
      </c>
      <c r="N42" s="44">
        <f t="shared" si="0"/>
        <v>-24.582104228121924</v>
      </c>
      <c r="O42" s="45">
        <f t="shared" si="1"/>
        <v>2693</v>
      </c>
      <c r="P42" s="14" t="str">
        <f>IF(D42&gt;=Assumptions!$P$128,"High",IF(D42&gt;=Assumptions!$AH$128,"Mid",IF(D42&lt;=Assumptions!$G$128,"Low","Loading")))</f>
        <v>Loading</v>
      </c>
      <c r="Q42" s="46">
        <f>MAX(K42,MIN(Assumptions!$S$128,O42),Q43)</f>
        <v>2693</v>
      </c>
      <c r="R42" s="12">
        <f>IF(AND(Q42&lt;=K42,INDEX(Assumptions!$C$26:$C$36,MATCH(G42,Assumptions!$A$26:$A$36,0))&lt;&gt;""),INDEX(Assumptions!$C$26:$C$36,MATCH(G42,Assumptions!$A$26:$A$36,0)),ROUND(G42*Q42,-2))</f>
        <v>1825900</v>
      </c>
      <c r="S42" s="47" t="str">
        <f>TRIM(IF(AND(Assumptions!$L$128&lt;&gt;"",D42&lt;Assumptions!$L$128),"View blocked / roof in front ("&amp;Assumptions!$M$128&amp;"); view premium still loading until L"&amp;Assumptions!$L$128&amp;". ","")&amp;IF(D42=Assumptions!$AH$128,"Mid-floor view premium fully loaded. ","")&amp;IF(D42=Assumptions!$P$128,"High-floor view premium fully loaded. ","")&amp;IF(Q42&lt;=K42,"At developer starting price.",""))</f>
        <v>View blocked / roof in front (Forest Grill Pavilion 2: 41% of view, 27.5 to 37m away); view premium still loading until L5.</v>
      </c>
      <c r="T42" s="48" t="str">
        <f>Assumptions!$AJ$128</f>
        <v>SSE. Forest Grill pavilions in front of low floors; landed, nature reserve &amp; city views open from mid floor</v>
      </c>
    </row>
    <row r="43" spans="1:20" x14ac:dyDescent="0.2">
      <c r="A43" s="13" t="s">
        <v>155</v>
      </c>
      <c r="B43" s="14">
        <v>1</v>
      </c>
      <c r="C43" s="40">
        <v>2</v>
      </c>
      <c r="D43" s="40">
        <v>3</v>
      </c>
      <c r="E43" s="9" t="s">
        <v>43</v>
      </c>
      <c r="F43" s="14" t="s">
        <v>137</v>
      </c>
      <c r="G43" s="10">
        <v>678</v>
      </c>
      <c r="H43" s="14" t="s">
        <v>62</v>
      </c>
      <c r="I43" s="41" t="str">
        <f>Assumptions!$I$128</f>
        <v>B</v>
      </c>
      <c r="J43" s="14" t="str">
        <f>IF(D43&lt;=Assumptions!$V$128,"Low",IF(D43&lt;=Assumptions!$W$128,"Mid","High"))</f>
        <v>Low</v>
      </c>
      <c r="K43" s="15">
        <f>Assumptions!$Q$128</f>
        <v>2613</v>
      </c>
      <c r="L43" s="42">
        <f>INDEX(Assumptions!$C$61:$C$90,D43)</f>
        <v>2702.2888060860114</v>
      </c>
      <c r="M43" s="43">
        <f>IF(D43&lt;=Assumptions!$G$128,Assumptions!$AK$128,IF(D43&lt;Assumptions!$AH$128,Assumptions!$AK$128+(Assumptions!$AL$128-Assumptions!$AK$128)*(D43-Assumptions!$G$128)/(Assumptions!$AH$128-Assumptions!$G$128),IF(D43&lt;Assumptions!$P$128,Assumptions!$AL$128+(Assumptions!$AM$128-Assumptions!$AL$128)*(D43-Assumptions!$AH$128)/(Assumptions!$P$128-Assumptions!$AH$128),Assumptions!$AM$128)))</f>
        <v>-33333.333333333328</v>
      </c>
      <c r="N43" s="44">
        <f t="shared" si="0"/>
        <v>-49.164208456243848</v>
      </c>
      <c r="O43" s="45">
        <f t="shared" si="1"/>
        <v>2653</v>
      </c>
      <c r="P43" s="14" t="str">
        <f>IF(D43&gt;=Assumptions!$P$128,"High",IF(D43&gt;=Assumptions!$AH$128,"Mid",IF(D43&lt;=Assumptions!$G$128,"Low","Loading")))</f>
        <v>Loading</v>
      </c>
      <c r="Q43" s="46">
        <f>MAX(K43,MIN(Assumptions!$S$128,O43),Q44)</f>
        <v>2653</v>
      </c>
      <c r="R43" s="12">
        <f>IF(AND(Q43&lt;=K43,INDEX(Assumptions!$C$26:$C$36,MATCH(G43,Assumptions!$A$26:$A$36,0))&lt;&gt;""),INDEX(Assumptions!$C$26:$C$36,MATCH(G43,Assumptions!$A$26:$A$36,0)),ROUND(G43*Q43,-2))</f>
        <v>1798700</v>
      </c>
      <c r="S43" s="47" t="str">
        <f>TRIM(IF(AND(Assumptions!$L$128&lt;&gt;"",D43&lt;Assumptions!$L$128),"View blocked / roof in front ("&amp;Assumptions!$M$128&amp;"); view premium still loading until L"&amp;Assumptions!$L$128&amp;". ","")&amp;IF(D43=Assumptions!$AH$128,"Mid-floor view premium fully loaded. ","")&amp;IF(D43=Assumptions!$P$128,"High-floor view premium fully loaded. ","")&amp;IF(Q43&lt;=K43,"At developer starting price.",""))</f>
        <v>View blocked / roof in front (Forest Grill Pavilion 2: 41% of view, 27.5 to 37m away); view premium still loading until L5.</v>
      </c>
      <c r="T43" s="48" t="str">
        <f>Assumptions!$AJ$128</f>
        <v>SSE. Forest Grill pavilions in front of low floors; landed, nature reserve &amp; city views open from mid floor</v>
      </c>
    </row>
    <row r="44" spans="1:20" x14ac:dyDescent="0.2">
      <c r="A44" s="13" t="s">
        <v>156</v>
      </c>
      <c r="B44" s="14">
        <v>1</v>
      </c>
      <c r="C44" s="40">
        <v>2</v>
      </c>
      <c r="D44" s="40">
        <v>2</v>
      </c>
      <c r="E44" s="9" t="s">
        <v>43</v>
      </c>
      <c r="F44" s="14" t="s">
        <v>157</v>
      </c>
      <c r="G44" s="10">
        <v>678</v>
      </c>
      <c r="H44" s="14" t="s">
        <v>62</v>
      </c>
      <c r="I44" s="41" t="str">
        <f>Assumptions!$I$128</f>
        <v>B</v>
      </c>
      <c r="J44" s="14" t="str">
        <f>IF(D44&lt;=Assumptions!$V$128,"Low",IF(D44&lt;=Assumptions!$W$128,"Mid","High"))</f>
        <v>Low</v>
      </c>
      <c r="K44" s="15">
        <f>Assumptions!$Q$128</f>
        <v>2613</v>
      </c>
      <c r="L44" s="42">
        <f>INDEX(Assumptions!$C$61:$C$90,D44)</f>
        <v>2686.7463126843659</v>
      </c>
      <c r="M44" s="43">
        <f>IF(D44&lt;=Assumptions!$G$128,Assumptions!$AK$128,IF(D44&lt;Assumptions!$AH$128,Assumptions!$AK$128+(Assumptions!$AL$128-Assumptions!$AK$128)*(D44-Assumptions!$G$128)/(Assumptions!$AH$128-Assumptions!$G$128),IF(D44&lt;Assumptions!$P$128,Assumptions!$AL$128+(Assumptions!$AM$128-Assumptions!$AL$128)*(D44-Assumptions!$AH$128)/(Assumptions!$P$128-Assumptions!$AH$128),Assumptions!$AM$128)))</f>
        <v>-50000</v>
      </c>
      <c r="N44" s="44">
        <f t="shared" si="0"/>
        <v>-73.746312684365776</v>
      </c>
      <c r="O44" s="45">
        <f t="shared" si="1"/>
        <v>2613</v>
      </c>
      <c r="P44" s="14" t="str">
        <f>IF(D44&gt;=Assumptions!$P$128,"High",IF(D44&gt;=Assumptions!$AH$128,"Mid",IF(D44&lt;=Assumptions!$G$128,"Low","Loading")))</f>
        <v>Low</v>
      </c>
      <c r="Q44" s="46">
        <f>MAX(K44,MIN(Assumptions!$S$128,O44))</f>
        <v>2613</v>
      </c>
      <c r="R44" s="12">
        <f>IF(AND(Q44&lt;=K44,INDEX(Assumptions!$C$26:$C$36,MATCH(G44,Assumptions!$A$26:$A$36,0))&lt;&gt;""),INDEX(Assumptions!$C$26:$C$36,MATCH(G44,Assumptions!$A$26:$A$36,0)),ROUND(G44*Q44,-2))</f>
        <v>1772000</v>
      </c>
      <c r="S44" s="47" t="str">
        <f>TRIM(IF(AND(Assumptions!$L$128&lt;&gt;"",D44&lt;Assumptions!$L$128),"View blocked / roof in front ("&amp;Assumptions!$M$128&amp;"); view premium still loading until L"&amp;Assumptions!$L$128&amp;". ","")&amp;IF(D44=Assumptions!$AH$128,"Mid-floor view premium fully loaded. ","")&amp;IF(D44=Assumptions!$P$128,"High-floor view premium fully loaded. ","")&amp;IF(Q44&lt;=K44,"At developer starting price.",""))</f>
        <v>View blocked / roof in front (Forest Grill Pavilion 2: 41% of view, 27.5 to 37m away); view premium still loading until L5. At developer starting price.</v>
      </c>
      <c r="T44" s="48" t="str">
        <f>Assumptions!$AJ$128</f>
        <v>SSE. Forest Grill pavilions in front of low floors; landed, nature reserve &amp; city views open from mid floor</v>
      </c>
    </row>
    <row r="45" spans="1:20" x14ac:dyDescent="0.2">
      <c r="A45" s="13" t="s">
        <v>158</v>
      </c>
      <c r="B45" s="14">
        <v>1</v>
      </c>
      <c r="C45" s="40">
        <v>3</v>
      </c>
      <c r="D45" s="40">
        <v>21</v>
      </c>
      <c r="E45" s="9" t="s">
        <v>43</v>
      </c>
      <c r="F45" s="14" t="s">
        <v>159</v>
      </c>
      <c r="G45" s="10">
        <v>678</v>
      </c>
      <c r="H45" s="14" t="s">
        <v>62</v>
      </c>
      <c r="I45" s="41" t="str">
        <f>Assumptions!$I$129</f>
        <v>B</v>
      </c>
      <c r="J45" s="14" t="str">
        <f>IF(D45&lt;=Assumptions!$V$129,"Low",IF(D45&lt;=Assumptions!$W$129,"Mid","High"))</f>
        <v>High</v>
      </c>
      <c r="K45" s="15">
        <f>Assumptions!$Q$129</f>
        <v>2613</v>
      </c>
      <c r="L45" s="42">
        <f>INDEX(Assumptions!$C$61:$C$90,D45)</f>
        <v>3050.8642857142859</v>
      </c>
      <c r="M45" s="43">
        <f>IF(D45&lt;=Assumptions!$G$129,Assumptions!$AK$129,IF(D45&lt;Assumptions!$AH$129,Assumptions!$AK$129+(Assumptions!$AL$129-Assumptions!$AK$129)*(D45-Assumptions!$G$129)/(Assumptions!$AH$129-Assumptions!$G$129),IF(D45&lt;Assumptions!$P$129,Assumptions!$AL$129+(Assumptions!$AM$129-Assumptions!$AL$129)*(D45-Assumptions!$AH$129)/(Assumptions!$P$129-Assumptions!$AH$129),Assumptions!$AM$129)))</f>
        <v>50000</v>
      </c>
      <c r="N45" s="44">
        <f t="shared" si="0"/>
        <v>73.746312684365776</v>
      </c>
      <c r="O45" s="45">
        <f t="shared" si="1"/>
        <v>3125</v>
      </c>
      <c r="P45" s="14" t="str">
        <f>IF(D45&gt;=Assumptions!$P$129,"High",IF(D45&gt;=Assumptions!$AH$129,"Mid",IF(D45&lt;=Assumptions!$G$129,"Low","Loading")))</f>
        <v>High</v>
      </c>
      <c r="Q45" s="46">
        <f>MAX(K45,MIN(Assumptions!$S$129,O45),Q46)</f>
        <v>3125</v>
      </c>
      <c r="R45" s="12">
        <f>IF(AND(Q45&lt;=K45,INDEX(Assumptions!$C$26:$C$36,MATCH(G45,Assumptions!$A$26:$A$36,0))&lt;&gt;""),INDEX(Assumptions!$C$26:$C$36,MATCH(G45,Assumptions!$A$26:$A$36,0)),ROUND(G45*Q45,-2))</f>
        <v>2118800</v>
      </c>
      <c r="S45" s="47" t="str">
        <f>TRIM(IF(AND(Assumptions!$L$129&lt;&gt;"",D45&lt;Assumptions!$L$129),"View blocked / roof in front ("&amp;Assumptions!$M$129&amp;"); view premium still loading until L"&amp;Assumptions!$L$129&amp;". ","")&amp;IF(D45=Assumptions!$AH$129,"Mid-floor view premium fully loaded. ","")&amp;IF(D45=Assumptions!$P$129,"High-floor view premium fully loaded. ","")&amp;IF(Q45&lt;=K45,"At developer starting price.",""))</f>
        <v/>
      </c>
      <c r="T45" s="48" t="str">
        <f>Assumptions!$AJ$129</f>
        <v>SSE. Forest Grill pavilions in front of low floors; landed, nature reserve &amp; city views open from mid floor</v>
      </c>
    </row>
    <row r="46" spans="1:20" x14ac:dyDescent="0.2">
      <c r="A46" s="13" t="s">
        <v>160</v>
      </c>
      <c r="B46" s="14">
        <v>1</v>
      </c>
      <c r="C46" s="40">
        <v>3</v>
      </c>
      <c r="D46" s="40">
        <v>20</v>
      </c>
      <c r="E46" s="9" t="s">
        <v>43</v>
      </c>
      <c r="F46" s="14" t="s">
        <v>159</v>
      </c>
      <c r="G46" s="10">
        <v>678</v>
      </c>
      <c r="H46" s="14" t="s">
        <v>62</v>
      </c>
      <c r="I46" s="41" t="str">
        <f>Assumptions!$I$129</f>
        <v>B</v>
      </c>
      <c r="J46" s="14" t="str">
        <f>IF(D46&lt;=Assumptions!$V$129,"Low",IF(D46&lt;=Assumptions!$W$129,"Mid","High"))</f>
        <v>High</v>
      </c>
      <c r="K46" s="15">
        <f>Assumptions!$Q$129</f>
        <v>2613</v>
      </c>
      <c r="L46" s="42">
        <f>INDEX(Assumptions!$C$61:$C$90,D46)</f>
        <v>3028.0785714285716</v>
      </c>
      <c r="M46" s="43">
        <f>IF(D46&lt;=Assumptions!$G$129,Assumptions!$AK$129,IF(D46&lt;Assumptions!$AH$129,Assumptions!$AK$129+(Assumptions!$AL$129-Assumptions!$AK$129)*(D46-Assumptions!$G$129)/(Assumptions!$AH$129-Assumptions!$G$129),IF(D46&lt;Assumptions!$P$129,Assumptions!$AL$129+(Assumptions!$AM$129-Assumptions!$AL$129)*(D46-Assumptions!$AH$129)/(Assumptions!$P$129-Assumptions!$AH$129),Assumptions!$AM$129)))</f>
        <v>50000</v>
      </c>
      <c r="N46" s="44">
        <f t="shared" si="0"/>
        <v>73.746312684365776</v>
      </c>
      <c r="O46" s="45">
        <f t="shared" si="1"/>
        <v>3102</v>
      </c>
      <c r="P46" s="14" t="str">
        <f>IF(D46&gt;=Assumptions!$P$129,"High",IF(D46&gt;=Assumptions!$AH$129,"Mid",IF(D46&lt;=Assumptions!$G$129,"Low","Loading")))</f>
        <v>High</v>
      </c>
      <c r="Q46" s="46">
        <f>MAX(K46,MIN(Assumptions!$S$129,O46),Q47)</f>
        <v>3102</v>
      </c>
      <c r="R46" s="12">
        <f>IF(AND(Q46&lt;=K46,INDEX(Assumptions!$C$26:$C$36,MATCH(G46,Assumptions!$A$26:$A$36,0))&lt;&gt;""),INDEX(Assumptions!$C$26:$C$36,MATCH(G46,Assumptions!$A$26:$A$36,0)),ROUND(G46*Q46,-2))</f>
        <v>2103200</v>
      </c>
      <c r="S46" s="47" t="str">
        <f>TRIM(IF(AND(Assumptions!$L$129&lt;&gt;"",D46&lt;Assumptions!$L$129),"View blocked / roof in front ("&amp;Assumptions!$M$129&amp;"); view premium still loading until L"&amp;Assumptions!$L$129&amp;". ","")&amp;IF(D46=Assumptions!$AH$129,"Mid-floor view premium fully loaded. ","")&amp;IF(D46=Assumptions!$P$129,"High-floor view premium fully loaded. ","")&amp;IF(Q46&lt;=K46,"At developer starting price.",""))</f>
        <v/>
      </c>
      <c r="T46" s="48" t="str">
        <f>Assumptions!$AJ$129</f>
        <v>SSE. Forest Grill pavilions in front of low floors; landed, nature reserve &amp; city views open from mid floor</v>
      </c>
    </row>
    <row r="47" spans="1:20" x14ac:dyDescent="0.2">
      <c r="A47" s="13" t="s">
        <v>161</v>
      </c>
      <c r="B47" s="14">
        <v>1</v>
      </c>
      <c r="C47" s="40">
        <v>3</v>
      </c>
      <c r="D47" s="40">
        <v>19</v>
      </c>
      <c r="E47" s="9" t="s">
        <v>43</v>
      </c>
      <c r="F47" s="14" t="s">
        <v>159</v>
      </c>
      <c r="G47" s="10">
        <v>678</v>
      </c>
      <c r="H47" s="14" t="s">
        <v>62</v>
      </c>
      <c r="I47" s="41" t="str">
        <f>Assumptions!$I$129</f>
        <v>B</v>
      </c>
      <c r="J47" s="14" t="str">
        <f>IF(D47&lt;=Assumptions!$V$129,"Low",IF(D47&lt;=Assumptions!$W$129,"Mid","High"))</f>
        <v>High</v>
      </c>
      <c r="K47" s="15">
        <f>Assumptions!$Q$129</f>
        <v>2613</v>
      </c>
      <c r="L47" s="42">
        <f>INDEX(Assumptions!$C$61:$C$90,D47)</f>
        <v>3005.2928571428574</v>
      </c>
      <c r="M47" s="43">
        <f>IF(D47&lt;=Assumptions!$G$129,Assumptions!$AK$129,IF(D47&lt;Assumptions!$AH$129,Assumptions!$AK$129+(Assumptions!$AL$129-Assumptions!$AK$129)*(D47-Assumptions!$G$129)/(Assumptions!$AH$129-Assumptions!$G$129),IF(D47&lt;Assumptions!$P$129,Assumptions!$AL$129+(Assumptions!$AM$129-Assumptions!$AL$129)*(D47-Assumptions!$AH$129)/(Assumptions!$P$129-Assumptions!$AH$129),Assumptions!$AM$129)))</f>
        <v>50000</v>
      </c>
      <c r="N47" s="44">
        <f t="shared" si="0"/>
        <v>73.746312684365776</v>
      </c>
      <c r="O47" s="45">
        <f t="shared" si="1"/>
        <v>3079</v>
      </c>
      <c r="P47" s="14" t="str">
        <f>IF(D47&gt;=Assumptions!$P$129,"High",IF(D47&gt;=Assumptions!$AH$129,"Mid",IF(D47&lt;=Assumptions!$G$129,"Low","Loading")))</f>
        <v>High</v>
      </c>
      <c r="Q47" s="46">
        <f>MAX(K47,MIN(Assumptions!$S$129,O47),Q48)</f>
        <v>3079</v>
      </c>
      <c r="R47" s="12">
        <f>IF(AND(Q47&lt;=K47,INDEX(Assumptions!$C$26:$C$36,MATCH(G47,Assumptions!$A$26:$A$36,0))&lt;&gt;""),INDEX(Assumptions!$C$26:$C$36,MATCH(G47,Assumptions!$A$26:$A$36,0)),ROUND(G47*Q47,-2))</f>
        <v>2087600</v>
      </c>
      <c r="S47" s="47" t="str">
        <f>TRIM(IF(AND(Assumptions!$L$129&lt;&gt;"",D47&lt;Assumptions!$L$129),"View blocked / roof in front ("&amp;Assumptions!$M$129&amp;"); view premium still loading until L"&amp;Assumptions!$L$129&amp;". ","")&amp;IF(D47=Assumptions!$AH$129,"Mid-floor view premium fully loaded. ","")&amp;IF(D47=Assumptions!$P$129,"High-floor view premium fully loaded. ","")&amp;IF(Q47&lt;=K47,"At developer starting price.",""))</f>
        <v/>
      </c>
      <c r="T47" s="48" t="str">
        <f>Assumptions!$AJ$129</f>
        <v>SSE. Forest Grill pavilions in front of low floors; landed, nature reserve &amp; city views open from mid floor</v>
      </c>
    </row>
    <row r="48" spans="1:20" x14ac:dyDescent="0.2">
      <c r="A48" s="13" t="s">
        <v>162</v>
      </c>
      <c r="B48" s="14">
        <v>1</v>
      </c>
      <c r="C48" s="40">
        <v>3</v>
      </c>
      <c r="D48" s="40">
        <v>18</v>
      </c>
      <c r="E48" s="9" t="s">
        <v>43</v>
      </c>
      <c r="F48" s="14" t="s">
        <v>159</v>
      </c>
      <c r="G48" s="10">
        <v>678</v>
      </c>
      <c r="H48" s="14" t="s">
        <v>62</v>
      </c>
      <c r="I48" s="41" t="str">
        <f>Assumptions!$I$129</f>
        <v>B</v>
      </c>
      <c r="J48" s="14" t="str">
        <f>IF(D48&lt;=Assumptions!$V$129,"Low",IF(D48&lt;=Assumptions!$W$129,"Mid","High"))</f>
        <v>High</v>
      </c>
      <c r="K48" s="15">
        <f>Assumptions!$Q$129</f>
        <v>2613</v>
      </c>
      <c r="L48" s="42">
        <f>INDEX(Assumptions!$C$61:$C$90,D48)</f>
        <v>2982.5071428571428</v>
      </c>
      <c r="M48" s="43">
        <f>IF(D48&lt;=Assumptions!$G$129,Assumptions!$AK$129,IF(D48&lt;Assumptions!$AH$129,Assumptions!$AK$129+(Assumptions!$AL$129-Assumptions!$AK$129)*(D48-Assumptions!$G$129)/(Assumptions!$AH$129-Assumptions!$G$129),IF(D48&lt;Assumptions!$P$129,Assumptions!$AL$129+(Assumptions!$AM$129-Assumptions!$AL$129)*(D48-Assumptions!$AH$129)/(Assumptions!$P$129-Assumptions!$AH$129),Assumptions!$AM$129)))</f>
        <v>50000</v>
      </c>
      <c r="N48" s="44">
        <f t="shared" si="0"/>
        <v>73.746312684365776</v>
      </c>
      <c r="O48" s="45">
        <f t="shared" si="1"/>
        <v>3056</v>
      </c>
      <c r="P48" s="14" t="str">
        <f>IF(D48&gt;=Assumptions!$P$129,"High",IF(D48&gt;=Assumptions!$AH$129,"Mid",IF(D48&lt;=Assumptions!$G$129,"Low","Loading")))</f>
        <v>High</v>
      </c>
      <c r="Q48" s="46">
        <f>MAX(K48,MIN(Assumptions!$S$129,O48),Q49)</f>
        <v>3056</v>
      </c>
      <c r="R48" s="12">
        <f>IF(AND(Q48&lt;=K48,INDEX(Assumptions!$C$26:$C$36,MATCH(G48,Assumptions!$A$26:$A$36,0))&lt;&gt;""),INDEX(Assumptions!$C$26:$C$36,MATCH(G48,Assumptions!$A$26:$A$36,0)),ROUND(G48*Q48,-2))</f>
        <v>2072000</v>
      </c>
      <c r="S48" s="47" t="str">
        <f>TRIM(IF(AND(Assumptions!$L$129&lt;&gt;"",D48&lt;Assumptions!$L$129),"View blocked / roof in front ("&amp;Assumptions!$M$129&amp;"); view premium still loading until L"&amp;Assumptions!$L$129&amp;". ","")&amp;IF(D48=Assumptions!$AH$129,"Mid-floor view premium fully loaded. ","")&amp;IF(D48=Assumptions!$P$129,"High-floor view premium fully loaded. ","")&amp;IF(Q48&lt;=K48,"At developer starting price.",""))</f>
        <v/>
      </c>
      <c r="T48" s="48" t="str">
        <f>Assumptions!$AJ$129</f>
        <v>SSE. Forest Grill pavilions in front of low floors; landed, nature reserve &amp; city views open from mid floor</v>
      </c>
    </row>
    <row r="49" spans="1:20" x14ac:dyDescent="0.2">
      <c r="A49" s="13" t="s">
        <v>163</v>
      </c>
      <c r="B49" s="14">
        <v>1</v>
      </c>
      <c r="C49" s="40">
        <v>3</v>
      </c>
      <c r="D49" s="40">
        <v>17</v>
      </c>
      <c r="E49" s="9" t="s">
        <v>43</v>
      </c>
      <c r="F49" s="14" t="s">
        <v>159</v>
      </c>
      <c r="G49" s="10">
        <v>678</v>
      </c>
      <c r="H49" s="14" t="s">
        <v>62</v>
      </c>
      <c r="I49" s="41" t="str">
        <f>Assumptions!$I$129</f>
        <v>B</v>
      </c>
      <c r="J49" s="14" t="str">
        <f>IF(D49&lt;=Assumptions!$V$129,"Low",IF(D49&lt;=Assumptions!$W$129,"Mid","High"))</f>
        <v>High</v>
      </c>
      <c r="K49" s="15">
        <f>Assumptions!$Q$129</f>
        <v>2613</v>
      </c>
      <c r="L49" s="42">
        <f>INDEX(Assumptions!$C$61:$C$90,D49)</f>
        <v>2959.7214285714285</v>
      </c>
      <c r="M49" s="43">
        <f>IF(D49&lt;=Assumptions!$G$129,Assumptions!$AK$129,IF(D49&lt;Assumptions!$AH$129,Assumptions!$AK$129+(Assumptions!$AL$129-Assumptions!$AK$129)*(D49-Assumptions!$G$129)/(Assumptions!$AH$129-Assumptions!$G$129),IF(D49&lt;Assumptions!$P$129,Assumptions!$AL$129+(Assumptions!$AM$129-Assumptions!$AL$129)*(D49-Assumptions!$AH$129)/(Assumptions!$P$129-Assumptions!$AH$129),Assumptions!$AM$129)))</f>
        <v>50000</v>
      </c>
      <c r="N49" s="44">
        <f t="shared" si="0"/>
        <v>73.746312684365776</v>
      </c>
      <c r="O49" s="45">
        <f t="shared" si="1"/>
        <v>3033</v>
      </c>
      <c r="P49" s="14" t="str">
        <f>IF(D49&gt;=Assumptions!$P$129,"High",IF(D49&gt;=Assumptions!$AH$129,"Mid",IF(D49&lt;=Assumptions!$G$129,"Low","Loading")))</f>
        <v>High</v>
      </c>
      <c r="Q49" s="46">
        <f>MAX(K49,MIN(Assumptions!$S$129,O49),Q50)</f>
        <v>3033</v>
      </c>
      <c r="R49" s="12">
        <f>IF(AND(Q49&lt;=K49,INDEX(Assumptions!$C$26:$C$36,MATCH(G49,Assumptions!$A$26:$A$36,0))&lt;&gt;""),INDEX(Assumptions!$C$26:$C$36,MATCH(G49,Assumptions!$A$26:$A$36,0)),ROUND(G49*Q49,-2))</f>
        <v>2056400</v>
      </c>
      <c r="S49" s="47" t="str">
        <f>TRIM(IF(AND(Assumptions!$L$129&lt;&gt;"",D49&lt;Assumptions!$L$129),"View blocked / roof in front ("&amp;Assumptions!$M$129&amp;"); view premium still loading until L"&amp;Assumptions!$L$129&amp;". ","")&amp;IF(D49=Assumptions!$AH$129,"Mid-floor view premium fully loaded. ","")&amp;IF(D49=Assumptions!$P$129,"High-floor view premium fully loaded. ","")&amp;IF(Q49&lt;=K49,"At developer starting price.",""))</f>
        <v/>
      </c>
      <c r="T49" s="48" t="str">
        <f>Assumptions!$AJ$129</f>
        <v>SSE. Forest Grill pavilions in front of low floors; landed, nature reserve &amp; city views open from mid floor</v>
      </c>
    </row>
    <row r="50" spans="1:20" x14ac:dyDescent="0.2">
      <c r="A50" s="13" t="s">
        <v>164</v>
      </c>
      <c r="B50" s="14">
        <v>1</v>
      </c>
      <c r="C50" s="40">
        <v>3</v>
      </c>
      <c r="D50" s="40">
        <v>16</v>
      </c>
      <c r="E50" s="9" t="s">
        <v>43</v>
      </c>
      <c r="F50" s="14" t="s">
        <v>159</v>
      </c>
      <c r="G50" s="10">
        <v>678</v>
      </c>
      <c r="H50" s="14" t="s">
        <v>62</v>
      </c>
      <c r="I50" s="41" t="str">
        <f>Assumptions!$I$129</f>
        <v>B</v>
      </c>
      <c r="J50" s="14" t="str">
        <f>IF(D50&lt;=Assumptions!$V$129,"Low",IF(D50&lt;=Assumptions!$W$129,"Mid","High"))</f>
        <v>High</v>
      </c>
      <c r="K50" s="15">
        <f>Assumptions!$Q$129</f>
        <v>2613</v>
      </c>
      <c r="L50" s="42">
        <f>INDEX(Assumptions!$C$61:$C$90,D50)</f>
        <v>2936.9357142857143</v>
      </c>
      <c r="M50" s="43">
        <f>IF(D50&lt;=Assumptions!$G$129,Assumptions!$AK$129,IF(D50&lt;Assumptions!$AH$129,Assumptions!$AK$129+(Assumptions!$AL$129-Assumptions!$AK$129)*(D50-Assumptions!$G$129)/(Assumptions!$AH$129-Assumptions!$G$129),IF(D50&lt;Assumptions!$P$129,Assumptions!$AL$129+(Assumptions!$AM$129-Assumptions!$AL$129)*(D50-Assumptions!$AH$129)/(Assumptions!$P$129-Assumptions!$AH$129),Assumptions!$AM$129)))</f>
        <v>50000</v>
      </c>
      <c r="N50" s="44">
        <f t="shared" si="0"/>
        <v>73.746312684365776</v>
      </c>
      <c r="O50" s="45">
        <f t="shared" si="1"/>
        <v>3011</v>
      </c>
      <c r="P50" s="14" t="str">
        <f>IF(D50&gt;=Assumptions!$P$129,"High",IF(D50&gt;=Assumptions!$AH$129,"Mid",IF(D50&lt;=Assumptions!$G$129,"Low","Loading")))</f>
        <v>High</v>
      </c>
      <c r="Q50" s="46">
        <f>MAX(K50,MIN(Assumptions!$S$129,O50),Q51)</f>
        <v>3011</v>
      </c>
      <c r="R50" s="12">
        <f>IF(AND(Q50&lt;=K50,INDEX(Assumptions!$C$26:$C$36,MATCH(G50,Assumptions!$A$26:$A$36,0))&lt;&gt;""),INDEX(Assumptions!$C$26:$C$36,MATCH(G50,Assumptions!$A$26:$A$36,0)),ROUND(G50*Q50,-2))</f>
        <v>2041500</v>
      </c>
      <c r="S50" s="47" t="str">
        <f>TRIM(IF(AND(Assumptions!$L$129&lt;&gt;"",D50&lt;Assumptions!$L$129),"View blocked / roof in front ("&amp;Assumptions!$M$129&amp;"); view premium still loading until L"&amp;Assumptions!$L$129&amp;". ","")&amp;IF(D50=Assumptions!$AH$129,"Mid-floor view premium fully loaded. ","")&amp;IF(D50=Assumptions!$P$129,"High-floor view premium fully loaded. ","")&amp;IF(Q50&lt;=K50,"At developer starting price.",""))</f>
        <v>High-floor view premium fully loaded.</v>
      </c>
      <c r="T50" s="48" t="str">
        <f>Assumptions!$AJ$129</f>
        <v>SSE. Forest Grill pavilions in front of low floors; landed, nature reserve &amp; city views open from mid floor</v>
      </c>
    </row>
    <row r="51" spans="1:20" x14ac:dyDescent="0.2">
      <c r="A51" s="13" t="s">
        <v>165</v>
      </c>
      <c r="B51" s="14">
        <v>1</v>
      </c>
      <c r="C51" s="40">
        <v>3</v>
      </c>
      <c r="D51" s="40">
        <v>15</v>
      </c>
      <c r="E51" s="9" t="s">
        <v>43</v>
      </c>
      <c r="F51" s="14" t="s">
        <v>159</v>
      </c>
      <c r="G51" s="10">
        <v>678</v>
      </c>
      <c r="H51" s="14" t="s">
        <v>62</v>
      </c>
      <c r="I51" s="41" t="str">
        <f>Assumptions!$I$129</f>
        <v>B</v>
      </c>
      <c r="J51" s="14" t="str">
        <f>IF(D51&lt;=Assumptions!$V$129,"Low",IF(D51&lt;=Assumptions!$W$129,"Mid","High"))</f>
        <v>Mid</v>
      </c>
      <c r="K51" s="15">
        <f>Assumptions!$Q$129</f>
        <v>2613</v>
      </c>
      <c r="L51" s="42">
        <f>INDEX(Assumptions!$C$61:$C$90,D51)</f>
        <v>2914.15</v>
      </c>
      <c r="M51" s="43">
        <f>IF(D51&lt;=Assumptions!$G$129,Assumptions!$AK$129,IF(D51&lt;Assumptions!$AH$129,Assumptions!$AK$129+(Assumptions!$AL$129-Assumptions!$AK$129)*(D51-Assumptions!$G$129)/(Assumptions!$AH$129-Assumptions!$G$129),IF(D51&lt;Assumptions!$P$129,Assumptions!$AL$129+(Assumptions!$AM$129-Assumptions!$AL$129)*(D51-Assumptions!$AH$129)/(Assumptions!$P$129-Assumptions!$AH$129),Assumptions!$AM$129)))</f>
        <v>50000</v>
      </c>
      <c r="N51" s="44">
        <f t="shared" si="0"/>
        <v>73.746312684365776</v>
      </c>
      <c r="O51" s="45">
        <f t="shared" si="1"/>
        <v>2988</v>
      </c>
      <c r="P51" s="14" t="str">
        <f>IF(D51&gt;=Assumptions!$P$129,"High",IF(D51&gt;=Assumptions!$AH$129,"Mid",IF(D51&lt;=Assumptions!$G$129,"Low","Loading")))</f>
        <v>Mid</v>
      </c>
      <c r="Q51" s="46">
        <f>MAX(K51,MIN(Assumptions!$S$129,O51),Q52)</f>
        <v>2988</v>
      </c>
      <c r="R51" s="12">
        <f>IF(AND(Q51&lt;=K51,INDEX(Assumptions!$C$26:$C$36,MATCH(G51,Assumptions!$A$26:$A$36,0))&lt;&gt;""),INDEX(Assumptions!$C$26:$C$36,MATCH(G51,Assumptions!$A$26:$A$36,0)),ROUND(G51*Q51,-2))</f>
        <v>2025900</v>
      </c>
      <c r="S51" s="47" t="str">
        <f>TRIM(IF(AND(Assumptions!$L$129&lt;&gt;"",D51&lt;Assumptions!$L$129),"View blocked / roof in front ("&amp;Assumptions!$M$129&amp;"); view premium still loading until L"&amp;Assumptions!$L$129&amp;". ","")&amp;IF(D51=Assumptions!$AH$129,"Mid-floor view premium fully loaded. ","")&amp;IF(D51=Assumptions!$P$129,"High-floor view premium fully loaded. ","")&amp;IF(Q51&lt;=K51,"At developer starting price.",""))</f>
        <v/>
      </c>
      <c r="T51" s="48" t="str">
        <f>Assumptions!$AJ$129</f>
        <v>SSE. Forest Grill pavilions in front of low floors; landed, nature reserve &amp; city views open from mid floor</v>
      </c>
    </row>
    <row r="52" spans="1:20" x14ac:dyDescent="0.2">
      <c r="A52" s="13" t="s">
        <v>166</v>
      </c>
      <c r="B52" s="14">
        <v>1</v>
      </c>
      <c r="C52" s="40">
        <v>3</v>
      </c>
      <c r="D52" s="40">
        <v>14</v>
      </c>
      <c r="E52" s="9" t="s">
        <v>43</v>
      </c>
      <c r="F52" s="14" t="s">
        <v>159</v>
      </c>
      <c r="G52" s="10">
        <v>678</v>
      </c>
      <c r="H52" s="14" t="s">
        <v>62</v>
      </c>
      <c r="I52" s="41" t="str">
        <f>Assumptions!$I$129</f>
        <v>B</v>
      </c>
      <c r="J52" s="14" t="str">
        <f>IF(D52&lt;=Assumptions!$V$129,"Low",IF(D52&lt;=Assumptions!$W$129,"Mid","High"))</f>
        <v>Mid</v>
      </c>
      <c r="K52" s="15">
        <f>Assumptions!$Q$129</f>
        <v>2613</v>
      </c>
      <c r="L52" s="42">
        <f>INDEX(Assumptions!$C$61:$C$90,D52)</f>
        <v>2891.3642857142859</v>
      </c>
      <c r="M52" s="43">
        <f>IF(D52&lt;=Assumptions!$G$129,Assumptions!$AK$129,IF(D52&lt;Assumptions!$AH$129,Assumptions!$AK$129+(Assumptions!$AL$129-Assumptions!$AK$129)*(D52-Assumptions!$G$129)/(Assumptions!$AH$129-Assumptions!$G$129),IF(D52&lt;Assumptions!$P$129,Assumptions!$AL$129+(Assumptions!$AM$129-Assumptions!$AL$129)*(D52-Assumptions!$AH$129)/(Assumptions!$P$129-Assumptions!$AH$129),Assumptions!$AM$129)))</f>
        <v>50000</v>
      </c>
      <c r="N52" s="44">
        <f t="shared" si="0"/>
        <v>73.746312684365776</v>
      </c>
      <c r="O52" s="45">
        <f t="shared" si="1"/>
        <v>2965</v>
      </c>
      <c r="P52" s="14" t="str">
        <f>IF(D52&gt;=Assumptions!$P$129,"High",IF(D52&gt;=Assumptions!$AH$129,"Mid",IF(D52&lt;=Assumptions!$G$129,"Low","Loading")))</f>
        <v>Mid</v>
      </c>
      <c r="Q52" s="46">
        <f>MAX(K52,MIN(Assumptions!$S$129,O52),Q53)</f>
        <v>2965</v>
      </c>
      <c r="R52" s="12">
        <f>IF(AND(Q52&lt;=K52,INDEX(Assumptions!$C$26:$C$36,MATCH(G52,Assumptions!$A$26:$A$36,0))&lt;&gt;""),INDEX(Assumptions!$C$26:$C$36,MATCH(G52,Assumptions!$A$26:$A$36,0)),ROUND(G52*Q52,-2))</f>
        <v>2010300</v>
      </c>
      <c r="S52" s="47" t="str">
        <f>TRIM(IF(AND(Assumptions!$L$129&lt;&gt;"",D52&lt;Assumptions!$L$129),"View blocked / roof in front ("&amp;Assumptions!$M$129&amp;"); view premium still loading until L"&amp;Assumptions!$L$129&amp;". ","")&amp;IF(D52=Assumptions!$AH$129,"Mid-floor view premium fully loaded. ","")&amp;IF(D52=Assumptions!$P$129,"High-floor view premium fully loaded. ","")&amp;IF(Q52&lt;=K52,"At developer starting price.",""))</f>
        <v/>
      </c>
      <c r="T52" s="48" t="str">
        <f>Assumptions!$AJ$129</f>
        <v>SSE. Forest Grill pavilions in front of low floors; landed, nature reserve &amp; city views open from mid floor</v>
      </c>
    </row>
    <row r="53" spans="1:20" x14ac:dyDescent="0.2">
      <c r="A53" s="13" t="s">
        <v>167</v>
      </c>
      <c r="B53" s="14">
        <v>1</v>
      </c>
      <c r="C53" s="40">
        <v>3</v>
      </c>
      <c r="D53" s="40">
        <v>13</v>
      </c>
      <c r="E53" s="9" t="s">
        <v>43</v>
      </c>
      <c r="F53" s="14" t="s">
        <v>159</v>
      </c>
      <c r="G53" s="10">
        <v>678</v>
      </c>
      <c r="H53" s="14" t="s">
        <v>62</v>
      </c>
      <c r="I53" s="41" t="str">
        <f>Assumptions!$I$129</f>
        <v>B</v>
      </c>
      <c r="J53" s="14" t="str">
        <f>IF(D53&lt;=Assumptions!$V$129,"Low",IF(D53&lt;=Assumptions!$W$129,"Mid","High"))</f>
        <v>Mid</v>
      </c>
      <c r="K53" s="15">
        <f>Assumptions!$Q$129</f>
        <v>2613</v>
      </c>
      <c r="L53" s="42">
        <f>INDEX(Assumptions!$C$61:$C$90,D53)</f>
        <v>2868.5785714285716</v>
      </c>
      <c r="M53" s="43">
        <f>IF(D53&lt;=Assumptions!$G$129,Assumptions!$AK$129,IF(D53&lt;Assumptions!$AH$129,Assumptions!$AK$129+(Assumptions!$AL$129-Assumptions!$AK$129)*(D53-Assumptions!$G$129)/(Assumptions!$AH$129-Assumptions!$G$129),IF(D53&lt;Assumptions!$P$129,Assumptions!$AL$129+(Assumptions!$AM$129-Assumptions!$AL$129)*(D53-Assumptions!$AH$129)/(Assumptions!$P$129-Assumptions!$AH$129),Assumptions!$AM$129)))</f>
        <v>50000</v>
      </c>
      <c r="N53" s="44">
        <f t="shared" si="0"/>
        <v>73.746312684365776</v>
      </c>
      <c r="O53" s="45">
        <f t="shared" si="1"/>
        <v>2942</v>
      </c>
      <c r="P53" s="14" t="str">
        <f>IF(D53&gt;=Assumptions!$P$129,"High",IF(D53&gt;=Assumptions!$AH$129,"Mid",IF(D53&lt;=Assumptions!$G$129,"Low","Loading")))</f>
        <v>Mid</v>
      </c>
      <c r="Q53" s="46">
        <f>MAX(K53,MIN(Assumptions!$S$129,O53),Q54)</f>
        <v>2942</v>
      </c>
      <c r="R53" s="12">
        <f>IF(AND(Q53&lt;=K53,INDEX(Assumptions!$C$26:$C$36,MATCH(G53,Assumptions!$A$26:$A$36,0))&lt;&gt;""),INDEX(Assumptions!$C$26:$C$36,MATCH(G53,Assumptions!$A$26:$A$36,0)),ROUND(G53*Q53,-2))</f>
        <v>1994700</v>
      </c>
      <c r="S53" s="47" t="str">
        <f>TRIM(IF(AND(Assumptions!$L$129&lt;&gt;"",D53&lt;Assumptions!$L$129),"View blocked / roof in front ("&amp;Assumptions!$M$129&amp;"); view premium still loading until L"&amp;Assumptions!$L$129&amp;". ","")&amp;IF(D53=Assumptions!$AH$129,"Mid-floor view premium fully loaded. ","")&amp;IF(D53=Assumptions!$P$129,"High-floor view premium fully loaded. ","")&amp;IF(Q53&lt;=K53,"At developer starting price.",""))</f>
        <v/>
      </c>
      <c r="T53" s="48" t="str">
        <f>Assumptions!$AJ$129</f>
        <v>SSE. Forest Grill pavilions in front of low floors; landed, nature reserve &amp; city views open from mid floor</v>
      </c>
    </row>
    <row r="54" spans="1:20" x14ac:dyDescent="0.2">
      <c r="A54" s="13" t="s">
        <v>168</v>
      </c>
      <c r="B54" s="14">
        <v>1</v>
      </c>
      <c r="C54" s="40">
        <v>3</v>
      </c>
      <c r="D54" s="40">
        <v>12</v>
      </c>
      <c r="E54" s="9" t="s">
        <v>43</v>
      </c>
      <c r="F54" s="14" t="s">
        <v>159</v>
      </c>
      <c r="G54" s="10">
        <v>678</v>
      </c>
      <c r="H54" s="14" t="s">
        <v>62</v>
      </c>
      <c r="I54" s="41" t="str">
        <f>Assumptions!$I$129</f>
        <v>B</v>
      </c>
      <c r="J54" s="14" t="str">
        <f>IF(D54&lt;=Assumptions!$V$129,"Low",IF(D54&lt;=Assumptions!$W$129,"Mid","High"))</f>
        <v>Mid</v>
      </c>
      <c r="K54" s="15">
        <f>Assumptions!$Q$129</f>
        <v>2613</v>
      </c>
      <c r="L54" s="42">
        <f>INDEX(Assumptions!$C$61:$C$90,D54)</f>
        <v>2845.7928571428574</v>
      </c>
      <c r="M54" s="43">
        <f>IF(D54&lt;=Assumptions!$G$129,Assumptions!$AK$129,IF(D54&lt;Assumptions!$AH$129,Assumptions!$AK$129+(Assumptions!$AL$129-Assumptions!$AK$129)*(D54-Assumptions!$G$129)/(Assumptions!$AH$129-Assumptions!$G$129),IF(D54&lt;Assumptions!$P$129,Assumptions!$AL$129+(Assumptions!$AM$129-Assumptions!$AL$129)*(D54-Assumptions!$AH$129)/(Assumptions!$P$129-Assumptions!$AH$129),Assumptions!$AM$129)))</f>
        <v>50000</v>
      </c>
      <c r="N54" s="44">
        <f t="shared" si="0"/>
        <v>73.746312684365776</v>
      </c>
      <c r="O54" s="45">
        <f t="shared" si="1"/>
        <v>2920</v>
      </c>
      <c r="P54" s="14" t="str">
        <f>IF(D54&gt;=Assumptions!$P$129,"High",IF(D54&gt;=Assumptions!$AH$129,"Mid",IF(D54&lt;=Assumptions!$G$129,"Low","Loading")))</f>
        <v>Mid</v>
      </c>
      <c r="Q54" s="46">
        <f>MAX(K54,MIN(Assumptions!$S$129,O54),Q55)</f>
        <v>2920</v>
      </c>
      <c r="R54" s="12">
        <f>IF(AND(Q54&lt;=K54,INDEX(Assumptions!$C$26:$C$36,MATCH(G54,Assumptions!$A$26:$A$36,0))&lt;&gt;""),INDEX(Assumptions!$C$26:$C$36,MATCH(G54,Assumptions!$A$26:$A$36,0)),ROUND(G54*Q54,-2))</f>
        <v>1979800</v>
      </c>
      <c r="S54" s="47" t="str">
        <f>TRIM(IF(AND(Assumptions!$L$129&lt;&gt;"",D54&lt;Assumptions!$L$129),"View blocked / roof in front ("&amp;Assumptions!$M$129&amp;"); view premium still loading until L"&amp;Assumptions!$L$129&amp;". ","")&amp;IF(D54=Assumptions!$AH$129,"Mid-floor view premium fully loaded. ","")&amp;IF(D54=Assumptions!$P$129,"High-floor view premium fully loaded. ","")&amp;IF(Q54&lt;=K54,"At developer starting price.",""))</f>
        <v/>
      </c>
      <c r="T54" s="48" t="str">
        <f>Assumptions!$AJ$129</f>
        <v>SSE. Forest Grill pavilions in front of low floors; landed, nature reserve &amp; city views open from mid floor</v>
      </c>
    </row>
    <row r="55" spans="1:20" x14ac:dyDescent="0.2">
      <c r="A55" s="13" t="s">
        <v>169</v>
      </c>
      <c r="B55" s="14">
        <v>1</v>
      </c>
      <c r="C55" s="40">
        <v>3</v>
      </c>
      <c r="D55" s="40">
        <v>11</v>
      </c>
      <c r="E55" s="9" t="s">
        <v>43</v>
      </c>
      <c r="F55" s="14" t="s">
        <v>159</v>
      </c>
      <c r="G55" s="10">
        <v>678</v>
      </c>
      <c r="H55" s="14" t="s">
        <v>62</v>
      </c>
      <c r="I55" s="41" t="str">
        <f>Assumptions!$I$129</f>
        <v>B</v>
      </c>
      <c r="J55" s="14" t="str">
        <f>IF(D55&lt;=Assumptions!$V$129,"Low",IF(D55&lt;=Assumptions!$W$129,"Mid","High"))</f>
        <v>Mid</v>
      </c>
      <c r="K55" s="15">
        <f>Assumptions!$Q$129</f>
        <v>2613</v>
      </c>
      <c r="L55" s="42">
        <f>INDEX(Assumptions!$C$61:$C$90,D55)</f>
        <v>2826.6287532991773</v>
      </c>
      <c r="M55" s="43">
        <f>IF(D55&lt;=Assumptions!$G$129,Assumptions!$AK$129,IF(D55&lt;Assumptions!$AH$129,Assumptions!$AK$129+(Assumptions!$AL$129-Assumptions!$AK$129)*(D55-Assumptions!$G$129)/(Assumptions!$AH$129-Assumptions!$G$129),IF(D55&lt;Assumptions!$P$129,Assumptions!$AL$129+(Assumptions!$AM$129-Assumptions!$AL$129)*(D55-Assumptions!$AH$129)/(Assumptions!$P$129-Assumptions!$AH$129),Assumptions!$AM$129)))</f>
        <v>50000</v>
      </c>
      <c r="N55" s="44">
        <f t="shared" si="0"/>
        <v>73.746312684365776</v>
      </c>
      <c r="O55" s="45">
        <f t="shared" si="1"/>
        <v>2900</v>
      </c>
      <c r="P55" s="14" t="str">
        <f>IF(D55&gt;=Assumptions!$P$129,"High",IF(D55&gt;=Assumptions!$AH$129,"Mid",IF(D55&lt;=Assumptions!$G$129,"Low","Loading")))</f>
        <v>Mid</v>
      </c>
      <c r="Q55" s="46">
        <f>MAX(K55,MIN(Assumptions!$S$129,O55),Q56)</f>
        <v>2900</v>
      </c>
      <c r="R55" s="12">
        <f>IF(AND(Q55&lt;=K55,INDEX(Assumptions!$C$26:$C$36,MATCH(G55,Assumptions!$A$26:$A$36,0))&lt;&gt;""),INDEX(Assumptions!$C$26:$C$36,MATCH(G55,Assumptions!$A$26:$A$36,0)),ROUND(G55*Q55,-2))</f>
        <v>1966200</v>
      </c>
      <c r="S55" s="47" t="str">
        <f>TRIM(IF(AND(Assumptions!$L$129&lt;&gt;"",D55&lt;Assumptions!$L$129),"View blocked / roof in front ("&amp;Assumptions!$M$129&amp;"); view premium still loading until L"&amp;Assumptions!$L$129&amp;". ","")&amp;IF(D55=Assumptions!$AH$129,"Mid-floor view premium fully loaded. ","")&amp;IF(D55=Assumptions!$P$129,"High-floor view premium fully loaded. ","")&amp;IF(Q55&lt;=K55,"At developer starting price.",""))</f>
        <v/>
      </c>
      <c r="T55" s="48" t="str">
        <f>Assumptions!$AJ$129</f>
        <v>SSE. Forest Grill pavilions in front of low floors; landed, nature reserve &amp; city views open from mid floor</v>
      </c>
    </row>
    <row r="56" spans="1:20" x14ac:dyDescent="0.2">
      <c r="A56" s="13" t="s">
        <v>170</v>
      </c>
      <c r="B56" s="14">
        <v>1</v>
      </c>
      <c r="C56" s="40">
        <v>3</v>
      </c>
      <c r="D56" s="40">
        <v>10</v>
      </c>
      <c r="E56" s="9" t="s">
        <v>43</v>
      </c>
      <c r="F56" s="14" t="s">
        <v>159</v>
      </c>
      <c r="G56" s="10">
        <v>678</v>
      </c>
      <c r="H56" s="14" t="s">
        <v>62</v>
      </c>
      <c r="I56" s="41" t="str">
        <f>Assumptions!$I$129</f>
        <v>B</v>
      </c>
      <c r="J56" s="14" t="str">
        <f>IF(D56&lt;=Assumptions!$V$129,"Low",IF(D56&lt;=Assumptions!$W$129,"Mid","High"))</f>
        <v>Mid</v>
      </c>
      <c r="K56" s="15">
        <f>Assumptions!$Q$129</f>
        <v>2613</v>
      </c>
      <c r="L56" s="42">
        <f>INDEX(Assumptions!$C$61:$C$90,D56)</f>
        <v>2811.0862598975314</v>
      </c>
      <c r="M56" s="43">
        <f>IF(D56&lt;=Assumptions!$G$129,Assumptions!$AK$129,IF(D56&lt;Assumptions!$AH$129,Assumptions!$AK$129+(Assumptions!$AL$129-Assumptions!$AK$129)*(D56-Assumptions!$G$129)/(Assumptions!$AH$129-Assumptions!$G$129),IF(D56&lt;Assumptions!$P$129,Assumptions!$AL$129+(Assumptions!$AM$129-Assumptions!$AL$129)*(D56-Assumptions!$AH$129)/(Assumptions!$P$129-Assumptions!$AH$129),Assumptions!$AM$129)))</f>
        <v>50000</v>
      </c>
      <c r="N56" s="44">
        <f t="shared" si="0"/>
        <v>73.746312684365776</v>
      </c>
      <c r="O56" s="45">
        <f t="shared" si="1"/>
        <v>2885</v>
      </c>
      <c r="P56" s="14" t="str">
        <f>IF(D56&gt;=Assumptions!$P$129,"High",IF(D56&gt;=Assumptions!$AH$129,"Mid",IF(D56&lt;=Assumptions!$G$129,"Low","Loading")))</f>
        <v>Mid</v>
      </c>
      <c r="Q56" s="46">
        <f>MAX(K56,MIN(Assumptions!$S$129,O56),Q57)</f>
        <v>2885</v>
      </c>
      <c r="R56" s="12">
        <f>IF(AND(Q56&lt;=K56,INDEX(Assumptions!$C$26:$C$36,MATCH(G56,Assumptions!$A$26:$A$36,0))&lt;&gt;""),INDEX(Assumptions!$C$26:$C$36,MATCH(G56,Assumptions!$A$26:$A$36,0)),ROUND(G56*Q56,-2))</f>
        <v>1956000</v>
      </c>
      <c r="S56" s="47" t="str">
        <f>TRIM(IF(AND(Assumptions!$L$129&lt;&gt;"",D56&lt;Assumptions!$L$129),"View blocked / roof in front ("&amp;Assumptions!$M$129&amp;"); view premium still loading until L"&amp;Assumptions!$L$129&amp;". ","")&amp;IF(D56=Assumptions!$AH$129,"Mid-floor view premium fully loaded. ","")&amp;IF(D56=Assumptions!$P$129,"High-floor view premium fully loaded. ","")&amp;IF(Q56&lt;=K56,"At developer starting price.",""))</f>
        <v/>
      </c>
      <c r="T56" s="48" t="str">
        <f>Assumptions!$AJ$129</f>
        <v>SSE. Forest Grill pavilions in front of low floors; landed, nature reserve &amp; city views open from mid floor</v>
      </c>
    </row>
    <row r="57" spans="1:20" x14ac:dyDescent="0.2">
      <c r="A57" s="13" t="s">
        <v>171</v>
      </c>
      <c r="B57" s="14">
        <v>1</v>
      </c>
      <c r="C57" s="40">
        <v>3</v>
      </c>
      <c r="D57" s="40">
        <v>9</v>
      </c>
      <c r="E57" s="9" t="s">
        <v>43</v>
      </c>
      <c r="F57" s="14" t="s">
        <v>159</v>
      </c>
      <c r="G57" s="10">
        <v>678</v>
      </c>
      <c r="H57" s="14" t="s">
        <v>62</v>
      </c>
      <c r="I57" s="41" t="str">
        <f>Assumptions!$I$129</f>
        <v>B</v>
      </c>
      <c r="J57" s="14" t="str">
        <f>IF(D57&lt;=Assumptions!$V$129,"Low",IF(D57&lt;=Assumptions!$W$129,"Mid","High"))</f>
        <v>Mid</v>
      </c>
      <c r="K57" s="15">
        <f>Assumptions!$Q$129</f>
        <v>2613</v>
      </c>
      <c r="L57" s="42">
        <f>INDEX(Assumptions!$C$61:$C$90,D57)</f>
        <v>2795.5437664958858</v>
      </c>
      <c r="M57" s="43">
        <f>IF(D57&lt;=Assumptions!$G$129,Assumptions!$AK$129,IF(D57&lt;Assumptions!$AH$129,Assumptions!$AK$129+(Assumptions!$AL$129-Assumptions!$AK$129)*(D57-Assumptions!$G$129)/(Assumptions!$AH$129-Assumptions!$G$129),IF(D57&lt;Assumptions!$P$129,Assumptions!$AL$129+(Assumptions!$AM$129-Assumptions!$AL$129)*(D57-Assumptions!$AH$129)/(Assumptions!$P$129-Assumptions!$AH$129),Assumptions!$AM$129)))</f>
        <v>50000</v>
      </c>
      <c r="N57" s="44">
        <f t="shared" si="0"/>
        <v>73.746312684365776</v>
      </c>
      <c r="O57" s="45">
        <f t="shared" si="1"/>
        <v>2869</v>
      </c>
      <c r="P57" s="14" t="str">
        <f>IF(D57&gt;=Assumptions!$P$129,"High",IF(D57&gt;=Assumptions!$AH$129,"Mid",IF(D57&lt;=Assumptions!$G$129,"Low","Loading")))</f>
        <v>Mid</v>
      </c>
      <c r="Q57" s="46">
        <f>MAX(K57,MIN(Assumptions!$S$129,O57),Q58)</f>
        <v>2869</v>
      </c>
      <c r="R57" s="12">
        <f>IF(AND(Q57&lt;=K57,INDEX(Assumptions!$C$26:$C$36,MATCH(G57,Assumptions!$A$26:$A$36,0))&lt;&gt;""),INDEX(Assumptions!$C$26:$C$36,MATCH(G57,Assumptions!$A$26:$A$36,0)),ROUND(G57*Q57,-2))</f>
        <v>1945200</v>
      </c>
      <c r="S57" s="47" t="str">
        <f>TRIM(IF(AND(Assumptions!$L$129&lt;&gt;"",D57&lt;Assumptions!$L$129),"View blocked / roof in front ("&amp;Assumptions!$M$129&amp;"); view premium still loading until L"&amp;Assumptions!$L$129&amp;". ","")&amp;IF(D57=Assumptions!$AH$129,"Mid-floor view premium fully loaded. ","")&amp;IF(D57=Assumptions!$P$129,"High-floor view premium fully loaded. ","")&amp;IF(Q57&lt;=K57,"At developer starting price.",""))</f>
        <v/>
      </c>
      <c r="T57" s="48" t="str">
        <f>Assumptions!$AJ$129</f>
        <v>SSE. Forest Grill pavilions in front of low floors; landed, nature reserve &amp; city views open from mid floor</v>
      </c>
    </row>
    <row r="58" spans="1:20" x14ac:dyDescent="0.2">
      <c r="A58" s="13" t="s">
        <v>172</v>
      </c>
      <c r="B58" s="14">
        <v>1</v>
      </c>
      <c r="C58" s="40">
        <v>3</v>
      </c>
      <c r="D58" s="40">
        <v>8</v>
      </c>
      <c r="E58" s="9" t="s">
        <v>43</v>
      </c>
      <c r="F58" s="14" t="s">
        <v>159</v>
      </c>
      <c r="G58" s="10">
        <v>678</v>
      </c>
      <c r="H58" s="14" t="s">
        <v>62</v>
      </c>
      <c r="I58" s="41" t="str">
        <f>Assumptions!$I$129</f>
        <v>B</v>
      </c>
      <c r="J58" s="14" t="str">
        <f>IF(D58&lt;=Assumptions!$V$129,"Low",IF(D58&lt;=Assumptions!$W$129,"Mid","High"))</f>
        <v>Mid</v>
      </c>
      <c r="K58" s="15">
        <f>Assumptions!$Q$129</f>
        <v>2613</v>
      </c>
      <c r="L58" s="42">
        <f>INDEX(Assumptions!$C$61:$C$90,D58)</f>
        <v>2780.0012730942403</v>
      </c>
      <c r="M58" s="43">
        <f>IF(D58&lt;=Assumptions!$G$129,Assumptions!$AK$129,IF(D58&lt;Assumptions!$AH$129,Assumptions!$AK$129+(Assumptions!$AL$129-Assumptions!$AK$129)*(D58-Assumptions!$G$129)/(Assumptions!$AH$129-Assumptions!$G$129),IF(D58&lt;Assumptions!$P$129,Assumptions!$AL$129+(Assumptions!$AM$129-Assumptions!$AL$129)*(D58-Assumptions!$AH$129)/(Assumptions!$P$129-Assumptions!$AH$129),Assumptions!$AM$129)))</f>
        <v>50000</v>
      </c>
      <c r="N58" s="44">
        <f t="shared" si="0"/>
        <v>73.746312684365776</v>
      </c>
      <c r="O58" s="45">
        <f t="shared" si="1"/>
        <v>2854</v>
      </c>
      <c r="P58" s="14" t="str">
        <f>IF(D58&gt;=Assumptions!$P$129,"High",IF(D58&gt;=Assumptions!$AH$129,"Mid",IF(D58&lt;=Assumptions!$G$129,"Low","Loading")))</f>
        <v>Mid</v>
      </c>
      <c r="Q58" s="46">
        <f>MAX(K58,MIN(Assumptions!$S$129,O58),Q59)</f>
        <v>2854</v>
      </c>
      <c r="R58" s="12">
        <f>IF(AND(Q58&lt;=K58,INDEX(Assumptions!$C$26:$C$36,MATCH(G58,Assumptions!$A$26:$A$36,0))&lt;&gt;""),INDEX(Assumptions!$C$26:$C$36,MATCH(G58,Assumptions!$A$26:$A$36,0)),ROUND(G58*Q58,-2))</f>
        <v>1935000</v>
      </c>
      <c r="S58" s="47" t="str">
        <f>TRIM(IF(AND(Assumptions!$L$129&lt;&gt;"",D58&lt;Assumptions!$L$129),"View blocked / roof in front ("&amp;Assumptions!$M$129&amp;"); view premium still loading until L"&amp;Assumptions!$L$129&amp;". ","")&amp;IF(D58=Assumptions!$AH$129,"Mid-floor view premium fully loaded. ","")&amp;IF(D58=Assumptions!$P$129,"High-floor view premium fully loaded. ","")&amp;IF(Q58&lt;=K58,"At developer starting price.",""))</f>
        <v>Mid-floor view premium fully loaded.</v>
      </c>
      <c r="T58" s="48" t="str">
        <f>Assumptions!$AJ$129</f>
        <v>SSE. Forest Grill pavilions in front of low floors; landed, nature reserve &amp; city views open from mid floor</v>
      </c>
    </row>
    <row r="59" spans="1:20" x14ac:dyDescent="0.2">
      <c r="A59" s="13" t="s">
        <v>173</v>
      </c>
      <c r="B59" s="14">
        <v>1</v>
      </c>
      <c r="C59" s="40">
        <v>3</v>
      </c>
      <c r="D59" s="40">
        <v>7</v>
      </c>
      <c r="E59" s="9" t="s">
        <v>43</v>
      </c>
      <c r="F59" s="14" t="s">
        <v>159</v>
      </c>
      <c r="G59" s="10">
        <v>678</v>
      </c>
      <c r="H59" s="14" t="s">
        <v>62</v>
      </c>
      <c r="I59" s="41" t="str">
        <f>Assumptions!$I$129</f>
        <v>B</v>
      </c>
      <c r="J59" s="14" t="str">
        <f>IF(D59&lt;=Assumptions!$V$129,"Low",IF(D59&lt;=Assumptions!$W$129,"Mid","High"))</f>
        <v>Low</v>
      </c>
      <c r="K59" s="15">
        <f>Assumptions!$Q$129</f>
        <v>2613</v>
      </c>
      <c r="L59" s="42">
        <f>INDEX(Assumptions!$C$61:$C$90,D59)</f>
        <v>2764.4587796925944</v>
      </c>
      <c r="M59" s="43">
        <f>IF(D59&lt;=Assumptions!$G$129,Assumptions!$AK$129,IF(D59&lt;Assumptions!$AH$129,Assumptions!$AK$129+(Assumptions!$AL$129-Assumptions!$AK$129)*(D59-Assumptions!$G$129)/(Assumptions!$AH$129-Assumptions!$G$129),IF(D59&lt;Assumptions!$P$129,Assumptions!$AL$129+(Assumptions!$AM$129-Assumptions!$AL$129)*(D59-Assumptions!$AH$129)/(Assumptions!$P$129-Assumptions!$AH$129),Assumptions!$AM$129)))</f>
        <v>33333.333333333328</v>
      </c>
      <c r="N59" s="44">
        <f t="shared" si="0"/>
        <v>49.164208456243848</v>
      </c>
      <c r="O59" s="45">
        <f t="shared" si="1"/>
        <v>2814</v>
      </c>
      <c r="P59" s="14" t="str">
        <f>IF(D59&gt;=Assumptions!$P$129,"High",IF(D59&gt;=Assumptions!$AH$129,"Mid",IF(D59&lt;=Assumptions!$G$129,"Low","Loading")))</f>
        <v>Loading</v>
      </c>
      <c r="Q59" s="46">
        <f>MAX(K59,MIN(Assumptions!$S$129,O59),Q60)</f>
        <v>2814</v>
      </c>
      <c r="R59" s="12">
        <f>IF(AND(Q59&lt;=K59,INDEX(Assumptions!$C$26:$C$36,MATCH(G59,Assumptions!$A$26:$A$36,0))&lt;&gt;""),INDEX(Assumptions!$C$26:$C$36,MATCH(G59,Assumptions!$A$26:$A$36,0)),ROUND(G59*Q59,-2))</f>
        <v>1907900</v>
      </c>
      <c r="S59" s="47" t="str">
        <f>TRIM(IF(AND(Assumptions!$L$129&lt;&gt;"",D59&lt;Assumptions!$L$129),"View blocked / roof in front ("&amp;Assumptions!$M$129&amp;"); view premium still loading until L"&amp;Assumptions!$L$129&amp;". ","")&amp;IF(D59=Assumptions!$AH$129,"Mid-floor view premium fully loaded. ","")&amp;IF(D59=Assumptions!$P$129,"High-floor view premium fully loaded. ","")&amp;IF(Q59&lt;=K59,"At developer starting price.",""))</f>
        <v/>
      </c>
      <c r="T59" s="48" t="str">
        <f>Assumptions!$AJ$129</f>
        <v>SSE. Forest Grill pavilions in front of low floors; landed, nature reserve &amp; city views open from mid floor</v>
      </c>
    </row>
    <row r="60" spans="1:20" x14ac:dyDescent="0.2">
      <c r="A60" s="13" t="s">
        <v>174</v>
      </c>
      <c r="B60" s="14">
        <v>1</v>
      </c>
      <c r="C60" s="40">
        <v>3</v>
      </c>
      <c r="D60" s="40">
        <v>6</v>
      </c>
      <c r="E60" s="9" t="s">
        <v>43</v>
      </c>
      <c r="F60" s="14" t="s">
        <v>159</v>
      </c>
      <c r="G60" s="10">
        <v>678</v>
      </c>
      <c r="H60" s="14" t="s">
        <v>62</v>
      </c>
      <c r="I60" s="41" t="str">
        <f>Assumptions!$I$129</f>
        <v>B</v>
      </c>
      <c r="J60" s="14" t="str">
        <f>IF(D60&lt;=Assumptions!$V$129,"Low",IF(D60&lt;=Assumptions!$W$129,"Mid","High"))</f>
        <v>Low</v>
      </c>
      <c r="K60" s="15">
        <f>Assumptions!$Q$129</f>
        <v>2613</v>
      </c>
      <c r="L60" s="42">
        <f>INDEX(Assumptions!$C$61:$C$90,D60)</f>
        <v>2748.9162862909488</v>
      </c>
      <c r="M60" s="43">
        <f>IF(D60&lt;=Assumptions!$G$129,Assumptions!$AK$129,IF(D60&lt;Assumptions!$AH$129,Assumptions!$AK$129+(Assumptions!$AL$129-Assumptions!$AK$129)*(D60-Assumptions!$G$129)/(Assumptions!$AH$129-Assumptions!$G$129),IF(D60&lt;Assumptions!$P$129,Assumptions!$AL$129+(Assumptions!$AM$129-Assumptions!$AL$129)*(D60-Assumptions!$AH$129)/(Assumptions!$P$129-Assumptions!$AH$129),Assumptions!$AM$129)))</f>
        <v>16666.666666666672</v>
      </c>
      <c r="N60" s="44">
        <f t="shared" si="0"/>
        <v>24.582104228121935</v>
      </c>
      <c r="O60" s="45">
        <f t="shared" si="1"/>
        <v>2773</v>
      </c>
      <c r="P60" s="14" t="str">
        <f>IF(D60&gt;=Assumptions!$P$129,"High",IF(D60&gt;=Assumptions!$AH$129,"Mid",IF(D60&lt;=Assumptions!$G$129,"Low","Loading")))</f>
        <v>Loading</v>
      </c>
      <c r="Q60" s="46">
        <f>MAX(K60,MIN(Assumptions!$S$129,O60),Q61)</f>
        <v>2773</v>
      </c>
      <c r="R60" s="12">
        <f>IF(AND(Q60&lt;=K60,INDEX(Assumptions!$C$26:$C$36,MATCH(G60,Assumptions!$A$26:$A$36,0))&lt;&gt;""),INDEX(Assumptions!$C$26:$C$36,MATCH(G60,Assumptions!$A$26:$A$36,0)),ROUND(G60*Q60,-2))</f>
        <v>1880100</v>
      </c>
      <c r="S60" s="47" t="str">
        <f>TRIM(IF(AND(Assumptions!$L$129&lt;&gt;"",D60&lt;Assumptions!$L$129),"View blocked / roof in front ("&amp;Assumptions!$M$129&amp;"); view premium still loading until L"&amp;Assumptions!$L$129&amp;". ","")&amp;IF(D60=Assumptions!$AH$129,"Mid-floor view premium fully loaded. ","")&amp;IF(D60=Assumptions!$P$129,"High-floor view premium fully loaded. ","")&amp;IF(Q60&lt;=K60,"At developer starting price.",""))</f>
        <v/>
      </c>
      <c r="T60" s="48" t="str">
        <f>Assumptions!$AJ$129</f>
        <v>SSE. Forest Grill pavilions in front of low floors; landed, nature reserve &amp; city views open from mid floor</v>
      </c>
    </row>
    <row r="61" spans="1:20" x14ac:dyDescent="0.2">
      <c r="A61" s="13" t="s">
        <v>175</v>
      </c>
      <c r="B61" s="14">
        <v>1</v>
      </c>
      <c r="C61" s="40">
        <v>3</v>
      </c>
      <c r="D61" s="40">
        <v>5</v>
      </c>
      <c r="E61" s="9" t="s">
        <v>43</v>
      </c>
      <c r="F61" s="14" t="s">
        <v>159</v>
      </c>
      <c r="G61" s="10">
        <v>678</v>
      </c>
      <c r="H61" s="14" t="s">
        <v>62</v>
      </c>
      <c r="I61" s="41" t="str">
        <f>Assumptions!$I$129</f>
        <v>B</v>
      </c>
      <c r="J61" s="14" t="str">
        <f>IF(D61&lt;=Assumptions!$V$129,"Low",IF(D61&lt;=Assumptions!$W$129,"Mid","High"))</f>
        <v>Low</v>
      </c>
      <c r="K61" s="15">
        <f>Assumptions!$Q$129</f>
        <v>2613</v>
      </c>
      <c r="L61" s="42">
        <f>INDEX(Assumptions!$C$61:$C$90,D61)</f>
        <v>2733.3737928893029</v>
      </c>
      <c r="M61" s="43">
        <f>IF(D61&lt;=Assumptions!$G$129,Assumptions!$AK$129,IF(D61&lt;Assumptions!$AH$129,Assumptions!$AK$129+(Assumptions!$AL$129-Assumptions!$AK$129)*(D61-Assumptions!$G$129)/(Assumptions!$AH$129-Assumptions!$G$129),IF(D61&lt;Assumptions!$P$129,Assumptions!$AL$129+(Assumptions!$AM$129-Assumptions!$AL$129)*(D61-Assumptions!$AH$129)/(Assumptions!$P$129-Assumptions!$AH$129),Assumptions!$AM$129)))</f>
        <v>0</v>
      </c>
      <c r="N61" s="44">
        <f t="shared" si="0"/>
        <v>0</v>
      </c>
      <c r="O61" s="45">
        <f t="shared" si="1"/>
        <v>2733</v>
      </c>
      <c r="P61" s="14" t="str">
        <f>IF(D61&gt;=Assumptions!$P$129,"High",IF(D61&gt;=Assumptions!$AH$129,"Mid",IF(D61&lt;=Assumptions!$G$129,"Low","Loading")))</f>
        <v>Loading</v>
      </c>
      <c r="Q61" s="46">
        <f>MAX(K61,MIN(Assumptions!$S$129,O61),Q62)</f>
        <v>2733</v>
      </c>
      <c r="R61" s="12">
        <f>IF(AND(Q61&lt;=K61,INDEX(Assumptions!$C$26:$C$36,MATCH(G61,Assumptions!$A$26:$A$36,0))&lt;&gt;""),INDEX(Assumptions!$C$26:$C$36,MATCH(G61,Assumptions!$A$26:$A$36,0)),ROUND(G61*Q61,-2))</f>
        <v>1853000</v>
      </c>
      <c r="S61" s="47" t="str">
        <f>TRIM(IF(AND(Assumptions!$L$129&lt;&gt;"",D61&lt;Assumptions!$L$129),"View blocked / roof in front ("&amp;Assumptions!$M$129&amp;"); view premium still loading until L"&amp;Assumptions!$L$129&amp;". ","")&amp;IF(D61=Assumptions!$AH$129,"Mid-floor view premium fully loaded. ","")&amp;IF(D61=Assumptions!$P$129,"High-floor view premium fully loaded. ","")&amp;IF(Q61&lt;=K61,"At developer starting price.",""))</f>
        <v/>
      </c>
      <c r="T61" s="48" t="str">
        <f>Assumptions!$AJ$129</f>
        <v>SSE. Forest Grill pavilions in front of low floors; landed, nature reserve &amp; city views open from mid floor</v>
      </c>
    </row>
    <row r="62" spans="1:20" x14ac:dyDescent="0.2">
      <c r="A62" s="13" t="s">
        <v>176</v>
      </c>
      <c r="B62" s="14">
        <v>1</v>
      </c>
      <c r="C62" s="40">
        <v>3</v>
      </c>
      <c r="D62" s="40">
        <v>4</v>
      </c>
      <c r="E62" s="9" t="s">
        <v>43</v>
      </c>
      <c r="F62" s="14" t="s">
        <v>159</v>
      </c>
      <c r="G62" s="10">
        <v>678</v>
      </c>
      <c r="H62" s="14" t="s">
        <v>62</v>
      </c>
      <c r="I62" s="41" t="str">
        <f>Assumptions!$I$129</f>
        <v>B</v>
      </c>
      <c r="J62" s="14" t="str">
        <f>IF(D62&lt;=Assumptions!$V$129,"Low",IF(D62&lt;=Assumptions!$W$129,"Mid","High"))</f>
        <v>Low</v>
      </c>
      <c r="K62" s="15">
        <f>Assumptions!$Q$129</f>
        <v>2613</v>
      </c>
      <c r="L62" s="42">
        <f>INDEX(Assumptions!$C$61:$C$90,D62)</f>
        <v>2717.8312994876574</v>
      </c>
      <c r="M62" s="43">
        <f>IF(D62&lt;=Assumptions!$G$129,Assumptions!$AK$129,IF(D62&lt;Assumptions!$AH$129,Assumptions!$AK$129+(Assumptions!$AL$129-Assumptions!$AK$129)*(D62-Assumptions!$G$129)/(Assumptions!$AH$129-Assumptions!$G$129),IF(D62&lt;Assumptions!$P$129,Assumptions!$AL$129+(Assumptions!$AM$129-Assumptions!$AL$129)*(D62-Assumptions!$AH$129)/(Assumptions!$P$129-Assumptions!$AH$129),Assumptions!$AM$129)))</f>
        <v>-16666.666666666664</v>
      </c>
      <c r="N62" s="44">
        <f t="shared" si="0"/>
        <v>-24.582104228121924</v>
      </c>
      <c r="O62" s="45">
        <f t="shared" si="1"/>
        <v>2693</v>
      </c>
      <c r="P62" s="14" t="str">
        <f>IF(D62&gt;=Assumptions!$P$129,"High",IF(D62&gt;=Assumptions!$AH$129,"Mid",IF(D62&lt;=Assumptions!$G$129,"Low","Loading")))</f>
        <v>Loading</v>
      </c>
      <c r="Q62" s="46">
        <f>MAX(K62,MIN(Assumptions!$S$129,O62),Q63)</f>
        <v>2693</v>
      </c>
      <c r="R62" s="12">
        <f>IF(AND(Q62&lt;=K62,INDEX(Assumptions!$C$26:$C$36,MATCH(G62,Assumptions!$A$26:$A$36,0))&lt;&gt;""),INDEX(Assumptions!$C$26:$C$36,MATCH(G62,Assumptions!$A$26:$A$36,0)),ROUND(G62*Q62,-2))</f>
        <v>1825900</v>
      </c>
      <c r="S62" s="47" t="str">
        <f>TRIM(IF(AND(Assumptions!$L$129&lt;&gt;"",D62&lt;Assumptions!$L$129),"View blocked / roof in front ("&amp;Assumptions!$M$129&amp;"); view premium still loading until L"&amp;Assumptions!$L$129&amp;". ","")&amp;IF(D62=Assumptions!$AH$129,"Mid-floor view premium fully loaded. ","")&amp;IF(D62=Assumptions!$P$129,"High-floor view premium fully loaded. ","")&amp;IF(Q62&lt;=K62,"At developer starting price.",""))</f>
        <v/>
      </c>
      <c r="T62" s="48" t="str">
        <f>Assumptions!$AJ$129</f>
        <v>SSE. Forest Grill pavilions in front of low floors; landed, nature reserve &amp; city views open from mid floor</v>
      </c>
    </row>
    <row r="63" spans="1:20" x14ac:dyDescent="0.2">
      <c r="A63" s="13" t="s">
        <v>177</v>
      </c>
      <c r="B63" s="14">
        <v>1</v>
      </c>
      <c r="C63" s="40">
        <v>3</v>
      </c>
      <c r="D63" s="40">
        <v>3</v>
      </c>
      <c r="E63" s="9" t="s">
        <v>43</v>
      </c>
      <c r="F63" s="14" t="s">
        <v>159</v>
      </c>
      <c r="G63" s="10">
        <v>678</v>
      </c>
      <c r="H63" s="14" t="s">
        <v>62</v>
      </c>
      <c r="I63" s="41" t="str">
        <f>Assumptions!$I$129</f>
        <v>B</v>
      </c>
      <c r="J63" s="14" t="str">
        <f>IF(D63&lt;=Assumptions!$V$129,"Low",IF(D63&lt;=Assumptions!$W$129,"Mid","High"))</f>
        <v>Low</v>
      </c>
      <c r="K63" s="15">
        <f>Assumptions!$Q$129</f>
        <v>2613</v>
      </c>
      <c r="L63" s="42">
        <f>INDEX(Assumptions!$C$61:$C$90,D63)</f>
        <v>2702.2888060860114</v>
      </c>
      <c r="M63" s="43">
        <f>IF(D63&lt;=Assumptions!$G$129,Assumptions!$AK$129,IF(D63&lt;Assumptions!$AH$129,Assumptions!$AK$129+(Assumptions!$AL$129-Assumptions!$AK$129)*(D63-Assumptions!$G$129)/(Assumptions!$AH$129-Assumptions!$G$129),IF(D63&lt;Assumptions!$P$129,Assumptions!$AL$129+(Assumptions!$AM$129-Assumptions!$AL$129)*(D63-Assumptions!$AH$129)/(Assumptions!$P$129-Assumptions!$AH$129),Assumptions!$AM$129)))</f>
        <v>-33333.333333333328</v>
      </c>
      <c r="N63" s="44">
        <f t="shared" si="0"/>
        <v>-49.164208456243848</v>
      </c>
      <c r="O63" s="45">
        <f t="shared" si="1"/>
        <v>2653</v>
      </c>
      <c r="P63" s="14" t="str">
        <f>IF(D63&gt;=Assumptions!$P$129,"High",IF(D63&gt;=Assumptions!$AH$129,"Mid",IF(D63&lt;=Assumptions!$G$129,"Low","Loading")))</f>
        <v>Loading</v>
      </c>
      <c r="Q63" s="46">
        <f>MAX(K63,MIN(Assumptions!$S$129,O63),Q64)</f>
        <v>2653</v>
      </c>
      <c r="R63" s="12">
        <f>IF(AND(Q63&lt;=K63,INDEX(Assumptions!$C$26:$C$36,MATCH(G63,Assumptions!$A$26:$A$36,0))&lt;&gt;""),INDEX(Assumptions!$C$26:$C$36,MATCH(G63,Assumptions!$A$26:$A$36,0)),ROUND(G63*Q63,-2))</f>
        <v>1798700</v>
      </c>
      <c r="S63" s="47" t="str">
        <f>TRIM(IF(AND(Assumptions!$L$129&lt;&gt;"",D63&lt;Assumptions!$L$129),"View blocked / roof in front ("&amp;Assumptions!$M$129&amp;"); view premium still loading until L"&amp;Assumptions!$L$129&amp;". ","")&amp;IF(D63=Assumptions!$AH$129,"Mid-floor view premium fully loaded. ","")&amp;IF(D63=Assumptions!$P$129,"High-floor view premium fully loaded. ","")&amp;IF(Q63&lt;=K63,"At developer starting price.",""))</f>
        <v>View blocked / roof in front (Forest Grill Pavilion 2: 66% of view, 22.5 to 32.5m away); view premium still loading until L4.</v>
      </c>
      <c r="T63" s="48" t="str">
        <f>Assumptions!$AJ$129</f>
        <v>SSE. Forest Grill pavilions in front of low floors; landed, nature reserve &amp; city views open from mid floor</v>
      </c>
    </row>
    <row r="64" spans="1:20" x14ac:dyDescent="0.2">
      <c r="A64" s="13" t="s">
        <v>178</v>
      </c>
      <c r="B64" s="14">
        <v>1</v>
      </c>
      <c r="C64" s="40">
        <v>3</v>
      </c>
      <c r="D64" s="40">
        <v>2</v>
      </c>
      <c r="E64" s="9" t="s">
        <v>43</v>
      </c>
      <c r="F64" s="14" t="s">
        <v>179</v>
      </c>
      <c r="G64" s="10">
        <v>678</v>
      </c>
      <c r="H64" s="14" t="s">
        <v>62</v>
      </c>
      <c r="I64" s="41" t="str">
        <f>Assumptions!$I$129</f>
        <v>B</v>
      </c>
      <c r="J64" s="14" t="str">
        <f>IF(D64&lt;=Assumptions!$V$129,"Low",IF(D64&lt;=Assumptions!$W$129,"Mid","High"))</f>
        <v>Low</v>
      </c>
      <c r="K64" s="15">
        <f>Assumptions!$Q$129</f>
        <v>2613</v>
      </c>
      <c r="L64" s="42">
        <f>INDEX(Assumptions!$C$61:$C$90,D64)</f>
        <v>2686.7463126843659</v>
      </c>
      <c r="M64" s="43">
        <f>IF(D64&lt;=Assumptions!$G$129,Assumptions!$AK$129,IF(D64&lt;Assumptions!$AH$129,Assumptions!$AK$129+(Assumptions!$AL$129-Assumptions!$AK$129)*(D64-Assumptions!$G$129)/(Assumptions!$AH$129-Assumptions!$G$129),IF(D64&lt;Assumptions!$P$129,Assumptions!$AL$129+(Assumptions!$AM$129-Assumptions!$AL$129)*(D64-Assumptions!$AH$129)/(Assumptions!$P$129-Assumptions!$AH$129),Assumptions!$AM$129)))</f>
        <v>-50000</v>
      </c>
      <c r="N64" s="44">
        <f t="shared" si="0"/>
        <v>-73.746312684365776</v>
      </c>
      <c r="O64" s="45">
        <f t="shared" si="1"/>
        <v>2613</v>
      </c>
      <c r="P64" s="14" t="str">
        <f>IF(D64&gt;=Assumptions!$P$129,"High",IF(D64&gt;=Assumptions!$AH$129,"Mid",IF(D64&lt;=Assumptions!$G$129,"Low","Loading")))</f>
        <v>Low</v>
      </c>
      <c r="Q64" s="46">
        <f>MAX(K64,MIN(Assumptions!$S$129,O64))</f>
        <v>2613</v>
      </c>
      <c r="R64" s="12">
        <f>IF(AND(Q64&lt;=K64,INDEX(Assumptions!$C$26:$C$36,MATCH(G64,Assumptions!$A$26:$A$36,0))&lt;&gt;""),INDEX(Assumptions!$C$26:$C$36,MATCH(G64,Assumptions!$A$26:$A$36,0)),ROUND(G64*Q64,-2))</f>
        <v>1772000</v>
      </c>
      <c r="S64" s="47" t="str">
        <f>TRIM(IF(AND(Assumptions!$L$129&lt;&gt;"",D64&lt;Assumptions!$L$129),"View blocked / roof in front ("&amp;Assumptions!$M$129&amp;"); view premium still loading until L"&amp;Assumptions!$L$129&amp;". ","")&amp;IF(D64=Assumptions!$AH$129,"Mid-floor view premium fully loaded. ","")&amp;IF(D64=Assumptions!$P$129,"High-floor view premium fully loaded. ","")&amp;IF(Q64&lt;=K64,"At developer starting price.",""))</f>
        <v>View blocked / roof in front (Forest Grill Pavilion 2: 66% of view, 22.5 to 32.5m away); view premium still loading until L4. At developer starting price.</v>
      </c>
      <c r="T64" s="48" t="str">
        <f>Assumptions!$AJ$129</f>
        <v>SSE. Forest Grill pavilions in front of low floors; landed, nature reserve &amp; city views open from mid floor</v>
      </c>
    </row>
    <row r="65" spans="1:20" x14ac:dyDescent="0.2">
      <c r="A65" s="13" t="s">
        <v>180</v>
      </c>
      <c r="B65" s="14">
        <v>1</v>
      </c>
      <c r="C65" s="40">
        <v>4</v>
      </c>
      <c r="D65" s="40">
        <v>21</v>
      </c>
      <c r="E65" s="9" t="s">
        <v>44</v>
      </c>
      <c r="F65" s="14" t="s">
        <v>181</v>
      </c>
      <c r="G65" s="10">
        <v>732</v>
      </c>
      <c r="H65" s="14" t="s">
        <v>62</v>
      </c>
      <c r="I65" s="41" t="str">
        <f>Assumptions!$I$130</f>
        <v>C</v>
      </c>
      <c r="J65" s="14" t="str">
        <f>IF(D65&lt;=Assumptions!$V$130,"Low",IF(D65&lt;=Assumptions!$W$130,"Mid","High"))</f>
        <v>High</v>
      </c>
      <c r="K65" s="15">
        <f>Assumptions!$Q$130</f>
        <v>2630</v>
      </c>
      <c r="L65" s="42">
        <f>INDEX(Assumptions!$E$61:$E$90,D65)</f>
        <v>3080.3785714285714</v>
      </c>
      <c r="M65" s="43">
        <f>IF(D65&lt;=Assumptions!$G$130,Assumptions!$AK$130,IF(D65&lt;Assumptions!$AH$130,Assumptions!$AK$130+(Assumptions!$AL$130-Assumptions!$AK$130)*(D65-Assumptions!$G$130)/(Assumptions!$AH$130-Assumptions!$G$130),IF(D65&lt;Assumptions!$P$130,Assumptions!$AL$130+(Assumptions!$AM$130-Assumptions!$AL$130)*(D65-Assumptions!$AH$130)/(Assumptions!$P$130-Assumptions!$AH$130),Assumptions!$AM$130)))</f>
        <v>50000</v>
      </c>
      <c r="N65" s="44">
        <f t="shared" si="0"/>
        <v>68.306010928961754</v>
      </c>
      <c r="O65" s="45">
        <f t="shared" si="1"/>
        <v>3149</v>
      </c>
      <c r="P65" s="14" t="str">
        <f>IF(D65&gt;=Assumptions!$P$130,"High",IF(D65&gt;=Assumptions!$AH$130,"Mid",IF(D65&lt;=Assumptions!$G$130,"Low","Loading")))</f>
        <v>High</v>
      </c>
      <c r="Q65" s="46">
        <f>MAX(K65,MIN(Assumptions!$S$130,O65),Q66)</f>
        <v>3149</v>
      </c>
      <c r="R65" s="12">
        <f>IF(AND(Q65&lt;=K65,INDEX(Assumptions!$C$26:$C$36,MATCH(G65,Assumptions!$A$26:$A$36,0))&lt;&gt;""),INDEX(Assumptions!$C$26:$C$36,MATCH(G65,Assumptions!$A$26:$A$36,0)),ROUND(G65*Q65,-2))</f>
        <v>2305100</v>
      </c>
      <c r="S65" s="47" t="str">
        <f>TRIM(IF(AND(Assumptions!$L$130&lt;&gt;"",D65&lt;Assumptions!$L$130),"View blocked / roof in front ("&amp;Assumptions!$M$130&amp;"); view premium still loading until L"&amp;Assumptions!$L$130&amp;". ","")&amp;IF(D65=Assumptions!$AH$130,"Mid-floor view premium fully loaded. ","")&amp;IF(D65=Assumptions!$P$130,"High-floor view premium fully loaded. ","")&amp;IF(Q65&lt;=K65,"At developer starting price.",""))</f>
        <v/>
      </c>
      <c r="T65" s="48" t="str">
        <f>Assumptions!$AJ$130</f>
        <v>SSE. 81m setback to road; landed &amp; greenery; same view corridor as Stacks 01-05 from mid floor</v>
      </c>
    </row>
    <row r="66" spans="1:20" x14ac:dyDescent="0.2">
      <c r="A66" s="13" t="s">
        <v>182</v>
      </c>
      <c r="B66" s="14">
        <v>1</v>
      </c>
      <c r="C66" s="40">
        <v>4</v>
      </c>
      <c r="D66" s="40">
        <v>20</v>
      </c>
      <c r="E66" s="9" t="s">
        <v>44</v>
      </c>
      <c r="F66" s="14" t="s">
        <v>181</v>
      </c>
      <c r="G66" s="10">
        <v>732</v>
      </c>
      <c r="H66" s="14" t="s">
        <v>62</v>
      </c>
      <c r="I66" s="41" t="str">
        <f>Assumptions!$I$130</f>
        <v>C</v>
      </c>
      <c r="J66" s="14" t="str">
        <f>IF(D66&lt;=Assumptions!$V$130,"Low",IF(D66&lt;=Assumptions!$W$130,"Mid","High"))</f>
        <v>High</v>
      </c>
      <c r="K66" s="15">
        <f>Assumptions!$Q$130</f>
        <v>2630</v>
      </c>
      <c r="L66" s="42">
        <f>INDEX(Assumptions!$E$61:$E$90,D66)</f>
        <v>3057.3071428571425</v>
      </c>
      <c r="M66" s="43">
        <f>IF(D66&lt;=Assumptions!$G$130,Assumptions!$AK$130,IF(D66&lt;Assumptions!$AH$130,Assumptions!$AK$130+(Assumptions!$AL$130-Assumptions!$AK$130)*(D66-Assumptions!$G$130)/(Assumptions!$AH$130-Assumptions!$G$130),IF(D66&lt;Assumptions!$P$130,Assumptions!$AL$130+(Assumptions!$AM$130-Assumptions!$AL$130)*(D66-Assumptions!$AH$130)/(Assumptions!$P$130-Assumptions!$AH$130),Assumptions!$AM$130)))</f>
        <v>50000</v>
      </c>
      <c r="N66" s="44">
        <f t="shared" si="0"/>
        <v>68.306010928961754</v>
      </c>
      <c r="O66" s="45">
        <f t="shared" si="1"/>
        <v>3126</v>
      </c>
      <c r="P66" s="14" t="str">
        <f>IF(D66&gt;=Assumptions!$P$130,"High",IF(D66&gt;=Assumptions!$AH$130,"Mid",IF(D66&lt;=Assumptions!$G$130,"Low","Loading")))</f>
        <v>High</v>
      </c>
      <c r="Q66" s="46">
        <f>MAX(K66,MIN(Assumptions!$S$130,O66),Q67)</f>
        <v>3126</v>
      </c>
      <c r="R66" s="12">
        <f>IF(AND(Q66&lt;=K66,INDEX(Assumptions!$C$26:$C$36,MATCH(G66,Assumptions!$A$26:$A$36,0))&lt;&gt;""),INDEX(Assumptions!$C$26:$C$36,MATCH(G66,Assumptions!$A$26:$A$36,0)),ROUND(G66*Q66,-2))</f>
        <v>2288200</v>
      </c>
      <c r="S66" s="47" t="str">
        <f>TRIM(IF(AND(Assumptions!$L$130&lt;&gt;"",D66&lt;Assumptions!$L$130),"View blocked / roof in front ("&amp;Assumptions!$M$130&amp;"); view premium still loading until L"&amp;Assumptions!$L$130&amp;". ","")&amp;IF(D66=Assumptions!$AH$130,"Mid-floor view premium fully loaded. ","")&amp;IF(D66=Assumptions!$P$130,"High-floor view premium fully loaded. ","")&amp;IF(Q66&lt;=K66,"At developer starting price.",""))</f>
        <v/>
      </c>
      <c r="T66" s="48" t="str">
        <f>Assumptions!$AJ$130</f>
        <v>SSE. 81m setback to road; landed &amp; greenery; same view corridor as Stacks 01-05 from mid floor</v>
      </c>
    </row>
    <row r="67" spans="1:20" x14ac:dyDescent="0.2">
      <c r="A67" s="13" t="s">
        <v>183</v>
      </c>
      <c r="B67" s="14">
        <v>1</v>
      </c>
      <c r="C67" s="40">
        <v>4</v>
      </c>
      <c r="D67" s="40">
        <v>19</v>
      </c>
      <c r="E67" s="9" t="s">
        <v>44</v>
      </c>
      <c r="F67" s="14" t="s">
        <v>181</v>
      </c>
      <c r="G67" s="10">
        <v>732</v>
      </c>
      <c r="H67" s="14" t="s">
        <v>62</v>
      </c>
      <c r="I67" s="41" t="str">
        <f>Assumptions!$I$130</f>
        <v>C</v>
      </c>
      <c r="J67" s="14" t="str">
        <f>IF(D67&lt;=Assumptions!$V$130,"Low",IF(D67&lt;=Assumptions!$W$130,"Mid","High"))</f>
        <v>High</v>
      </c>
      <c r="K67" s="15">
        <f>Assumptions!$Q$130</f>
        <v>2630</v>
      </c>
      <c r="L67" s="42">
        <f>INDEX(Assumptions!$E$61:$E$90,D67)</f>
        <v>3034.235714285714</v>
      </c>
      <c r="M67" s="43">
        <f>IF(D67&lt;=Assumptions!$G$130,Assumptions!$AK$130,IF(D67&lt;Assumptions!$AH$130,Assumptions!$AK$130+(Assumptions!$AL$130-Assumptions!$AK$130)*(D67-Assumptions!$G$130)/(Assumptions!$AH$130-Assumptions!$G$130),IF(D67&lt;Assumptions!$P$130,Assumptions!$AL$130+(Assumptions!$AM$130-Assumptions!$AL$130)*(D67-Assumptions!$AH$130)/(Assumptions!$P$130-Assumptions!$AH$130),Assumptions!$AM$130)))</f>
        <v>50000</v>
      </c>
      <c r="N67" s="44">
        <f t="shared" si="0"/>
        <v>68.306010928961754</v>
      </c>
      <c r="O67" s="45">
        <f t="shared" si="1"/>
        <v>3103</v>
      </c>
      <c r="P67" s="14" t="str">
        <f>IF(D67&gt;=Assumptions!$P$130,"High",IF(D67&gt;=Assumptions!$AH$130,"Mid",IF(D67&lt;=Assumptions!$G$130,"Low","Loading")))</f>
        <v>High</v>
      </c>
      <c r="Q67" s="46">
        <f>MAX(K67,MIN(Assumptions!$S$130,O67),Q68)</f>
        <v>3103</v>
      </c>
      <c r="R67" s="12">
        <f>IF(AND(Q67&lt;=K67,INDEX(Assumptions!$C$26:$C$36,MATCH(G67,Assumptions!$A$26:$A$36,0))&lt;&gt;""),INDEX(Assumptions!$C$26:$C$36,MATCH(G67,Assumptions!$A$26:$A$36,0)),ROUND(G67*Q67,-2))</f>
        <v>2271400</v>
      </c>
      <c r="S67" s="47" t="str">
        <f>TRIM(IF(AND(Assumptions!$L$130&lt;&gt;"",D67&lt;Assumptions!$L$130),"View blocked / roof in front ("&amp;Assumptions!$M$130&amp;"); view premium still loading until L"&amp;Assumptions!$L$130&amp;". ","")&amp;IF(D67=Assumptions!$AH$130,"Mid-floor view premium fully loaded. ","")&amp;IF(D67=Assumptions!$P$130,"High-floor view premium fully loaded. ","")&amp;IF(Q67&lt;=K67,"At developer starting price.",""))</f>
        <v/>
      </c>
      <c r="T67" s="48" t="str">
        <f>Assumptions!$AJ$130</f>
        <v>SSE. 81m setback to road; landed &amp; greenery; same view corridor as Stacks 01-05 from mid floor</v>
      </c>
    </row>
    <row r="68" spans="1:20" x14ac:dyDescent="0.2">
      <c r="A68" s="13" t="s">
        <v>184</v>
      </c>
      <c r="B68" s="14">
        <v>1</v>
      </c>
      <c r="C68" s="40">
        <v>4</v>
      </c>
      <c r="D68" s="40">
        <v>18</v>
      </c>
      <c r="E68" s="9" t="s">
        <v>44</v>
      </c>
      <c r="F68" s="14" t="s">
        <v>181</v>
      </c>
      <c r="G68" s="10">
        <v>732</v>
      </c>
      <c r="H68" s="14" t="s">
        <v>62</v>
      </c>
      <c r="I68" s="41" t="str">
        <f>Assumptions!$I$130</f>
        <v>C</v>
      </c>
      <c r="J68" s="14" t="str">
        <f>IF(D68&lt;=Assumptions!$V$130,"Low",IF(D68&lt;=Assumptions!$W$130,"Mid","High"))</f>
        <v>High</v>
      </c>
      <c r="K68" s="15">
        <f>Assumptions!$Q$130</f>
        <v>2630</v>
      </c>
      <c r="L68" s="42">
        <f>INDEX(Assumptions!$E$61:$E$90,D68)</f>
        <v>3011.1642857142856</v>
      </c>
      <c r="M68" s="43">
        <f>IF(D68&lt;=Assumptions!$G$130,Assumptions!$AK$130,IF(D68&lt;Assumptions!$AH$130,Assumptions!$AK$130+(Assumptions!$AL$130-Assumptions!$AK$130)*(D68-Assumptions!$G$130)/(Assumptions!$AH$130-Assumptions!$G$130),IF(D68&lt;Assumptions!$P$130,Assumptions!$AL$130+(Assumptions!$AM$130-Assumptions!$AL$130)*(D68-Assumptions!$AH$130)/(Assumptions!$P$130-Assumptions!$AH$130),Assumptions!$AM$130)))</f>
        <v>50000</v>
      </c>
      <c r="N68" s="44">
        <f t="shared" si="0"/>
        <v>68.306010928961754</v>
      </c>
      <c r="O68" s="45">
        <f t="shared" si="1"/>
        <v>3079</v>
      </c>
      <c r="P68" s="14" t="str">
        <f>IF(D68&gt;=Assumptions!$P$130,"High",IF(D68&gt;=Assumptions!$AH$130,"Mid",IF(D68&lt;=Assumptions!$G$130,"Low","Loading")))</f>
        <v>High</v>
      </c>
      <c r="Q68" s="46">
        <f>MAX(K68,MIN(Assumptions!$S$130,O68),Q69)</f>
        <v>3079</v>
      </c>
      <c r="R68" s="12">
        <f>IF(AND(Q68&lt;=K68,INDEX(Assumptions!$C$26:$C$36,MATCH(G68,Assumptions!$A$26:$A$36,0))&lt;&gt;""),INDEX(Assumptions!$C$26:$C$36,MATCH(G68,Assumptions!$A$26:$A$36,0)),ROUND(G68*Q68,-2))</f>
        <v>2253800</v>
      </c>
      <c r="S68" s="47" t="str">
        <f>TRIM(IF(AND(Assumptions!$L$130&lt;&gt;"",D68&lt;Assumptions!$L$130),"View blocked / roof in front ("&amp;Assumptions!$M$130&amp;"); view premium still loading until L"&amp;Assumptions!$L$130&amp;". ","")&amp;IF(D68=Assumptions!$AH$130,"Mid-floor view premium fully loaded. ","")&amp;IF(D68=Assumptions!$P$130,"High-floor view premium fully loaded. ","")&amp;IF(Q68&lt;=K68,"At developer starting price.",""))</f>
        <v/>
      </c>
      <c r="T68" s="48" t="str">
        <f>Assumptions!$AJ$130</f>
        <v>SSE. 81m setback to road; landed &amp; greenery; same view corridor as Stacks 01-05 from mid floor</v>
      </c>
    </row>
    <row r="69" spans="1:20" x14ac:dyDescent="0.2">
      <c r="A69" s="13" t="s">
        <v>185</v>
      </c>
      <c r="B69" s="14">
        <v>1</v>
      </c>
      <c r="C69" s="40">
        <v>4</v>
      </c>
      <c r="D69" s="40">
        <v>17</v>
      </c>
      <c r="E69" s="9" t="s">
        <v>44</v>
      </c>
      <c r="F69" s="14" t="s">
        <v>181</v>
      </c>
      <c r="G69" s="10">
        <v>732</v>
      </c>
      <c r="H69" s="14" t="s">
        <v>62</v>
      </c>
      <c r="I69" s="41" t="str">
        <f>Assumptions!$I$130</f>
        <v>C</v>
      </c>
      <c r="J69" s="14" t="str">
        <f>IF(D69&lt;=Assumptions!$V$130,"Low",IF(D69&lt;=Assumptions!$W$130,"Mid","High"))</f>
        <v>High</v>
      </c>
      <c r="K69" s="15">
        <f>Assumptions!$Q$130</f>
        <v>2630</v>
      </c>
      <c r="L69" s="42">
        <f>INDEX(Assumptions!$E$61:$E$90,D69)</f>
        <v>2988.0928571428572</v>
      </c>
      <c r="M69" s="43">
        <f>IF(D69&lt;=Assumptions!$G$130,Assumptions!$AK$130,IF(D69&lt;Assumptions!$AH$130,Assumptions!$AK$130+(Assumptions!$AL$130-Assumptions!$AK$130)*(D69-Assumptions!$G$130)/(Assumptions!$AH$130-Assumptions!$G$130),IF(D69&lt;Assumptions!$P$130,Assumptions!$AL$130+(Assumptions!$AM$130-Assumptions!$AL$130)*(D69-Assumptions!$AH$130)/(Assumptions!$P$130-Assumptions!$AH$130),Assumptions!$AM$130)))</f>
        <v>50000</v>
      </c>
      <c r="N69" s="44">
        <f t="shared" ref="N69:N132" si="2">M69/G69</f>
        <v>68.306010928961754</v>
      </c>
      <c r="O69" s="45">
        <f t="shared" ref="O69:O132" si="3">ROUND(L69+N69,0)</f>
        <v>3056</v>
      </c>
      <c r="P69" s="14" t="str">
        <f>IF(D69&gt;=Assumptions!$P$130,"High",IF(D69&gt;=Assumptions!$AH$130,"Mid",IF(D69&lt;=Assumptions!$G$130,"Low","Loading")))</f>
        <v>High</v>
      </c>
      <c r="Q69" s="46">
        <f>MAX(K69,MIN(Assumptions!$S$130,O69),Q70)</f>
        <v>3056</v>
      </c>
      <c r="R69" s="12">
        <f>IF(AND(Q69&lt;=K69,INDEX(Assumptions!$C$26:$C$36,MATCH(G69,Assumptions!$A$26:$A$36,0))&lt;&gt;""),INDEX(Assumptions!$C$26:$C$36,MATCH(G69,Assumptions!$A$26:$A$36,0)),ROUND(G69*Q69,-2))</f>
        <v>2237000</v>
      </c>
      <c r="S69" s="47" t="str">
        <f>TRIM(IF(AND(Assumptions!$L$130&lt;&gt;"",D69&lt;Assumptions!$L$130),"View blocked / roof in front ("&amp;Assumptions!$M$130&amp;"); view premium still loading until L"&amp;Assumptions!$L$130&amp;". ","")&amp;IF(D69=Assumptions!$AH$130,"Mid-floor view premium fully loaded. ","")&amp;IF(D69=Assumptions!$P$130,"High-floor view premium fully loaded. ","")&amp;IF(Q69&lt;=K69,"At developer starting price.",""))</f>
        <v/>
      </c>
      <c r="T69" s="48" t="str">
        <f>Assumptions!$AJ$130</f>
        <v>SSE. 81m setback to road; landed &amp; greenery; same view corridor as Stacks 01-05 from mid floor</v>
      </c>
    </row>
    <row r="70" spans="1:20" x14ac:dyDescent="0.2">
      <c r="A70" s="13" t="s">
        <v>186</v>
      </c>
      <c r="B70" s="14">
        <v>1</v>
      </c>
      <c r="C70" s="40">
        <v>4</v>
      </c>
      <c r="D70" s="40">
        <v>16</v>
      </c>
      <c r="E70" s="9" t="s">
        <v>44</v>
      </c>
      <c r="F70" s="14" t="s">
        <v>181</v>
      </c>
      <c r="G70" s="10">
        <v>732</v>
      </c>
      <c r="H70" s="14" t="s">
        <v>62</v>
      </c>
      <c r="I70" s="41" t="str">
        <f>Assumptions!$I$130</f>
        <v>C</v>
      </c>
      <c r="J70" s="14" t="str">
        <f>IF(D70&lt;=Assumptions!$V$130,"Low",IF(D70&lt;=Assumptions!$W$130,"Mid","High"))</f>
        <v>High</v>
      </c>
      <c r="K70" s="15">
        <f>Assumptions!$Q$130</f>
        <v>2630</v>
      </c>
      <c r="L70" s="42">
        <f>INDEX(Assumptions!$E$61:$E$90,D70)</f>
        <v>2965.0214285714283</v>
      </c>
      <c r="M70" s="43">
        <f>IF(D70&lt;=Assumptions!$G$130,Assumptions!$AK$130,IF(D70&lt;Assumptions!$AH$130,Assumptions!$AK$130+(Assumptions!$AL$130-Assumptions!$AK$130)*(D70-Assumptions!$G$130)/(Assumptions!$AH$130-Assumptions!$G$130),IF(D70&lt;Assumptions!$P$130,Assumptions!$AL$130+(Assumptions!$AM$130-Assumptions!$AL$130)*(D70-Assumptions!$AH$130)/(Assumptions!$P$130-Assumptions!$AH$130),Assumptions!$AM$130)))</f>
        <v>50000</v>
      </c>
      <c r="N70" s="44">
        <f t="shared" si="2"/>
        <v>68.306010928961754</v>
      </c>
      <c r="O70" s="45">
        <f t="shared" si="3"/>
        <v>3033</v>
      </c>
      <c r="P70" s="14" t="str">
        <f>IF(D70&gt;=Assumptions!$P$130,"High",IF(D70&gt;=Assumptions!$AH$130,"Mid",IF(D70&lt;=Assumptions!$G$130,"Low","Loading")))</f>
        <v>High</v>
      </c>
      <c r="Q70" s="46">
        <f>MAX(K70,MIN(Assumptions!$S$130,O70),Q71)</f>
        <v>3033</v>
      </c>
      <c r="R70" s="12">
        <f>IF(AND(Q70&lt;=K70,INDEX(Assumptions!$C$26:$C$36,MATCH(G70,Assumptions!$A$26:$A$36,0))&lt;&gt;""),INDEX(Assumptions!$C$26:$C$36,MATCH(G70,Assumptions!$A$26:$A$36,0)),ROUND(G70*Q70,-2))</f>
        <v>2220200</v>
      </c>
      <c r="S70" s="47" t="str">
        <f>TRIM(IF(AND(Assumptions!$L$130&lt;&gt;"",D70&lt;Assumptions!$L$130),"View blocked / roof in front ("&amp;Assumptions!$M$130&amp;"); view premium still loading until L"&amp;Assumptions!$L$130&amp;". ","")&amp;IF(D70=Assumptions!$AH$130,"Mid-floor view premium fully loaded. ","")&amp;IF(D70=Assumptions!$P$130,"High-floor view premium fully loaded. ","")&amp;IF(Q70&lt;=K70,"At developer starting price.",""))</f>
        <v>High-floor view premium fully loaded.</v>
      </c>
      <c r="T70" s="48" t="str">
        <f>Assumptions!$AJ$130</f>
        <v>SSE. 81m setback to road; landed &amp; greenery; same view corridor as Stacks 01-05 from mid floor</v>
      </c>
    </row>
    <row r="71" spans="1:20" x14ac:dyDescent="0.2">
      <c r="A71" s="13" t="s">
        <v>187</v>
      </c>
      <c r="B71" s="14">
        <v>1</v>
      </c>
      <c r="C71" s="40">
        <v>4</v>
      </c>
      <c r="D71" s="40">
        <v>15</v>
      </c>
      <c r="E71" s="9" t="s">
        <v>44</v>
      </c>
      <c r="F71" s="14" t="s">
        <v>181</v>
      </c>
      <c r="G71" s="10">
        <v>732</v>
      </c>
      <c r="H71" s="14" t="s">
        <v>62</v>
      </c>
      <c r="I71" s="41" t="str">
        <f>Assumptions!$I$130</f>
        <v>C</v>
      </c>
      <c r="J71" s="14" t="str">
        <f>IF(D71&lt;=Assumptions!$V$130,"Low",IF(D71&lt;=Assumptions!$W$130,"Mid","High"))</f>
        <v>Mid</v>
      </c>
      <c r="K71" s="15">
        <f>Assumptions!$Q$130</f>
        <v>2630</v>
      </c>
      <c r="L71" s="42">
        <f>INDEX(Assumptions!$E$61:$E$90,D71)</f>
        <v>2941.95</v>
      </c>
      <c r="M71" s="43">
        <f>IF(D71&lt;=Assumptions!$G$130,Assumptions!$AK$130,IF(D71&lt;Assumptions!$AH$130,Assumptions!$AK$130+(Assumptions!$AL$130-Assumptions!$AK$130)*(D71-Assumptions!$G$130)/(Assumptions!$AH$130-Assumptions!$G$130),IF(D71&lt;Assumptions!$P$130,Assumptions!$AL$130+(Assumptions!$AM$130-Assumptions!$AL$130)*(D71-Assumptions!$AH$130)/(Assumptions!$P$130-Assumptions!$AH$130),Assumptions!$AM$130)))</f>
        <v>50000</v>
      </c>
      <c r="N71" s="44">
        <f t="shared" si="2"/>
        <v>68.306010928961754</v>
      </c>
      <c r="O71" s="45">
        <f t="shared" si="3"/>
        <v>3010</v>
      </c>
      <c r="P71" s="14" t="str">
        <f>IF(D71&gt;=Assumptions!$P$130,"High",IF(D71&gt;=Assumptions!$AH$130,"Mid",IF(D71&lt;=Assumptions!$G$130,"Low","Loading")))</f>
        <v>Mid</v>
      </c>
      <c r="Q71" s="46">
        <f>MAX(K71,MIN(Assumptions!$S$130,O71),Q72)</f>
        <v>3010</v>
      </c>
      <c r="R71" s="12">
        <f>IF(AND(Q71&lt;=K71,INDEX(Assumptions!$C$26:$C$36,MATCH(G71,Assumptions!$A$26:$A$36,0))&lt;&gt;""),INDEX(Assumptions!$C$26:$C$36,MATCH(G71,Assumptions!$A$26:$A$36,0)),ROUND(G71*Q71,-2))</f>
        <v>2203300</v>
      </c>
      <c r="S71" s="47" t="str">
        <f>TRIM(IF(AND(Assumptions!$L$130&lt;&gt;"",D71&lt;Assumptions!$L$130),"View blocked / roof in front ("&amp;Assumptions!$M$130&amp;"); view premium still loading until L"&amp;Assumptions!$L$130&amp;". ","")&amp;IF(D71=Assumptions!$AH$130,"Mid-floor view premium fully loaded. ","")&amp;IF(D71=Assumptions!$P$130,"High-floor view premium fully loaded. ","")&amp;IF(Q71&lt;=K71,"At developer starting price.",""))</f>
        <v/>
      </c>
      <c r="T71" s="48" t="str">
        <f>Assumptions!$AJ$130</f>
        <v>SSE. 81m setback to road; landed &amp; greenery; same view corridor as Stacks 01-05 from mid floor</v>
      </c>
    </row>
    <row r="72" spans="1:20" x14ac:dyDescent="0.2">
      <c r="A72" s="13" t="s">
        <v>188</v>
      </c>
      <c r="B72" s="14">
        <v>1</v>
      </c>
      <c r="C72" s="40">
        <v>4</v>
      </c>
      <c r="D72" s="40">
        <v>14</v>
      </c>
      <c r="E72" s="9" t="s">
        <v>44</v>
      </c>
      <c r="F72" s="14" t="s">
        <v>181</v>
      </c>
      <c r="G72" s="10">
        <v>732</v>
      </c>
      <c r="H72" s="14" t="s">
        <v>62</v>
      </c>
      <c r="I72" s="41" t="str">
        <f>Assumptions!$I$130</f>
        <v>C</v>
      </c>
      <c r="J72" s="14" t="str">
        <f>IF(D72&lt;=Assumptions!$V$130,"Low",IF(D72&lt;=Assumptions!$W$130,"Mid","High"))</f>
        <v>Mid</v>
      </c>
      <c r="K72" s="15">
        <f>Assumptions!$Q$130</f>
        <v>2630</v>
      </c>
      <c r="L72" s="42">
        <f>INDEX(Assumptions!$E$61:$E$90,D72)</f>
        <v>2918.8785714285714</v>
      </c>
      <c r="M72" s="43">
        <f>IF(D72&lt;=Assumptions!$G$130,Assumptions!$AK$130,IF(D72&lt;Assumptions!$AH$130,Assumptions!$AK$130+(Assumptions!$AL$130-Assumptions!$AK$130)*(D72-Assumptions!$G$130)/(Assumptions!$AH$130-Assumptions!$G$130),IF(D72&lt;Assumptions!$P$130,Assumptions!$AL$130+(Assumptions!$AM$130-Assumptions!$AL$130)*(D72-Assumptions!$AH$130)/(Assumptions!$P$130-Assumptions!$AH$130),Assumptions!$AM$130)))</f>
        <v>50000</v>
      </c>
      <c r="N72" s="44">
        <f t="shared" si="2"/>
        <v>68.306010928961754</v>
      </c>
      <c r="O72" s="45">
        <f t="shared" si="3"/>
        <v>2987</v>
      </c>
      <c r="P72" s="14" t="str">
        <f>IF(D72&gt;=Assumptions!$P$130,"High",IF(D72&gt;=Assumptions!$AH$130,"Mid",IF(D72&lt;=Assumptions!$G$130,"Low","Loading")))</f>
        <v>Mid</v>
      </c>
      <c r="Q72" s="46">
        <f>MAX(K72,MIN(Assumptions!$S$130,O72),Q73)</f>
        <v>2987</v>
      </c>
      <c r="R72" s="12">
        <f>IF(AND(Q72&lt;=K72,INDEX(Assumptions!$C$26:$C$36,MATCH(G72,Assumptions!$A$26:$A$36,0))&lt;&gt;""),INDEX(Assumptions!$C$26:$C$36,MATCH(G72,Assumptions!$A$26:$A$36,0)),ROUND(G72*Q72,-2))</f>
        <v>2186500</v>
      </c>
      <c r="S72" s="47" t="str">
        <f>TRIM(IF(AND(Assumptions!$L$130&lt;&gt;"",D72&lt;Assumptions!$L$130),"View blocked / roof in front ("&amp;Assumptions!$M$130&amp;"); view premium still loading until L"&amp;Assumptions!$L$130&amp;". ","")&amp;IF(D72=Assumptions!$AH$130,"Mid-floor view premium fully loaded. ","")&amp;IF(D72=Assumptions!$P$130,"High-floor view premium fully loaded. ","")&amp;IF(Q72&lt;=K72,"At developer starting price.",""))</f>
        <v/>
      </c>
      <c r="T72" s="48" t="str">
        <f>Assumptions!$AJ$130</f>
        <v>SSE. 81m setback to road; landed &amp; greenery; same view corridor as Stacks 01-05 from mid floor</v>
      </c>
    </row>
    <row r="73" spans="1:20" x14ac:dyDescent="0.2">
      <c r="A73" s="13" t="s">
        <v>189</v>
      </c>
      <c r="B73" s="14">
        <v>1</v>
      </c>
      <c r="C73" s="40">
        <v>4</v>
      </c>
      <c r="D73" s="40">
        <v>13</v>
      </c>
      <c r="E73" s="9" t="s">
        <v>44</v>
      </c>
      <c r="F73" s="14" t="s">
        <v>181</v>
      </c>
      <c r="G73" s="10">
        <v>732</v>
      </c>
      <c r="H73" s="14" t="s">
        <v>62</v>
      </c>
      <c r="I73" s="41" t="str">
        <f>Assumptions!$I$130</f>
        <v>C</v>
      </c>
      <c r="J73" s="14" t="str">
        <f>IF(D73&lt;=Assumptions!$V$130,"Low",IF(D73&lt;=Assumptions!$W$130,"Mid","High"))</f>
        <v>Mid</v>
      </c>
      <c r="K73" s="15">
        <f>Assumptions!$Q$130</f>
        <v>2630</v>
      </c>
      <c r="L73" s="42">
        <f>INDEX(Assumptions!$E$61:$E$90,D73)</f>
        <v>2895.8071428571425</v>
      </c>
      <c r="M73" s="43">
        <f>IF(D73&lt;=Assumptions!$G$130,Assumptions!$AK$130,IF(D73&lt;Assumptions!$AH$130,Assumptions!$AK$130+(Assumptions!$AL$130-Assumptions!$AK$130)*(D73-Assumptions!$G$130)/(Assumptions!$AH$130-Assumptions!$G$130),IF(D73&lt;Assumptions!$P$130,Assumptions!$AL$130+(Assumptions!$AM$130-Assumptions!$AL$130)*(D73-Assumptions!$AH$130)/(Assumptions!$P$130-Assumptions!$AH$130),Assumptions!$AM$130)))</f>
        <v>50000</v>
      </c>
      <c r="N73" s="44">
        <f t="shared" si="2"/>
        <v>68.306010928961754</v>
      </c>
      <c r="O73" s="45">
        <f t="shared" si="3"/>
        <v>2964</v>
      </c>
      <c r="P73" s="14" t="str">
        <f>IF(D73&gt;=Assumptions!$P$130,"High",IF(D73&gt;=Assumptions!$AH$130,"Mid",IF(D73&lt;=Assumptions!$G$130,"Low","Loading")))</f>
        <v>Mid</v>
      </c>
      <c r="Q73" s="46">
        <f>MAX(K73,MIN(Assumptions!$S$130,O73),Q74)</f>
        <v>2964</v>
      </c>
      <c r="R73" s="12">
        <f>IF(AND(Q73&lt;=K73,INDEX(Assumptions!$C$26:$C$36,MATCH(G73,Assumptions!$A$26:$A$36,0))&lt;&gt;""),INDEX(Assumptions!$C$26:$C$36,MATCH(G73,Assumptions!$A$26:$A$36,0)),ROUND(G73*Q73,-2))</f>
        <v>2169600</v>
      </c>
      <c r="S73" s="47" t="str">
        <f>TRIM(IF(AND(Assumptions!$L$130&lt;&gt;"",D73&lt;Assumptions!$L$130),"View blocked / roof in front ("&amp;Assumptions!$M$130&amp;"); view premium still loading until L"&amp;Assumptions!$L$130&amp;". ","")&amp;IF(D73=Assumptions!$AH$130,"Mid-floor view premium fully loaded. ","")&amp;IF(D73=Assumptions!$P$130,"High-floor view premium fully loaded. ","")&amp;IF(Q73&lt;=K73,"At developer starting price.",""))</f>
        <v/>
      </c>
      <c r="T73" s="48" t="str">
        <f>Assumptions!$AJ$130</f>
        <v>SSE. 81m setback to road; landed &amp; greenery; same view corridor as Stacks 01-05 from mid floor</v>
      </c>
    </row>
    <row r="74" spans="1:20" x14ac:dyDescent="0.2">
      <c r="A74" s="13" t="s">
        <v>190</v>
      </c>
      <c r="B74" s="14">
        <v>1</v>
      </c>
      <c r="C74" s="40">
        <v>4</v>
      </c>
      <c r="D74" s="40">
        <v>12</v>
      </c>
      <c r="E74" s="9" t="s">
        <v>44</v>
      </c>
      <c r="F74" s="14" t="s">
        <v>181</v>
      </c>
      <c r="G74" s="10">
        <v>732</v>
      </c>
      <c r="H74" s="14" t="s">
        <v>62</v>
      </c>
      <c r="I74" s="41" t="str">
        <f>Assumptions!$I$130</f>
        <v>C</v>
      </c>
      <c r="J74" s="14" t="str">
        <f>IF(D74&lt;=Assumptions!$V$130,"Low",IF(D74&lt;=Assumptions!$W$130,"Mid","High"))</f>
        <v>Mid</v>
      </c>
      <c r="K74" s="15">
        <f>Assumptions!$Q$130</f>
        <v>2630</v>
      </c>
      <c r="L74" s="42">
        <f>INDEX(Assumptions!$E$61:$E$90,D74)</f>
        <v>2872.735714285714</v>
      </c>
      <c r="M74" s="43">
        <f>IF(D74&lt;=Assumptions!$G$130,Assumptions!$AK$130,IF(D74&lt;Assumptions!$AH$130,Assumptions!$AK$130+(Assumptions!$AL$130-Assumptions!$AK$130)*(D74-Assumptions!$G$130)/(Assumptions!$AH$130-Assumptions!$G$130),IF(D74&lt;Assumptions!$P$130,Assumptions!$AL$130+(Assumptions!$AM$130-Assumptions!$AL$130)*(D74-Assumptions!$AH$130)/(Assumptions!$P$130-Assumptions!$AH$130),Assumptions!$AM$130)))</f>
        <v>50000</v>
      </c>
      <c r="N74" s="44">
        <f t="shared" si="2"/>
        <v>68.306010928961754</v>
      </c>
      <c r="O74" s="45">
        <f t="shared" si="3"/>
        <v>2941</v>
      </c>
      <c r="P74" s="14" t="str">
        <f>IF(D74&gt;=Assumptions!$P$130,"High",IF(D74&gt;=Assumptions!$AH$130,"Mid",IF(D74&lt;=Assumptions!$G$130,"Low","Loading")))</f>
        <v>Mid</v>
      </c>
      <c r="Q74" s="46">
        <f>MAX(K74,MIN(Assumptions!$S$130,O74),Q75)</f>
        <v>2941</v>
      </c>
      <c r="R74" s="12">
        <f>IF(AND(Q74&lt;=K74,INDEX(Assumptions!$C$26:$C$36,MATCH(G74,Assumptions!$A$26:$A$36,0))&lt;&gt;""),INDEX(Assumptions!$C$26:$C$36,MATCH(G74,Assumptions!$A$26:$A$36,0)),ROUND(G74*Q74,-2))</f>
        <v>2152800</v>
      </c>
      <c r="S74" s="47" t="str">
        <f>TRIM(IF(AND(Assumptions!$L$130&lt;&gt;"",D74&lt;Assumptions!$L$130),"View blocked / roof in front ("&amp;Assumptions!$M$130&amp;"); view premium still loading until L"&amp;Assumptions!$L$130&amp;". ","")&amp;IF(D74=Assumptions!$AH$130,"Mid-floor view premium fully loaded. ","")&amp;IF(D74=Assumptions!$P$130,"High-floor view premium fully loaded. ","")&amp;IF(Q74&lt;=K74,"At developer starting price.",""))</f>
        <v/>
      </c>
      <c r="T74" s="48" t="str">
        <f>Assumptions!$AJ$130</f>
        <v>SSE. 81m setback to road; landed &amp; greenery; same view corridor as Stacks 01-05 from mid floor</v>
      </c>
    </row>
    <row r="75" spans="1:20" x14ac:dyDescent="0.2">
      <c r="A75" s="13" t="s">
        <v>191</v>
      </c>
      <c r="B75" s="14">
        <v>1</v>
      </c>
      <c r="C75" s="40">
        <v>4</v>
      </c>
      <c r="D75" s="40">
        <v>11</v>
      </c>
      <c r="E75" s="9" t="s">
        <v>44</v>
      </c>
      <c r="F75" s="14" t="s">
        <v>181</v>
      </c>
      <c r="G75" s="10">
        <v>732</v>
      </c>
      <c r="H75" s="14" t="s">
        <v>62</v>
      </c>
      <c r="I75" s="41" t="str">
        <f>Assumptions!$I$130</f>
        <v>C</v>
      </c>
      <c r="J75" s="14" t="str">
        <f>IF(D75&lt;=Assumptions!$V$130,"Low",IF(D75&lt;=Assumptions!$W$130,"Mid","High"))</f>
        <v>Mid</v>
      </c>
      <c r="K75" s="15">
        <f>Assumptions!$Q$130</f>
        <v>2630</v>
      </c>
      <c r="L75" s="42">
        <f>INDEX(Assumptions!$E$61:$E$90,D75)</f>
        <v>2852.6266321541557</v>
      </c>
      <c r="M75" s="43">
        <f>IF(D75&lt;=Assumptions!$G$130,Assumptions!$AK$130,IF(D75&lt;Assumptions!$AH$130,Assumptions!$AK$130+(Assumptions!$AL$130-Assumptions!$AK$130)*(D75-Assumptions!$G$130)/(Assumptions!$AH$130-Assumptions!$G$130),IF(D75&lt;Assumptions!$P$130,Assumptions!$AL$130+(Assumptions!$AM$130-Assumptions!$AL$130)*(D75-Assumptions!$AH$130)/(Assumptions!$P$130-Assumptions!$AH$130),Assumptions!$AM$130)))</f>
        <v>50000</v>
      </c>
      <c r="N75" s="44">
        <f t="shared" si="2"/>
        <v>68.306010928961754</v>
      </c>
      <c r="O75" s="45">
        <f t="shared" si="3"/>
        <v>2921</v>
      </c>
      <c r="P75" s="14" t="str">
        <f>IF(D75&gt;=Assumptions!$P$130,"High",IF(D75&gt;=Assumptions!$AH$130,"Mid",IF(D75&lt;=Assumptions!$G$130,"Low","Loading")))</f>
        <v>Mid</v>
      </c>
      <c r="Q75" s="46">
        <f>MAX(K75,MIN(Assumptions!$S$130,O75),Q76)</f>
        <v>2921</v>
      </c>
      <c r="R75" s="12">
        <f>IF(AND(Q75&lt;=K75,INDEX(Assumptions!$C$26:$C$36,MATCH(G75,Assumptions!$A$26:$A$36,0))&lt;&gt;""),INDEX(Assumptions!$C$26:$C$36,MATCH(G75,Assumptions!$A$26:$A$36,0)),ROUND(G75*Q75,-2))</f>
        <v>2138200</v>
      </c>
      <c r="S75" s="47" t="str">
        <f>TRIM(IF(AND(Assumptions!$L$130&lt;&gt;"",D75&lt;Assumptions!$L$130),"View blocked / roof in front ("&amp;Assumptions!$M$130&amp;"); view premium still loading until L"&amp;Assumptions!$L$130&amp;". ","")&amp;IF(D75=Assumptions!$AH$130,"Mid-floor view premium fully loaded. ","")&amp;IF(D75=Assumptions!$P$130,"High-floor view premium fully loaded. ","")&amp;IF(Q75&lt;=K75,"At developer starting price.",""))</f>
        <v/>
      </c>
      <c r="T75" s="48" t="str">
        <f>Assumptions!$AJ$130</f>
        <v>SSE. 81m setback to road; landed &amp; greenery; same view corridor as Stacks 01-05 from mid floor</v>
      </c>
    </row>
    <row r="76" spans="1:20" x14ac:dyDescent="0.2">
      <c r="A76" s="13" t="s">
        <v>192</v>
      </c>
      <c r="B76" s="14">
        <v>1</v>
      </c>
      <c r="C76" s="40">
        <v>4</v>
      </c>
      <c r="D76" s="40">
        <v>10</v>
      </c>
      <c r="E76" s="9" t="s">
        <v>44</v>
      </c>
      <c r="F76" s="14" t="s">
        <v>181</v>
      </c>
      <c r="G76" s="10">
        <v>732</v>
      </c>
      <c r="H76" s="14" t="s">
        <v>62</v>
      </c>
      <c r="I76" s="41" t="str">
        <f>Assumptions!$I$130</f>
        <v>C</v>
      </c>
      <c r="J76" s="14" t="str">
        <f>IF(D76&lt;=Assumptions!$V$130,"Low",IF(D76&lt;=Assumptions!$W$130,"Mid","High"))</f>
        <v>Mid</v>
      </c>
      <c r="K76" s="15">
        <f>Assumptions!$Q$130</f>
        <v>2630</v>
      </c>
      <c r="L76" s="42">
        <f>INDEX(Assumptions!$E$61:$E$90,D76)</f>
        <v>2835.4798964624674</v>
      </c>
      <c r="M76" s="43">
        <f>IF(D76&lt;=Assumptions!$G$130,Assumptions!$AK$130,IF(D76&lt;Assumptions!$AH$130,Assumptions!$AK$130+(Assumptions!$AL$130-Assumptions!$AK$130)*(D76-Assumptions!$G$130)/(Assumptions!$AH$130-Assumptions!$G$130),IF(D76&lt;Assumptions!$P$130,Assumptions!$AL$130+(Assumptions!$AM$130-Assumptions!$AL$130)*(D76-Assumptions!$AH$130)/(Assumptions!$P$130-Assumptions!$AH$130),Assumptions!$AM$130)))</f>
        <v>50000</v>
      </c>
      <c r="N76" s="44">
        <f t="shared" si="2"/>
        <v>68.306010928961754</v>
      </c>
      <c r="O76" s="45">
        <f t="shared" si="3"/>
        <v>2904</v>
      </c>
      <c r="P76" s="14" t="str">
        <f>IF(D76&gt;=Assumptions!$P$130,"High",IF(D76&gt;=Assumptions!$AH$130,"Mid",IF(D76&lt;=Assumptions!$G$130,"Low","Loading")))</f>
        <v>Mid</v>
      </c>
      <c r="Q76" s="46">
        <f>MAX(K76,MIN(Assumptions!$S$130,O76),Q77)</f>
        <v>2904</v>
      </c>
      <c r="R76" s="12">
        <f>IF(AND(Q76&lt;=K76,INDEX(Assumptions!$C$26:$C$36,MATCH(G76,Assumptions!$A$26:$A$36,0))&lt;&gt;""),INDEX(Assumptions!$C$26:$C$36,MATCH(G76,Assumptions!$A$26:$A$36,0)),ROUND(G76*Q76,-2))</f>
        <v>2125700</v>
      </c>
      <c r="S76" s="47" t="str">
        <f>TRIM(IF(AND(Assumptions!$L$130&lt;&gt;"",D76&lt;Assumptions!$L$130),"View blocked / roof in front ("&amp;Assumptions!$M$130&amp;"); view premium still loading until L"&amp;Assumptions!$L$130&amp;". ","")&amp;IF(D76=Assumptions!$AH$130,"Mid-floor view premium fully loaded. ","")&amp;IF(D76=Assumptions!$P$130,"High-floor view premium fully loaded. ","")&amp;IF(Q76&lt;=K76,"At developer starting price.",""))</f>
        <v/>
      </c>
      <c r="T76" s="48" t="str">
        <f>Assumptions!$AJ$130</f>
        <v>SSE. 81m setback to road; landed &amp; greenery; same view corridor as Stacks 01-05 from mid floor</v>
      </c>
    </row>
    <row r="77" spans="1:20" x14ac:dyDescent="0.2">
      <c r="A77" s="13" t="s">
        <v>193</v>
      </c>
      <c r="B77" s="14">
        <v>1</v>
      </c>
      <c r="C77" s="40">
        <v>4</v>
      </c>
      <c r="D77" s="40">
        <v>9</v>
      </c>
      <c r="E77" s="9" t="s">
        <v>44</v>
      </c>
      <c r="F77" s="14" t="s">
        <v>181</v>
      </c>
      <c r="G77" s="10">
        <v>732</v>
      </c>
      <c r="H77" s="14" t="s">
        <v>62</v>
      </c>
      <c r="I77" s="41" t="str">
        <f>Assumptions!$I$130</f>
        <v>C</v>
      </c>
      <c r="J77" s="14" t="str">
        <f>IF(D77&lt;=Assumptions!$V$130,"Low",IF(D77&lt;=Assumptions!$W$130,"Mid","High"))</f>
        <v>Mid</v>
      </c>
      <c r="K77" s="15">
        <f>Assumptions!$Q$130</f>
        <v>2630</v>
      </c>
      <c r="L77" s="42">
        <f>INDEX(Assumptions!$E$61:$E$90,D77)</f>
        <v>2818.3331607707792</v>
      </c>
      <c r="M77" s="43">
        <f>IF(D77&lt;=Assumptions!$G$130,Assumptions!$AK$130,IF(D77&lt;Assumptions!$AH$130,Assumptions!$AK$130+(Assumptions!$AL$130-Assumptions!$AK$130)*(D77-Assumptions!$G$130)/(Assumptions!$AH$130-Assumptions!$G$130),IF(D77&lt;Assumptions!$P$130,Assumptions!$AL$130+(Assumptions!$AM$130-Assumptions!$AL$130)*(D77-Assumptions!$AH$130)/(Assumptions!$P$130-Assumptions!$AH$130),Assumptions!$AM$130)))</f>
        <v>50000</v>
      </c>
      <c r="N77" s="44">
        <f t="shared" si="2"/>
        <v>68.306010928961754</v>
      </c>
      <c r="O77" s="45">
        <f t="shared" si="3"/>
        <v>2887</v>
      </c>
      <c r="P77" s="14" t="str">
        <f>IF(D77&gt;=Assumptions!$P$130,"High",IF(D77&gt;=Assumptions!$AH$130,"Mid",IF(D77&lt;=Assumptions!$G$130,"Low","Loading")))</f>
        <v>Mid</v>
      </c>
      <c r="Q77" s="46">
        <f>MAX(K77,MIN(Assumptions!$S$130,O77),Q78)</f>
        <v>2887</v>
      </c>
      <c r="R77" s="12">
        <f>IF(AND(Q77&lt;=K77,INDEX(Assumptions!$C$26:$C$36,MATCH(G77,Assumptions!$A$26:$A$36,0))&lt;&gt;""),INDEX(Assumptions!$C$26:$C$36,MATCH(G77,Assumptions!$A$26:$A$36,0)),ROUND(G77*Q77,-2))</f>
        <v>2113300</v>
      </c>
      <c r="S77" s="47" t="str">
        <f>TRIM(IF(AND(Assumptions!$L$130&lt;&gt;"",D77&lt;Assumptions!$L$130),"View blocked / roof in front ("&amp;Assumptions!$M$130&amp;"); view premium still loading until L"&amp;Assumptions!$L$130&amp;". ","")&amp;IF(D77=Assumptions!$AH$130,"Mid-floor view premium fully loaded. ","")&amp;IF(D77=Assumptions!$P$130,"High-floor view premium fully loaded. ","")&amp;IF(Q77&lt;=K77,"At developer starting price.",""))</f>
        <v/>
      </c>
      <c r="T77" s="48" t="str">
        <f>Assumptions!$AJ$130</f>
        <v>SSE. 81m setback to road; landed &amp; greenery; same view corridor as Stacks 01-05 from mid floor</v>
      </c>
    </row>
    <row r="78" spans="1:20" x14ac:dyDescent="0.2">
      <c r="A78" s="13" t="s">
        <v>194</v>
      </c>
      <c r="B78" s="14">
        <v>1</v>
      </c>
      <c r="C78" s="40">
        <v>4</v>
      </c>
      <c r="D78" s="40">
        <v>8</v>
      </c>
      <c r="E78" s="9" t="s">
        <v>44</v>
      </c>
      <c r="F78" s="14" t="s">
        <v>181</v>
      </c>
      <c r="G78" s="10">
        <v>732</v>
      </c>
      <c r="H78" s="14" t="s">
        <v>62</v>
      </c>
      <c r="I78" s="41" t="str">
        <f>Assumptions!$I$130</f>
        <v>C</v>
      </c>
      <c r="J78" s="14" t="str">
        <f>IF(D78&lt;=Assumptions!$V$130,"Low",IF(D78&lt;=Assumptions!$W$130,"Mid","High"))</f>
        <v>Mid</v>
      </c>
      <c r="K78" s="15">
        <f>Assumptions!$Q$130</f>
        <v>2630</v>
      </c>
      <c r="L78" s="42">
        <f>INDEX(Assumptions!$E$61:$E$90,D78)</f>
        <v>2801.1864250790909</v>
      </c>
      <c r="M78" s="43">
        <f>IF(D78&lt;=Assumptions!$G$130,Assumptions!$AK$130,IF(D78&lt;Assumptions!$AH$130,Assumptions!$AK$130+(Assumptions!$AL$130-Assumptions!$AK$130)*(D78-Assumptions!$G$130)/(Assumptions!$AH$130-Assumptions!$G$130),IF(D78&lt;Assumptions!$P$130,Assumptions!$AL$130+(Assumptions!$AM$130-Assumptions!$AL$130)*(D78-Assumptions!$AH$130)/(Assumptions!$P$130-Assumptions!$AH$130),Assumptions!$AM$130)))</f>
        <v>50000</v>
      </c>
      <c r="N78" s="44">
        <f t="shared" si="2"/>
        <v>68.306010928961754</v>
      </c>
      <c r="O78" s="45">
        <f t="shared" si="3"/>
        <v>2869</v>
      </c>
      <c r="P78" s="14" t="str">
        <f>IF(D78&gt;=Assumptions!$P$130,"High",IF(D78&gt;=Assumptions!$AH$130,"Mid",IF(D78&lt;=Assumptions!$G$130,"Low","Loading")))</f>
        <v>Mid</v>
      </c>
      <c r="Q78" s="46">
        <f>MAX(K78,MIN(Assumptions!$S$130,O78),Q79)</f>
        <v>2869</v>
      </c>
      <c r="R78" s="12">
        <f>IF(AND(Q78&lt;=K78,INDEX(Assumptions!$C$26:$C$36,MATCH(G78,Assumptions!$A$26:$A$36,0))&lt;&gt;""),INDEX(Assumptions!$C$26:$C$36,MATCH(G78,Assumptions!$A$26:$A$36,0)),ROUND(G78*Q78,-2))</f>
        <v>2100100</v>
      </c>
      <c r="S78" s="47" t="str">
        <f>TRIM(IF(AND(Assumptions!$L$130&lt;&gt;"",D78&lt;Assumptions!$L$130),"View blocked / roof in front ("&amp;Assumptions!$M$130&amp;"); view premium still loading until L"&amp;Assumptions!$L$130&amp;". ","")&amp;IF(D78=Assumptions!$AH$130,"Mid-floor view premium fully loaded. ","")&amp;IF(D78=Assumptions!$P$130,"High-floor view premium fully loaded. ","")&amp;IF(Q78&lt;=K78,"At developer starting price.",""))</f>
        <v>Mid-floor view premium fully loaded.</v>
      </c>
      <c r="T78" s="48" t="str">
        <f>Assumptions!$AJ$130</f>
        <v>SSE. 81m setback to road; landed &amp; greenery; same view corridor as Stacks 01-05 from mid floor</v>
      </c>
    </row>
    <row r="79" spans="1:20" x14ac:dyDescent="0.2">
      <c r="A79" s="13" t="s">
        <v>195</v>
      </c>
      <c r="B79" s="14">
        <v>1</v>
      </c>
      <c r="C79" s="40">
        <v>4</v>
      </c>
      <c r="D79" s="40">
        <v>7</v>
      </c>
      <c r="E79" s="9" t="s">
        <v>44</v>
      </c>
      <c r="F79" s="14" t="s">
        <v>181</v>
      </c>
      <c r="G79" s="10">
        <v>732</v>
      </c>
      <c r="H79" s="14" t="s">
        <v>62</v>
      </c>
      <c r="I79" s="41" t="str">
        <f>Assumptions!$I$130</f>
        <v>C</v>
      </c>
      <c r="J79" s="14" t="str">
        <f>IF(D79&lt;=Assumptions!$V$130,"Low",IF(D79&lt;=Assumptions!$W$130,"Mid","High"))</f>
        <v>Low</v>
      </c>
      <c r="K79" s="15">
        <f>Assumptions!$Q$130</f>
        <v>2630</v>
      </c>
      <c r="L79" s="42">
        <f>INDEX(Assumptions!$E$61:$E$90,D79)</f>
        <v>2784.0396893874026</v>
      </c>
      <c r="M79" s="43">
        <f>IF(D79&lt;=Assumptions!$G$130,Assumptions!$AK$130,IF(D79&lt;Assumptions!$AH$130,Assumptions!$AK$130+(Assumptions!$AL$130-Assumptions!$AK$130)*(D79-Assumptions!$G$130)/(Assumptions!$AH$130-Assumptions!$G$130),IF(D79&lt;Assumptions!$P$130,Assumptions!$AL$130+(Assumptions!$AM$130-Assumptions!$AL$130)*(D79-Assumptions!$AH$130)/(Assumptions!$P$130-Assumptions!$AH$130),Assumptions!$AM$130)))</f>
        <v>33333.333333333328</v>
      </c>
      <c r="N79" s="44">
        <f t="shared" si="2"/>
        <v>45.537340619307827</v>
      </c>
      <c r="O79" s="45">
        <f t="shared" si="3"/>
        <v>2830</v>
      </c>
      <c r="P79" s="14" t="str">
        <f>IF(D79&gt;=Assumptions!$P$130,"High",IF(D79&gt;=Assumptions!$AH$130,"Mid",IF(D79&lt;=Assumptions!$G$130,"Low","Loading")))</f>
        <v>Loading</v>
      </c>
      <c r="Q79" s="46">
        <f>MAX(K79,MIN(Assumptions!$S$130,O79),Q80)</f>
        <v>2830</v>
      </c>
      <c r="R79" s="12">
        <f>IF(AND(Q79&lt;=K79,INDEX(Assumptions!$C$26:$C$36,MATCH(G79,Assumptions!$A$26:$A$36,0))&lt;&gt;""),INDEX(Assumptions!$C$26:$C$36,MATCH(G79,Assumptions!$A$26:$A$36,0)),ROUND(G79*Q79,-2))</f>
        <v>2071600</v>
      </c>
      <c r="S79" s="47" t="str">
        <f>TRIM(IF(AND(Assumptions!$L$130&lt;&gt;"",D79&lt;Assumptions!$L$130),"View blocked / roof in front ("&amp;Assumptions!$M$130&amp;"); view premium still loading until L"&amp;Assumptions!$L$130&amp;". ","")&amp;IF(D79=Assumptions!$AH$130,"Mid-floor view premium fully loaded. ","")&amp;IF(D79=Assumptions!$P$130,"High-floor view premium fully loaded. ","")&amp;IF(Q79&lt;=K79,"At developer starting price.",""))</f>
        <v/>
      </c>
      <c r="T79" s="48" t="str">
        <f>Assumptions!$AJ$130</f>
        <v>SSE. 81m setback to road; landed &amp; greenery; same view corridor as Stacks 01-05 from mid floor</v>
      </c>
    </row>
    <row r="80" spans="1:20" x14ac:dyDescent="0.2">
      <c r="A80" s="13" t="s">
        <v>196</v>
      </c>
      <c r="B80" s="14">
        <v>1</v>
      </c>
      <c r="C80" s="40">
        <v>4</v>
      </c>
      <c r="D80" s="40">
        <v>6</v>
      </c>
      <c r="E80" s="9" t="s">
        <v>44</v>
      </c>
      <c r="F80" s="14" t="s">
        <v>181</v>
      </c>
      <c r="G80" s="10">
        <v>732</v>
      </c>
      <c r="H80" s="14" t="s">
        <v>62</v>
      </c>
      <c r="I80" s="41" t="str">
        <f>Assumptions!$I$130</f>
        <v>C</v>
      </c>
      <c r="J80" s="14" t="str">
        <f>IF(D80&lt;=Assumptions!$V$130,"Low",IF(D80&lt;=Assumptions!$W$130,"Mid","High"))</f>
        <v>Low</v>
      </c>
      <c r="K80" s="15">
        <f>Assumptions!$Q$130</f>
        <v>2630</v>
      </c>
      <c r="L80" s="42">
        <f>INDEX(Assumptions!$E$61:$E$90,D80)</f>
        <v>2766.8929536957148</v>
      </c>
      <c r="M80" s="43">
        <f>IF(D80&lt;=Assumptions!$G$130,Assumptions!$AK$130,IF(D80&lt;Assumptions!$AH$130,Assumptions!$AK$130+(Assumptions!$AL$130-Assumptions!$AK$130)*(D80-Assumptions!$G$130)/(Assumptions!$AH$130-Assumptions!$G$130),IF(D80&lt;Assumptions!$P$130,Assumptions!$AL$130+(Assumptions!$AM$130-Assumptions!$AL$130)*(D80-Assumptions!$AH$130)/(Assumptions!$P$130-Assumptions!$AH$130),Assumptions!$AM$130)))</f>
        <v>16666.666666666672</v>
      </c>
      <c r="N80" s="44">
        <f t="shared" si="2"/>
        <v>22.768670309653924</v>
      </c>
      <c r="O80" s="45">
        <f t="shared" si="3"/>
        <v>2790</v>
      </c>
      <c r="P80" s="14" t="str">
        <f>IF(D80&gt;=Assumptions!$P$130,"High",IF(D80&gt;=Assumptions!$AH$130,"Mid",IF(D80&lt;=Assumptions!$G$130,"Low","Loading")))</f>
        <v>Loading</v>
      </c>
      <c r="Q80" s="46">
        <f>MAX(K80,MIN(Assumptions!$S$130,O80),Q81)</f>
        <v>2790</v>
      </c>
      <c r="R80" s="12">
        <f>IF(AND(Q80&lt;=K80,INDEX(Assumptions!$C$26:$C$36,MATCH(G80,Assumptions!$A$26:$A$36,0))&lt;&gt;""),INDEX(Assumptions!$C$26:$C$36,MATCH(G80,Assumptions!$A$26:$A$36,0)),ROUND(G80*Q80,-2))</f>
        <v>2042300</v>
      </c>
      <c r="S80" s="47" t="str">
        <f>TRIM(IF(AND(Assumptions!$L$130&lt;&gt;"",D80&lt;Assumptions!$L$130),"View blocked / roof in front ("&amp;Assumptions!$M$130&amp;"); view premium still loading until L"&amp;Assumptions!$L$130&amp;". ","")&amp;IF(D80=Assumptions!$AH$130,"Mid-floor view premium fully loaded. ","")&amp;IF(D80=Assumptions!$P$130,"High-floor view premium fully loaded. ","")&amp;IF(Q80&lt;=K80,"At developer starting price.",""))</f>
        <v/>
      </c>
      <c r="T80" s="48" t="str">
        <f>Assumptions!$AJ$130</f>
        <v>SSE. 81m setback to road; landed &amp; greenery; same view corridor as Stacks 01-05 from mid floor</v>
      </c>
    </row>
    <row r="81" spans="1:20" x14ac:dyDescent="0.2">
      <c r="A81" s="13" t="s">
        <v>197</v>
      </c>
      <c r="B81" s="14">
        <v>1</v>
      </c>
      <c r="C81" s="40">
        <v>4</v>
      </c>
      <c r="D81" s="40">
        <v>5</v>
      </c>
      <c r="E81" s="9" t="s">
        <v>44</v>
      </c>
      <c r="F81" s="14" t="s">
        <v>181</v>
      </c>
      <c r="G81" s="10">
        <v>732</v>
      </c>
      <c r="H81" s="14" t="s">
        <v>62</v>
      </c>
      <c r="I81" s="41" t="str">
        <f>Assumptions!$I$130</f>
        <v>C</v>
      </c>
      <c r="J81" s="14" t="str">
        <f>IF(D81&lt;=Assumptions!$V$130,"Low",IF(D81&lt;=Assumptions!$W$130,"Mid","High"))</f>
        <v>Low</v>
      </c>
      <c r="K81" s="15">
        <f>Assumptions!$Q$130</f>
        <v>2630</v>
      </c>
      <c r="L81" s="42">
        <f>INDEX(Assumptions!$E$61:$E$90,D81)</f>
        <v>2749.7462180040266</v>
      </c>
      <c r="M81" s="43">
        <f>IF(D81&lt;=Assumptions!$G$130,Assumptions!$AK$130,IF(D81&lt;Assumptions!$AH$130,Assumptions!$AK$130+(Assumptions!$AL$130-Assumptions!$AK$130)*(D81-Assumptions!$G$130)/(Assumptions!$AH$130-Assumptions!$G$130),IF(D81&lt;Assumptions!$P$130,Assumptions!$AL$130+(Assumptions!$AM$130-Assumptions!$AL$130)*(D81-Assumptions!$AH$130)/(Assumptions!$P$130-Assumptions!$AH$130),Assumptions!$AM$130)))</f>
        <v>0</v>
      </c>
      <c r="N81" s="44">
        <f t="shared" si="2"/>
        <v>0</v>
      </c>
      <c r="O81" s="45">
        <f t="shared" si="3"/>
        <v>2750</v>
      </c>
      <c r="P81" s="14" t="str">
        <f>IF(D81&gt;=Assumptions!$P$130,"High",IF(D81&gt;=Assumptions!$AH$130,"Mid",IF(D81&lt;=Assumptions!$G$130,"Low","Loading")))</f>
        <v>Loading</v>
      </c>
      <c r="Q81" s="46">
        <f>MAX(K81,MIN(Assumptions!$S$130,O81),Q82)</f>
        <v>2750</v>
      </c>
      <c r="R81" s="12">
        <f>IF(AND(Q81&lt;=K81,INDEX(Assumptions!$C$26:$C$36,MATCH(G81,Assumptions!$A$26:$A$36,0))&lt;&gt;""),INDEX(Assumptions!$C$26:$C$36,MATCH(G81,Assumptions!$A$26:$A$36,0)),ROUND(G81*Q81,-2))</f>
        <v>2013000</v>
      </c>
      <c r="S81" s="47" t="str">
        <f>TRIM(IF(AND(Assumptions!$L$130&lt;&gt;"",D81&lt;Assumptions!$L$130),"View blocked / roof in front ("&amp;Assumptions!$M$130&amp;"); view premium still loading until L"&amp;Assumptions!$L$130&amp;". ","")&amp;IF(D81=Assumptions!$AH$130,"Mid-floor view premium fully loaded. ","")&amp;IF(D81=Assumptions!$P$130,"High-floor view premium fully loaded. ","")&amp;IF(Q81&lt;=K81,"At developer starting price.",""))</f>
        <v/>
      </c>
      <c r="T81" s="48" t="str">
        <f>Assumptions!$AJ$130</f>
        <v>SSE. 81m setback to road; landed &amp; greenery; same view corridor as Stacks 01-05 from mid floor</v>
      </c>
    </row>
    <row r="82" spans="1:20" x14ac:dyDescent="0.2">
      <c r="A82" s="13" t="s">
        <v>198</v>
      </c>
      <c r="B82" s="14">
        <v>1</v>
      </c>
      <c r="C82" s="40">
        <v>4</v>
      </c>
      <c r="D82" s="40">
        <v>4</v>
      </c>
      <c r="E82" s="9" t="s">
        <v>44</v>
      </c>
      <c r="F82" s="14" t="s">
        <v>181</v>
      </c>
      <c r="G82" s="10">
        <v>732</v>
      </c>
      <c r="H82" s="14" t="s">
        <v>62</v>
      </c>
      <c r="I82" s="41" t="str">
        <f>Assumptions!$I$130</f>
        <v>C</v>
      </c>
      <c r="J82" s="14" t="str">
        <f>IF(D82&lt;=Assumptions!$V$130,"Low",IF(D82&lt;=Assumptions!$W$130,"Mid","High"))</f>
        <v>Low</v>
      </c>
      <c r="K82" s="15">
        <f>Assumptions!$Q$130</f>
        <v>2630</v>
      </c>
      <c r="L82" s="42">
        <f>INDEX(Assumptions!$E$61:$E$90,D82)</f>
        <v>2732.5994823123383</v>
      </c>
      <c r="M82" s="43">
        <f>IF(D82&lt;=Assumptions!$G$130,Assumptions!$AK$130,IF(D82&lt;Assumptions!$AH$130,Assumptions!$AK$130+(Assumptions!$AL$130-Assumptions!$AK$130)*(D82-Assumptions!$G$130)/(Assumptions!$AH$130-Assumptions!$G$130),IF(D82&lt;Assumptions!$P$130,Assumptions!$AL$130+(Assumptions!$AM$130-Assumptions!$AL$130)*(D82-Assumptions!$AH$130)/(Assumptions!$P$130-Assumptions!$AH$130),Assumptions!$AM$130)))</f>
        <v>-16666.666666666664</v>
      </c>
      <c r="N82" s="44">
        <f t="shared" si="2"/>
        <v>-22.768670309653913</v>
      </c>
      <c r="O82" s="45">
        <f t="shared" si="3"/>
        <v>2710</v>
      </c>
      <c r="P82" s="14" t="str">
        <f>IF(D82&gt;=Assumptions!$P$130,"High",IF(D82&gt;=Assumptions!$AH$130,"Mid",IF(D82&lt;=Assumptions!$G$130,"Low","Loading")))</f>
        <v>Loading</v>
      </c>
      <c r="Q82" s="46">
        <f>MAX(K82,MIN(Assumptions!$S$130,O82),Q83)</f>
        <v>2710</v>
      </c>
      <c r="R82" s="12">
        <f>IF(AND(Q82&lt;=K82,INDEX(Assumptions!$C$26:$C$36,MATCH(G82,Assumptions!$A$26:$A$36,0))&lt;&gt;""),INDEX(Assumptions!$C$26:$C$36,MATCH(G82,Assumptions!$A$26:$A$36,0)),ROUND(G82*Q82,-2))</f>
        <v>1983700</v>
      </c>
      <c r="S82" s="47" t="str">
        <f>TRIM(IF(AND(Assumptions!$L$130&lt;&gt;"",D82&lt;Assumptions!$L$130),"View blocked / roof in front ("&amp;Assumptions!$M$130&amp;"); view premium still loading until L"&amp;Assumptions!$L$130&amp;". ","")&amp;IF(D82=Assumptions!$AH$130,"Mid-floor view premium fully loaded. ","")&amp;IF(D82=Assumptions!$P$130,"High-floor view premium fully loaded. ","")&amp;IF(Q82&lt;=K82,"At developer starting price.",""))</f>
        <v/>
      </c>
      <c r="T82" s="48" t="str">
        <f>Assumptions!$AJ$130</f>
        <v>SSE. 81m setback to road; landed &amp; greenery; same view corridor as Stacks 01-05 from mid floor</v>
      </c>
    </row>
    <row r="83" spans="1:20" x14ac:dyDescent="0.2">
      <c r="A83" s="13" t="s">
        <v>199</v>
      </c>
      <c r="B83" s="14">
        <v>1</v>
      </c>
      <c r="C83" s="40">
        <v>4</v>
      </c>
      <c r="D83" s="40">
        <v>3</v>
      </c>
      <c r="E83" s="9" t="s">
        <v>44</v>
      </c>
      <c r="F83" s="14" t="s">
        <v>181</v>
      </c>
      <c r="G83" s="10">
        <v>732</v>
      </c>
      <c r="H83" s="14" t="s">
        <v>62</v>
      </c>
      <c r="I83" s="41" t="str">
        <f>Assumptions!$I$130</f>
        <v>C</v>
      </c>
      <c r="J83" s="14" t="str">
        <f>IF(D83&lt;=Assumptions!$V$130,"Low",IF(D83&lt;=Assumptions!$W$130,"Mid","High"))</f>
        <v>Low</v>
      </c>
      <c r="K83" s="15">
        <f>Assumptions!$Q$130</f>
        <v>2630</v>
      </c>
      <c r="L83" s="42">
        <f>INDEX(Assumptions!$E$61:$E$90,D83)</f>
        <v>2715.45274662065</v>
      </c>
      <c r="M83" s="43">
        <f>IF(D83&lt;=Assumptions!$G$130,Assumptions!$AK$130,IF(D83&lt;Assumptions!$AH$130,Assumptions!$AK$130+(Assumptions!$AL$130-Assumptions!$AK$130)*(D83-Assumptions!$G$130)/(Assumptions!$AH$130-Assumptions!$G$130),IF(D83&lt;Assumptions!$P$130,Assumptions!$AL$130+(Assumptions!$AM$130-Assumptions!$AL$130)*(D83-Assumptions!$AH$130)/(Assumptions!$P$130-Assumptions!$AH$130),Assumptions!$AM$130)))</f>
        <v>-33333.333333333328</v>
      </c>
      <c r="N83" s="44">
        <f t="shared" si="2"/>
        <v>-45.537340619307827</v>
      </c>
      <c r="O83" s="45">
        <f t="shared" si="3"/>
        <v>2670</v>
      </c>
      <c r="P83" s="14" t="str">
        <f>IF(D83&gt;=Assumptions!$P$130,"High",IF(D83&gt;=Assumptions!$AH$130,"Mid",IF(D83&lt;=Assumptions!$G$130,"Low","Loading")))</f>
        <v>Loading</v>
      </c>
      <c r="Q83" s="46">
        <f>MAX(K83,MIN(Assumptions!$S$130,O83),Q84)</f>
        <v>2670</v>
      </c>
      <c r="R83" s="12">
        <f>IF(AND(Q83&lt;=K83,INDEX(Assumptions!$C$26:$C$36,MATCH(G83,Assumptions!$A$26:$A$36,0))&lt;&gt;""),INDEX(Assumptions!$C$26:$C$36,MATCH(G83,Assumptions!$A$26:$A$36,0)),ROUND(G83*Q83,-2))</f>
        <v>1954400</v>
      </c>
      <c r="S83" s="47" t="str">
        <f>TRIM(IF(AND(Assumptions!$L$130&lt;&gt;"",D83&lt;Assumptions!$L$130),"View blocked / roof in front ("&amp;Assumptions!$M$130&amp;"); view premium still loading until L"&amp;Assumptions!$L$130&amp;". ","")&amp;IF(D83=Assumptions!$AH$130,"Mid-floor view premium fully loaded. ","")&amp;IF(D83=Assumptions!$P$130,"High-floor view premium fully loaded. ","")&amp;IF(Q83&lt;=K83,"At developer starting price.",""))</f>
        <v>View blocked / roof in front (Forest Grill Pavilion 2: 75% of view, 18.8 to 28.5m away); view premium still loading until L4.</v>
      </c>
      <c r="T83" s="48" t="str">
        <f>Assumptions!$AJ$130</f>
        <v>SSE. 81m setback to road; landed &amp; greenery; same view corridor as Stacks 01-05 from mid floor</v>
      </c>
    </row>
    <row r="84" spans="1:20" x14ac:dyDescent="0.2">
      <c r="A84" s="13" t="s">
        <v>200</v>
      </c>
      <c r="B84" s="14">
        <v>1</v>
      </c>
      <c r="C84" s="40">
        <v>4</v>
      </c>
      <c r="D84" s="40">
        <v>2</v>
      </c>
      <c r="E84" s="9" t="s">
        <v>44</v>
      </c>
      <c r="F84" s="14" t="s">
        <v>201</v>
      </c>
      <c r="G84" s="10">
        <v>732</v>
      </c>
      <c r="H84" s="14" t="s">
        <v>62</v>
      </c>
      <c r="I84" s="41" t="str">
        <f>Assumptions!$I$130</f>
        <v>C</v>
      </c>
      <c r="J84" s="14" t="str">
        <f>IF(D84&lt;=Assumptions!$V$130,"Low",IF(D84&lt;=Assumptions!$W$130,"Mid","High"))</f>
        <v>Low</v>
      </c>
      <c r="K84" s="15">
        <f>Assumptions!$Q$130</f>
        <v>2630</v>
      </c>
      <c r="L84" s="42">
        <f>INDEX(Assumptions!$E$61:$E$90,D84)</f>
        <v>2698.3060109289618</v>
      </c>
      <c r="M84" s="43">
        <f>IF(D84&lt;=Assumptions!$G$130,Assumptions!$AK$130,IF(D84&lt;Assumptions!$AH$130,Assumptions!$AK$130+(Assumptions!$AL$130-Assumptions!$AK$130)*(D84-Assumptions!$G$130)/(Assumptions!$AH$130-Assumptions!$G$130),IF(D84&lt;Assumptions!$P$130,Assumptions!$AL$130+(Assumptions!$AM$130-Assumptions!$AL$130)*(D84-Assumptions!$AH$130)/(Assumptions!$P$130-Assumptions!$AH$130),Assumptions!$AM$130)))</f>
        <v>-50000</v>
      </c>
      <c r="N84" s="44">
        <f t="shared" si="2"/>
        <v>-68.306010928961754</v>
      </c>
      <c r="O84" s="45">
        <f t="shared" si="3"/>
        <v>2630</v>
      </c>
      <c r="P84" s="14" t="str">
        <f>IF(D84&gt;=Assumptions!$P$130,"High",IF(D84&gt;=Assumptions!$AH$130,"Mid",IF(D84&lt;=Assumptions!$G$130,"Low","Loading")))</f>
        <v>Low</v>
      </c>
      <c r="Q84" s="46">
        <f>MAX(K84,MIN(Assumptions!$S$130,O84))</f>
        <v>2630</v>
      </c>
      <c r="R84" s="12">
        <f>IF(AND(Q84&lt;=K84,INDEX(Assumptions!$C$26:$C$36,MATCH(G84,Assumptions!$A$26:$A$36,0))&lt;&gt;""),INDEX(Assumptions!$C$26:$C$36,MATCH(G84,Assumptions!$A$26:$A$36,0)),ROUND(G84*Q84,-2))</f>
        <v>1925000</v>
      </c>
      <c r="S84" s="47" t="str">
        <f>TRIM(IF(AND(Assumptions!$L$130&lt;&gt;"",D84&lt;Assumptions!$L$130),"View blocked / roof in front ("&amp;Assumptions!$M$130&amp;"); view premium still loading until L"&amp;Assumptions!$L$130&amp;". ","")&amp;IF(D84=Assumptions!$AH$130,"Mid-floor view premium fully loaded. ","")&amp;IF(D84=Assumptions!$P$130,"High-floor view premium fully loaded. ","")&amp;IF(Q84&lt;=K84,"At developer starting price.",""))</f>
        <v>View blocked / roof in front (Forest Grill Pavilion 2: 75% of view, 18.8 to 28.5m away); view premium still loading until L4. At developer starting price.</v>
      </c>
      <c r="T84" s="48" t="str">
        <f>Assumptions!$AJ$130</f>
        <v>SSE. 81m setback to road; landed &amp; greenery; same view corridor as Stacks 01-05 from mid floor</v>
      </c>
    </row>
    <row r="85" spans="1:20" x14ac:dyDescent="0.2">
      <c r="A85" s="13" t="s">
        <v>202</v>
      </c>
      <c r="B85" s="14">
        <v>1</v>
      </c>
      <c r="C85" s="40">
        <v>5</v>
      </c>
      <c r="D85" s="40">
        <v>21</v>
      </c>
      <c r="E85" s="9" t="s">
        <v>47</v>
      </c>
      <c r="F85" s="14" t="s">
        <v>203</v>
      </c>
      <c r="G85" s="10">
        <v>1152</v>
      </c>
      <c r="H85" s="14" t="s">
        <v>62</v>
      </c>
      <c r="I85" s="41" t="str">
        <f>Assumptions!$I$131</f>
        <v>B</v>
      </c>
      <c r="J85" s="14" t="str">
        <f>IF(D85&lt;=Assumptions!$V$131,"Low",IF(D85&lt;=Assumptions!$W$131,"Mid","High"))</f>
        <v>High</v>
      </c>
      <c r="K85" s="15">
        <f>Assumptions!$Q$131</f>
        <v>2650</v>
      </c>
      <c r="L85" s="42">
        <f>INDEX(Assumptions!$M$61:$M$90,D85)</f>
        <v>3049.0307692307697</v>
      </c>
      <c r="M85" s="43">
        <f>IF(D85&lt;=Assumptions!$G$131,Assumptions!$AK$131,IF(D85&lt;Assumptions!$AH$131,Assumptions!$AK$131+(Assumptions!$AL$131-Assumptions!$AK$131)*(D85-Assumptions!$G$131)/(Assumptions!$AH$131-Assumptions!$G$131),IF(D85&lt;Assumptions!$P$131,Assumptions!$AL$131+(Assumptions!$AM$131-Assumptions!$AL$131)*(D85-Assumptions!$AH$131)/(Assumptions!$P$131-Assumptions!$AH$131),Assumptions!$AM$131)))</f>
        <v>50000</v>
      </c>
      <c r="N85" s="44">
        <f t="shared" si="2"/>
        <v>43.402777777777779</v>
      </c>
      <c r="O85" s="45">
        <f t="shared" si="3"/>
        <v>3092</v>
      </c>
      <c r="P85" s="14" t="str">
        <f>IF(D85&gt;=Assumptions!$P$131,"High",IF(D85&gt;=Assumptions!$AH$131,"Mid",IF(D85&lt;=Assumptions!$G$131,"Low","Loading")))</f>
        <v>High</v>
      </c>
      <c r="Q85" s="46">
        <f>MAX(K85,MIN(Assumptions!$S$131,O85),Q86)</f>
        <v>3092</v>
      </c>
      <c r="R85" s="12">
        <f>IF(AND(Q85&lt;=K85,INDEX(Assumptions!$C$26:$C$36,MATCH(G85,Assumptions!$A$26:$A$36,0))&lt;&gt;""),INDEX(Assumptions!$C$26:$C$36,MATCH(G85,Assumptions!$A$26:$A$36,0)),ROUND(G85*Q85,-2))</f>
        <v>3562000</v>
      </c>
      <c r="S85" s="47" t="str">
        <f>TRIM(IF(AND(Assumptions!$L$131&lt;&gt;"",D85&lt;Assumptions!$L$131),"View blocked / roof in front ("&amp;Assumptions!$M$131&amp;"); view premium still loading until L"&amp;Assumptions!$L$131&amp;". ","")&amp;IF(D85=Assumptions!$AH$131,"Mid-floor view premium fully loaded. ","")&amp;IF(D85=Assumptions!$P$131,"High-floor view premium fully loaded. ","")&amp;IF(Q85&lt;=K85,"At developer starting price.",""))</f>
        <v/>
      </c>
      <c r="T85" s="48" t="str">
        <f>Assumptions!$AJ$131</f>
        <v>SSE. Low floors face Forest Grill pavilions; super unblocked landed + nature reserve + city from mid floor; reservoir body on high floors</v>
      </c>
    </row>
    <row r="86" spans="1:20" x14ac:dyDescent="0.2">
      <c r="A86" s="13" t="s">
        <v>204</v>
      </c>
      <c r="B86" s="14">
        <v>1</v>
      </c>
      <c r="C86" s="40">
        <v>5</v>
      </c>
      <c r="D86" s="40">
        <v>20</v>
      </c>
      <c r="E86" s="9" t="s">
        <v>47</v>
      </c>
      <c r="F86" s="14" t="s">
        <v>203</v>
      </c>
      <c r="G86" s="10">
        <v>1152</v>
      </c>
      <c r="H86" s="14" t="s">
        <v>62</v>
      </c>
      <c r="I86" s="41" t="str">
        <f>Assumptions!$I$131</f>
        <v>B</v>
      </c>
      <c r="J86" s="14" t="str">
        <f>IF(D86&lt;=Assumptions!$V$131,"Low",IF(D86&lt;=Assumptions!$W$131,"Mid","High"))</f>
        <v>High</v>
      </c>
      <c r="K86" s="15">
        <f>Assumptions!$Q$131</f>
        <v>2650</v>
      </c>
      <c r="L86" s="42">
        <f>INDEX(Assumptions!$M$61:$M$90,D86)</f>
        <v>3024.938461538462</v>
      </c>
      <c r="M86" s="43">
        <f>IF(D86&lt;=Assumptions!$G$131,Assumptions!$AK$131,IF(D86&lt;Assumptions!$AH$131,Assumptions!$AK$131+(Assumptions!$AL$131-Assumptions!$AK$131)*(D86-Assumptions!$G$131)/(Assumptions!$AH$131-Assumptions!$G$131),IF(D86&lt;Assumptions!$P$131,Assumptions!$AL$131+(Assumptions!$AM$131-Assumptions!$AL$131)*(D86-Assumptions!$AH$131)/(Assumptions!$P$131-Assumptions!$AH$131),Assumptions!$AM$131)))</f>
        <v>50000</v>
      </c>
      <c r="N86" s="44">
        <f t="shared" si="2"/>
        <v>43.402777777777779</v>
      </c>
      <c r="O86" s="45">
        <f t="shared" si="3"/>
        <v>3068</v>
      </c>
      <c r="P86" s="14" t="str">
        <f>IF(D86&gt;=Assumptions!$P$131,"High",IF(D86&gt;=Assumptions!$AH$131,"Mid",IF(D86&lt;=Assumptions!$G$131,"Low","Loading")))</f>
        <v>High</v>
      </c>
      <c r="Q86" s="46">
        <f>MAX(K86,MIN(Assumptions!$S$131,O86),Q87)</f>
        <v>3068</v>
      </c>
      <c r="R86" s="12">
        <f>IF(AND(Q86&lt;=K86,INDEX(Assumptions!$C$26:$C$36,MATCH(G86,Assumptions!$A$26:$A$36,0))&lt;&gt;""),INDEX(Assumptions!$C$26:$C$36,MATCH(G86,Assumptions!$A$26:$A$36,0)),ROUND(G86*Q86,-2))</f>
        <v>3534300</v>
      </c>
      <c r="S86" s="47" t="str">
        <f>TRIM(IF(AND(Assumptions!$L$131&lt;&gt;"",D86&lt;Assumptions!$L$131),"View blocked / roof in front ("&amp;Assumptions!$M$131&amp;"); view premium still loading until L"&amp;Assumptions!$L$131&amp;". ","")&amp;IF(D86=Assumptions!$AH$131,"Mid-floor view premium fully loaded. ","")&amp;IF(D86=Assumptions!$P$131,"High-floor view premium fully loaded. ","")&amp;IF(Q86&lt;=K86,"At developer starting price.",""))</f>
        <v/>
      </c>
      <c r="T86" s="48" t="str">
        <f>Assumptions!$AJ$131</f>
        <v>SSE. Low floors face Forest Grill pavilions; super unblocked landed + nature reserve + city from mid floor; reservoir body on high floors</v>
      </c>
    </row>
    <row r="87" spans="1:20" x14ac:dyDescent="0.2">
      <c r="A87" s="13" t="s">
        <v>205</v>
      </c>
      <c r="B87" s="14">
        <v>1</v>
      </c>
      <c r="C87" s="40">
        <v>5</v>
      </c>
      <c r="D87" s="40">
        <v>19</v>
      </c>
      <c r="E87" s="9" t="s">
        <v>47</v>
      </c>
      <c r="F87" s="14" t="s">
        <v>203</v>
      </c>
      <c r="G87" s="10">
        <v>1152</v>
      </c>
      <c r="H87" s="14" t="s">
        <v>62</v>
      </c>
      <c r="I87" s="41" t="str">
        <f>Assumptions!$I$131</f>
        <v>B</v>
      </c>
      <c r="J87" s="14" t="str">
        <f>IF(D87&lt;=Assumptions!$V$131,"Low",IF(D87&lt;=Assumptions!$W$131,"Mid","High"))</f>
        <v>High</v>
      </c>
      <c r="K87" s="15">
        <f>Assumptions!$Q$131</f>
        <v>2650</v>
      </c>
      <c r="L87" s="42">
        <f>INDEX(Assumptions!$M$61:$M$90,D87)</f>
        <v>3000.8461538461543</v>
      </c>
      <c r="M87" s="43">
        <f>IF(D87&lt;=Assumptions!$G$131,Assumptions!$AK$131,IF(D87&lt;Assumptions!$AH$131,Assumptions!$AK$131+(Assumptions!$AL$131-Assumptions!$AK$131)*(D87-Assumptions!$G$131)/(Assumptions!$AH$131-Assumptions!$G$131),IF(D87&lt;Assumptions!$P$131,Assumptions!$AL$131+(Assumptions!$AM$131-Assumptions!$AL$131)*(D87-Assumptions!$AH$131)/(Assumptions!$P$131-Assumptions!$AH$131),Assumptions!$AM$131)))</f>
        <v>50000</v>
      </c>
      <c r="N87" s="44">
        <f t="shared" si="2"/>
        <v>43.402777777777779</v>
      </c>
      <c r="O87" s="45">
        <f t="shared" si="3"/>
        <v>3044</v>
      </c>
      <c r="P87" s="14" t="str">
        <f>IF(D87&gt;=Assumptions!$P$131,"High",IF(D87&gt;=Assumptions!$AH$131,"Mid",IF(D87&lt;=Assumptions!$G$131,"Low","Loading")))</f>
        <v>High</v>
      </c>
      <c r="Q87" s="46">
        <f>MAX(K87,MIN(Assumptions!$S$131,O87),Q88)</f>
        <v>3044</v>
      </c>
      <c r="R87" s="12">
        <f>IF(AND(Q87&lt;=K87,INDEX(Assumptions!$C$26:$C$36,MATCH(G87,Assumptions!$A$26:$A$36,0))&lt;&gt;""),INDEX(Assumptions!$C$26:$C$36,MATCH(G87,Assumptions!$A$26:$A$36,0)),ROUND(G87*Q87,-2))</f>
        <v>3506700</v>
      </c>
      <c r="S87" s="47" t="str">
        <f>TRIM(IF(AND(Assumptions!$L$131&lt;&gt;"",D87&lt;Assumptions!$L$131),"View blocked / roof in front ("&amp;Assumptions!$M$131&amp;"); view premium still loading until L"&amp;Assumptions!$L$131&amp;". ","")&amp;IF(D87=Assumptions!$AH$131,"Mid-floor view premium fully loaded. ","")&amp;IF(D87=Assumptions!$P$131,"High-floor view premium fully loaded. ","")&amp;IF(Q87&lt;=K87,"At developer starting price.",""))</f>
        <v/>
      </c>
      <c r="T87" s="48" t="str">
        <f>Assumptions!$AJ$131</f>
        <v>SSE. Low floors face Forest Grill pavilions; super unblocked landed + nature reserve + city from mid floor; reservoir body on high floors</v>
      </c>
    </row>
    <row r="88" spans="1:20" x14ac:dyDescent="0.2">
      <c r="A88" s="13" t="s">
        <v>206</v>
      </c>
      <c r="B88" s="14">
        <v>1</v>
      </c>
      <c r="C88" s="40">
        <v>5</v>
      </c>
      <c r="D88" s="40">
        <v>18</v>
      </c>
      <c r="E88" s="9" t="s">
        <v>47</v>
      </c>
      <c r="F88" s="14" t="s">
        <v>203</v>
      </c>
      <c r="G88" s="10">
        <v>1152</v>
      </c>
      <c r="H88" s="14" t="s">
        <v>62</v>
      </c>
      <c r="I88" s="41" t="str">
        <f>Assumptions!$I$131</f>
        <v>B</v>
      </c>
      <c r="J88" s="14" t="str">
        <f>IF(D88&lt;=Assumptions!$V$131,"Low",IF(D88&lt;=Assumptions!$W$131,"Mid","High"))</f>
        <v>High</v>
      </c>
      <c r="K88" s="15">
        <f>Assumptions!$Q$131</f>
        <v>2650</v>
      </c>
      <c r="L88" s="42">
        <f>INDEX(Assumptions!$M$61:$M$90,D88)</f>
        <v>2976.7538461538461</v>
      </c>
      <c r="M88" s="43">
        <f>IF(D88&lt;=Assumptions!$G$131,Assumptions!$AK$131,IF(D88&lt;Assumptions!$AH$131,Assumptions!$AK$131+(Assumptions!$AL$131-Assumptions!$AK$131)*(D88-Assumptions!$G$131)/(Assumptions!$AH$131-Assumptions!$G$131),IF(D88&lt;Assumptions!$P$131,Assumptions!$AL$131+(Assumptions!$AM$131-Assumptions!$AL$131)*(D88-Assumptions!$AH$131)/(Assumptions!$P$131-Assumptions!$AH$131),Assumptions!$AM$131)))</f>
        <v>50000</v>
      </c>
      <c r="N88" s="44">
        <f t="shared" si="2"/>
        <v>43.402777777777779</v>
      </c>
      <c r="O88" s="45">
        <f t="shared" si="3"/>
        <v>3020</v>
      </c>
      <c r="P88" s="14" t="str">
        <f>IF(D88&gt;=Assumptions!$P$131,"High",IF(D88&gt;=Assumptions!$AH$131,"Mid",IF(D88&lt;=Assumptions!$G$131,"Low","Loading")))</f>
        <v>High</v>
      </c>
      <c r="Q88" s="46">
        <f>MAX(K88,MIN(Assumptions!$S$131,O88),Q89)</f>
        <v>3020</v>
      </c>
      <c r="R88" s="12">
        <f>IF(AND(Q88&lt;=K88,INDEX(Assumptions!$C$26:$C$36,MATCH(G88,Assumptions!$A$26:$A$36,0))&lt;&gt;""),INDEX(Assumptions!$C$26:$C$36,MATCH(G88,Assumptions!$A$26:$A$36,0)),ROUND(G88*Q88,-2))</f>
        <v>3479000</v>
      </c>
      <c r="S88" s="47" t="str">
        <f>TRIM(IF(AND(Assumptions!$L$131&lt;&gt;"",D88&lt;Assumptions!$L$131),"View blocked / roof in front ("&amp;Assumptions!$M$131&amp;"); view premium still loading until L"&amp;Assumptions!$L$131&amp;". ","")&amp;IF(D88=Assumptions!$AH$131,"Mid-floor view premium fully loaded. ","")&amp;IF(D88=Assumptions!$P$131,"High-floor view premium fully loaded. ","")&amp;IF(Q88&lt;=K88,"At developer starting price.",""))</f>
        <v/>
      </c>
      <c r="T88" s="48" t="str">
        <f>Assumptions!$AJ$131</f>
        <v>SSE. Low floors face Forest Grill pavilions; super unblocked landed + nature reserve + city from mid floor; reservoir body on high floors</v>
      </c>
    </row>
    <row r="89" spans="1:20" x14ac:dyDescent="0.2">
      <c r="A89" s="13" t="s">
        <v>207</v>
      </c>
      <c r="B89" s="14">
        <v>1</v>
      </c>
      <c r="C89" s="40">
        <v>5</v>
      </c>
      <c r="D89" s="40">
        <v>17</v>
      </c>
      <c r="E89" s="9" t="s">
        <v>47</v>
      </c>
      <c r="F89" s="14" t="s">
        <v>203</v>
      </c>
      <c r="G89" s="10">
        <v>1152</v>
      </c>
      <c r="H89" s="14" t="s">
        <v>62</v>
      </c>
      <c r="I89" s="41" t="str">
        <f>Assumptions!$I$131</f>
        <v>B</v>
      </c>
      <c r="J89" s="14" t="str">
        <f>IF(D89&lt;=Assumptions!$V$131,"Low",IF(D89&lt;=Assumptions!$W$131,"Mid","High"))</f>
        <v>High</v>
      </c>
      <c r="K89" s="15">
        <f>Assumptions!$Q$131</f>
        <v>2650</v>
      </c>
      <c r="L89" s="42">
        <f>INDEX(Assumptions!$M$61:$M$90,D89)</f>
        <v>2952.6615384615384</v>
      </c>
      <c r="M89" s="43">
        <f>IF(D89&lt;=Assumptions!$G$131,Assumptions!$AK$131,IF(D89&lt;Assumptions!$AH$131,Assumptions!$AK$131+(Assumptions!$AL$131-Assumptions!$AK$131)*(D89-Assumptions!$G$131)/(Assumptions!$AH$131-Assumptions!$G$131),IF(D89&lt;Assumptions!$P$131,Assumptions!$AL$131+(Assumptions!$AM$131-Assumptions!$AL$131)*(D89-Assumptions!$AH$131)/(Assumptions!$P$131-Assumptions!$AH$131),Assumptions!$AM$131)))</f>
        <v>50000</v>
      </c>
      <c r="N89" s="44">
        <f t="shared" si="2"/>
        <v>43.402777777777779</v>
      </c>
      <c r="O89" s="45">
        <f t="shared" si="3"/>
        <v>2996</v>
      </c>
      <c r="P89" s="14" t="str">
        <f>IF(D89&gt;=Assumptions!$P$131,"High",IF(D89&gt;=Assumptions!$AH$131,"Mid",IF(D89&lt;=Assumptions!$G$131,"Low","Loading")))</f>
        <v>High</v>
      </c>
      <c r="Q89" s="46">
        <f>MAX(K89,MIN(Assumptions!$S$131,O89),Q90)</f>
        <v>2996</v>
      </c>
      <c r="R89" s="12">
        <f>IF(AND(Q89&lt;=K89,INDEX(Assumptions!$C$26:$C$36,MATCH(G89,Assumptions!$A$26:$A$36,0))&lt;&gt;""),INDEX(Assumptions!$C$26:$C$36,MATCH(G89,Assumptions!$A$26:$A$36,0)),ROUND(G89*Q89,-2))</f>
        <v>3451400</v>
      </c>
      <c r="S89" s="47" t="str">
        <f>TRIM(IF(AND(Assumptions!$L$131&lt;&gt;"",D89&lt;Assumptions!$L$131),"View blocked / roof in front ("&amp;Assumptions!$M$131&amp;"); view premium still loading until L"&amp;Assumptions!$L$131&amp;". ","")&amp;IF(D89=Assumptions!$AH$131,"Mid-floor view premium fully loaded. ","")&amp;IF(D89=Assumptions!$P$131,"High-floor view premium fully loaded. ","")&amp;IF(Q89&lt;=K89,"At developer starting price.",""))</f>
        <v/>
      </c>
      <c r="T89" s="48" t="str">
        <f>Assumptions!$AJ$131</f>
        <v>SSE. Low floors face Forest Grill pavilions; super unblocked landed + nature reserve + city from mid floor; reservoir body on high floors</v>
      </c>
    </row>
    <row r="90" spans="1:20" x14ac:dyDescent="0.2">
      <c r="A90" s="13" t="s">
        <v>208</v>
      </c>
      <c r="B90" s="14">
        <v>1</v>
      </c>
      <c r="C90" s="40">
        <v>5</v>
      </c>
      <c r="D90" s="40">
        <v>16</v>
      </c>
      <c r="E90" s="9" t="s">
        <v>47</v>
      </c>
      <c r="F90" s="14" t="s">
        <v>203</v>
      </c>
      <c r="G90" s="10">
        <v>1152</v>
      </c>
      <c r="H90" s="14" t="s">
        <v>62</v>
      </c>
      <c r="I90" s="41" t="str">
        <f>Assumptions!$I$131</f>
        <v>B</v>
      </c>
      <c r="J90" s="14" t="str">
        <f>IF(D90&lt;=Assumptions!$V$131,"Low",IF(D90&lt;=Assumptions!$W$131,"Mid","High"))</f>
        <v>High</v>
      </c>
      <c r="K90" s="15">
        <f>Assumptions!$Q$131</f>
        <v>2650</v>
      </c>
      <c r="L90" s="42">
        <f>INDEX(Assumptions!$M$61:$M$90,D90)</f>
        <v>2928.5692307692307</v>
      </c>
      <c r="M90" s="43">
        <f>IF(D90&lt;=Assumptions!$G$131,Assumptions!$AK$131,IF(D90&lt;Assumptions!$AH$131,Assumptions!$AK$131+(Assumptions!$AL$131-Assumptions!$AK$131)*(D90-Assumptions!$G$131)/(Assumptions!$AH$131-Assumptions!$G$131),IF(D90&lt;Assumptions!$P$131,Assumptions!$AL$131+(Assumptions!$AM$131-Assumptions!$AL$131)*(D90-Assumptions!$AH$131)/(Assumptions!$P$131-Assumptions!$AH$131),Assumptions!$AM$131)))</f>
        <v>50000</v>
      </c>
      <c r="N90" s="44">
        <f t="shared" si="2"/>
        <v>43.402777777777779</v>
      </c>
      <c r="O90" s="45">
        <f t="shared" si="3"/>
        <v>2972</v>
      </c>
      <c r="P90" s="14" t="str">
        <f>IF(D90&gt;=Assumptions!$P$131,"High",IF(D90&gt;=Assumptions!$AH$131,"Mid",IF(D90&lt;=Assumptions!$G$131,"Low","Loading")))</f>
        <v>High</v>
      </c>
      <c r="Q90" s="46">
        <f>MAX(K90,MIN(Assumptions!$S$131,O90),Q91)</f>
        <v>2972</v>
      </c>
      <c r="R90" s="12">
        <f>IF(AND(Q90&lt;=K90,INDEX(Assumptions!$C$26:$C$36,MATCH(G90,Assumptions!$A$26:$A$36,0))&lt;&gt;""),INDEX(Assumptions!$C$26:$C$36,MATCH(G90,Assumptions!$A$26:$A$36,0)),ROUND(G90*Q90,-2))</f>
        <v>3423700</v>
      </c>
      <c r="S90" s="47" t="str">
        <f>TRIM(IF(AND(Assumptions!$L$131&lt;&gt;"",D90&lt;Assumptions!$L$131),"View blocked / roof in front ("&amp;Assumptions!$M$131&amp;"); view premium still loading until L"&amp;Assumptions!$L$131&amp;". ","")&amp;IF(D90=Assumptions!$AH$131,"Mid-floor view premium fully loaded. ","")&amp;IF(D90=Assumptions!$P$131,"High-floor view premium fully loaded. ","")&amp;IF(Q90&lt;=K90,"At developer starting price.",""))</f>
        <v>High-floor view premium fully loaded.</v>
      </c>
      <c r="T90" s="48" t="str">
        <f>Assumptions!$AJ$131</f>
        <v>SSE. Low floors face Forest Grill pavilions; super unblocked landed + nature reserve + city from mid floor; reservoir body on high floors</v>
      </c>
    </row>
    <row r="91" spans="1:20" x14ac:dyDescent="0.2">
      <c r="A91" s="13" t="s">
        <v>209</v>
      </c>
      <c r="B91" s="14">
        <v>1</v>
      </c>
      <c r="C91" s="40">
        <v>5</v>
      </c>
      <c r="D91" s="40">
        <v>15</v>
      </c>
      <c r="E91" s="9" t="s">
        <v>47</v>
      </c>
      <c r="F91" s="14" t="s">
        <v>203</v>
      </c>
      <c r="G91" s="10">
        <v>1152</v>
      </c>
      <c r="H91" s="14" t="s">
        <v>62</v>
      </c>
      <c r="I91" s="41" t="str">
        <f>Assumptions!$I$131</f>
        <v>B</v>
      </c>
      <c r="J91" s="14" t="str">
        <f>IF(D91&lt;=Assumptions!$V$131,"Low",IF(D91&lt;=Assumptions!$W$131,"Mid","High"))</f>
        <v>Mid</v>
      </c>
      <c r="K91" s="15">
        <f>Assumptions!$Q$131</f>
        <v>2650</v>
      </c>
      <c r="L91" s="42">
        <f>INDEX(Assumptions!$M$61:$M$90,D91)</f>
        <v>2904.476923076923</v>
      </c>
      <c r="M91" s="43">
        <f>IF(D91&lt;=Assumptions!$G$131,Assumptions!$AK$131,IF(D91&lt;Assumptions!$AH$131,Assumptions!$AK$131+(Assumptions!$AL$131-Assumptions!$AK$131)*(D91-Assumptions!$G$131)/(Assumptions!$AH$131-Assumptions!$G$131),IF(D91&lt;Assumptions!$P$131,Assumptions!$AL$131+(Assumptions!$AM$131-Assumptions!$AL$131)*(D91-Assumptions!$AH$131)/(Assumptions!$P$131-Assumptions!$AH$131),Assumptions!$AM$131)))</f>
        <v>50000</v>
      </c>
      <c r="N91" s="44">
        <f t="shared" si="2"/>
        <v>43.402777777777779</v>
      </c>
      <c r="O91" s="45">
        <f t="shared" si="3"/>
        <v>2948</v>
      </c>
      <c r="P91" s="14" t="str">
        <f>IF(D91&gt;=Assumptions!$P$131,"High",IF(D91&gt;=Assumptions!$AH$131,"Mid",IF(D91&lt;=Assumptions!$G$131,"Low","Loading")))</f>
        <v>Mid</v>
      </c>
      <c r="Q91" s="46">
        <f>MAX(K91,MIN(Assumptions!$S$131,O91),Q92)</f>
        <v>2948</v>
      </c>
      <c r="R91" s="12">
        <f>IF(AND(Q91&lt;=K91,INDEX(Assumptions!$C$26:$C$36,MATCH(G91,Assumptions!$A$26:$A$36,0))&lt;&gt;""),INDEX(Assumptions!$C$26:$C$36,MATCH(G91,Assumptions!$A$26:$A$36,0)),ROUND(G91*Q91,-2))</f>
        <v>3396100</v>
      </c>
      <c r="S91" s="47" t="str">
        <f>TRIM(IF(AND(Assumptions!$L$131&lt;&gt;"",D91&lt;Assumptions!$L$131),"View blocked / roof in front ("&amp;Assumptions!$M$131&amp;"); view premium still loading until L"&amp;Assumptions!$L$131&amp;". ","")&amp;IF(D91=Assumptions!$AH$131,"Mid-floor view premium fully loaded. ","")&amp;IF(D91=Assumptions!$P$131,"High-floor view premium fully loaded. ","")&amp;IF(Q91&lt;=K91,"At developer starting price.",""))</f>
        <v/>
      </c>
      <c r="T91" s="48" t="str">
        <f>Assumptions!$AJ$131</f>
        <v>SSE. Low floors face Forest Grill pavilions; super unblocked landed + nature reserve + city from mid floor; reservoir body on high floors</v>
      </c>
    </row>
    <row r="92" spans="1:20" x14ac:dyDescent="0.2">
      <c r="A92" s="13" t="s">
        <v>210</v>
      </c>
      <c r="B92" s="14">
        <v>1</v>
      </c>
      <c r="C92" s="40">
        <v>5</v>
      </c>
      <c r="D92" s="40">
        <v>14</v>
      </c>
      <c r="E92" s="9" t="s">
        <v>47</v>
      </c>
      <c r="F92" s="14" t="s">
        <v>203</v>
      </c>
      <c r="G92" s="10">
        <v>1152</v>
      </c>
      <c r="H92" s="14" t="s">
        <v>62</v>
      </c>
      <c r="I92" s="41" t="str">
        <f>Assumptions!$I$131</f>
        <v>B</v>
      </c>
      <c r="J92" s="14" t="str">
        <f>IF(D92&lt;=Assumptions!$V$131,"Low",IF(D92&lt;=Assumptions!$W$131,"Mid","High"))</f>
        <v>Mid</v>
      </c>
      <c r="K92" s="15">
        <f>Assumptions!$Q$131</f>
        <v>2650</v>
      </c>
      <c r="L92" s="42">
        <f>INDEX(Assumptions!$M$61:$M$90,D92)</f>
        <v>2880.3846153846152</v>
      </c>
      <c r="M92" s="43">
        <f>IF(D92&lt;=Assumptions!$G$131,Assumptions!$AK$131,IF(D92&lt;Assumptions!$AH$131,Assumptions!$AK$131+(Assumptions!$AL$131-Assumptions!$AK$131)*(D92-Assumptions!$G$131)/(Assumptions!$AH$131-Assumptions!$G$131),IF(D92&lt;Assumptions!$P$131,Assumptions!$AL$131+(Assumptions!$AM$131-Assumptions!$AL$131)*(D92-Assumptions!$AH$131)/(Assumptions!$P$131-Assumptions!$AH$131),Assumptions!$AM$131)))</f>
        <v>50000</v>
      </c>
      <c r="N92" s="44">
        <f t="shared" si="2"/>
        <v>43.402777777777779</v>
      </c>
      <c r="O92" s="45">
        <f t="shared" si="3"/>
        <v>2924</v>
      </c>
      <c r="P92" s="14" t="str">
        <f>IF(D92&gt;=Assumptions!$P$131,"High",IF(D92&gt;=Assumptions!$AH$131,"Mid",IF(D92&lt;=Assumptions!$G$131,"Low","Loading")))</f>
        <v>Mid</v>
      </c>
      <c r="Q92" s="46">
        <f>MAX(K92,MIN(Assumptions!$S$131,O92),Q93)</f>
        <v>2924</v>
      </c>
      <c r="R92" s="12">
        <f>IF(AND(Q92&lt;=K92,INDEX(Assumptions!$C$26:$C$36,MATCH(G92,Assumptions!$A$26:$A$36,0))&lt;&gt;""),INDEX(Assumptions!$C$26:$C$36,MATCH(G92,Assumptions!$A$26:$A$36,0)),ROUND(G92*Q92,-2))</f>
        <v>3368400</v>
      </c>
      <c r="S92" s="47" t="str">
        <f>TRIM(IF(AND(Assumptions!$L$131&lt;&gt;"",D92&lt;Assumptions!$L$131),"View blocked / roof in front ("&amp;Assumptions!$M$131&amp;"); view premium still loading until L"&amp;Assumptions!$L$131&amp;". ","")&amp;IF(D92=Assumptions!$AH$131,"Mid-floor view premium fully loaded. ","")&amp;IF(D92=Assumptions!$P$131,"High-floor view premium fully loaded. ","")&amp;IF(Q92&lt;=K92,"At developer starting price.",""))</f>
        <v/>
      </c>
      <c r="T92" s="48" t="str">
        <f>Assumptions!$AJ$131</f>
        <v>SSE. Low floors face Forest Grill pavilions; super unblocked landed + nature reserve + city from mid floor; reservoir body on high floors</v>
      </c>
    </row>
    <row r="93" spans="1:20" x14ac:dyDescent="0.2">
      <c r="A93" s="13" t="s">
        <v>211</v>
      </c>
      <c r="B93" s="14">
        <v>1</v>
      </c>
      <c r="C93" s="40">
        <v>5</v>
      </c>
      <c r="D93" s="40">
        <v>13</v>
      </c>
      <c r="E93" s="9" t="s">
        <v>47</v>
      </c>
      <c r="F93" s="14" t="s">
        <v>203</v>
      </c>
      <c r="G93" s="10">
        <v>1152</v>
      </c>
      <c r="H93" s="14" t="s">
        <v>62</v>
      </c>
      <c r="I93" s="41" t="str">
        <f>Assumptions!$I$131</f>
        <v>B</v>
      </c>
      <c r="J93" s="14" t="str">
        <f>IF(D93&lt;=Assumptions!$V$131,"Low",IF(D93&lt;=Assumptions!$W$131,"Mid","High"))</f>
        <v>Mid</v>
      </c>
      <c r="K93" s="15">
        <f>Assumptions!$Q$131</f>
        <v>2650</v>
      </c>
      <c r="L93" s="42">
        <f>INDEX(Assumptions!$M$61:$M$90,D93)</f>
        <v>2856.2923076923075</v>
      </c>
      <c r="M93" s="43">
        <f>IF(D93&lt;=Assumptions!$G$131,Assumptions!$AK$131,IF(D93&lt;Assumptions!$AH$131,Assumptions!$AK$131+(Assumptions!$AL$131-Assumptions!$AK$131)*(D93-Assumptions!$G$131)/(Assumptions!$AH$131-Assumptions!$G$131),IF(D93&lt;Assumptions!$P$131,Assumptions!$AL$131+(Assumptions!$AM$131-Assumptions!$AL$131)*(D93-Assumptions!$AH$131)/(Assumptions!$P$131-Assumptions!$AH$131),Assumptions!$AM$131)))</f>
        <v>50000</v>
      </c>
      <c r="N93" s="44">
        <f t="shared" si="2"/>
        <v>43.402777777777779</v>
      </c>
      <c r="O93" s="45">
        <f t="shared" si="3"/>
        <v>2900</v>
      </c>
      <c r="P93" s="14" t="str">
        <f>IF(D93&gt;=Assumptions!$P$131,"High",IF(D93&gt;=Assumptions!$AH$131,"Mid",IF(D93&lt;=Assumptions!$G$131,"Low","Loading")))</f>
        <v>Mid</v>
      </c>
      <c r="Q93" s="46">
        <f>MAX(K93,MIN(Assumptions!$S$131,O93),Q94)</f>
        <v>2900</v>
      </c>
      <c r="R93" s="12">
        <f>IF(AND(Q93&lt;=K93,INDEX(Assumptions!$C$26:$C$36,MATCH(G93,Assumptions!$A$26:$A$36,0))&lt;&gt;""),INDEX(Assumptions!$C$26:$C$36,MATCH(G93,Assumptions!$A$26:$A$36,0)),ROUND(G93*Q93,-2))</f>
        <v>3340800</v>
      </c>
      <c r="S93" s="47" t="str">
        <f>TRIM(IF(AND(Assumptions!$L$131&lt;&gt;"",D93&lt;Assumptions!$L$131),"View blocked / roof in front ("&amp;Assumptions!$M$131&amp;"); view premium still loading until L"&amp;Assumptions!$L$131&amp;". ","")&amp;IF(D93=Assumptions!$AH$131,"Mid-floor view premium fully loaded. ","")&amp;IF(D93=Assumptions!$P$131,"High-floor view premium fully loaded. ","")&amp;IF(Q93&lt;=K93,"At developer starting price.",""))</f>
        <v/>
      </c>
      <c r="T93" s="48" t="str">
        <f>Assumptions!$AJ$131</f>
        <v>SSE. Low floors face Forest Grill pavilions; super unblocked landed + nature reserve + city from mid floor; reservoir body on high floors</v>
      </c>
    </row>
    <row r="94" spans="1:20" x14ac:dyDescent="0.2">
      <c r="A94" s="13" t="s">
        <v>212</v>
      </c>
      <c r="B94" s="14">
        <v>1</v>
      </c>
      <c r="C94" s="40">
        <v>5</v>
      </c>
      <c r="D94" s="40">
        <v>12</v>
      </c>
      <c r="E94" s="9" t="s">
        <v>47</v>
      </c>
      <c r="F94" s="14" t="s">
        <v>203</v>
      </c>
      <c r="G94" s="10">
        <v>1152</v>
      </c>
      <c r="H94" s="14" t="s">
        <v>62</v>
      </c>
      <c r="I94" s="41" t="str">
        <f>Assumptions!$I$131</f>
        <v>B</v>
      </c>
      <c r="J94" s="14" t="str">
        <f>IF(D94&lt;=Assumptions!$V$131,"Low",IF(D94&lt;=Assumptions!$W$131,"Mid","High"))</f>
        <v>Mid</v>
      </c>
      <c r="K94" s="15">
        <f>Assumptions!$Q$131</f>
        <v>2650</v>
      </c>
      <c r="L94" s="42">
        <f>INDEX(Assumptions!$M$61:$M$90,D94)</f>
        <v>2832.2</v>
      </c>
      <c r="M94" s="43">
        <f>IF(D94&lt;=Assumptions!$G$131,Assumptions!$AK$131,IF(D94&lt;Assumptions!$AH$131,Assumptions!$AK$131+(Assumptions!$AL$131-Assumptions!$AK$131)*(D94-Assumptions!$G$131)/(Assumptions!$AH$131-Assumptions!$G$131),IF(D94&lt;Assumptions!$P$131,Assumptions!$AL$131+(Assumptions!$AM$131-Assumptions!$AL$131)*(D94-Assumptions!$AH$131)/(Assumptions!$P$131-Assumptions!$AH$131),Assumptions!$AM$131)))</f>
        <v>50000</v>
      </c>
      <c r="N94" s="44">
        <f t="shared" si="2"/>
        <v>43.402777777777779</v>
      </c>
      <c r="O94" s="45">
        <f t="shared" si="3"/>
        <v>2876</v>
      </c>
      <c r="P94" s="14" t="str">
        <f>IF(D94&gt;=Assumptions!$P$131,"High",IF(D94&gt;=Assumptions!$AH$131,"Mid",IF(D94&lt;=Assumptions!$G$131,"Low","Loading")))</f>
        <v>Mid</v>
      </c>
      <c r="Q94" s="46">
        <f>MAX(K94,MIN(Assumptions!$S$131,O94),Q95)</f>
        <v>2876</v>
      </c>
      <c r="R94" s="12">
        <f>IF(AND(Q94&lt;=K94,INDEX(Assumptions!$C$26:$C$36,MATCH(G94,Assumptions!$A$26:$A$36,0))&lt;&gt;""),INDEX(Assumptions!$C$26:$C$36,MATCH(G94,Assumptions!$A$26:$A$36,0)),ROUND(G94*Q94,-2))</f>
        <v>3313200</v>
      </c>
      <c r="S94" s="47" t="str">
        <f>TRIM(IF(AND(Assumptions!$L$131&lt;&gt;"",D94&lt;Assumptions!$L$131),"View blocked / roof in front ("&amp;Assumptions!$M$131&amp;"); view premium still loading until L"&amp;Assumptions!$L$131&amp;". ","")&amp;IF(D94=Assumptions!$AH$131,"Mid-floor view premium fully loaded. ","")&amp;IF(D94=Assumptions!$P$131,"High-floor view premium fully loaded. ","")&amp;IF(Q94&lt;=K94,"At developer starting price.",""))</f>
        <v/>
      </c>
      <c r="T94" s="48" t="str">
        <f>Assumptions!$AJ$131</f>
        <v>SSE. Low floors face Forest Grill pavilions; super unblocked landed + nature reserve + city from mid floor; reservoir body on high floors</v>
      </c>
    </row>
    <row r="95" spans="1:20" x14ac:dyDescent="0.2">
      <c r="A95" s="13" t="s">
        <v>213</v>
      </c>
      <c r="B95" s="14">
        <v>1</v>
      </c>
      <c r="C95" s="40">
        <v>5</v>
      </c>
      <c r="D95" s="40">
        <v>11</v>
      </c>
      <c r="E95" s="9" t="s">
        <v>47</v>
      </c>
      <c r="F95" s="14" t="s">
        <v>203</v>
      </c>
      <c r="G95" s="10">
        <v>1152</v>
      </c>
      <c r="H95" s="14" t="s">
        <v>62</v>
      </c>
      <c r="I95" s="41" t="str">
        <f>Assumptions!$I$131</f>
        <v>B</v>
      </c>
      <c r="J95" s="14" t="str">
        <f>IF(D95&lt;=Assumptions!$V$131,"Low",IF(D95&lt;=Assumptions!$W$131,"Mid","High"))</f>
        <v>Mid</v>
      </c>
      <c r="K95" s="15">
        <f>Assumptions!$Q$131</f>
        <v>2650</v>
      </c>
      <c r="L95" s="42">
        <f>INDEX(Assumptions!$M$61:$M$90,D95)</f>
        <v>2818.3202777777778</v>
      </c>
      <c r="M95" s="43">
        <f>IF(D95&lt;=Assumptions!$G$131,Assumptions!$AK$131,IF(D95&lt;Assumptions!$AH$131,Assumptions!$AK$131+(Assumptions!$AL$131-Assumptions!$AK$131)*(D95-Assumptions!$G$131)/(Assumptions!$AH$131-Assumptions!$G$131),IF(D95&lt;Assumptions!$P$131,Assumptions!$AL$131+(Assumptions!$AM$131-Assumptions!$AL$131)*(D95-Assumptions!$AH$131)/(Assumptions!$P$131-Assumptions!$AH$131),Assumptions!$AM$131)))</f>
        <v>50000</v>
      </c>
      <c r="N95" s="44">
        <f t="shared" si="2"/>
        <v>43.402777777777779</v>
      </c>
      <c r="O95" s="45">
        <f t="shared" si="3"/>
        <v>2862</v>
      </c>
      <c r="P95" s="14" t="str">
        <f>IF(D95&gt;=Assumptions!$P$131,"High",IF(D95&gt;=Assumptions!$AH$131,"Mid",IF(D95&lt;=Assumptions!$G$131,"Low","Loading")))</f>
        <v>Mid</v>
      </c>
      <c r="Q95" s="46">
        <f>MAX(K95,MIN(Assumptions!$S$131,O95),Q96)</f>
        <v>2862</v>
      </c>
      <c r="R95" s="12">
        <f>IF(AND(Q95&lt;=K95,INDEX(Assumptions!$C$26:$C$36,MATCH(G95,Assumptions!$A$26:$A$36,0))&lt;&gt;""),INDEX(Assumptions!$C$26:$C$36,MATCH(G95,Assumptions!$A$26:$A$36,0)),ROUND(G95*Q95,-2))</f>
        <v>3297000</v>
      </c>
      <c r="S95" s="47" t="str">
        <f>TRIM(IF(AND(Assumptions!$L$131&lt;&gt;"",D95&lt;Assumptions!$L$131),"View blocked / roof in front ("&amp;Assumptions!$M$131&amp;"); view premium still loading until L"&amp;Assumptions!$L$131&amp;". ","")&amp;IF(D95=Assumptions!$AH$131,"Mid-floor view premium fully loaded. ","")&amp;IF(D95=Assumptions!$P$131,"High-floor view premium fully loaded. ","")&amp;IF(Q95&lt;=K95,"At developer starting price.",""))</f>
        <v/>
      </c>
      <c r="T95" s="48" t="str">
        <f>Assumptions!$AJ$131</f>
        <v>SSE. Low floors face Forest Grill pavilions; super unblocked landed + nature reserve + city from mid floor; reservoir body on high floors</v>
      </c>
    </row>
    <row r="96" spans="1:20" x14ac:dyDescent="0.2">
      <c r="A96" s="13" t="s">
        <v>214</v>
      </c>
      <c r="B96" s="14">
        <v>1</v>
      </c>
      <c r="C96" s="40">
        <v>5</v>
      </c>
      <c r="D96" s="40">
        <v>10</v>
      </c>
      <c r="E96" s="9" t="s">
        <v>47</v>
      </c>
      <c r="F96" s="14" t="s">
        <v>203</v>
      </c>
      <c r="G96" s="10">
        <v>1152</v>
      </c>
      <c r="H96" s="14" t="s">
        <v>62</v>
      </c>
      <c r="I96" s="41" t="str">
        <f>Assumptions!$I$131</f>
        <v>B</v>
      </c>
      <c r="J96" s="14" t="str">
        <f>IF(D96&lt;=Assumptions!$V$131,"Low",IF(D96&lt;=Assumptions!$W$131,"Mid","High"))</f>
        <v>Mid</v>
      </c>
      <c r="K96" s="15">
        <f>Assumptions!$Q$131</f>
        <v>2650</v>
      </c>
      <c r="L96" s="42">
        <f>INDEX(Assumptions!$M$61:$M$90,D96)</f>
        <v>2804.4405555555554</v>
      </c>
      <c r="M96" s="43">
        <f>IF(D96&lt;=Assumptions!$G$131,Assumptions!$AK$131,IF(D96&lt;Assumptions!$AH$131,Assumptions!$AK$131+(Assumptions!$AL$131-Assumptions!$AK$131)*(D96-Assumptions!$G$131)/(Assumptions!$AH$131-Assumptions!$G$131),IF(D96&lt;Assumptions!$P$131,Assumptions!$AL$131+(Assumptions!$AM$131-Assumptions!$AL$131)*(D96-Assumptions!$AH$131)/(Assumptions!$P$131-Assumptions!$AH$131),Assumptions!$AM$131)))</f>
        <v>50000</v>
      </c>
      <c r="N96" s="44">
        <f t="shared" si="2"/>
        <v>43.402777777777779</v>
      </c>
      <c r="O96" s="45">
        <f t="shared" si="3"/>
        <v>2848</v>
      </c>
      <c r="P96" s="14" t="str">
        <f>IF(D96&gt;=Assumptions!$P$131,"High",IF(D96&gt;=Assumptions!$AH$131,"Mid",IF(D96&lt;=Assumptions!$G$131,"Low","Loading")))</f>
        <v>Mid</v>
      </c>
      <c r="Q96" s="46">
        <f>MAX(K96,MIN(Assumptions!$S$131,O96),Q97)</f>
        <v>2848</v>
      </c>
      <c r="R96" s="12">
        <f>IF(AND(Q96&lt;=K96,INDEX(Assumptions!$C$26:$C$36,MATCH(G96,Assumptions!$A$26:$A$36,0))&lt;&gt;""),INDEX(Assumptions!$C$26:$C$36,MATCH(G96,Assumptions!$A$26:$A$36,0)),ROUND(G96*Q96,-2))</f>
        <v>3280900</v>
      </c>
      <c r="S96" s="47" t="str">
        <f>TRIM(IF(AND(Assumptions!$L$131&lt;&gt;"",D96&lt;Assumptions!$L$131),"View blocked / roof in front ("&amp;Assumptions!$M$131&amp;"); view premium still loading until L"&amp;Assumptions!$L$131&amp;". ","")&amp;IF(D96=Assumptions!$AH$131,"Mid-floor view premium fully loaded. ","")&amp;IF(D96=Assumptions!$P$131,"High-floor view premium fully loaded. ","")&amp;IF(Q96&lt;=K96,"At developer starting price.",""))</f>
        <v/>
      </c>
      <c r="T96" s="48" t="str">
        <f>Assumptions!$AJ$131</f>
        <v>SSE. Low floors face Forest Grill pavilions; super unblocked landed + nature reserve + city from mid floor; reservoir body on high floors</v>
      </c>
    </row>
    <row r="97" spans="1:20" x14ac:dyDescent="0.2">
      <c r="A97" s="13" t="s">
        <v>215</v>
      </c>
      <c r="B97" s="14">
        <v>1</v>
      </c>
      <c r="C97" s="40">
        <v>5</v>
      </c>
      <c r="D97" s="40">
        <v>9</v>
      </c>
      <c r="E97" s="9" t="s">
        <v>47</v>
      </c>
      <c r="F97" s="14" t="s">
        <v>203</v>
      </c>
      <c r="G97" s="10">
        <v>1152</v>
      </c>
      <c r="H97" s="14" t="s">
        <v>62</v>
      </c>
      <c r="I97" s="41" t="str">
        <f>Assumptions!$I$131</f>
        <v>B</v>
      </c>
      <c r="J97" s="14" t="str">
        <f>IF(D97&lt;=Assumptions!$V$131,"Low",IF(D97&lt;=Assumptions!$W$131,"Mid","High"))</f>
        <v>Mid</v>
      </c>
      <c r="K97" s="15">
        <f>Assumptions!$Q$131</f>
        <v>2650</v>
      </c>
      <c r="L97" s="42">
        <f>INDEX(Assumptions!$M$61:$M$90,D97)</f>
        <v>2790.560833333333</v>
      </c>
      <c r="M97" s="43">
        <f>IF(D97&lt;=Assumptions!$G$131,Assumptions!$AK$131,IF(D97&lt;Assumptions!$AH$131,Assumptions!$AK$131+(Assumptions!$AL$131-Assumptions!$AK$131)*(D97-Assumptions!$G$131)/(Assumptions!$AH$131-Assumptions!$G$131),IF(D97&lt;Assumptions!$P$131,Assumptions!$AL$131+(Assumptions!$AM$131-Assumptions!$AL$131)*(D97-Assumptions!$AH$131)/(Assumptions!$P$131-Assumptions!$AH$131),Assumptions!$AM$131)))</f>
        <v>50000</v>
      </c>
      <c r="N97" s="44">
        <f t="shared" si="2"/>
        <v>43.402777777777779</v>
      </c>
      <c r="O97" s="45">
        <f t="shared" si="3"/>
        <v>2834</v>
      </c>
      <c r="P97" s="14" t="str">
        <f>IF(D97&gt;=Assumptions!$P$131,"High",IF(D97&gt;=Assumptions!$AH$131,"Mid",IF(D97&lt;=Assumptions!$G$131,"Low","Loading")))</f>
        <v>Mid</v>
      </c>
      <c r="Q97" s="46">
        <f>MAX(K97,MIN(Assumptions!$S$131,O97),Q98)</f>
        <v>2834</v>
      </c>
      <c r="R97" s="12">
        <f>IF(AND(Q97&lt;=K97,INDEX(Assumptions!$C$26:$C$36,MATCH(G97,Assumptions!$A$26:$A$36,0))&lt;&gt;""),INDEX(Assumptions!$C$26:$C$36,MATCH(G97,Assumptions!$A$26:$A$36,0)),ROUND(G97*Q97,-2))</f>
        <v>3264800</v>
      </c>
      <c r="S97" s="47" t="str">
        <f>TRIM(IF(AND(Assumptions!$L$131&lt;&gt;"",D97&lt;Assumptions!$L$131),"View blocked / roof in front ("&amp;Assumptions!$M$131&amp;"); view premium still loading until L"&amp;Assumptions!$L$131&amp;". ","")&amp;IF(D97=Assumptions!$AH$131,"Mid-floor view premium fully loaded. ","")&amp;IF(D97=Assumptions!$P$131,"High-floor view premium fully loaded. ","")&amp;IF(Q97&lt;=K97,"At developer starting price.",""))</f>
        <v>Mid-floor view premium fully loaded.</v>
      </c>
      <c r="T97" s="48" t="str">
        <f>Assumptions!$AJ$131</f>
        <v>SSE. Low floors face Forest Grill pavilions; super unblocked landed + nature reserve + city from mid floor; reservoir body on high floors</v>
      </c>
    </row>
    <row r="98" spans="1:20" x14ac:dyDescent="0.2">
      <c r="A98" s="13" t="s">
        <v>216</v>
      </c>
      <c r="B98" s="14">
        <v>1</v>
      </c>
      <c r="C98" s="40">
        <v>5</v>
      </c>
      <c r="D98" s="40">
        <v>8</v>
      </c>
      <c r="E98" s="9" t="s">
        <v>47</v>
      </c>
      <c r="F98" s="14" t="s">
        <v>203</v>
      </c>
      <c r="G98" s="10">
        <v>1152</v>
      </c>
      <c r="H98" s="14" t="s">
        <v>62</v>
      </c>
      <c r="I98" s="41" t="str">
        <f>Assumptions!$I$131</f>
        <v>B</v>
      </c>
      <c r="J98" s="14" t="str">
        <f>IF(D98&lt;=Assumptions!$V$131,"Low",IF(D98&lt;=Assumptions!$W$131,"Mid","High"))</f>
        <v>Low</v>
      </c>
      <c r="K98" s="15">
        <f>Assumptions!$Q$131</f>
        <v>2650</v>
      </c>
      <c r="L98" s="42">
        <f>INDEX(Assumptions!$M$61:$M$90,D98)</f>
        <v>2776.681111111111</v>
      </c>
      <c r="M98" s="43">
        <f>IF(D98&lt;=Assumptions!$G$131,Assumptions!$AK$131,IF(D98&lt;Assumptions!$AH$131,Assumptions!$AK$131+(Assumptions!$AL$131-Assumptions!$AK$131)*(D98-Assumptions!$G$131)/(Assumptions!$AH$131-Assumptions!$G$131),IF(D98&lt;Assumptions!$P$131,Assumptions!$AL$131+(Assumptions!$AM$131-Assumptions!$AL$131)*(D98-Assumptions!$AH$131)/(Assumptions!$P$131-Assumptions!$AH$131),Assumptions!$AM$131)))</f>
        <v>35714.28571428571</v>
      </c>
      <c r="N98" s="44">
        <f t="shared" si="2"/>
        <v>31.001984126984123</v>
      </c>
      <c r="O98" s="45">
        <f t="shared" si="3"/>
        <v>2808</v>
      </c>
      <c r="P98" s="14" t="str">
        <f>IF(D98&gt;=Assumptions!$P$131,"High",IF(D98&gt;=Assumptions!$AH$131,"Mid",IF(D98&lt;=Assumptions!$G$131,"Low","Loading")))</f>
        <v>Loading</v>
      </c>
      <c r="Q98" s="46">
        <f>MAX(K98,MIN(Assumptions!$S$131,O98),Q99)</f>
        <v>2808</v>
      </c>
      <c r="R98" s="12">
        <f>IF(AND(Q98&lt;=K98,INDEX(Assumptions!$C$26:$C$36,MATCH(G98,Assumptions!$A$26:$A$36,0))&lt;&gt;""),INDEX(Assumptions!$C$26:$C$36,MATCH(G98,Assumptions!$A$26:$A$36,0)),ROUND(G98*Q98,-2))</f>
        <v>3234800</v>
      </c>
      <c r="S98" s="47" t="str">
        <f>TRIM(IF(AND(Assumptions!$L$131&lt;&gt;"",D98&lt;Assumptions!$L$131),"View blocked / roof in front ("&amp;Assumptions!$M$131&amp;"); view premium still loading until L"&amp;Assumptions!$L$131&amp;". ","")&amp;IF(D98=Assumptions!$AH$131,"Mid-floor view premium fully loaded. ","")&amp;IF(D98=Assumptions!$P$131,"High-floor view premium fully loaded. ","")&amp;IF(Q98&lt;=K98,"At developer starting price.",""))</f>
        <v/>
      </c>
      <c r="T98" s="48" t="str">
        <f>Assumptions!$AJ$131</f>
        <v>SSE. Low floors face Forest Grill pavilions; super unblocked landed + nature reserve + city from mid floor; reservoir body on high floors</v>
      </c>
    </row>
    <row r="99" spans="1:20" x14ac:dyDescent="0.2">
      <c r="A99" s="13" t="s">
        <v>217</v>
      </c>
      <c r="B99" s="14">
        <v>1</v>
      </c>
      <c r="C99" s="40">
        <v>5</v>
      </c>
      <c r="D99" s="40">
        <v>7</v>
      </c>
      <c r="E99" s="9" t="s">
        <v>47</v>
      </c>
      <c r="F99" s="14" t="s">
        <v>203</v>
      </c>
      <c r="G99" s="10">
        <v>1152</v>
      </c>
      <c r="H99" s="14" t="s">
        <v>62</v>
      </c>
      <c r="I99" s="41" t="str">
        <f>Assumptions!$I$131</f>
        <v>B</v>
      </c>
      <c r="J99" s="14" t="str">
        <f>IF(D99&lt;=Assumptions!$V$131,"Low",IF(D99&lt;=Assumptions!$W$131,"Mid","High"))</f>
        <v>Low</v>
      </c>
      <c r="K99" s="15">
        <f>Assumptions!$Q$131</f>
        <v>2650</v>
      </c>
      <c r="L99" s="42">
        <f>INDEX(Assumptions!$M$61:$M$90,D99)</f>
        <v>2762.8013888888891</v>
      </c>
      <c r="M99" s="43">
        <f>IF(D99&lt;=Assumptions!$G$131,Assumptions!$AK$131,IF(D99&lt;Assumptions!$AH$131,Assumptions!$AK$131+(Assumptions!$AL$131-Assumptions!$AK$131)*(D99-Assumptions!$G$131)/(Assumptions!$AH$131-Assumptions!$G$131),IF(D99&lt;Assumptions!$P$131,Assumptions!$AL$131+(Assumptions!$AM$131-Assumptions!$AL$131)*(D99-Assumptions!$AH$131)/(Assumptions!$P$131-Assumptions!$AH$131),Assumptions!$AM$131)))</f>
        <v>21428.571428571435</v>
      </c>
      <c r="N99" s="44">
        <f t="shared" si="2"/>
        <v>18.601190476190482</v>
      </c>
      <c r="O99" s="45">
        <f t="shared" si="3"/>
        <v>2781</v>
      </c>
      <c r="P99" s="14" t="str">
        <f>IF(D99&gt;=Assumptions!$P$131,"High",IF(D99&gt;=Assumptions!$AH$131,"Mid",IF(D99&lt;=Assumptions!$G$131,"Low","Loading")))</f>
        <v>Loading</v>
      </c>
      <c r="Q99" s="46">
        <f>MAX(K99,MIN(Assumptions!$S$131,O99),Q100)</f>
        <v>2781</v>
      </c>
      <c r="R99" s="12">
        <f>IF(AND(Q99&lt;=K99,INDEX(Assumptions!$C$26:$C$36,MATCH(G99,Assumptions!$A$26:$A$36,0))&lt;&gt;""),INDEX(Assumptions!$C$26:$C$36,MATCH(G99,Assumptions!$A$26:$A$36,0)),ROUND(G99*Q99,-2))</f>
        <v>3203700</v>
      </c>
      <c r="S99" s="47" t="str">
        <f>TRIM(IF(AND(Assumptions!$L$131&lt;&gt;"",D99&lt;Assumptions!$L$131),"View blocked / roof in front ("&amp;Assumptions!$M$131&amp;"); view premium still loading until L"&amp;Assumptions!$L$131&amp;". ","")&amp;IF(D99=Assumptions!$AH$131,"Mid-floor view premium fully loaded. ","")&amp;IF(D99=Assumptions!$P$131,"High-floor view premium fully loaded. ","")&amp;IF(Q99&lt;=K99,"At developer starting price.",""))</f>
        <v/>
      </c>
      <c r="T99" s="48" t="str">
        <f>Assumptions!$AJ$131</f>
        <v>SSE. Low floors face Forest Grill pavilions; super unblocked landed + nature reserve + city from mid floor; reservoir body on high floors</v>
      </c>
    </row>
    <row r="100" spans="1:20" x14ac:dyDescent="0.2">
      <c r="A100" s="13" t="s">
        <v>218</v>
      </c>
      <c r="B100" s="14">
        <v>1</v>
      </c>
      <c r="C100" s="40">
        <v>5</v>
      </c>
      <c r="D100" s="40">
        <v>6</v>
      </c>
      <c r="E100" s="9" t="s">
        <v>47</v>
      </c>
      <c r="F100" s="14" t="s">
        <v>203</v>
      </c>
      <c r="G100" s="10">
        <v>1152</v>
      </c>
      <c r="H100" s="14" t="s">
        <v>62</v>
      </c>
      <c r="I100" s="41" t="str">
        <f>Assumptions!$I$131</f>
        <v>B</v>
      </c>
      <c r="J100" s="14" t="str">
        <f>IF(D100&lt;=Assumptions!$V$131,"Low",IF(D100&lt;=Assumptions!$W$131,"Mid","High"))</f>
        <v>Low</v>
      </c>
      <c r="K100" s="15">
        <f>Assumptions!$Q$131</f>
        <v>2650</v>
      </c>
      <c r="L100" s="42">
        <f>INDEX(Assumptions!$M$61:$M$90,D100)</f>
        <v>2748.9216666666666</v>
      </c>
      <c r="M100" s="43">
        <f>IF(D100&lt;=Assumptions!$G$131,Assumptions!$AK$131,IF(D100&lt;Assumptions!$AH$131,Assumptions!$AK$131+(Assumptions!$AL$131-Assumptions!$AK$131)*(D100-Assumptions!$G$131)/(Assumptions!$AH$131-Assumptions!$G$131),IF(D100&lt;Assumptions!$P$131,Assumptions!$AL$131+(Assumptions!$AM$131-Assumptions!$AL$131)*(D100-Assumptions!$AH$131)/(Assumptions!$P$131-Assumptions!$AH$131),Assumptions!$AM$131)))</f>
        <v>7142.8571428571449</v>
      </c>
      <c r="N100" s="44">
        <f t="shared" si="2"/>
        <v>6.2003968253968269</v>
      </c>
      <c r="O100" s="45">
        <f t="shared" si="3"/>
        <v>2755</v>
      </c>
      <c r="P100" s="14" t="str">
        <f>IF(D100&gt;=Assumptions!$P$131,"High",IF(D100&gt;=Assumptions!$AH$131,"Mid",IF(D100&lt;=Assumptions!$G$131,"Low","Loading")))</f>
        <v>Loading</v>
      </c>
      <c r="Q100" s="46">
        <f>MAX(K100,MIN(Assumptions!$S$131,O100),Q101)</f>
        <v>2755</v>
      </c>
      <c r="R100" s="12">
        <f>IF(AND(Q100&lt;=K100,INDEX(Assumptions!$C$26:$C$36,MATCH(G100,Assumptions!$A$26:$A$36,0))&lt;&gt;""),INDEX(Assumptions!$C$26:$C$36,MATCH(G100,Assumptions!$A$26:$A$36,0)),ROUND(G100*Q100,-2))</f>
        <v>3173800</v>
      </c>
      <c r="S100" s="47" t="str">
        <f>TRIM(IF(AND(Assumptions!$L$131&lt;&gt;"",D100&lt;Assumptions!$L$131),"View blocked / roof in front ("&amp;Assumptions!$M$131&amp;"); view premium still loading until L"&amp;Assumptions!$L$131&amp;". ","")&amp;IF(D100=Assumptions!$AH$131,"Mid-floor view premium fully loaded. ","")&amp;IF(D100=Assumptions!$P$131,"High-floor view premium fully loaded. ","")&amp;IF(Q100&lt;=K100,"At developer starting price.",""))</f>
        <v/>
      </c>
      <c r="T100" s="48" t="str">
        <f>Assumptions!$AJ$131</f>
        <v>SSE. Low floors face Forest Grill pavilions; super unblocked landed + nature reserve + city from mid floor; reservoir body on high floors</v>
      </c>
    </row>
    <row r="101" spans="1:20" x14ac:dyDescent="0.2">
      <c r="A101" s="13" t="s">
        <v>219</v>
      </c>
      <c r="B101" s="14">
        <v>1</v>
      </c>
      <c r="C101" s="40">
        <v>5</v>
      </c>
      <c r="D101" s="40">
        <v>5</v>
      </c>
      <c r="E101" s="9" t="s">
        <v>47</v>
      </c>
      <c r="F101" s="14" t="s">
        <v>203</v>
      </c>
      <c r="G101" s="10">
        <v>1152</v>
      </c>
      <c r="H101" s="14" t="s">
        <v>62</v>
      </c>
      <c r="I101" s="41" t="str">
        <f>Assumptions!$I$131</f>
        <v>B</v>
      </c>
      <c r="J101" s="14" t="str">
        <f>IF(D101&lt;=Assumptions!$V$131,"Low",IF(D101&lt;=Assumptions!$W$131,"Mid","High"))</f>
        <v>Low</v>
      </c>
      <c r="K101" s="15">
        <f>Assumptions!$Q$131</f>
        <v>2650</v>
      </c>
      <c r="L101" s="42">
        <f>INDEX(Assumptions!$M$61:$M$90,D101)</f>
        <v>2735.0419444444442</v>
      </c>
      <c r="M101" s="43">
        <f>IF(D101&lt;=Assumptions!$G$131,Assumptions!$AK$131,IF(D101&lt;Assumptions!$AH$131,Assumptions!$AK$131+(Assumptions!$AL$131-Assumptions!$AK$131)*(D101-Assumptions!$G$131)/(Assumptions!$AH$131-Assumptions!$G$131),IF(D101&lt;Assumptions!$P$131,Assumptions!$AL$131+(Assumptions!$AM$131-Assumptions!$AL$131)*(D101-Assumptions!$AH$131)/(Assumptions!$P$131-Assumptions!$AH$131),Assumptions!$AM$131)))</f>
        <v>-7142.8571428571449</v>
      </c>
      <c r="N101" s="44">
        <f t="shared" si="2"/>
        <v>-6.2003968253968269</v>
      </c>
      <c r="O101" s="45">
        <f t="shared" si="3"/>
        <v>2729</v>
      </c>
      <c r="P101" s="14" t="str">
        <f>IF(D101&gt;=Assumptions!$P$131,"High",IF(D101&gt;=Assumptions!$AH$131,"Mid",IF(D101&lt;=Assumptions!$G$131,"Low","Loading")))</f>
        <v>Loading</v>
      </c>
      <c r="Q101" s="46">
        <f>MAX(K101,MIN(Assumptions!$S$131,O101),Q102)</f>
        <v>2729</v>
      </c>
      <c r="R101" s="12">
        <f>IF(AND(Q101&lt;=K101,INDEX(Assumptions!$C$26:$C$36,MATCH(G101,Assumptions!$A$26:$A$36,0))&lt;&gt;""),INDEX(Assumptions!$C$26:$C$36,MATCH(G101,Assumptions!$A$26:$A$36,0)),ROUND(G101*Q101,-2))</f>
        <v>3143800</v>
      </c>
      <c r="S101" s="47" t="str">
        <f>TRIM(IF(AND(Assumptions!$L$131&lt;&gt;"",D101&lt;Assumptions!$L$131),"View blocked / roof in front ("&amp;Assumptions!$M$131&amp;"); view premium still loading until L"&amp;Assumptions!$L$131&amp;". ","")&amp;IF(D101=Assumptions!$AH$131,"Mid-floor view premium fully loaded. ","")&amp;IF(D101=Assumptions!$P$131,"High-floor view premium fully loaded. ","")&amp;IF(Q101&lt;=K101,"At developer starting price.",""))</f>
        <v/>
      </c>
      <c r="T101" s="48" t="str">
        <f>Assumptions!$AJ$131</f>
        <v>SSE. Low floors face Forest Grill pavilions; super unblocked landed + nature reserve + city from mid floor; reservoir body on high floors</v>
      </c>
    </row>
    <row r="102" spans="1:20" x14ac:dyDescent="0.2">
      <c r="A102" s="13" t="s">
        <v>220</v>
      </c>
      <c r="B102" s="14">
        <v>1</v>
      </c>
      <c r="C102" s="40">
        <v>5</v>
      </c>
      <c r="D102" s="40">
        <v>4</v>
      </c>
      <c r="E102" s="9" t="s">
        <v>47</v>
      </c>
      <c r="F102" s="14" t="s">
        <v>203</v>
      </c>
      <c r="G102" s="10">
        <v>1152</v>
      </c>
      <c r="H102" s="14" t="s">
        <v>62</v>
      </c>
      <c r="I102" s="41" t="str">
        <f>Assumptions!$I$131</f>
        <v>B</v>
      </c>
      <c r="J102" s="14" t="str">
        <f>IF(D102&lt;=Assumptions!$V$131,"Low",IF(D102&lt;=Assumptions!$W$131,"Mid","High"))</f>
        <v>Low</v>
      </c>
      <c r="K102" s="15">
        <f>Assumptions!$Q$131</f>
        <v>2650</v>
      </c>
      <c r="L102" s="42">
        <f>INDEX(Assumptions!$M$61:$M$90,D102)</f>
        <v>2721.1622222222222</v>
      </c>
      <c r="M102" s="43">
        <f>IF(D102&lt;=Assumptions!$G$131,Assumptions!$AK$131,IF(D102&lt;Assumptions!$AH$131,Assumptions!$AK$131+(Assumptions!$AL$131-Assumptions!$AK$131)*(D102-Assumptions!$G$131)/(Assumptions!$AH$131-Assumptions!$G$131),IF(D102&lt;Assumptions!$P$131,Assumptions!$AL$131+(Assumptions!$AM$131-Assumptions!$AL$131)*(D102-Assumptions!$AH$131)/(Assumptions!$P$131-Assumptions!$AH$131),Assumptions!$AM$131)))</f>
        <v>-21428.571428571428</v>
      </c>
      <c r="N102" s="44">
        <f t="shared" si="2"/>
        <v>-18.601190476190474</v>
      </c>
      <c r="O102" s="45">
        <f t="shared" si="3"/>
        <v>2703</v>
      </c>
      <c r="P102" s="14" t="str">
        <f>IF(D102&gt;=Assumptions!$P$131,"High",IF(D102&gt;=Assumptions!$AH$131,"Mid",IF(D102&lt;=Assumptions!$G$131,"Low","Loading")))</f>
        <v>Loading</v>
      </c>
      <c r="Q102" s="46">
        <f>MAX(K102,MIN(Assumptions!$S$131,O102),Q103)</f>
        <v>2703</v>
      </c>
      <c r="R102" s="12">
        <f>IF(AND(Q102&lt;=K102,INDEX(Assumptions!$C$26:$C$36,MATCH(G102,Assumptions!$A$26:$A$36,0))&lt;&gt;""),INDEX(Assumptions!$C$26:$C$36,MATCH(G102,Assumptions!$A$26:$A$36,0)),ROUND(G102*Q102,-2))</f>
        <v>3113900</v>
      </c>
      <c r="S102" s="47" t="str">
        <f>TRIM(IF(AND(Assumptions!$L$131&lt;&gt;"",D102&lt;Assumptions!$L$131),"View blocked / roof in front ("&amp;Assumptions!$M$131&amp;"); view premium still loading until L"&amp;Assumptions!$L$131&amp;". ","")&amp;IF(D102=Assumptions!$AH$131,"Mid-floor view premium fully loaded. ","")&amp;IF(D102=Assumptions!$P$131,"High-floor view premium fully loaded. ","")&amp;IF(Q102&lt;=K102,"At developer starting price.",""))</f>
        <v/>
      </c>
      <c r="T102" s="48" t="str">
        <f>Assumptions!$AJ$131</f>
        <v>SSE. Low floors face Forest Grill pavilions; super unblocked landed + nature reserve + city from mid floor; reservoir body on high floors</v>
      </c>
    </row>
    <row r="103" spans="1:20" x14ac:dyDescent="0.2">
      <c r="A103" s="13" t="s">
        <v>221</v>
      </c>
      <c r="B103" s="14">
        <v>1</v>
      </c>
      <c r="C103" s="40">
        <v>5</v>
      </c>
      <c r="D103" s="40">
        <v>3</v>
      </c>
      <c r="E103" s="9" t="s">
        <v>47</v>
      </c>
      <c r="F103" s="14" t="s">
        <v>203</v>
      </c>
      <c r="G103" s="10">
        <v>1152</v>
      </c>
      <c r="H103" s="14" t="s">
        <v>62</v>
      </c>
      <c r="I103" s="41" t="str">
        <f>Assumptions!$I$131</f>
        <v>B</v>
      </c>
      <c r="J103" s="14" t="str">
        <f>IF(D103&lt;=Assumptions!$V$131,"Low",IF(D103&lt;=Assumptions!$W$131,"Mid","High"))</f>
        <v>Low</v>
      </c>
      <c r="K103" s="15">
        <f>Assumptions!$Q$131</f>
        <v>2650</v>
      </c>
      <c r="L103" s="42">
        <f>INDEX(Assumptions!$M$61:$M$90,D103)</f>
        <v>2707.2825000000003</v>
      </c>
      <c r="M103" s="43">
        <f>IF(D103&lt;=Assumptions!$G$131,Assumptions!$AK$131,IF(D103&lt;Assumptions!$AH$131,Assumptions!$AK$131+(Assumptions!$AL$131-Assumptions!$AK$131)*(D103-Assumptions!$G$131)/(Assumptions!$AH$131-Assumptions!$G$131),IF(D103&lt;Assumptions!$P$131,Assumptions!$AL$131+(Assumptions!$AM$131-Assumptions!$AL$131)*(D103-Assumptions!$AH$131)/(Assumptions!$P$131-Assumptions!$AH$131),Assumptions!$AM$131)))</f>
        <v>-35714.28571428571</v>
      </c>
      <c r="N103" s="44">
        <f t="shared" si="2"/>
        <v>-31.001984126984123</v>
      </c>
      <c r="O103" s="45">
        <f t="shared" si="3"/>
        <v>2676</v>
      </c>
      <c r="P103" s="14" t="str">
        <f>IF(D103&gt;=Assumptions!$P$131,"High",IF(D103&gt;=Assumptions!$AH$131,"Mid",IF(D103&lt;=Assumptions!$G$131,"Low","Loading")))</f>
        <v>Loading</v>
      </c>
      <c r="Q103" s="46">
        <f>MAX(K103,MIN(Assumptions!$S$131,O103),Q104)</f>
        <v>2676</v>
      </c>
      <c r="R103" s="12">
        <f>IF(AND(Q103&lt;=K103,INDEX(Assumptions!$C$26:$C$36,MATCH(G103,Assumptions!$A$26:$A$36,0))&lt;&gt;""),INDEX(Assumptions!$C$26:$C$36,MATCH(G103,Assumptions!$A$26:$A$36,0)),ROUND(G103*Q103,-2))</f>
        <v>3082800</v>
      </c>
      <c r="S103" s="47" t="str">
        <f>TRIM(IF(AND(Assumptions!$L$131&lt;&gt;"",D103&lt;Assumptions!$L$131),"View blocked / roof in front ("&amp;Assumptions!$M$131&amp;"); view premium still loading until L"&amp;Assumptions!$L$131&amp;". ","")&amp;IF(D103=Assumptions!$AH$131,"Mid-floor view premium fully loaded. ","")&amp;IF(D103=Assumptions!$P$131,"High-floor view premium fully loaded. ","")&amp;IF(Q103&lt;=K103,"At developer starting price.",""))</f>
        <v>View blocked / roof in front (Forest Grill Pavilion 1: 75% of view, 19.2 to 28m away); view premium still loading until L4.</v>
      </c>
      <c r="T103" s="48" t="str">
        <f>Assumptions!$AJ$131</f>
        <v>SSE. Low floors face Forest Grill pavilions; super unblocked landed + nature reserve + city from mid floor; reservoir body on high floors</v>
      </c>
    </row>
    <row r="104" spans="1:20" x14ac:dyDescent="0.2">
      <c r="A104" s="13" t="s">
        <v>222</v>
      </c>
      <c r="B104" s="14">
        <v>1</v>
      </c>
      <c r="C104" s="40">
        <v>5</v>
      </c>
      <c r="D104" s="40">
        <v>2</v>
      </c>
      <c r="E104" s="9" t="s">
        <v>47</v>
      </c>
      <c r="F104" s="14" t="s">
        <v>223</v>
      </c>
      <c r="G104" s="10">
        <v>1152</v>
      </c>
      <c r="H104" s="14" t="s">
        <v>62</v>
      </c>
      <c r="I104" s="41" t="str">
        <f>Assumptions!$I$131</f>
        <v>B</v>
      </c>
      <c r="J104" s="14" t="str">
        <f>IF(D104&lt;=Assumptions!$V$131,"Low",IF(D104&lt;=Assumptions!$W$131,"Mid","High"))</f>
        <v>Low</v>
      </c>
      <c r="K104" s="15">
        <f>Assumptions!$Q$131</f>
        <v>2650</v>
      </c>
      <c r="L104" s="42">
        <f>INDEX(Assumptions!$M$61:$M$90,D104)</f>
        <v>2693.4027777777778</v>
      </c>
      <c r="M104" s="43">
        <f>IF(D104&lt;=Assumptions!$G$131,Assumptions!$AK$131,IF(D104&lt;Assumptions!$AH$131,Assumptions!$AK$131+(Assumptions!$AL$131-Assumptions!$AK$131)*(D104-Assumptions!$G$131)/(Assumptions!$AH$131-Assumptions!$G$131),IF(D104&lt;Assumptions!$P$131,Assumptions!$AL$131+(Assumptions!$AM$131-Assumptions!$AL$131)*(D104-Assumptions!$AH$131)/(Assumptions!$P$131-Assumptions!$AH$131),Assumptions!$AM$131)))</f>
        <v>-50000</v>
      </c>
      <c r="N104" s="44">
        <f t="shared" si="2"/>
        <v>-43.402777777777779</v>
      </c>
      <c r="O104" s="45">
        <f t="shared" si="3"/>
        <v>2650</v>
      </c>
      <c r="P104" s="14" t="str">
        <f>IF(D104&gt;=Assumptions!$P$131,"High",IF(D104&gt;=Assumptions!$AH$131,"Mid",IF(D104&lt;=Assumptions!$G$131,"Low","Loading")))</f>
        <v>Low</v>
      </c>
      <c r="Q104" s="46">
        <f>MAX(K104,MIN(Assumptions!$S$131,O104))</f>
        <v>2650</v>
      </c>
      <c r="R104" s="12">
        <f>IF(AND(Q104&lt;=K104,INDEX(Assumptions!$C$26:$C$36,MATCH(G104,Assumptions!$A$26:$A$36,0))&lt;&gt;""),INDEX(Assumptions!$C$26:$C$36,MATCH(G104,Assumptions!$A$26:$A$36,0)),ROUND(G104*Q104,-2))</f>
        <v>3052800</v>
      </c>
      <c r="S104" s="47" t="str">
        <f>TRIM(IF(AND(Assumptions!$L$131&lt;&gt;"",D104&lt;Assumptions!$L$131),"View blocked / roof in front ("&amp;Assumptions!$M$131&amp;"); view premium still loading until L"&amp;Assumptions!$L$131&amp;". ","")&amp;IF(D104=Assumptions!$AH$131,"Mid-floor view premium fully loaded. ","")&amp;IF(D104=Assumptions!$P$131,"High-floor view premium fully loaded. ","")&amp;IF(Q104&lt;=K104,"At developer starting price.",""))</f>
        <v>View blocked / roof in front (Forest Grill Pavilion 1: 75% of view, 19.2 to 28m away); view premium still loading until L4. At developer starting price.</v>
      </c>
      <c r="T104" s="48" t="str">
        <f>Assumptions!$AJ$131</f>
        <v>SSE. Low floors face Forest Grill pavilions; super unblocked landed + nature reserve + city from mid floor; reservoir body on high floors</v>
      </c>
    </row>
    <row r="105" spans="1:20" x14ac:dyDescent="0.2">
      <c r="A105" s="13" t="s">
        <v>224</v>
      </c>
      <c r="B105" s="14">
        <v>1</v>
      </c>
      <c r="C105" s="40">
        <v>6</v>
      </c>
      <c r="D105" s="40">
        <v>21</v>
      </c>
      <c r="E105" s="9" t="s">
        <v>46</v>
      </c>
      <c r="F105" s="14" t="s">
        <v>225</v>
      </c>
      <c r="G105" s="10">
        <v>1055</v>
      </c>
      <c r="H105" s="14" t="s">
        <v>62</v>
      </c>
      <c r="I105" s="41" t="str">
        <f>Assumptions!$I$132</f>
        <v>B</v>
      </c>
      <c r="J105" s="14" t="str">
        <f>IF(D105&lt;=Assumptions!$V$132,"Low",IF(D105&lt;=Assumptions!$W$132,"Mid","High"))</f>
        <v>High</v>
      </c>
      <c r="K105" s="15">
        <f>Assumptions!$Q$132</f>
        <v>2633</v>
      </c>
      <c r="L105" s="42">
        <f>INDEX(Assumptions!$K$61:$K$90,D105)</f>
        <v>3042.1538461538462</v>
      </c>
      <c r="M105" s="43">
        <f>IF(D105&lt;=Assumptions!$G$132,Assumptions!$AK$132,IF(D105&lt;Assumptions!$AH$132,Assumptions!$AK$132+(Assumptions!$AL$132-Assumptions!$AK$132)*(D105-Assumptions!$G$132)/(Assumptions!$AH$132-Assumptions!$G$132),IF(D105&lt;Assumptions!$P$132,Assumptions!$AL$132+(Assumptions!$AM$132-Assumptions!$AL$132)*(D105-Assumptions!$AH$132)/(Assumptions!$P$132-Assumptions!$AH$132),Assumptions!$AM$132)))</f>
        <v>16666.666666666672</v>
      </c>
      <c r="N105" s="44">
        <f t="shared" si="2"/>
        <v>15.797788309636655</v>
      </c>
      <c r="O105" s="45">
        <f t="shared" si="3"/>
        <v>3058</v>
      </c>
      <c r="P105" s="14" t="str">
        <f>IF(D105&gt;=Assumptions!$P$132,"High",IF(D105&gt;=Assumptions!$AH$132,"Mid",IF(D105&lt;=Assumptions!$G$132,"Low","Loading")))</f>
        <v>High</v>
      </c>
      <c r="Q105" s="46">
        <f>MAX(K105,MIN(Assumptions!$S$132,O105),Q106)</f>
        <v>3058</v>
      </c>
      <c r="R105" s="12">
        <f>IF(AND(Q105&lt;=K105,INDEX(Assumptions!$C$26:$C$36,MATCH(G105,Assumptions!$A$26:$A$36,0))&lt;&gt;""),INDEX(Assumptions!$C$26:$C$36,MATCH(G105,Assumptions!$A$26:$A$36,0)),ROUND(G105*Q105,-2))</f>
        <v>3226200</v>
      </c>
      <c r="S105" s="47" t="str">
        <f>TRIM(IF(AND(Assumptions!$L$132&lt;&gt;"",D105&lt;Assumptions!$L$132),"View blocked / roof in front ("&amp;Assumptions!$M$132&amp;"); view premium still loading until L"&amp;Assumptions!$L$132&amp;". ","")&amp;IF(D105=Assumptions!$AH$132,"Mid-floor view premium fully loaded. ","")&amp;IF(D105=Assumptions!$P$132,"High-floor view premium fully loaded. ","")&amp;IF(Q105&lt;=K105,"At developer starting price.",""))</f>
        <v/>
      </c>
      <c r="T105" s="48" t="str">
        <f>Assumptions!$AJ$132</f>
        <v>NNW. Inner pool facing (Island Club); clubhouse in front of low floors, pool premium loads from the clear floor</v>
      </c>
    </row>
    <row r="106" spans="1:20" x14ac:dyDescent="0.2">
      <c r="A106" s="13" t="s">
        <v>226</v>
      </c>
      <c r="B106" s="14">
        <v>1</v>
      </c>
      <c r="C106" s="40">
        <v>6</v>
      </c>
      <c r="D106" s="40">
        <v>20</v>
      </c>
      <c r="E106" s="9" t="s">
        <v>46</v>
      </c>
      <c r="F106" s="14" t="s">
        <v>225</v>
      </c>
      <c r="G106" s="10">
        <v>1055</v>
      </c>
      <c r="H106" s="14" t="s">
        <v>62</v>
      </c>
      <c r="I106" s="41" t="str">
        <f>Assumptions!$I$132</f>
        <v>B</v>
      </c>
      <c r="J106" s="14" t="str">
        <f>IF(D106&lt;=Assumptions!$V$132,"Low",IF(D106&lt;=Assumptions!$W$132,"Mid","High"))</f>
        <v>High</v>
      </c>
      <c r="K106" s="15">
        <f>Assumptions!$Q$132</f>
        <v>2633</v>
      </c>
      <c r="L106" s="42">
        <f>INDEX(Assumptions!$K$61:$K$90,D106)</f>
        <v>3015.876923076923</v>
      </c>
      <c r="M106" s="43">
        <f>IF(D106&lt;=Assumptions!$G$132,Assumptions!$AK$132,IF(D106&lt;Assumptions!$AH$132,Assumptions!$AK$132+(Assumptions!$AL$132-Assumptions!$AK$132)*(D106-Assumptions!$G$132)/(Assumptions!$AH$132-Assumptions!$G$132),IF(D106&lt;Assumptions!$P$132,Assumptions!$AL$132+(Assumptions!$AM$132-Assumptions!$AL$132)*(D106-Assumptions!$AH$132)/(Assumptions!$P$132-Assumptions!$AH$132),Assumptions!$AM$132)))</f>
        <v>16666.666666666672</v>
      </c>
      <c r="N106" s="44">
        <f t="shared" si="2"/>
        <v>15.797788309636655</v>
      </c>
      <c r="O106" s="45">
        <f t="shared" si="3"/>
        <v>3032</v>
      </c>
      <c r="P106" s="14" t="str">
        <f>IF(D106&gt;=Assumptions!$P$132,"High",IF(D106&gt;=Assumptions!$AH$132,"Mid",IF(D106&lt;=Assumptions!$G$132,"Low","Loading")))</f>
        <v>High</v>
      </c>
      <c r="Q106" s="46">
        <f>MAX(K106,MIN(Assumptions!$S$132,O106),Q107)</f>
        <v>3032</v>
      </c>
      <c r="R106" s="12">
        <f>IF(AND(Q106&lt;=K106,INDEX(Assumptions!$C$26:$C$36,MATCH(G106,Assumptions!$A$26:$A$36,0))&lt;&gt;""),INDEX(Assumptions!$C$26:$C$36,MATCH(G106,Assumptions!$A$26:$A$36,0)),ROUND(G106*Q106,-2))</f>
        <v>3198800</v>
      </c>
      <c r="S106" s="47" t="str">
        <f>TRIM(IF(AND(Assumptions!$L$132&lt;&gt;"",D106&lt;Assumptions!$L$132),"View blocked / roof in front ("&amp;Assumptions!$M$132&amp;"); view premium still loading until L"&amp;Assumptions!$L$132&amp;". ","")&amp;IF(D106=Assumptions!$AH$132,"Mid-floor view premium fully loaded. ","")&amp;IF(D106=Assumptions!$P$132,"High-floor view premium fully loaded. ","")&amp;IF(Q106&lt;=K106,"At developer starting price.",""))</f>
        <v/>
      </c>
      <c r="T106" s="48" t="str">
        <f>Assumptions!$AJ$132</f>
        <v>NNW. Inner pool facing (Island Club); clubhouse in front of low floors, pool premium loads from the clear floor</v>
      </c>
    </row>
    <row r="107" spans="1:20" x14ac:dyDescent="0.2">
      <c r="A107" s="13" t="s">
        <v>227</v>
      </c>
      <c r="B107" s="14">
        <v>1</v>
      </c>
      <c r="C107" s="40">
        <v>6</v>
      </c>
      <c r="D107" s="40">
        <v>19</v>
      </c>
      <c r="E107" s="9" t="s">
        <v>46</v>
      </c>
      <c r="F107" s="14" t="s">
        <v>225</v>
      </c>
      <c r="G107" s="10">
        <v>1055</v>
      </c>
      <c r="H107" s="14" t="s">
        <v>62</v>
      </c>
      <c r="I107" s="41" t="str">
        <f>Assumptions!$I$132</f>
        <v>B</v>
      </c>
      <c r="J107" s="14" t="str">
        <f>IF(D107&lt;=Assumptions!$V$132,"Low",IF(D107&lt;=Assumptions!$W$132,"Mid","High"))</f>
        <v>High</v>
      </c>
      <c r="K107" s="15">
        <f>Assumptions!$Q$132</f>
        <v>2633</v>
      </c>
      <c r="L107" s="42">
        <f>INDEX(Assumptions!$K$61:$K$90,D107)</f>
        <v>2989.6</v>
      </c>
      <c r="M107" s="43">
        <f>IF(D107&lt;=Assumptions!$G$132,Assumptions!$AK$132,IF(D107&lt;Assumptions!$AH$132,Assumptions!$AK$132+(Assumptions!$AL$132-Assumptions!$AK$132)*(D107-Assumptions!$G$132)/(Assumptions!$AH$132-Assumptions!$G$132),IF(D107&lt;Assumptions!$P$132,Assumptions!$AL$132+(Assumptions!$AM$132-Assumptions!$AL$132)*(D107-Assumptions!$AH$132)/(Assumptions!$P$132-Assumptions!$AH$132),Assumptions!$AM$132)))</f>
        <v>16666.666666666672</v>
      </c>
      <c r="N107" s="44">
        <f t="shared" si="2"/>
        <v>15.797788309636655</v>
      </c>
      <c r="O107" s="45">
        <f t="shared" si="3"/>
        <v>3005</v>
      </c>
      <c r="P107" s="14" t="str">
        <f>IF(D107&gt;=Assumptions!$P$132,"High",IF(D107&gt;=Assumptions!$AH$132,"Mid",IF(D107&lt;=Assumptions!$G$132,"Low","Loading")))</f>
        <v>High</v>
      </c>
      <c r="Q107" s="46">
        <f>MAX(K107,MIN(Assumptions!$S$132,O107),Q108)</f>
        <v>3005</v>
      </c>
      <c r="R107" s="12">
        <f>IF(AND(Q107&lt;=K107,INDEX(Assumptions!$C$26:$C$36,MATCH(G107,Assumptions!$A$26:$A$36,0))&lt;&gt;""),INDEX(Assumptions!$C$26:$C$36,MATCH(G107,Assumptions!$A$26:$A$36,0)),ROUND(G107*Q107,-2))</f>
        <v>3170300</v>
      </c>
      <c r="S107" s="47" t="str">
        <f>TRIM(IF(AND(Assumptions!$L$132&lt;&gt;"",D107&lt;Assumptions!$L$132),"View blocked / roof in front ("&amp;Assumptions!$M$132&amp;"); view premium still loading until L"&amp;Assumptions!$L$132&amp;". ","")&amp;IF(D107=Assumptions!$AH$132,"Mid-floor view premium fully loaded. ","")&amp;IF(D107=Assumptions!$P$132,"High-floor view premium fully loaded. ","")&amp;IF(Q107&lt;=K107,"At developer starting price.",""))</f>
        <v/>
      </c>
      <c r="T107" s="48" t="str">
        <f>Assumptions!$AJ$132</f>
        <v>NNW. Inner pool facing (Island Club); clubhouse in front of low floors, pool premium loads from the clear floor</v>
      </c>
    </row>
    <row r="108" spans="1:20" x14ac:dyDescent="0.2">
      <c r="A108" s="13" t="s">
        <v>228</v>
      </c>
      <c r="B108" s="14">
        <v>1</v>
      </c>
      <c r="C108" s="40">
        <v>6</v>
      </c>
      <c r="D108" s="40">
        <v>18</v>
      </c>
      <c r="E108" s="9" t="s">
        <v>46</v>
      </c>
      <c r="F108" s="14" t="s">
        <v>225</v>
      </c>
      <c r="G108" s="10">
        <v>1055</v>
      </c>
      <c r="H108" s="14" t="s">
        <v>62</v>
      </c>
      <c r="I108" s="41" t="str">
        <f>Assumptions!$I$132</f>
        <v>B</v>
      </c>
      <c r="J108" s="14" t="str">
        <f>IF(D108&lt;=Assumptions!$V$132,"Low",IF(D108&lt;=Assumptions!$W$132,"Mid","High"))</f>
        <v>High</v>
      </c>
      <c r="K108" s="15">
        <f>Assumptions!$Q$132</f>
        <v>2633</v>
      </c>
      <c r="L108" s="42">
        <f>INDEX(Assumptions!$K$61:$K$90,D108)</f>
        <v>2963.3230769230768</v>
      </c>
      <c r="M108" s="43">
        <f>IF(D108&lt;=Assumptions!$G$132,Assumptions!$AK$132,IF(D108&lt;Assumptions!$AH$132,Assumptions!$AK$132+(Assumptions!$AL$132-Assumptions!$AK$132)*(D108-Assumptions!$G$132)/(Assumptions!$AH$132-Assumptions!$G$132),IF(D108&lt;Assumptions!$P$132,Assumptions!$AL$132+(Assumptions!$AM$132-Assumptions!$AL$132)*(D108-Assumptions!$AH$132)/(Assumptions!$P$132-Assumptions!$AH$132),Assumptions!$AM$132)))</f>
        <v>16666.666666666672</v>
      </c>
      <c r="N108" s="44">
        <f t="shared" si="2"/>
        <v>15.797788309636655</v>
      </c>
      <c r="O108" s="45">
        <f t="shared" si="3"/>
        <v>2979</v>
      </c>
      <c r="P108" s="14" t="str">
        <f>IF(D108&gt;=Assumptions!$P$132,"High",IF(D108&gt;=Assumptions!$AH$132,"Mid",IF(D108&lt;=Assumptions!$G$132,"Low","Loading")))</f>
        <v>High</v>
      </c>
      <c r="Q108" s="46">
        <f>MAX(K108,MIN(Assumptions!$S$132,O108),Q109)</f>
        <v>2979</v>
      </c>
      <c r="R108" s="12">
        <f>IF(AND(Q108&lt;=K108,INDEX(Assumptions!$C$26:$C$36,MATCH(G108,Assumptions!$A$26:$A$36,0))&lt;&gt;""),INDEX(Assumptions!$C$26:$C$36,MATCH(G108,Assumptions!$A$26:$A$36,0)),ROUND(G108*Q108,-2))</f>
        <v>3142800</v>
      </c>
      <c r="S108" s="47" t="str">
        <f>TRIM(IF(AND(Assumptions!$L$132&lt;&gt;"",D108&lt;Assumptions!$L$132),"View blocked / roof in front ("&amp;Assumptions!$M$132&amp;"); view premium still loading until L"&amp;Assumptions!$L$132&amp;". ","")&amp;IF(D108=Assumptions!$AH$132,"Mid-floor view premium fully loaded. ","")&amp;IF(D108=Assumptions!$P$132,"High-floor view premium fully loaded. ","")&amp;IF(Q108&lt;=K108,"At developer starting price.",""))</f>
        <v/>
      </c>
      <c r="T108" s="48" t="str">
        <f>Assumptions!$AJ$132</f>
        <v>NNW. Inner pool facing (Island Club); clubhouse in front of low floors, pool premium loads from the clear floor</v>
      </c>
    </row>
    <row r="109" spans="1:20" x14ac:dyDescent="0.2">
      <c r="A109" s="13" t="s">
        <v>229</v>
      </c>
      <c r="B109" s="14">
        <v>1</v>
      </c>
      <c r="C109" s="40">
        <v>6</v>
      </c>
      <c r="D109" s="40">
        <v>17</v>
      </c>
      <c r="E109" s="9" t="s">
        <v>46</v>
      </c>
      <c r="F109" s="14" t="s">
        <v>225</v>
      </c>
      <c r="G109" s="10">
        <v>1055</v>
      </c>
      <c r="H109" s="14" t="s">
        <v>62</v>
      </c>
      <c r="I109" s="41" t="str">
        <f>Assumptions!$I$132</f>
        <v>B</v>
      </c>
      <c r="J109" s="14" t="str">
        <f>IF(D109&lt;=Assumptions!$V$132,"Low",IF(D109&lt;=Assumptions!$W$132,"Mid","High"))</f>
        <v>High</v>
      </c>
      <c r="K109" s="15">
        <f>Assumptions!$Q$132</f>
        <v>2633</v>
      </c>
      <c r="L109" s="42">
        <f>INDEX(Assumptions!$K$61:$K$90,D109)</f>
        <v>2937.0461538461536</v>
      </c>
      <c r="M109" s="43">
        <f>IF(D109&lt;=Assumptions!$G$132,Assumptions!$AK$132,IF(D109&lt;Assumptions!$AH$132,Assumptions!$AK$132+(Assumptions!$AL$132-Assumptions!$AK$132)*(D109-Assumptions!$G$132)/(Assumptions!$AH$132-Assumptions!$G$132),IF(D109&lt;Assumptions!$P$132,Assumptions!$AL$132+(Assumptions!$AM$132-Assumptions!$AL$132)*(D109-Assumptions!$AH$132)/(Assumptions!$P$132-Assumptions!$AH$132),Assumptions!$AM$132)))</f>
        <v>16666.666666666672</v>
      </c>
      <c r="N109" s="44">
        <f t="shared" si="2"/>
        <v>15.797788309636655</v>
      </c>
      <c r="O109" s="45">
        <f t="shared" si="3"/>
        <v>2953</v>
      </c>
      <c r="P109" s="14" t="str">
        <f>IF(D109&gt;=Assumptions!$P$132,"High",IF(D109&gt;=Assumptions!$AH$132,"Mid",IF(D109&lt;=Assumptions!$G$132,"Low","Loading")))</f>
        <v>High</v>
      </c>
      <c r="Q109" s="46">
        <f>MAX(K109,MIN(Assumptions!$S$132,O109),Q110)</f>
        <v>2953</v>
      </c>
      <c r="R109" s="12">
        <f>IF(AND(Q109&lt;=K109,INDEX(Assumptions!$C$26:$C$36,MATCH(G109,Assumptions!$A$26:$A$36,0))&lt;&gt;""),INDEX(Assumptions!$C$26:$C$36,MATCH(G109,Assumptions!$A$26:$A$36,0)),ROUND(G109*Q109,-2))</f>
        <v>3115400</v>
      </c>
      <c r="S109" s="47" t="str">
        <f>TRIM(IF(AND(Assumptions!$L$132&lt;&gt;"",D109&lt;Assumptions!$L$132),"View blocked / roof in front ("&amp;Assumptions!$M$132&amp;"); view premium still loading until L"&amp;Assumptions!$L$132&amp;". ","")&amp;IF(D109=Assumptions!$AH$132,"Mid-floor view premium fully loaded. ","")&amp;IF(D109=Assumptions!$P$132,"High-floor view premium fully loaded. ","")&amp;IF(Q109&lt;=K109,"At developer starting price.",""))</f>
        <v>High-floor view premium fully loaded.</v>
      </c>
      <c r="T109" s="48" t="str">
        <f>Assumptions!$AJ$132</f>
        <v>NNW. Inner pool facing (Island Club); clubhouse in front of low floors, pool premium loads from the clear floor</v>
      </c>
    </row>
    <row r="110" spans="1:20" x14ac:dyDescent="0.2">
      <c r="A110" s="13" t="s">
        <v>230</v>
      </c>
      <c r="B110" s="14">
        <v>1</v>
      </c>
      <c r="C110" s="40">
        <v>6</v>
      </c>
      <c r="D110" s="40">
        <v>16</v>
      </c>
      <c r="E110" s="9" t="s">
        <v>46</v>
      </c>
      <c r="F110" s="14" t="s">
        <v>225</v>
      </c>
      <c r="G110" s="10">
        <v>1055</v>
      </c>
      <c r="H110" s="14" t="s">
        <v>62</v>
      </c>
      <c r="I110" s="41" t="str">
        <f>Assumptions!$I$132</f>
        <v>B</v>
      </c>
      <c r="J110" s="14" t="str">
        <f>IF(D110&lt;=Assumptions!$V$132,"Low",IF(D110&lt;=Assumptions!$W$132,"Mid","High"))</f>
        <v>Mid</v>
      </c>
      <c r="K110" s="15">
        <f>Assumptions!$Q$132</f>
        <v>2633</v>
      </c>
      <c r="L110" s="42">
        <f>INDEX(Assumptions!$K$61:$K$90,D110)</f>
        <v>2910.7692307692309</v>
      </c>
      <c r="M110" s="43">
        <f>IF(D110&lt;=Assumptions!$G$132,Assumptions!$AK$132,IF(D110&lt;Assumptions!$AH$132,Assumptions!$AK$132+(Assumptions!$AL$132-Assumptions!$AK$132)*(D110-Assumptions!$G$132)/(Assumptions!$AH$132-Assumptions!$G$132),IF(D110&lt;Assumptions!$P$132,Assumptions!$AL$132+(Assumptions!$AM$132-Assumptions!$AL$132)*(D110-Assumptions!$AH$132)/(Assumptions!$P$132-Assumptions!$AH$132),Assumptions!$AM$132)))</f>
        <v>18686.868686868693</v>
      </c>
      <c r="N110" s="44">
        <f t="shared" si="2"/>
        <v>17.712671741107766</v>
      </c>
      <c r="O110" s="45">
        <f t="shared" si="3"/>
        <v>2928</v>
      </c>
      <c r="P110" s="14" t="str">
        <f>IF(D110&gt;=Assumptions!$P$132,"High",IF(D110&gt;=Assumptions!$AH$132,"Mid",IF(D110&lt;=Assumptions!$G$132,"Low","Loading")))</f>
        <v>Mid</v>
      </c>
      <c r="Q110" s="46">
        <f>MAX(K110,MIN(Assumptions!$S$132,O110),Q111)</f>
        <v>2928</v>
      </c>
      <c r="R110" s="12">
        <f>IF(AND(Q110&lt;=K110,INDEX(Assumptions!$C$26:$C$36,MATCH(G110,Assumptions!$A$26:$A$36,0))&lt;&gt;""),INDEX(Assumptions!$C$26:$C$36,MATCH(G110,Assumptions!$A$26:$A$36,0)),ROUND(G110*Q110,-2))</f>
        <v>3089000</v>
      </c>
      <c r="S110" s="47" t="str">
        <f>TRIM(IF(AND(Assumptions!$L$132&lt;&gt;"",D110&lt;Assumptions!$L$132),"View blocked / roof in front ("&amp;Assumptions!$M$132&amp;"); view premium still loading until L"&amp;Assumptions!$L$132&amp;". ","")&amp;IF(D110=Assumptions!$AH$132,"Mid-floor view premium fully loaded. ","")&amp;IF(D110=Assumptions!$P$132,"High-floor view premium fully loaded. ","")&amp;IF(Q110&lt;=K110,"At developer starting price.",""))</f>
        <v/>
      </c>
      <c r="T110" s="48" t="str">
        <f>Assumptions!$AJ$132</f>
        <v>NNW. Inner pool facing (Island Club); clubhouse in front of low floors, pool premium loads from the clear floor</v>
      </c>
    </row>
    <row r="111" spans="1:20" x14ac:dyDescent="0.2">
      <c r="A111" s="13" t="s">
        <v>231</v>
      </c>
      <c r="B111" s="14">
        <v>1</v>
      </c>
      <c r="C111" s="40">
        <v>6</v>
      </c>
      <c r="D111" s="40">
        <v>15</v>
      </c>
      <c r="E111" s="9" t="s">
        <v>46</v>
      </c>
      <c r="F111" s="14" t="s">
        <v>225</v>
      </c>
      <c r="G111" s="10">
        <v>1055</v>
      </c>
      <c r="H111" s="14" t="s">
        <v>62</v>
      </c>
      <c r="I111" s="41" t="str">
        <f>Assumptions!$I$132</f>
        <v>B</v>
      </c>
      <c r="J111" s="14" t="str">
        <f>IF(D111&lt;=Assumptions!$V$132,"Low",IF(D111&lt;=Assumptions!$W$132,"Mid","High"))</f>
        <v>Mid</v>
      </c>
      <c r="K111" s="15">
        <f>Assumptions!$Q$132</f>
        <v>2633</v>
      </c>
      <c r="L111" s="42">
        <f>INDEX(Assumptions!$K$61:$K$90,D111)</f>
        <v>2884.4923076923078</v>
      </c>
      <c r="M111" s="43">
        <f>IF(D111&lt;=Assumptions!$G$132,Assumptions!$AK$132,IF(D111&lt;Assumptions!$AH$132,Assumptions!$AK$132+(Assumptions!$AL$132-Assumptions!$AK$132)*(D111-Assumptions!$G$132)/(Assumptions!$AH$132-Assumptions!$G$132),IF(D111&lt;Assumptions!$P$132,Assumptions!$AL$132+(Assumptions!$AM$132-Assumptions!$AL$132)*(D111-Assumptions!$AH$132)/(Assumptions!$P$132-Assumptions!$AH$132),Assumptions!$AM$132)))</f>
        <v>20707.07070707071</v>
      </c>
      <c r="N111" s="44">
        <f t="shared" si="2"/>
        <v>19.627555172578873</v>
      </c>
      <c r="O111" s="45">
        <f t="shared" si="3"/>
        <v>2904</v>
      </c>
      <c r="P111" s="14" t="str">
        <f>IF(D111&gt;=Assumptions!$P$132,"High",IF(D111&gt;=Assumptions!$AH$132,"Mid",IF(D111&lt;=Assumptions!$G$132,"Low","Loading")))</f>
        <v>Mid</v>
      </c>
      <c r="Q111" s="46">
        <f>MAX(K111,MIN(Assumptions!$S$132,O111),Q112)</f>
        <v>2904</v>
      </c>
      <c r="R111" s="12">
        <f>IF(AND(Q111&lt;=K111,INDEX(Assumptions!$C$26:$C$36,MATCH(G111,Assumptions!$A$26:$A$36,0))&lt;&gt;""),INDEX(Assumptions!$C$26:$C$36,MATCH(G111,Assumptions!$A$26:$A$36,0)),ROUND(G111*Q111,-2))</f>
        <v>3063700</v>
      </c>
      <c r="S111" s="47" t="str">
        <f>TRIM(IF(AND(Assumptions!$L$132&lt;&gt;"",D111&lt;Assumptions!$L$132),"View blocked / roof in front ("&amp;Assumptions!$M$132&amp;"); view premium still loading until L"&amp;Assumptions!$L$132&amp;". ","")&amp;IF(D111=Assumptions!$AH$132,"Mid-floor view premium fully loaded. ","")&amp;IF(D111=Assumptions!$P$132,"High-floor view premium fully loaded. ","")&amp;IF(Q111&lt;=K111,"At developer starting price.",""))</f>
        <v/>
      </c>
      <c r="T111" s="48" t="str">
        <f>Assumptions!$AJ$132</f>
        <v>NNW. Inner pool facing (Island Club); clubhouse in front of low floors, pool premium loads from the clear floor</v>
      </c>
    </row>
    <row r="112" spans="1:20" x14ac:dyDescent="0.2">
      <c r="A112" s="13" t="s">
        <v>232</v>
      </c>
      <c r="B112" s="14">
        <v>1</v>
      </c>
      <c r="C112" s="40">
        <v>6</v>
      </c>
      <c r="D112" s="40">
        <v>14</v>
      </c>
      <c r="E112" s="9" t="s">
        <v>46</v>
      </c>
      <c r="F112" s="14" t="s">
        <v>225</v>
      </c>
      <c r="G112" s="10">
        <v>1055</v>
      </c>
      <c r="H112" s="14" t="s">
        <v>62</v>
      </c>
      <c r="I112" s="41" t="str">
        <f>Assumptions!$I$132</f>
        <v>B</v>
      </c>
      <c r="J112" s="14" t="str">
        <f>IF(D112&lt;=Assumptions!$V$132,"Low",IF(D112&lt;=Assumptions!$W$132,"Mid","High"))</f>
        <v>Mid</v>
      </c>
      <c r="K112" s="15">
        <f>Assumptions!$Q$132</f>
        <v>2633</v>
      </c>
      <c r="L112" s="42">
        <f>INDEX(Assumptions!$K$61:$K$90,D112)</f>
        <v>2858.2153846153847</v>
      </c>
      <c r="M112" s="43">
        <f>IF(D112&lt;=Assumptions!$G$132,Assumptions!$AK$132,IF(D112&lt;Assumptions!$AH$132,Assumptions!$AK$132+(Assumptions!$AL$132-Assumptions!$AK$132)*(D112-Assumptions!$G$132)/(Assumptions!$AH$132-Assumptions!$G$132),IF(D112&lt;Assumptions!$P$132,Assumptions!$AL$132+(Assumptions!$AM$132-Assumptions!$AL$132)*(D112-Assumptions!$AH$132)/(Assumptions!$P$132-Assumptions!$AH$132),Assumptions!$AM$132)))</f>
        <v>22727.272727272732</v>
      </c>
      <c r="N112" s="44">
        <f t="shared" si="2"/>
        <v>21.542438604049984</v>
      </c>
      <c r="O112" s="45">
        <f t="shared" si="3"/>
        <v>2880</v>
      </c>
      <c r="P112" s="14" t="str">
        <f>IF(D112&gt;=Assumptions!$P$132,"High",IF(D112&gt;=Assumptions!$AH$132,"Mid",IF(D112&lt;=Assumptions!$G$132,"Low","Loading")))</f>
        <v>Mid</v>
      </c>
      <c r="Q112" s="46">
        <f>MAX(K112,MIN(Assumptions!$S$132,O112),Q113)</f>
        <v>2880</v>
      </c>
      <c r="R112" s="12">
        <f>IF(AND(Q112&lt;=K112,INDEX(Assumptions!$C$26:$C$36,MATCH(G112,Assumptions!$A$26:$A$36,0))&lt;&gt;""),INDEX(Assumptions!$C$26:$C$36,MATCH(G112,Assumptions!$A$26:$A$36,0)),ROUND(G112*Q112,-2))</f>
        <v>3038400</v>
      </c>
      <c r="S112" s="47" t="str">
        <f>TRIM(IF(AND(Assumptions!$L$132&lt;&gt;"",D112&lt;Assumptions!$L$132),"View blocked / roof in front ("&amp;Assumptions!$M$132&amp;"); view premium still loading until L"&amp;Assumptions!$L$132&amp;". ","")&amp;IF(D112=Assumptions!$AH$132,"Mid-floor view premium fully loaded. ","")&amp;IF(D112=Assumptions!$P$132,"High-floor view premium fully loaded. ","")&amp;IF(Q112&lt;=K112,"At developer starting price.",""))</f>
        <v/>
      </c>
      <c r="T112" s="48" t="str">
        <f>Assumptions!$AJ$132</f>
        <v>NNW. Inner pool facing (Island Club); clubhouse in front of low floors, pool premium loads from the clear floor</v>
      </c>
    </row>
    <row r="113" spans="1:20" x14ac:dyDescent="0.2">
      <c r="A113" s="13" t="s">
        <v>233</v>
      </c>
      <c r="B113" s="14">
        <v>1</v>
      </c>
      <c r="C113" s="40">
        <v>6</v>
      </c>
      <c r="D113" s="40">
        <v>13</v>
      </c>
      <c r="E113" s="9" t="s">
        <v>46</v>
      </c>
      <c r="F113" s="14" t="s">
        <v>225</v>
      </c>
      <c r="G113" s="10">
        <v>1055</v>
      </c>
      <c r="H113" s="14" t="s">
        <v>62</v>
      </c>
      <c r="I113" s="41" t="str">
        <f>Assumptions!$I$132</f>
        <v>B</v>
      </c>
      <c r="J113" s="14" t="str">
        <f>IF(D113&lt;=Assumptions!$V$132,"Low",IF(D113&lt;=Assumptions!$W$132,"Mid","High"))</f>
        <v>Mid</v>
      </c>
      <c r="K113" s="15">
        <f>Assumptions!$Q$132</f>
        <v>2633</v>
      </c>
      <c r="L113" s="42">
        <f>INDEX(Assumptions!$K$61:$K$90,D113)</f>
        <v>2831.9384615384615</v>
      </c>
      <c r="M113" s="43">
        <f>IF(D113&lt;=Assumptions!$G$132,Assumptions!$AK$132,IF(D113&lt;Assumptions!$AH$132,Assumptions!$AK$132+(Assumptions!$AL$132-Assumptions!$AK$132)*(D113-Assumptions!$G$132)/(Assumptions!$AH$132-Assumptions!$G$132),IF(D113&lt;Assumptions!$P$132,Assumptions!$AL$132+(Assumptions!$AM$132-Assumptions!$AL$132)*(D113-Assumptions!$AH$132)/(Assumptions!$P$132-Assumptions!$AH$132),Assumptions!$AM$132)))</f>
        <v>24747.474747474749</v>
      </c>
      <c r="N113" s="44">
        <f t="shared" si="2"/>
        <v>23.457322035521088</v>
      </c>
      <c r="O113" s="45">
        <f t="shared" si="3"/>
        <v>2855</v>
      </c>
      <c r="P113" s="14" t="str">
        <f>IF(D113&gt;=Assumptions!$P$132,"High",IF(D113&gt;=Assumptions!$AH$132,"Mid",IF(D113&lt;=Assumptions!$G$132,"Low","Loading")))</f>
        <v>Mid</v>
      </c>
      <c r="Q113" s="46">
        <f>MAX(K113,MIN(Assumptions!$S$132,O113),Q114)</f>
        <v>2855</v>
      </c>
      <c r="R113" s="12">
        <f>IF(AND(Q113&lt;=K113,INDEX(Assumptions!$C$26:$C$36,MATCH(G113,Assumptions!$A$26:$A$36,0))&lt;&gt;""),INDEX(Assumptions!$C$26:$C$36,MATCH(G113,Assumptions!$A$26:$A$36,0)),ROUND(G113*Q113,-2))</f>
        <v>3012000</v>
      </c>
      <c r="S113" s="47" t="str">
        <f>TRIM(IF(AND(Assumptions!$L$132&lt;&gt;"",D113&lt;Assumptions!$L$132),"View blocked / roof in front ("&amp;Assumptions!$M$132&amp;"); view premium still loading until L"&amp;Assumptions!$L$132&amp;". ","")&amp;IF(D113=Assumptions!$AH$132,"Mid-floor view premium fully loaded. ","")&amp;IF(D113=Assumptions!$P$132,"High-floor view premium fully loaded. ","")&amp;IF(Q113&lt;=K113,"At developer starting price.",""))</f>
        <v/>
      </c>
      <c r="T113" s="48" t="str">
        <f>Assumptions!$AJ$132</f>
        <v>NNW. Inner pool facing (Island Club); clubhouse in front of low floors, pool premium loads from the clear floor</v>
      </c>
    </row>
    <row r="114" spans="1:20" x14ac:dyDescent="0.2">
      <c r="A114" s="13" t="s">
        <v>234</v>
      </c>
      <c r="B114" s="14">
        <v>1</v>
      </c>
      <c r="C114" s="40">
        <v>6</v>
      </c>
      <c r="D114" s="40">
        <v>12</v>
      </c>
      <c r="E114" s="9" t="s">
        <v>46</v>
      </c>
      <c r="F114" s="14" t="s">
        <v>225</v>
      </c>
      <c r="G114" s="10">
        <v>1055</v>
      </c>
      <c r="H114" s="14" t="s">
        <v>62</v>
      </c>
      <c r="I114" s="41" t="str">
        <f>Assumptions!$I$132</f>
        <v>B</v>
      </c>
      <c r="J114" s="14" t="str">
        <f>IF(D114&lt;=Assumptions!$V$132,"Low",IF(D114&lt;=Assumptions!$W$132,"Mid","High"))</f>
        <v>Mid</v>
      </c>
      <c r="K114" s="15">
        <f>Assumptions!$Q$132</f>
        <v>2633</v>
      </c>
      <c r="L114" s="42">
        <f>INDEX(Assumptions!$K$61:$K$90,D114)</f>
        <v>2812.209207853758</v>
      </c>
      <c r="M114" s="43">
        <f>IF(D114&lt;=Assumptions!$G$132,Assumptions!$AK$132,IF(D114&lt;Assumptions!$AH$132,Assumptions!$AK$132+(Assumptions!$AL$132-Assumptions!$AK$132)*(D114-Assumptions!$G$132)/(Assumptions!$AH$132-Assumptions!$G$132),IF(D114&lt;Assumptions!$P$132,Assumptions!$AL$132+(Assumptions!$AM$132-Assumptions!$AL$132)*(D114-Assumptions!$AH$132)/(Assumptions!$P$132-Assumptions!$AH$132),Assumptions!$AM$132)))</f>
        <v>26767.67676767677</v>
      </c>
      <c r="N114" s="44">
        <f t="shared" si="2"/>
        <v>25.372205466992199</v>
      </c>
      <c r="O114" s="45">
        <f t="shared" si="3"/>
        <v>2838</v>
      </c>
      <c r="P114" s="14" t="str">
        <f>IF(D114&gt;=Assumptions!$P$132,"High",IF(D114&gt;=Assumptions!$AH$132,"Mid",IF(D114&lt;=Assumptions!$G$132,"Low","Loading")))</f>
        <v>Mid</v>
      </c>
      <c r="Q114" s="46">
        <f>MAX(K114,MIN(Assumptions!$S$132,O114),Q115)</f>
        <v>2838</v>
      </c>
      <c r="R114" s="12">
        <f>IF(AND(Q114&lt;=K114,INDEX(Assumptions!$C$26:$C$36,MATCH(G114,Assumptions!$A$26:$A$36,0))&lt;&gt;""),INDEX(Assumptions!$C$26:$C$36,MATCH(G114,Assumptions!$A$26:$A$36,0)),ROUND(G114*Q114,-2))</f>
        <v>2994100</v>
      </c>
      <c r="S114" s="47" t="str">
        <f>TRIM(IF(AND(Assumptions!$L$132&lt;&gt;"",D114&lt;Assumptions!$L$132),"View blocked / roof in front ("&amp;Assumptions!$M$132&amp;"); view premium still loading until L"&amp;Assumptions!$L$132&amp;". ","")&amp;IF(D114=Assumptions!$AH$132,"Mid-floor view premium fully loaded. ","")&amp;IF(D114=Assumptions!$P$132,"High-floor view premium fully loaded. ","")&amp;IF(Q114&lt;=K114,"At developer starting price.",""))</f>
        <v/>
      </c>
      <c r="T114" s="48" t="str">
        <f>Assumptions!$AJ$132</f>
        <v>NNW. Inner pool facing (Island Club); clubhouse in front of low floors, pool premium loads from the clear floor</v>
      </c>
    </row>
    <row r="115" spans="1:20" x14ac:dyDescent="0.2">
      <c r="A115" s="13" t="s">
        <v>235</v>
      </c>
      <c r="B115" s="14">
        <v>1</v>
      </c>
      <c r="C115" s="40">
        <v>6</v>
      </c>
      <c r="D115" s="40">
        <v>11</v>
      </c>
      <c r="E115" s="9" t="s">
        <v>46</v>
      </c>
      <c r="F115" s="14" t="s">
        <v>225</v>
      </c>
      <c r="G115" s="10">
        <v>1055</v>
      </c>
      <c r="H115" s="14" t="s">
        <v>62</v>
      </c>
      <c r="I115" s="41" t="str">
        <f>Assumptions!$I$132</f>
        <v>B</v>
      </c>
      <c r="J115" s="14" t="str">
        <f>IF(D115&lt;=Assumptions!$V$132,"Low",IF(D115&lt;=Assumptions!$W$132,"Mid","High"))</f>
        <v>Mid</v>
      </c>
      <c r="K115" s="15">
        <f>Assumptions!$Q$132</f>
        <v>2633</v>
      </c>
      <c r="L115" s="42">
        <f>INDEX(Assumptions!$K$61:$K$90,D115)</f>
        <v>2799.0276235612732</v>
      </c>
      <c r="M115" s="43">
        <f>IF(D115&lt;=Assumptions!$G$132,Assumptions!$AK$132,IF(D115&lt;Assumptions!$AH$132,Assumptions!$AK$132+(Assumptions!$AL$132-Assumptions!$AK$132)*(D115-Assumptions!$G$132)/(Assumptions!$AH$132-Assumptions!$G$132),IF(D115&lt;Assumptions!$P$132,Assumptions!$AL$132+(Assumptions!$AM$132-Assumptions!$AL$132)*(D115-Assumptions!$AH$132)/(Assumptions!$P$132-Assumptions!$AH$132),Assumptions!$AM$132)))</f>
        <v>28787.878787878792</v>
      </c>
      <c r="N115" s="44">
        <f t="shared" si="2"/>
        <v>27.28708889846331</v>
      </c>
      <c r="O115" s="45">
        <f t="shared" si="3"/>
        <v>2826</v>
      </c>
      <c r="P115" s="14" t="str">
        <f>IF(D115&gt;=Assumptions!$P$132,"High",IF(D115&gt;=Assumptions!$AH$132,"Mid",IF(D115&lt;=Assumptions!$G$132,"Low","Loading")))</f>
        <v>Mid</v>
      </c>
      <c r="Q115" s="46">
        <f>MAX(K115,MIN(Assumptions!$S$132,O115),Q116)</f>
        <v>2826</v>
      </c>
      <c r="R115" s="12">
        <f>IF(AND(Q115&lt;=K115,INDEX(Assumptions!$C$26:$C$36,MATCH(G115,Assumptions!$A$26:$A$36,0))&lt;&gt;""),INDEX(Assumptions!$C$26:$C$36,MATCH(G115,Assumptions!$A$26:$A$36,0)),ROUND(G115*Q115,-2))</f>
        <v>2981400</v>
      </c>
      <c r="S115" s="47" t="str">
        <f>TRIM(IF(AND(Assumptions!$L$132&lt;&gt;"",D115&lt;Assumptions!$L$132),"View blocked / roof in front ("&amp;Assumptions!$M$132&amp;"); view premium still loading until L"&amp;Assumptions!$L$132&amp;". ","")&amp;IF(D115=Assumptions!$AH$132,"Mid-floor view premium fully loaded. ","")&amp;IF(D115=Assumptions!$P$132,"High-floor view premium fully loaded. ","")&amp;IF(Q115&lt;=K115,"At developer starting price.",""))</f>
        <v/>
      </c>
      <c r="T115" s="48" t="str">
        <f>Assumptions!$AJ$132</f>
        <v>NNW. Inner pool facing (Island Club); clubhouse in front of low floors, pool premium loads from the clear floor</v>
      </c>
    </row>
    <row r="116" spans="1:20" x14ac:dyDescent="0.2">
      <c r="A116" s="13" t="s">
        <v>236</v>
      </c>
      <c r="B116" s="14">
        <v>1</v>
      </c>
      <c r="C116" s="40">
        <v>6</v>
      </c>
      <c r="D116" s="40">
        <v>10</v>
      </c>
      <c r="E116" s="9" t="s">
        <v>46</v>
      </c>
      <c r="F116" s="14" t="s">
        <v>225</v>
      </c>
      <c r="G116" s="10">
        <v>1055</v>
      </c>
      <c r="H116" s="14" t="s">
        <v>62</v>
      </c>
      <c r="I116" s="41" t="str">
        <f>Assumptions!$I$132</f>
        <v>B</v>
      </c>
      <c r="J116" s="14" t="str">
        <f>IF(D116&lt;=Assumptions!$V$132,"Low",IF(D116&lt;=Assumptions!$W$132,"Mid","High"))</f>
        <v>Mid</v>
      </c>
      <c r="K116" s="15">
        <f>Assumptions!$Q$132</f>
        <v>2633</v>
      </c>
      <c r="L116" s="42">
        <f>INDEX(Assumptions!$K$61:$K$90,D116)</f>
        <v>2785.8460392687884</v>
      </c>
      <c r="M116" s="43">
        <f>IF(D116&lt;=Assumptions!$G$132,Assumptions!$AK$132,IF(D116&lt;Assumptions!$AH$132,Assumptions!$AK$132+(Assumptions!$AL$132-Assumptions!$AK$132)*(D116-Assumptions!$G$132)/(Assumptions!$AH$132-Assumptions!$G$132),IF(D116&lt;Assumptions!$P$132,Assumptions!$AL$132+(Assumptions!$AM$132-Assumptions!$AL$132)*(D116-Assumptions!$AH$132)/(Assumptions!$P$132-Assumptions!$AH$132),Assumptions!$AM$132)))</f>
        <v>30808.080808080813</v>
      </c>
      <c r="N116" s="44">
        <f t="shared" si="2"/>
        <v>29.201972329934421</v>
      </c>
      <c r="O116" s="45">
        <f t="shared" si="3"/>
        <v>2815</v>
      </c>
      <c r="P116" s="14" t="str">
        <f>IF(D116&gt;=Assumptions!$P$132,"High",IF(D116&gt;=Assumptions!$AH$132,"Mid",IF(D116&lt;=Assumptions!$G$132,"Low","Loading")))</f>
        <v>Mid</v>
      </c>
      <c r="Q116" s="46">
        <f>MAX(K116,MIN(Assumptions!$S$132,O116),Q117)</f>
        <v>2815</v>
      </c>
      <c r="R116" s="12">
        <f>IF(AND(Q116&lt;=K116,INDEX(Assumptions!$C$26:$C$36,MATCH(G116,Assumptions!$A$26:$A$36,0))&lt;&gt;""),INDEX(Assumptions!$C$26:$C$36,MATCH(G116,Assumptions!$A$26:$A$36,0)),ROUND(G116*Q116,-2))</f>
        <v>2969800</v>
      </c>
      <c r="S116" s="47" t="str">
        <f>TRIM(IF(AND(Assumptions!$L$132&lt;&gt;"",D116&lt;Assumptions!$L$132),"View blocked / roof in front ("&amp;Assumptions!$M$132&amp;"); view premium still loading until L"&amp;Assumptions!$L$132&amp;". ","")&amp;IF(D116=Assumptions!$AH$132,"Mid-floor view premium fully loaded. ","")&amp;IF(D116=Assumptions!$P$132,"High-floor view premium fully loaded. ","")&amp;IF(Q116&lt;=K116,"At developer starting price.",""))</f>
        <v/>
      </c>
      <c r="T116" s="48" t="str">
        <f>Assumptions!$AJ$132</f>
        <v>NNW. Inner pool facing (Island Club); clubhouse in front of low floors, pool premium loads from the clear floor</v>
      </c>
    </row>
    <row r="117" spans="1:20" x14ac:dyDescent="0.2">
      <c r="A117" s="13" t="s">
        <v>237</v>
      </c>
      <c r="B117" s="14">
        <v>1</v>
      </c>
      <c r="C117" s="40">
        <v>6</v>
      </c>
      <c r="D117" s="40">
        <v>9</v>
      </c>
      <c r="E117" s="9" t="s">
        <v>46</v>
      </c>
      <c r="F117" s="14" t="s">
        <v>225</v>
      </c>
      <c r="G117" s="10">
        <v>1055</v>
      </c>
      <c r="H117" s="14" t="s">
        <v>62</v>
      </c>
      <c r="I117" s="41" t="str">
        <f>Assumptions!$I$132</f>
        <v>B</v>
      </c>
      <c r="J117" s="14" t="str">
        <f>IF(D117&lt;=Assumptions!$V$132,"Low",IF(D117&lt;=Assumptions!$W$132,"Mid","High"))</f>
        <v>Mid</v>
      </c>
      <c r="K117" s="15">
        <f>Assumptions!$Q$132</f>
        <v>2633</v>
      </c>
      <c r="L117" s="42">
        <f>INDEX(Assumptions!$K$61:$K$90,D117)</f>
        <v>2772.6644549763037</v>
      </c>
      <c r="M117" s="43">
        <f>IF(D117&lt;=Assumptions!$G$132,Assumptions!$AK$132,IF(D117&lt;Assumptions!$AH$132,Assumptions!$AK$132+(Assumptions!$AL$132-Assumptions!$AK$132)*(D117-Assumptions!$G$132)/(Assumptions!$AH$132-Assumptions!$G$132),IF(D117&lt;Assumptions!$P$132,Assumptions!$AL$132+(Assumptions!$AM$132-Assumptions!$AL$132)*(D117-Assumptions!$AH$132)/(Assumptions!$P$132-Assumptions!$AH$132),Assumptions!$AM$132)))</f>
        <v>32828.282828282834</v>
      </c>
      <c r="N117" s="44">
        <f t="shared" si="2"/>
        <v>31.116855761405532</v>
      </c>
      <c r="O117" s="45">
        <f t="shared" si="3"/>
        <v>2804</v>
      </c>
      <c r="P117" s="14" t="str">
        <f>IF(D117&gt;=Assumptions!$P$132,"High",IF(D117&gt;=Assumptions!$AH$132,"Mid",IF(D117&lt;=Assumptions!$G$132,"Low","Loading")))</f>
        <v>Mid</v>
      </c>
      <c r="Q117" s="46">
        <f>MAX(K117,MIN(Assumptions!$S$132,O117),Q118)</f>
        <v>2804</v>
      </c>
      <c r="R117" s="12">
        <f>IF(AND(Q117&lt;=K117,INDEX(Assumptions!$C$26:$C$36,MATCH(G117,Assumptions!$A$26:$A$36,0))&lt;&gt;""),INDEX(Assumptions!$C$26:$C$36,MATCH(G117,Assumptions!$A$26:$A$36,0)),ROUND(G117*Q117,-2))</f>
        <v>2958200</v>
      </c>
      <c r="S117" s="47" t="str">
        <f>TRIM(IF(AND(Assumptions!$L$132&lt;&gt;"",D117&lt;Assumptions!$L$132),"View blocked / roof in front ("&amp;Assumptions!$M$132&amp;"); view premium still loading until L"&amp;Assumptions!$L$132&amp;". ","")&amp;IF(D117=Assumptions!$AH$132,"Mid-floor view premium fully loaded. ","")&amp;IF(D117=Assumptions!$P$132,"High-floor view premium fully loaded. ","")&amp;IF(Q117&lt;=K117,"At developer starting price.",""))</f>
        <v/>
      </c>
      <c r="T117" s="48" t="str">
        <f>Assumptions!$AJ$132</f>
        <v>NNW. Inner pool facing (Island Club); clubhouse in front of low floors, pool premium loads from the clear floor</v>
      </c>
    </row>
    <row r="118" spans="1:20" x14ac:dyDescent="0.2">
      <c r="A118" s="13" t="s">
        <v>238</v>
      </c>
      <c r="B118" s="14">
        <v>1</v>
      </c>
      <c r="C118" s="40">
        <v>6</v>
      </c>
      <c r="D118" s="40">
        <v>8</v>
      </c>
      <c r="E118" s="9" t="s">
        <v>46</v>
      </c>
      <c r="F118" s="14" t="s">
        <v>225</v>
      </c>
      <c r="G118" s="10">
        <v>1055</v>
      </c>
      <c r="H118" s="14" t="s">
        <v>62</v>
      </c>
      <c r="I118" s="41" t="str">
        <f>Assumptions!$I$132</f>
        <v>B</v>
      </c>
      <c r="J118" s="14" t="str">
        <f>IF(D118&lt;=Assumptions!$V$132,"Low",IF(D118&lt;=Assumptions!$W$132,"Mid","High"))</f>
        <v>Low</v>
      </c>
      <c r="K118" s="15">
        <f>Assumptions!$Q$132</f>
        <v>2633</v>
      </c>
      <c r="L118" s="42">
        <f>INDEX(Assumptions!$K$61:$K$90,D118)</f>
        <v>2759.4828706838189</v>
      </c>
      <c r="M118" s="43">
        <f>IF(D118&lt;=Assumptions!$G$132,Assumptions!$AK$132,IF(D118&lt;Assumptions!$AH$132,Assumptions!$AK$132+(Assumptions!$AL$132-Assumptions!$AK$132)*(D118-Assumptions!$G$132)/(Assumptions!$AH$132-Assumptions!$G$132),IF(D118&lt;Assumptions!$P$132,Assumptions!$AL$132+(Assumptions!$AM$132-Assumptions!$AL$132)*(D118-Assumptions!$AH$132)/(Assumptions!$P$132-Assumptions!$AH$132),Assumptions!$AM$132)))</f>
        <v>34848.484848484848</v>
      </c>
      <c r="N118" s="44">
        <f t="shared" si="2"/>
        <v>33.031739192876636</v>
      </c>
      <c r="O118" s="45">
        <f t="shared" si="3"/>
        <v>2793</v>
      </c>
      <c r="P118" s="14" t="str">
        <f>IF(D118&gt;=Assumptions!$P$132,"High",IF(D118&gt;=Assumptions!$AH$132,"Mid",IF(D118&lt;=Assumptions!$G$132,"Low","Loading")))</f>
        <v>Mid</v>
      </c>
      <c r="Q118" s="46">
        <f>MAX(K118,MIN(Assumptions!$S$132,O118),Q119)</f>
        <v>2793</v>
      </c>
      <c r="R118" s="12">
        <f>IF(AND(Q118&lt;=K118,INDEX(Assumptions!$C$26:$C$36,MATCH(G118,Assumptions!$A$26:$A$36,0))&lt;&gt;""),INDEX(Assumptions!$C$26:$C$36,MATCH(G118,Assumptions!$A$26:$A$36,0)),ROUND(G118*Q118,-2))</f>
        <v>2946600</v>
      </c>
      <c r="S118" s="47" t="str">
        <f>TRIM(IF(AND(Assumptions!$L$132&lt;&gt;"",D118&lt;Assumptions!$L$132),"View blocked / roof in front ("&amp;Assumptions!$M$132&amp;"); view premium still loading until L"&amp;Assumptions!$L$132&amp;". ","")&amp;IF(D118=Assumptions!$AH$132,"Mid-floor view premium fully loaded. ","")&amp;IF(D118=Assumptions!$P$132,"High-floor view premium fully loaded. ","")&amp;IF(Q118&lt;=K118,"At developer starting price.",""))</f>
        <v/>
      </c>
      <c r="T118" s="48" t="str">
        <f>Assumptions!$AJ$132</f>
        <v>NNW. Inner pool facing (Island Club); clubhouse in front of low floors, pool premium loads from the clear floor</v>
      </c>
    </row>
    <row r="119" spans="1:20" x14ac:dyDescent="0.2">
      <c r="A119" s="13" t="s">
        <v>239</v>
      </c>
      <c r="B119" s="14">
        <v>1</v>
      </c>
      <c r="C119" s="40">
        <v>6</v>
      </c>
      <c r="D119" s="40">
        <v>7</v>
      </c>
      <c r="E119" s="9" t="s">
        <v>46</v>
      </c>
      <c r="F119" s="14" t="s">
        <v>225</v>
      </c>
      <c r="G119" s="10">
        <v>1055</v>
      </c>
      <c r="H119" s="14" t="s">
        <v>62</v>
      </c>
      <c r="I119" s="41" t="str">
        <f>Assumptions!$I$132</f>
        <v>B</v>
      </c>
      <c r="J119" s="14" t="str">
        <f>IF(D119&lt;=Assumptions!$V$132,"Low",IF(D119&lt;=Assumptions!$W$132,"Mid","High"))</f>
        <v>Low</v>
      </c>
      <c r="K119" s="15">
        <f>Assumptions!$Q$132</f>
        <v>2633</v>
      </c>
      <c r="L119" s="42">
        <f>INDEX(Assumptions!$K$61:$K$90,D119)</f>
        <v>2746.3012863913341</v>
      </c>
      <c r="M119" s="43">
        <f>IF(D119&lt;=Assumptions!$G$132,Assumptions!$AK$132,IF(D119&lt;Assumptions!$AH$132,Assumptions!$AK$132+(Assumptions!$AL$132-Assumptions!$AK$132)*(D119-Assumptions!$G$132)/(Assumptions!$AH$132-Assumptions!$G$132),IF(D119&lt;Assumptions!$P$132,Assumptions!$AL$132+(Assumptions!$AM$132-Assumptions!$AL$132)*(D119-Assumptions!$AH$132)/(Assumptions!$P$132-Assumptions!$AH$132),Assumptions!$AM$132)))</f>
        <v>36868.686868686869</v>
      </c>
      <c r="N119" s="44">
        <f t="shared" si="2"/>
        <v>34.946622624347746</v>
      </c>
      <c r="O119" s="45">
        <f t="shared" si="3"/>
        <v>2781</v>
      </c>
      <c r="P119" s="14" t="str">
        <f>IF(D119&gt;=Assumptions!$P$132,"High",IF(D119&gt;=Assumptions!$AH$132,"Mid",IF(D119&lt;=Assumptions!$G$132,"Low","Loading")))</f>
        <v>Mid</v>
      </c>
      <c r="Q119" s="46">
        <f>MAX(K119,MIN(Assumptions!$S$132,O119),Q120)</f>
        <v>2781</v>
      </c>
      <c r="R119" s="12">
        <f>IF(AND(Q119&lt;=K119,INDEX(Assumptions!$C$26:$C$36,MATCH(G119,Assumptions!$A$26:$A$36,0))&lt;&gt;""),INDEX(Assumptions!$C$26:$C$36,MATCH(G119,Assumptions!$A$26:$A$36,0)),ROUND(G119*Q119,-2))</f>
        <v>2934000</v>
      </c>
      <c r="S119" s="47" t="str">
        <f>TRIM(IF(AND(Assumptions!$L$132&lt;&gt;"",D119&lt;Assumptions!$L$132),"View blocked / roof in front ("&amp;Assumptions!$M$132&amp;"); view premium still loading until L"&amp;Assumptions!$L$132&amp;". ","")&amp;IF(D119=Assumptions!$AH$132,"Mid-floor view premium fully loaded. ","")&amp;IF(D119=Assumptions!$P$132,"High-floor view premium fully loaded. ","")&amp;IF(Q119&lt;=K119,"At developer starting price.",""))</f>
        <v/>
      </c>
      <c r="T119" s="48" t="str">
        <f>Assumptions!$AJ$132</f>
        <v>NNW. Inner pool facing (Island Club); clubhouse in front of low floors, pool premium loads from the clear floor</v>
      </c>
    </row>
    <row r="120" spans="1:20" x14ac:dyDescent="0.2">
      <c r="A120" s="13" t="s">
        <v>240</v>
      </c>
      <c r="B120" s="14">
        <v>1</v>
      </c>
      <c r="C120" s="40">
        <v>6</v>
      </c>
      <c r="D120" s="40">
        <v>6</v>
      </c>
      <c r="E120" s="9" t="s">
        <v>46</v>
      </c>
      <c r="F120" s="14" t="s">
        <v>225</v>
      </c>
      <c r="G120" s="10">
        <v>1055</v>
      </c>
      <c r="H120" s="14" t="s">
        <v>62</v>
      </c>
      <c r="I120" s="41" t="str">
        <f>Assumptions!$I$132</f>
        <v>B</v>
      </c>
      <c r="J120" s="14" t="str">
        <f>IF(D120&lt;=Assumptions!$V$132,"Low",IF(D120&lt;=Assumptions!$W$132,"Mid","High"))</f>
        <v>Low</v>
      </c>
      <c r="K120" s="15">
        <f>Assumptions!$Q$132</f>
        <v>2633</v>
      </c>
      <c r="L120" s="42">
        <f>INDEX(Assumptions!$K$61:$K$90,D120)</f>
        <v>2733.1197020988493</v>
      </c>
      <c r="M120" s="43">
        <f>IF(D120&lt;=Assumptions!$G$132,Assumptions!$AK$132,IF(D120&lt;Assumptions!$AH$132,Assumptions!$AK$132+(Assumptions!$AL$132-Assumptions!$AK$132)*(D120-Assumptions!$G$132)/(Assumptions!$AH$132-Assumptions!$G$132),IF(D120&lt;Assumptions!$P$132,Assumptions!$AL$132+(Assumptions!$AM$132-Assumptions!$AL$132)*(D120-Assumptions!$AH$132)/(Assumptions!$P$132-Assumptions!$AH$132),Assumptions!$AM$132)))</f>
        <v>38888.888888888891</v>
      </c>
      <c r="N120" s="44">
        <f t="shared" si="2"/>
        <v>36.86150605581885</v>
      </c>
      <c r="O120" s="45">
        <f t="shared" si="3"/>
        <v>2770</v>
      </c>
      <c r="P120" s="14" t="str">
        <f>IF(D120&gt;=Assumptions!$P$132,"High",IF(D120&gt;=Assumptions!$AH$132,"Mid",IF(D120&lt;=Assumptions!$G$132,"Low","Loading")))</f>
        <v>Mid</v>
      </c>
      <c r="Q120" s="46">
        <f>MAX(K120,MIN(Assumptions!$S$132,O120),Q121)</f>
        <v>2770</v>
      </c>
      <c r="R120" s="12">
        <f>IF(AND(Q120&lt;=K120,INDEX(Assumptions!$C$26:$C$36,MATCH(G120,Assumptions!$A$26:$A$36,0))&lt;&gt;""),INDEX(Assumptions!$C$26:$C$36,MATCH(G120,Assumptions!$A$26:$A$36,0)),ROUND(G120*Q120,-2))</f>
        <v>2922400</v>
      </c>
      <c r="S120" s="47" t="str">
        <f>TRIM(IF(AND(Assumptions!$L$132&lt;&gt;"",D120&lt;Assumptions!$L$132),"View blocked / roof in front ("&amp;Assumptions!$M$132&amp;"); view premium still loading until L"&amp;Assumptions!$L$132&amp;". ","")&amp;IF(D120=Assumptions!$AH$132,"Mid-floor view premium fully loaded. ","")&amp;IF(D120=Assumptions!$P$132,"High-floor view premium fully loaded. ","")&amp;IF(Q120&lt;=K120,"At developer starting price.",""))</f>
        <v/>
      </c>
      <c r="T120" s="48" t="str">
        <f>Assumptions!$AJ$132</f>
        <v>NNW. Inner pool facing (Island Club); clubhouse in front of low floors, pool premium loads from the clear floor</v>
      </c>
    </row>
    <row r="121" spans="1:20" x14ac:dyDescent="0.2">
      <c r="A121" s="13" t="s">
        <v>241</v>
      </c>
      <c r="B121" s="14">
        <v>1</v>
      </c>
      <c r="C121" s="40">
        <v>6</v>
      </c>
      <c r="D121" s="40">
        <v>5</v>
      </c>
      <c r="E121" s="9" t="s">
        <v>46</v>
      </c>
      <c r="F121" s="14" t="s">
        <v>225</v>
      </c>
      <c r="G121" s="10">
        <v>1055</v>
      </c>
      <c r="H121" s="14" t="s">
        <v>62</v>
      </c>
      <c r="I121" s="41" t="str">
        <f>Assumptions!$I$132</f>
        <v>B</v>
      </c>
      <c r="J121" s="14" t="str">
        <f>IF(D121&lt;=Assumptions!$V$132,"Low",IF(D121&lt;=Assumptions!$W$132,"Mid","High"))</f>
        <v>Low</v>
      </c>
      <c r="K121" s="15">
        <f>Assumptions!$Q$132</f>
        <v>2633</v>
      </c>
      <c r="L121" s="42">
        <f>INDEX(Assumptions!$K$61:$K$90,D121)</f>
        <v>2719.9381178063645</v>
      </c>
      <c r="M121" s="43">
        <f>IF(D121&lt;=Assumptions!$G$132,Assumptions!$AK$132,IF(D121&lt;Assumptions!$AH$132,Assumptions!$AK$132+(Assumptions!$AL$132-Assumptions!$AK$132)*(D121-Assumptions!$G$132)/(Assumptions!$AH$132-Assumptions!$G$132),IF(D121&lt;Assumptions!$P$132,Assumptions!$AL$132+(Assumptions!$AM$132-Assumptions!$AL$132)*(D121-Assumptions!$AH$132)/(Assumptions!$P$132-Assumptions!$AH$132),Assumptions!$AM$132)))</f>
        <v>40909.090909090912</v>
      </c>
      <c r="N121" s="44">
        <f t="shared" si="2"/>
        <v>38.776389487289961</v>
      </c>
      <c r="O121" s="45">
        <f t="shared" si="3"/>
        <v>2759</v>
      </c>
      <c r="P121" s="14" t="str">
        <f>IF(D121&gt;=Assumptions!$P$132,"High",IF(D121&gt;=Assumptions!$AH$132,"Mid",IF(D121&lt;=Assumptions!$G$132,"Low","Loading")))</f>
        <v>Mid</v>
      </c>
      <c r="Q121" s="46">
        <f>MAX(K121,MIN(Assumptions!$S$132,O121),Q122)</f>
        <v>2759</v>
      </c>
      <c r="R121" s="12">
        <f>IF(AND(Q121&lt;=K121,INDEX(Assumptions!$C$26:$C$36,MATCH(G121,Assumptions!$A$26:$A$36,0))&lt;&gt;""),INDEX(Assumptions!$C$26:$C$36,MATCH(G121,Assumptions!$A$26:$A$36,0)),ROUND(G121*Q121,-2))</f>
        <v>2910700</v>
      </c>
      <c r="S121" s="47" t="str">
        <f>TRIM(IF(AND(Assumptions!$L$132&lt;&gt;"",D121&lt;Assumptions!$L$132),"View blocked / roof in front ("&amp;Assumptions!$M$132&amp;"); view premium still loading until L"&amp;Assumptions!$L$132&amp;". ","")&amp;IF(D121=Assumptions!$AH$132,"Mid-floor view premium fully loaded. ","")&amp;IF(D121=Assumptions!$P$132,"High-floor view premium fully loaded. ","")&amp;IF(Q121&lt;=K121,"At developer starting price.",""))</f>
        <v>Mid-floor view premium fully loaded.</v>
      </c>
      <c r="T121" s="48" t="str">
        <f>Assumptions!$AJ$132</f>
        <v>NNW. Inner pool facing (Island Club); clubhouse in front of low floors, pool premium loads from the clear floor</v>
      </c>
    </row>
    <row r="122" spans="1:20" x14ac:dyDescent="0.2">
      <c r="A122" s="13" t="s">
        <v>242</v>
      </c>
      <c r="B122" s="14">
        <v>1</v>
      </c>
      <c r="C122" s="40">
        <v>6</v>
      </c>
      <c r="D122" s="40">
        <v>4</v>
      </c>
      <c r="E122" s="9" t="s">
        <v>46</v>
      </c>
      <c r="F122" s="14" t="s">
        <v>225</v>
      </c>
      <c r="G122" s="10">
        <v>1055</v>
      </c>
      <c r="H122" s="14" t="s">
        <v>62</v>
      </c>
      <c r="I122" s="41" t="str">
        <f>Assumptions!$I$132</f>
        <v>B</v>
      </c>
      <c r="J122" s="14" t="str">
        <f>IF(D122&lt;=Assumptions!$V$132,"Low",IF(D122&lt;=Assumptions!$W$132,"Mid","High"))</f>
        <v>Low</v>
      </c>
      <c r="K122" s="15">
        <f>Assumptions!$Q$132</f>
        <v>2633</v>
      </c>
      <c r="L122" s="42">
        <f>INDEX(Assumptions!$K$61:$K$90,D122)</f>
        <v>2706.7565335138797</v>
      </c>
      <c r="M122" s="43">
        <f>IF(D122&lt;=Assumptions!$G$132,Assumptions!$AK$132,IF(D122&lt;Assumptions!$AH$132,Assumptions!$AK$132+(Assumptions!$AL$132-Assumptions!$AK$132)*(D122-Assumptions!$G$132)/(Assumptions!$AH$132-Assumptions!$G$132),IF(D122&lt;Assumptions!$P$132,Assumptions!$AL$132+(Assumptions!$AM$132-Assumptions!$AL$132)*(D122-Assumptions!$AH$132)/(Assumptions!$P$132-Assumptions!$AH$132),Assumptions!$AM$132)))</f>
        <v>10606.060606060608</v>
      </c>
      <c r="N122" s="44">
        <f t="shared" si="2"/>
        <v>10.053138015223325</v>
      </c>
      <c r="O122" s="45">
        <f t="shared" si="3"/>
        <v>2717</v>
      </c>
      <c r="P122" s="14" t="str">
        <f>IF(D122&gt;=Assumptions!$P$132,"High",IF(D122&gt;=Assumptions!$AH$132,"Mid",IF(D122&lt;=Assumptions!$G$132,"Low","Loading")))</f>
        <v>Loading</v>
      </c>
      <c r="Q122" s="46">
        <f>MAX(K122,MIN(Assumptions!$S$132,O122),Q123)</f>
        <v>2717</v>
      </c>
      <c r="R122" s="12">
        <f>IF(AND(Q122&lt;=K122,INDEX(Assumptions!$C$26:$C$36,MATCH(G122,Assumptions!$A$26:$A$36,0))&lt;&gt;""),INDEX(Assumptions!$C$26:$C$36,MATCH(G122,Assumptions!$A$26:$A$36,0)),ROUND(G122*Q122,-2))</f>
        <v>2866400</v>
      </c>
      <c r="S122" s="47" t="str">
        <f>TRIM(IF(AND(Assumptions!$L$132&lt;&gt;"",D122&lt;Assumptions!$L$132),"View blocked / roof in front ("&amp;Assumptions!$M$132&amp;"); view premium still loading until L"&amp;Assumptions!$L$132&amp;". ","")&amp;IF(D122=Assumptions!$AH$132,"Mid-floor view premium fully loaded. ","")&amp;IF(D122=Assumptions!$P$132,"High-floor view premium fully loaded. ","")&amp;IF(Q122&lt;=K122,"At developer starting price.",""))</f>
        <v>View blocked / roof in front (Island Club: 41% of view, 16.4 to 64.1m away); view premium still loading until L5.</v>
      </c>
      <c r="T122" s="48" t="str">
        <f>Assumptions!$AJ$132</f>
        <v>NNW. Inner pool facing (Island Club); clubhouse in front of low floors, pool premium loads from the clear floor</v>
      </c>
    </row>
    <row r="123" spans="1:20" x14ac:dyDescent="0.2">
      <c r="A123" s="13" t="s">
        <v>243</v>
      </c>
      <c r="B123" s="14">
        <v>1</v>
      </c>
      <c r="C123" s="40">
        <v>6</v>
      </c>
      <c r="D123" s="40">
        <v>3</v>
      </c>
      <c r="E123" s="9" t="s">
        <v>46</v>
      </c>
      <c r="F123" s="14" t="s">
        <v>225</v>
      </c>
      <c r="G123" s="10">
        <v>1055</v>
      </c>
      <c r="H123" s="14" t="s">
        <v>62</v>
      </c>
      <c r="I123" s="41" t="str">
        <f>Assumptions!$I$132</f>
        <v>B</v>
      </c>
      <c r="J123" s="14" t="str">
        <f>IF(D123&lt;=Assumptions!$V$132,"Low",IF(D123&lt;=Assumptions!$W$132,"Mid","High"))</f>
        <v>Low</v>
      </c>
      <c r="K123" s="15">
        <f>Assumptions!$Q$132</f>
        <v>2633</v>
      </c>
      <c r="L123" s="42">
        <f>INDEX(Assumptions!$K$61:$K$90,D123)</f>
        <v>2693.5749492213949</v>
      </c>
      <c r="M123" s="43">
        <f>IF(D123&lt;=Assumptions!$G$132,Assumptions!$AK$132,IF(D123&lt;Assumptions!$AH$132,Assumptions!$AK$132+(Assumptions!$AL$132-Assumptions!$AK$132)*(D123-Assumptions!$G$132)/(Assumptions!$AH$132-Assumptions!$G$132),IF(D123&lt;Assumptions!$P$132,Assumptions!$AL$132+(Assumptions!$AM$132-Assumptions!$AL$132)*(D123-Assumptions!$AH$132)/(Assumptions!$P$132-Assumptions!$AH$132),Assumptions!$AM$132)))</f>
        <v>-19696.969696969696</v>
      </c>
      <c r="N123" s="44">
        <f t="shared" si="2"/>
        <v>-18.670113456843314</v>
      </c>
      <c r="O123" s="45">
        <f t="shared" si="3"/>
        <v>2675</v>
      </c>
      <c r="P123" s="14" t="str">
        <f>IF(D123&gt;=Assumptions!$P$132,"High",IF(D123&gt;=Assumptions!$AH$132,"Mid",IF(D123&lt;=Assumptions!$G$132,"Low","Loading")))</f>
        <v>Loading</v>
      </c>
      <c r="Q123" s="46">
        <f>MAX(K123,MIN(Assumptions!$S$132,O123),Q124)</f>
        <v>2675</v>
      </c>
      <c r="R123" s="12">
        <f>IF(AND(Q123&lt;=K123,INDEX(Assumptions!$C$26:$C$36,MATCH(G123,Assumptions!$A$26:$A$36,0))&lt;&gt;""),INDEX(Assumptions!$C$26:$C$36,MATCH(G123,Assumptions!$A$26:$A$36,0)),ROUND(G123*Q123,-2))</f>
        <v>2822100</v>
      </c>
      <c r="S123" s="47" t="str">
        <f>TRIM(IF(AND(Assumptions!$L$132&lt;&gt;"",D123&lt;Assumptions!$L$132),"View blocked / roof in front ("&amp;Assumptions!$M$132&amp;"); view premium still loading until L"&amp;Assumptions!$L$132&amp;". ","")&amp;IF(D123=Assumptions!$AH$132,"Mid-floor view premium fully loaded. ","")&amp;IF(D123=Assumptions!$P$132,"High-floor view premium fully loaded. ","")&amp;IF(Q123&lt;=K123,"At developer starting price.",""))</f>
        <v>View blocked / roof in front (Island Club: 41% of view, 16.4 to 64.1m away); view premium still loading until L5.</v>
      </c>
      <c r="T123" s="48" t="str">
        <f>Assumptions!$AJ$132</f>
        <v>NNW. Inner pool facing (Island Club); clubhouse in front of low floors, pool premium loads from the clear floor</v>
      </c>
    </row>
    <row r="124" spans="1:20" x14ac:dyDescent="0.2">
      <c r="A124" s="13" t="s">
        <v>244</v>
      </c>
      <c r="B124" s="14">
        <v>1</v>
      </c>
      <c r="C124" s="40">
        <v>6</v>
      </c>
      <c r="D124" s="40">
        <v>2</v>
      </c>
      <c r="E124" s="9" t="s">
        <v>46</v>
      </c>
      <c r="F124" s="14" t="s">
        <v>245</v>
      </c>
      <c r="G124" s="10">
        <v>1055</v>
      </c>
      <c r="H124" s="14" t="s">
        <v>62</v>
      </c>
      <c r="I124" s="41" t="str">
        <f>Assumptions!$I$132</f>
        <v>B</v>
      </c>
      <c r="J124" s="14" t="str">
        <f>IF(D124&lt;=Assumptions!$V$132,"Low",IF(D124&lt;=Assumptions!$W$132,"Mid","High"))</f>
        <v>Low</v>
      </c>
      <c r="K124" s="15">
        <f>Assumptions!$Q$132</f>
        <v>2633</v>
      </c>
      <c r="L124" s="42">
        <f>INDEX(Assumptions!$K$61:$K$90,D124)</f>
        <v>2680.3933649289102</v>
      </c>
      <c r="M124" s="43">
        <f>IF(D124&lt;=Assumptions!$G$132,Assumptions!$AK$132,IF(D124&lt;Assumptions!$AH$132,Assumptions!$AK$132+(Assumptions!$AL$132-Assumptions!$AK$132)*(D124-Assumptions!$G$132)/(Assumptions!$AH$132-Assumptions!$G$132),IF(D124&lt;Assumptions!$P$132,Assumptions!$AL$132+(Assumptions!$AM$132-Assumptions!$AL$132)*(D124-Assumptions!$AH$132)/(Assumptions!$P$132-Assumptions!$AH$132),Assumptions!$AM$132)))</f>
        <v>-50000</v>
      </c>
      <c r="N124" s="44">
        <f t="shared" si="2"/>
        <v>-47.393364928909953</v>
      </c>
      <c r="O124" s="45">
        <f t="shared" si="3"/>
        <v>2633</v>
      </c>
      <c r="P124" s="14" t="str">
        <f>IF(D124&gt;=Assumptions!$P$132,"High",IF(D124&gt;=Assumptions!$AH$132,"Mid",IF(D124&lt;=Assumptions!$G$132,"Low","Loading")))</f>
        <v>Low</v>
      </c>
      <c r="Q124" s="46">
        <f>MAX(K124,MIN(Assumptions!$S$132,O124))</f>
        <v>2633</v>
      </c>
      <c r="R124" s="12">
        <f>IF(AND(Q124&lt;=K124,INDEX(Assumptions!$C$26:$C$36,MATCH(G124,Assumptions!$A$26:$A$36,0))&lt;&gt;""),INDEX(Assumptions!$C$26:$C$36,MATCH(G124,Assumptions!$A$26:$A$36,0)),ROUND(G124*Q124,-2))</f>
        <v>2777000</v>
      </c>
      <c r="S124" s="47" t="str">
        <f>TRIM(IF(AND(Assumptions!$L$132&lt;&gt;"",D124&lt;Assumptions!$L$132),"View blocked / roof in front ("&amp;Assumptions!$M$132&amp;"); view premium still loading until L"&amp;Assumptions!$L$132&amp;". ","")&amp;IF(D124=Assumptions!$AH$132,"Mid-floor view premium fully loaded. ","")&amp;IF(D124=Assumptions!$P$132,"High-floor view premium fully loaded. ","")&amp;IF(Q124&lt;=K124,"At developer starting price.",""))</f>
        <v>View blocked / roof in front (Island Club: 41% of view, 16.4 to 64.1m away); view premium still loading until L5. At developer starting price.</v>
      </c>
      <c r="T124" s="48" t="str">
        <f>Assumptions!$AJ$132</f>
        <v>NNW. Inner pool facing (Island Club); clubhouse in front of low floors, pool premium loads from the clear floor</v>
      </c>
    </row>
    <row r="125" spans="1:20" x14ac:dyDescent="0.2">
      <c r="A125" s="13" t="s">
        <v>246</v>
      </c>
      <c r="B125" s="14">
        <v>1</v>
      </c>
      <c r="C125" s="40">
        <v>7</v>
      </c>
      <c r="D125" s="40">
        <v>21</v>
      </c>
      <c r="E125" s="9" t="s">
        <v>41</v>
      </c>
      <c r="F125" s="14" t="s">
        <v>247</v>
      </c>
      <c r="G125" s="10">
        <v>592</v>
      </c>
      <c r="H125" s="14" t="s">
        <v>62</v>
      </c>
      <c r="I125" s="41" t="str">
        <f>Assumptions!$I$133</f>
        <v>D</v>
      </c>
      <c r="J125" s="14" t="str">
        <f>IF(D125&lt;=Assumptions!$V$133,"Low",IF(D125&lt;=Assumptions!$W$133,"Mid","High"))</f>
        <v>High</v>
      </c>
      <c r="K125" s="15">
        <f>Assumptions!$Q$133</f>
        <v>2608</v>
      </c>
      <c r="L125" s="42">
        <f>INDEX(Assumptions!$B$61:$B$90,D125)</f>
        <v>3086.4428571428575</v>
      </c>
      <c r="M125" s="43">
        <f>IF(D125&lt;=Assumptions!$G$133,Assumptions!$AK$133,IF(D125&lt;Assumptions!$AH$133,Assumptions!$AK$133+(Assumptions!$AL$133-Assumptions!$AK$133)*(D125-Assumptions!$G$133)/(Assumptions!$AH$133-Assumptions!$G$133),IF(D125&lt;Assumptions!$P$133,Assumptions!$AL$133+(Assumptions!$AM$133-Assumptions!$AL$133)*(D125-Assumptions!$AH$133)/(Assumptions!$P$133-Assumptions!$AH$133),Assumptions!$AM$133)))</f>
        <v>-50000</v>
      </c>
      <c r="N125" s="44">
        <f t="shared" si="2"/>
        <v>-84.459459459459453</v>
      </c>
      <c r="O125" s="45">
        <f t="shared" si="3"/>
        <v>3002</v>
      </c>
      <c r="P125" s="14" t="str">
        <f>IF(D125&gt;=Assumptions!$P$133,"High",IF(D125&gt;=Assumptions!$AH$133,"Mid",IF(D125&lt;=Assumptions!$G$133,"Low","Loading")))</f>
        <v>High</v>
      </c>
      <c r="Q125" s="46">
        <f>MAX(K125,MIN(Assumptions!$S$133,O125),Q126)</f>
        <v>3002</v>
      </c>
      <c r="R125" s="12">
        <f>IF(AND(Q125&lt;=K125,INDEX(Assumptions!$C$26:$C$36,MATCH(G125,Assumptions!$A$26:$A$36,0))&lt;&gt;""),INDEX(Assumptions!$C$26:$C$36,MATCH(G125,Assumptions!$A$26:$A$36,0)),ROUND(G125*Q125,-2))</f>
        <v>1777200</v>
      </c>
      <c r="S125" s="47" t="str">
        <f>TRIM(IF(AND(Assumptions!$L$133&lt;&gt;"",D125&lt;Assumptions!$L$133),"View blocked / roof in front ("&amp;Assumptions!$M$133&amp;"); view premium still loading until L"&amp;Assumptions!$L$133&amp;". ","")&amp;IF(D125=Assumptions!$AH$133,"Mid-floor view premium fully loaded. ","")&amp;IF(D125=Assumptions!$P$133,"High-floor view premium fully loaded. ","")&amp;IF(Q125&lt;=K125,"At developer starting price.",""))</f>
        <v/>
      </c>
      <c r="T125" s="48" t="str">
        <f>Assumptions!$AJ$133</f>
        <v>NNW. Low floors overlook drop-off; Island Club in front; better from mid floor</v>
      </c>
    </row>
    <row r="126" spans="1:20" x14ac:dyDescent="0.2">
      <c r="A126" s="13" t="s">
        <v>248</v>
      </c>
      <c r="B126" s="14">
        <v>1</v>
      </c>
      <c r="C126" s="40">
        <v>7</v>
      </c>
      <c r="D126" s="40">
        <v>20</v>
      </c>
      <c r="E126" s="9" t="s">
        <v>41</v>
      </c>
      <c r="F126" s="14" t="s">
        <v>247</v>
      </c>
      <c r="G126" s="10">
        <v>592</v>
      </c>
      <c r="H126" s="14" t="s">
        <v>62</v>
      </c>
      <c r="I126" s="41" t="str">
        <f>Assumptions!$I$133</f>
        <v>D</v>
      </c>
      <c r="J126" s="14" t="str">
        <f>IF(D126&lt;=Assumptions!$V$133,"Low",IF(D126&lt;=Assumptions!$W$133,"Mid","High"))</f>
        <v>High</v>
      </c>
      <c r="K126" s="15">
        <f>Assumptions!$Q$133</f>
        <v>2608</v>
      </c>
      <c r="L126" s="42">
        <f>INDEX(Assumptions!$B$61:$B$90,D126)</f>
        <v>3064.3857142857146</v>
      </c>
      <c r="M126" s="43">
        <f>IF(D126&lt;=Assumptions!$G$133,Assumptions!$AK$133,IF(D126&lt;Assumptions!$AH$133,Assumptions!$AK$133+(Assumptions!$AL$133-Assumptions!$AK$133)*(D126-Assumptions!$G$133)/(Assumptions!$AH$133-Assumptions!$G$133),IF(D126&lt;Assumptions!$P$133,Assumptions!$AL$133+(Assumptions!$AM$133-Assumptions!$AL$133)*(D126-Assumptions!$AH$133)/(Assumptions!$P$133-Assumptions!$AH$133),Assumptions!$AM$133)))</f>
        <v>-50000</v>
      </c>
      <c r="N126" s="44">
        <f t="shared" si="2"/>
        <v>-84.459459459459453</v>
      </c>
      <c r="O126" s="45">
        <f t="shared" si="3"/>
        <v>2980</v>
      </c>
      <c r="P126" s="14" t="str">
        <f>IF(D126&gt;=Assumptions!$P$133,"High",IF(D126&gt;=Assumptions!$AH$133,"Mid",IF(D126&lt;=Assumptions!$G$133,"Low","Loading")))</f>
        <v>High</v>
      </c>
      <c r="Q126" s="46">
        <f>MAX(K126,MIN(Assumptions!$S$133,O126),Q127)</f>
        <v>2980</v>
      </c>
      <c r="R126" s="12">
        <f>IF(AND(Q126&lt;=K126,INDEX(Assumptions!$C$26:$C$36,MATCH(G126,Assumptions!$A$26:$A$36,0))&lt;&gt;""),INDEX(Assumptions!$C$26:$C$36,MATCH(G126,Assumptions!$A$26:$A$36,0)),ROUND(G126*Q126,-2))</f>
        <v>1764200</v>
      </c>
      <c r="S126" s="47" t="str">
        <f>TRIM(IF(AND(Assumptions!$L$133&lt;&gt;"",D126&lt;Assumptions!$L$133),"View blocked / roof in front ("&amp;Assumptions!$M$133&amp;"); view premium still loading until L"&amp;Assumptions!$L$133&amp;". ","")&amp;IF(D126=Assumptions!$AH$133,"Mid-floor view premium fully loaded. ","")&amp;IF(D126=Assumptions!$P$133,"High-floor view premium fully loaded. ","")&amp;IF(Q126&lt;=K126,"At developer starting price.",""))</f>
        <v/>
      </c>
      <c r="T126" s="48" t="str">
        <f>Assumptions!$AJ$133</f>
        <v>NNW. Low floors overlook drop-off; Island Club in front; better from mid floor</v>
      </c>
    </row>
    <row r="127" spans="1:20" x14ac:dyDescent="0.2">
      <c r="A127" s="13" t="s">
        <v>249</v>
      </c>
      <c r="B127" s="14">
        <v>1</v>
      </c>
      <c r="C127" s="40">
        <v>7</v>
      </c>
      <c r="D127" s="40">
        <v>19</v>
      </c>
      <c r="E127" s="9" t="s">
        <v>41</v>
      </c>
      <c r="F127" s="14" t="s">
        <v>247</v>
      </c>
      <c r="G127" s="10">
        <v>592</v>
      </c>
      <c r="H127" s="14" t="s">
        <v>62</v>
      </c>
      <c r="I127" s="41" t="str">
        <f>Assumptions!$I$133</f>
        <v>D</v>
      </c>
      <c r="J127" s="14" t="str">
        <f>IF(D127&lt;=Assumptions!$V$133,"Low",IF(D127&lt;=Assumptions!$W$133,"Mid","High"))</f>
        <v>High</v>
      </c>
      <c r="K127" s="15">
        <f>Assumptions!$Q$133</f>
        <v>2608</v>
      </c>
      <c r="L127" s="42">
        <f>INDEX(Assumptions!$B$61:$B$90,D127)</f>
        <v>3042.3285714285716</v>
      </c>
      <c r="M127" s="43">
        <f>IF(D127&lt;=Assumptions!$G$133,Assumptions!$AK$133,IF(D127&lt;Assumptions!$AH$133,Assumptions!$AK$133+(Assumptions!$AL$133-Assumptions!$AK$133)*(D127-Assumptions!$G$133)/(Assumptions!$AH$133-Assumptions!$G$133),IF(D127&lt;Assumptions!$P$133,Assumptions!$AL$133+(Assumptions!$AM$133-Assumptions!$AL$133)*(D127-Assumptions!$AH$133)/(Assumptions!$P$133-Assumptions!$AH$133),Assumptions!$AM$133)))</f>
        <v>-50000</v>
      </c>
      <c r="N127" s="44">
        <f t="shared" si="2"/>
        <v>-84.459459459459453</v>
      </c>
      <c r="O127" s="45">
        <f t="shared" si="3"/>
        <v>2958</v>
      </c>
      <c r="P127" s="14" t="str">
        <f>IF(D127&gt;=Assumptions!$P$133,"High",IF(D127&gt;=Assumptions!$AH$133,"Mid",IF(D127&lt;=Assumptions!$G$133,"Low","Loading")))</f>
        <v>High</v>
      </c>
      <c r="Q127" s="46">
        <f>MAX(K127,MIN(Assumptions!$S$133,O127),Q128)</f>
        <v>2958</v>
      </c>
      <c r="R127" s="12">
        <f>IF(AND(Q127&lt;=K127,INDEX(Assumptions!$C$26:$C$36,MATCH(G127,Assumptions!$A$26:$A$36,0))&lt;&gt;""),INDEX(Assumptions!$C$26:$C$36,MATCH(G127,Assumptions!$A$26:$A$36,0)),ROUND(G127*Q127,-2))</f>
        <v>1751100</v>
      </c>
      <c r="S127" s="47" t="str">
        <f>TRIM(IF(AND(Assumptions!$L$133&lt;&gt;"",D127&lt;Assumptions!$L$133),"View blocked / roof in front ("&amp;Assumptions!$M$133&amp;"); view premium still loading until L"&amp;Assumptions!$L$133&amp;". ","")&amp;IF(D127=Assumptions!$AH$133,"Mid-floor view premium fully loaded. ","")&amp;IF(D127=Assumptions!$P$133,"High-floor view premium fully loaded. ","")&amp;IF(Q127&lt;=K127,"At developer starting price.",""))</f>
        <v/>
      </c>
      <c r="T127" s="48" t="str">
        <f>Assumptions!$AJ$133</f>
        <v>NNW. Low floors overlook drop-off; Island Club in front; better from mid floor</v>
      </c>
    </row>
    <row r="128" spans="1:20" x14ac:dyDescent="0.2">
      <c r="A128" s="13" t="s">
        <v>250</v>
      </c>
      <c r="B128" s="14">
        <v>1</v>
      </c>
      <c r="C128" s="40">
        <v>7</v>
      </c>
      <c r="D128" s="40">
        <v>18</v>
      </c>
      <c r="E128" s="9" t="s">
        <v>41</v>
      </c>
      <c r="F128" s="14" t="s">
        <v>247</v>
      </c>
      <c r="G128" s="10">
        <v>592</v>
      </c>
      <c r="H128" s="14" t="s">
        <v>62</v>
      </c>
      <c r="I128" s="41" t="str">
        <f>Assumptions!$I$133</f>
        <v>D</v>
      </c>
      <c r="J128" s="14" t="str">
        <f>IF(D128&lt;=Assumptions!$V$133,"Low",IF(D128&lt;=Assumptions!$W$133,"Mid","High"))</f>
        <v>High</v>
      </c>
      <c r="K128" s="15">
        <f>Assumptions!$Q$133</f>
        <v>2608</v>
      </c>
      <c r="L128" s="42">
        <f>INDEX(Assumptions!$B$61:$B$90,D128)</f>
        <v>3020.2714285714287</v>
      </c>
      <c r="M128" s="43">
        <f>IF(D128&lt;=Assumptions!$G$133,Assumptions!$AK$133,IF(D128&lt;Assumptions!$AH$133,Assumptions!$AK$133+(Assumptions!$AL$133-Assumptions!$AK$133)*(D128-Assumptions!$G$133)/(Assumptions!$AH$133-Assumptions!$G$133),IF(D128&lt;Assumptions!$P$133,Assumptions!$AL$133+(Assumptions!$AM$133-Assumptions!$AL$133)*(D128-Assumptions!$AH$133)/(Assumptions!$P$133-Assumptions!$AH$133),Assumptions!$AM$133)))</f>
        <v>-50000</v>
      </c>
      <c r="N128" s="44">
        <f t="shared" si="2"/>
        <v>-84.459459459459453</v>
      </c>
      <c r="O128" s="45">
        <f t="shared" si="3"/>
        <v>2936</v>
      </c>
      <c r="P128" s="14" t="str">
        <f>IF(D128&gt;=Assumptions!$P$133,"High",IF(D128&gt;=Assumptions!$AH$133,"Mid",IF(D128&lt;=Assumptions!$G$133,"Low","Loading")))</f>
        <v>High</v>
      </c>
      <c r="Q128" s="46">
        <f>MAX(K128,MIN(Assumptions!$S$133,O128),Q129)</f>
        <v>2936</v>
      </c>
      <c r="R128" s="12">
        <f>IF(AND(Q128&lt;=K128,INDEX(Assumptions!$C$26:$C$36,MATCH(G128,Assumptions!$A$26:$A$36,0))&lt;&gt;""),INDEX(Assumptions!$C$26:$C$36,MATCH(G128,Assumptions!$A$26:$A$36,0)),ROUND(G128*Q128,-2))</f>
        <v>1738100</v>
      </c>
      <c r="S128" s="47" t="str">
        <f>TRIM(IF(AND(Assumptions!$L$133&lt;&gt;"",D128&lt;Assumptions!$L$133),"View blocked / roof in front ("&amp;Assumptions!$M$133&amp;"); view premium still loading until L"&amp;Assumptions!$L$133&amp;". ","")&amp;IF(D128=Assumptions!$AH$133,"Mid-floor view premium fully loaded. ","")&amp;IF(D128=Assumptions!$P$133,"High-floor view premium fully loaded. ","")&amp;IF(Q128&lt;=K128,"At developer starting price.",""))</f>
        <v/>
      </c>
      <c r="T128" s="48" t="str">
        <f>Assumptions!$AJ$133</f>
        <v>NNW. Low floors overlook drop-off; Island Club in front; better from mid floor</v>
      </c>
    </row>
    <row r="129" spans="1:20" x14ac:dyDescent="0.2">
      <c r="A129" s="13" t="s">
        <v>251</v>
      </c>
      <c r="B129" s="14">
        <v>1</v>
      </c>
      <c r="C129" s="40">
        <v>7</v>
      </c>
      <c r="D129" s="40">
        <v>17</v>
      </c>
      <c r="E129" s="9" t="s">
        <v>41</v>
      </c>
      <c r="F129" s="14" t="s">
        <v>247</v>
      </c>
      <c r="G129" s="10">
        <v>592</v>
      </c>
      <c r="H129" s="14" t="s">
        <v>62</v>
      </c>
      <c r="I129" s="41" t="str">
        <f>Assumptions!$I$133</f>
        <v>D</v>
      </c>
      <c r="J129" s="14" t="str">
        <f>IF(D129&lt;=Assumptions!$V$133,"Low",IF(D129&lt;=Assumptions!$W$133,"Mid","High"))</f>
        <v>High</v>
      </c>
      <c r="K129" s="15">
        <f>Assumptions!$Q$133</f>
        <v>2608</v>
      </c>
      <c r="L129" s="42">
        <f>INDEX(Assumptions!$B$61:$B$90,D129)</f>
        <v>2998.2142857142858</v>
      </c>
      <c r="M129" s="43">
        <f>IF(D129&lt;=Assumptions!$G$133,Assumptions!$AK$133,IF(D129&lt;Assumptions!$AH$133,Assumptions!$AK$133+(Assumptions!$AL$133-Assumptions!$AK$133)*(D129-Assumptions!$G$133)/(Assumptions!$AH$133-Assumptions!$G$133),IF(D129&lt;Assumptions!$P$133,Assumptions!$AL$133+(Assumptions!$AM$133-Assumptions!$AL$133)*(D129-Assumptions!$AH$133)/(Assumptions!$P$133-Assumptions!$AH$133),Assumptions!$AM$133)))</f>
        <v>-50000</v>
      </c>
      <c r="N129" s="44">
        <f t="shared" si="2"/>
        <v>-84.459459459459453</v>
      </c>
      <c r="O129" s="45">
        <f t="shared" si="3"/>
        <v>2914</v>
      </c>
      <c r="P129" s="14" t="str">
        <f>IF(D129&gt;=Assumptions!$P$133,"High",IF(D129&gt;=Assumptions!$AH$133,"Mid",IF(D129&lt;=Assumptions!$G$133,"Low","Loading")))</f>
        <v>High</v>
      </c>
      <c r="Q129" s="46">
        <f>MAX(K129,MIN(Assumptions!$S$133,O129),Q130)</f>
        <v>2914</v>
      </c>
      <c r="R129" s="12">
        <f>IF(AND(Q129&lt;=K129,INDEX(Assumptions!$C$26:$C$36,MATCH(G129,Assumptions!$A$26:$A$36,0))&lt;&gt;""),INDEX(Assumptions!$C$26:$C$36,MATCH(G129,Assumptions!$A$26:$A$36,0)),ROUND(G129*Q129,-2))</f>
        <v>1725100</v>
      </c>
      <c r="S129" s="47" t="str">
        <f>TRIM(IF(AND(Assumptions!$L$133&lt;&gt;"",D129&lt;Assumptions!$L$133),"View blocked / roof in front ("&amp;Assumptions!$M$133&amp;"); view premium still loading until L"&amp;Assumptions!$L$133&amp;". ","")&amp;IF(D129=Assumptions!$AH$133,"Mid-floor view premium fully loaded. ","")&amp;IF(D129=Assumptions!$P$133,"High-floor view premium fully loaded. ","")&amp;IF(Q129&lt;=K129,"At developer starting price.",""))</f>
        <v/>
      </c>
      <c r="T129" s="48" t="str">
        <f>Assumptions!$AJ$133</f>
        <v>NNW. Low floors overlook drop-off; Island Club in front; better from mid floor</v>
      </c>
    </row>
    <row r="130" spans="1:20" x14ac:dyDescent="0.2">
      <c r="A130" s="13" t="s">
        <v>252</v>
      </c>
      <c r="B130" s="14">
        <v>1</v>
      </c>
      <c r="C130" s="40">
        <v>7</v>
      </c>
      <c r="D130" s="40">
        <v>16</v>
      </c>
      <c r="E130" s="9" t="s">
        <v>41</v>
      </c>
      <c r="F130" s="14" t="s">
        <v>247</v>
      </c>
      <c r="G130" s="10">
        <v>592</v>
      </c>
      <c r="H130" s="14" t="s">
        <v>62</v>
      </c>
      <c r="I130" s="41" t="str">
        <f>Assumptions!$I$133</f>
        <v>D</v>
      </c>
      <c r="J130" s="14" t="str">
        <f>IF(D130&lt;=Assumptions!$V$133,"Low",IF(D130&lt;=Assumptions!$W$133,"Mid","High"))</f>
        <v>High</v>
      </c>
      <c r="K130" s="15">
        <f>Assumptions!$Q$133</f>
        <v>2608</v>
      </c>
      <c r="L130" s="42">
        <f>INDEX(Assumptions!$B$61:$B$90,D130)</f>
        <v>2976.1571428571428</v>
      </c>
      <c r="M130" s="43">
        <f>IF(D130&lt;=Assumptions!$G$133,Assumptions!$AK$133,IF(D130&lt;Assumptions!$AH$133,Assumptions!$AK$133+(Assumptions!$AL$133-Assumptions!$AK$133)*(D130-Assumptions!$G$133)/(Assumptions!$AH$133-Assumptions!$G$133),IF(D130&lt;Assumptions!$P$133,Assumptions!$AL$133+(Assumptions!$AM$133-Assumptions!$AL$133)*(D130-Assumptions!$AH$133)/(Assumptions!$P$133-Assumptions!$AH$133),Assumptions!$AM$133)))</f>
        <v>-50000</v>
      </c>
      <c r="N130" s="44">
        <f t="shared" si="2"/>
        <v>-84.459459459459453</v>
      </c>
      <c r="O130" s="45">
        <f t="shared" si="3"/>
        <v>2892</v>
      </c>
      <c r="P130" s="14" t="str">
        <f>IF(D130&gt;=Assumptions!$P$133,"High",IF(D130&gt;=Assumptions!$AH$133,"Mid",IF(D130&lt;=Assumptions!$G$133,"Low","Loading")))</f>
        <v>High</v>
      </c>
      <c r="Q130" s="46">
        <f>MAX(K130,MIN(Assumptions!$S$133,O130),Q131)</f>
        <v>2892</v>
      </c>
      <c r="R130" s="12">
        <f>IF(AND(Q130&lt;=K130,INDEX(Assumptions!$C$26:$C$36,MATCH(G130,Assumptions!$A$26:$A$36,0))&lt;&gt;""),INDEX(Assumptions!$C$26:$C$36,MATCH(G130,Assumptions!$A$26:$A$36,0)),ROUND(G130*Q130,-2))</f>
        <v>1712100</v>
      </c>
      <c r="S130" s="47" t="str">
        <f>TRIM(IF(AND(Assumptions!$L$133&lt;&gt;"",D130&lt;Assumptions!$L$133),"View blocked / roof in front ("&amp;Assumptions!$M$133&amp;"); view premium still loading until L"&amp;Assumptions!$L$133&amp;". ","")&amp;IF(D130=Assumptions!$AH$133,"Mid-floor view premium fully loaded. ","")&amp;IF(D130=Assumptions!$P$133,"High-floor view premium fully loaded. ","")&amp;IF(Q130&lt;=K130,"At developer starting price.",""))</f>
        <v>High-floor view premium fully loaded.</v>
      </c>
      <c r="T130" s="48" t="str">
        <f>Assumptions!$AJ$133</f>
        <v>NNW. Low floors overlook drop-off; Island Club in front; better from mid floor</v>
      </c>
    </row>
    <row r="131" spans="1:20" x14ac:dyDescent="0.2">
      <c r="A131" s="13" t="s">
        <v>253</v>
      </c>
      <c r="B131" s="14">
        <v>1</v>
      </c>
      <c r="C131" s="40">
        <v>7</v>
      </c>
      <c r="D131" s="40">
        <v>15</v>
      </c>
      <c r="E131" s="9" t="s">
        <v>41</v>
      </c>
      <c r="F131" s="14" t="s">
        <v>247</v>
      </c>
      <c r="G131" s="10">
        <v>592</v>
      </c>
      <c r="H131" s="14" t="s">
        <v>62</v>
      </c>
      <c r="I131" s="41" t="str">
        <f>Assumptions!$I$133</f>
        <v>D</v>
      </c>
      <c r="J131" s="14" t="str">
        <f>IF(D131&lt;=Assumptions!$V$133,"Low",IF(D131&lt;=Assumptions!$W$133,"Mid","High"))</f>
        <v>Mid</v>
      </c>
      <c r="K131" s="15">
        <f>Assumptions!$Q$133</f>
        <v>2608</v>
      </c>
      <c r="L131" s="42">
        <f>INDEX(Assumptions!$B$61:$B$90,D131)</f>
        <v>2954.1000000000004</v>
      </c>
      <c r="M131" s="43">
        <f>IF(D131&lt;=Assumptions!$G$133,Assumptions!$AK$133,IF(D131&lt;Assumptions!$AH$133,Assumptions!$AK$133+(Assumptions!$AL$133-Assumptions!$AK$133)*(D131-Assumptions!$G$133)/(Assumptions!$AH$133-Assumptions!$G$133),IF(D131&lt;Assumptions!$P$133,Assumptions!$AL$133+(Assumptions!$AM$133-Assumptions!$AL$133)*(D131-Assumptions!$AH$133)/(Assumptions!$P$133-Assumptions!$AH$133),Assumptions!$AM$133)))</f>
        <v>-50000</v>
      </c>
      <c r="N131" s="44">
        <f t="shared" si="2"/>
        <v>-84.459459459459453</v>
      </c>
      <c r="O131" s="45">
        <f t="shared" si="3"/>
        <v>2870</v>
      </c>
      <c r="P131" s="14" t="str">
        <f>IF(D131&gt;=Assumptions!$P$133,"High",IF(D131&gt;=Assumptions!$AH$133,"Mid",IF(D131&lt;=Assumptions!$G$133,"Low","Loading")))</f>
        <v>Mid</v>
      </c>
      <c r="Q131" s="46">
        <f>MAX(K131,MIN(Assumptions!$S$133,O131),Q132)</f>
        <v>2870</v>
      </c>
      <c r="R131" s="12">
        <f>IF(AND(Q131&lt;=K131,INDEX(Assumptions!$C$26:$C$36,MATCH(G131,Assumptions!$A$26:$A$36,0))&lt;&gt;""),INDEX(Assumptions!$C$26:$C$36,MATCH(G131,Assumptions!$A$26:$A$36,0)),ROUND(G131*Q131,-2))</f>
        <v>1699000</v>
      </c>
      <c r="S131" s="47" t="str">
        <f>TRIM(IF(AND(Assumptions!$L$133&lt;&gt;"",D131&lt;Assumptions!$L$133),"View blocked / roof in front ("&amp;Assumptions!$M$133&amp;"); view premium still loading until L"&amp;Assumptions!$L$133&amp;". ","")&amp;IF(D131=Assumptions!$AH$133,"Mid-floor view premium fully loaded. ","")&amp;IF(D131=Assumptions!$P$133,"High-floor view premium fully loaded. ","")&amp;IF(Q131&lt;=K131,"At developer starting price.",""))</f>
        <v/>
      </c>
      <c r="T131" s="48" t="str">
        <f>Assumptions!$AJ$133</f>
        <v>NNW. Low floors overlook drop-off; Island Club in front; better from mid floor</v>
      </c>
    </row>
    <row r="132" spans="1:20" x14ac:dyDescent="0.2">
      <c r="A132" s="13" t="s">
        <v>254</v>
      </c>
      <c r="B132" s="14">
        <v>1</v>
      </c>
      <c r="C132" s="40">
        <v>7</v>
      </c>
      <c r="D132" s="40">
        <v>14</v>
      </c>
      <c r="E132" s="9" t="s">
        <v>41</v>
      </c>
      <c r="F132" s="14" t="s">
        <v>247</v>
      </c>
      <c r="G132" s="10">
        <v>592</v>
      </c>
      <c r="H132" s="14" t="s">
        <v>62</v>
      </c>
      <c r="I132" s="41" t="str">
        <f>Assumptions!$I$133</f>
        <v>D</v>
      </c>
      <c r="J132" s="14" t="str">
        <f>IF(D132&lt;=Assumptions!$V$133,"Low",IF(D132&lt;=Assumptions!$W$133,"Mid","High"))</f>
        <v>Mid</v>
      </c>
      <c r="K132" s="15">
        <f>Assumptions!$Q$133</f>
        <v>2608</v>
      </c>
      <c r="L132" s="42">
        <f>INDEX(Assumptions!$B$61:$B$90,D132)</f>
        <v>2932.0428571428574</v>
      </c>
      <c r="M132" s="43">
        <f>IF(D132&lt;=Assumptions!$G$133,Assumptions!$AK$133,IF(D132&lt;Assumptions!$AH$133,Assumptions!$AK$133+(Assumptions!$AL$133-Assumptions!$AK$133)*(D132-Assumptions!$G$133)/(Assumptions!$AH$133-Assumptions!$G$133),IF(D132&lt;Assumptions!$P$133,Assumptions!$AL$133+(Assumptions!$AM$133-Assumptions!$AL$133)*(D132-Assumptions!$AH$133)/(Assumptions!$P$133-Assumptions!$AH$133),Assumptions!$AM$133)))</f>
        <v>-50000</v>
      </c>
      <c r="N132" s="44">
        <f t="shared" si="2"/>
        <v>-84.459459459459453</v>
      </c>
      <c r="O132" s="45">
        <f t="shared" si="3"/>
        <v>2848</v>
      </c>
      <c r="P132" s="14" t="str">
        <f>IF(D132&gt;=Assumptions!$P$133,"High",IF(D132&gt;=Assumptions!$AH$133,"Mid",IF(D132&lt;=Assumptions!$G$133,"Low","Loading")))</f>
        <v>Mid</v>
      </c>
      <c r="Q132" s="46">
        <f>MAX(K132,MIN(Assumptions!$S$133,O132),Q133)</f>
        <v>2848</v>
      </c>
      <c r="R132" s="12">
        <f>IF(AND(Q132&lt;=K132,INDEX(Assumptions!$C$26:$C$36,MATCH(G132,Assumptions!$A$26:$A$36,0))&lt;&gt;""),INDEX(Assumptions!$C$26:$C$36,MATCH(G132,Assumptions!$A$26:$A$36,0)),ROUND(G132*Q132,-2))</f>
        <v>1686000</v>
      </c>
      <c r="S132" s="47" t="str">
        <f>TRIM(IF(AND(Assumptions!$L$133&lt;&gt;"",D132&lt;Assumptions!$L$133),"View blocked / roof in front ("&amp;Assumptions!$M$133&amp;"); view premium still loading until L"&amp;Assumptions!$L$133&amp;". ","")&amp;IF(D132=Assumptions!$AH$133,"Mid-floor view premium fully loaded. ","")&amp;IF(D132=Assumptions!$P$133,"High-floor view premium fully loaded. ","")&amp;IF(Q132&lt;=K132,"At developer starting price.",""))</f>
        <v/>
      </c>
      <c r="T132" s="48" t="str">
        <f>Assumptions!$AJ$133</f>
        <v>NNW. Low floors overlook drop-off; Island Club in front; better from mid floor</v>
      </c>
    </row>
    <row r="133" spans="1:20" x14ac:dyDescent="0.2">
      <c r="A133" s="13" t="s">
        <v>255</v>
      </c>
      <c r="B133" s="14">
        <v>1</v>
      </c>
      <c r="C133" s="40">
        <v>7</v>
      </c>
      <c r="D133" s="40">
        <v>13</v>
      </c>
      <c r="E133" s="9" t="s">
        <v>41</v>
      </c>
      <c r="F133" s="14" t="s">
        <v>247</v>
      </c>
      <c r="G133" s="10">
        <v>592</v>
      </c>
      <c r="H133" s="14" t="s">
        <v>62</v>
      </c>
      <c r="I133" s="41" t="str">
        <f>Assumptions!$I$133</f>
        <v>D</v>
      </c>
      <c r="J133" s="14" t="str">
        <f>IF(D133&lt;=Assumptions!$V$133,"Low",IF(D133&lt;=Assumptions!$W$133,"Mid","High"))</f>
        <v>Mid</v>
      </c>
      <c r="K133" s="15">
        <f>Assumptions!$Q$133</f>
        <v>2608</v>
      </c>
      <c r="L133" s="42">
        <f>INDEX(Assumptions!$B$61:$B$90,D133)</f>
        <v>2909.9857142857145</v>
      </c>
      <c r="M133" s="43">
        <f>IF(D133&lt;=Assumptions!$G$133,Assumptions!$AK$133,IF(D133&lt;Assumptions!$AH$133,Assumptions!$AK$133+(Assumptions!$AL$133-Assumptions!$AK$133)*(D133-Assumptions!$G$133)/(Assumptions!$AH$133-Assumptions!$G$133),IF(D133&lt;Assumptions!$P$133,Assumptions!$AL$133+(Assumptions!$AM$133-Assumptions!$AL$133)*(D133-Assumptions!$AH$133)/(Assumptions!$P$133-Assumptions!$AH$133),Assumptions!$AM$133)))</f>
        <v>-50000</v>
      </c>
      <c r="N133" s="44">
        <f t="shared" ref="N133:N196" si="4">M133/G133</f>
        <v>-84.459459459459453</v>
      </c>
      <c r="O133" s="45">
        <f t="shared" ref="O133:O196" si="5">ROUND(L133+N133,0)</f>
        <v>2826</v>
      </c>
      <c r="P133" s="14" t="str">
        <f>IF(D133&gt;=Assumptions!$P$133,"High",IF(D133&gt;=Assumptions!$AH$133,"Mid",IF(D133&lt;=Assumptions!$G$133,"Low","Loading")))</f>
        <v>Mid</v>
      </c>
      <c r="Q133" s="46">
        <f>MAX(K133,MIN(Assumptions!$S$133,O133),Q134)</f>
        <v>2826</v>
      </c>
      <c r="R133" s="12">
        <f>IF(AND(Q133&lt;=K133,INDEX(Assumptions!$C$26:$C$36,MATCH(G133,Assumptions!$A$26:$A$36,0))&lt;&gt;""),INDEX(Assumptions!$C$26:$C$36,MATCH(G133,Assumptions!$A$26:$A$36,0)),ROUND(G133*Q133,-2))</f>
        <v>1673000</v>
      </c>
      <c r="S133" s="47" t="str">
        <f>TRIM(IF(AND(Assumptions!$L$133&lt;&gt;"",D133&lt;Assumptions!$L$133),"View blocked / roof in front ("&amp;Assumptions!$M$133&amp;"); view premium still loading until L"&amp;Assumptions!$L$133&amp;". ","")&amp;IF(D133=Assumptions!$AH$133,"Mid-floor view premium fully loaded. ","")&amp;IF(D133=Assumptions!$P$133,"High-floor view premium fully loaded. ","")&amp;IF(Q133&lt;=K133,"At developer starting price.",""))</f>
        <v/>
      </c>
      <c r="T133" s="48" t="str">
        <f>Assumptions!$AJ$133</f>
        <v>NNW. Low floors overlook drop-off; Island Club in front; better from mid floor</v>
      </c>
    </row>
    <row r="134" spans="1:20" x14ac:dyDescent="0.2">
      <c r="A134" s="13" t="s">
        <v>256</v>
      </c>
      <c r="B134" s="14">
        <v>1</v>
      </c>
      <c r="C134" s="40">
        <v>7</v>
      </c>
      <c r="D134" s="40">
        <v>12</v>
      </c>
      <c r="E134" s="9" t="s">
        <v>41</v>
      </c>
      <c r="F134" s="14" t="s">
        <v>247</v>
      </c>
      <c r="G134" s="10">
        <v>592</v>
      </c>
      <c r="H134" s="14" t="s">
        <v>62</v>
      </c>
      <c r="I134" s="41" t="str">
        <f>Assumptions!$I$133</f>
        <v>D</v>
      </c>
      <c r="J134" s="14" t="str">
        <f>IF(D134&lt;=Assumptions!$V$133,"Low",IF(D134&lt;=Assumptions!$W$133,"Mid","High"))</f>
        <v>Mid</v>
      </c>
      <c r="K134" s="15">
        <f>Assumptions!$Q$133</f>
        <v>2608</v>
      </c>
      <c r="L134" s="42">
        <f>INDEX(Assumptions!$B$61:$B$90,D134)</f>
        <v>2887.9285714285716</v>
      </c>
      <c r="M134" s="43">
        <f>IF(D134&lt;=Assumptions!$G$133,Assumptions!$AK$133,IF(D134&lt;Assumptions!$AH$133,Assumptions!$AK$133+(Assumptions!$AL$133-Assumptions!$AK$133)*(D134-Assumptions!$G$133)/(Assumptions!$AH$133-Assumptions!$G$133),IF(D134&lt;Assumptions!$P$133,Assumptions!$AL$133+(Assumptions!$AM$133-Assumptions!$AL$133)*(D134-Assumptions!$AH$133)/(Assumptions!$P$133-Assumptions!$AH$133),Assumptions!$AM$133)))</f>
        <v>-50000</v>
      </c>
      <c r="N134" s="44">
        <f t="shared" si="4"/>
        <v>-84.459459459459453</v>
      </c>
      <c r="O134" s="45">
        <f t="shared" si="5"/>
        <v>2803</v>
      </c>
      <c r="P134" s="14" t="str">
        <f>IF(D134&gt;=Assumptions!$P$133,"High",IF(D134&gt;=Assumptions!$AH$133,"Mid",IF(D134&lt;=Assumptions!$G$133,"Low","Loading")))</f>
        <v>Mid</v>
      </c>
      <c r="Q134" s="46">
        <f>MAX(K134,MIN(Assumptions!$S$133,O134),Q135)</f>
        <v>2803</v>
      </c>
      <c r="R134" s="12">
        <f>IF(AND(Q134&lt;=K134,INDEX(Assumptions!$C$26:$C$36,MATCH(G134,Assumptions!$A$26:$A$36,0))&lt;&gt;""),INDEX(Assumptions!$C$26:$C$36,MATCH(G134,Assumptions!$A$26:$A$36,0)),ROUND(G134*Q134,-2))</f>
        <v>1659400</v>
      </c>
      <c r="S134" s="47" t="str">
        <f>TRIM(IF(AND(Assumptions!$L$133&lt;&gt;"",D134&lt;Assumptions!$L$133),"View blocked / roof in front ("&amp;Assumptions!$M$133&amp;"); view premium still loading until L"&amp;Assumptions!$L$133&amp;". ","")&amp;IF(D134=Assumptions!$AH$133,"Mid-floor view premium fully loaded. ","")&amp;IF(D134=Assumptions!$P$133,"High-floor view premium fully loaded. ","")&amp;IF(Q134&lt;=K134,"At developer starting price.",""))</f>
        <v/>
      </c>
      <c r="T134" s="48" t="str">
        <f>Assumptions!$AJ$133</f>
        <v>NNW. Low floors overlook drop-off; Island Club in front; better from mid floor</v>
      </c>
    </row>
    <row r="135" spans="1:20" x14ac:dyDescent="0.2">
      <c r="A135" s="13" t="s">
        <v>257</v>
      </c>
      <c r="B135" s="14">
        <v>1</v>
      </c>
      <c r="C135" s="40">
        <v>7</v>
      </c>
      <c r="D135" s="40">
        <v>11</v>
      </c>
      <c r="E135" s="9" t="s">
        <v>41</v>
      </c>
      <c r="F135" s="14" t="s">
        <v>247</v>
      </c>
      <c r="G135" s="10">
        <v>592</v>
      </c>
      <c r="H135" s="14" t="s">
        <v>62</v>
      </c>
      <c r="I135" s="41" t="str">
        <f>Assumptions!$I$133</f>
        <v>D</v>
      </c>
      <c r="J135" s="14" t="str">
        <f>IF(D135&lt;=Assumptions!$V$133,"Low",IF(D135&lt;=Assumptions!$W$133,"Mid","High"))</f>
        <v>Mid</v>
      </c>
      <c r="K135" s="15">
        <f>Assumptions!$Q$133</f>
        <v>2608</v>
      </c>
      <c r="L135" s="42">
        <f>INDEX(Assumptions!$B$61:$B$90,D135)</f>
        <v>2867.1926031294452</v>
      </c>
      <c r="M135" s="43">
        <f>IF(D135&lt;=Assumptions!$G$133,Assumptions!$AK$133,IF(D135&lt;Assumptions!$AH$133,Assumptions!$AK$133+(Assumptions!$AL$133-Assumptions!$AK$133)*(D135-Assumptions!$G$133)/(Assumptions!$AH$133-Assumptions!$G$133),IF(D135&lt;Assumptions!$P$133,Assumptions!$AL$133+(Assumptions!$AM$133-Assumptions!$AL$133)*(D135-Assumptions!$AH$133)/(Assumptions!$P$133-Assumptions!$AH$133),Assumptions!$AM$133)))</f>
        <v>-50000</v>
      </c>
      <c r="N135" s="44">
        <f t="shared" si="4"/>
        <v>-84.459459459459453</v>
      </c>
      <c r="O135" s="45">
        <f t="shared" si="5"/>
        <v>2783</v>
      </c>
      <c r="P135" s="14" t="str">
        <f>IF(D135&gt;=Assumptions!$P$133,"High",IF(D135&gt;=Assumptions!$AH$133,"Mid",IF(D135&lt;=Assumptions!$G$133,"Low","Loading")))</f>
        <v>Mid</v>
      </c>
      <c r="Q135" s="46">
        <f>MAX(K135,MIN(Assumptions!$S$133,O135),Q136)</f>
        <v>2783</v>
      </c>
      <c r="R135" s="12">
        <f>IF(AND(Q135&lt;=K135,INDEX(Assumptions!$C$26:$C$36,MATCH(G135,Assumptions!$A$26:$A$36,0))&lt;&gt;""),INDEX(Assumptions!$C$26:$C$36,MATCH(G135,Assumptions!$A$26:$A$36,0)),ROUND(G135*Q135,-2))</f>
        <v>1647500</v>
      </c>
      <c r="S135" s="47" t="str">
        <f>TRIM(IF(AND(Assumptions!$L$133&lt;&gt;"",D135&lt;Assumptions!$L$133),"View blocked / roof in front ("&amp;Assumptions!$M$133&amp;"); view premium still loading until L"&amp;Assumptions!$L$133&amp;". ","")&amp;IF(D135=Assumptions!$AH$133,"Mid-floor view premium fully loaded. ","")&amp;IF(D135=Assumptions!$P$133,"High-floor view premium fully loaded. ","")&amp;IF(Q135&lt;=K135,"At developer starting price.",""))</f>
        <v/>
      </c>
      <c r="T135" s="48" t="str">
        <f>Assumptions!$AJ$133</f>
        <v>NNW. Low floors overlook drop-off; Island Club in front; better from mid floor</v>
      </c>
    </row>
    <row r="136" spans="1:20" x14ac:dyDescent="0.2">
      <c r="A136" s="13" t="s">
        <v>258</v>
      </c>
      <c r="B136" s="14">
        <v>1</v>
      </c>
      <c r="C136" s="40">
        <v>7</v>
      </c>
      <c r="D136" s="40">
        <v>10</v>
      </c>
      <c r="E136" s="9" t="s">
        <v>41</v>
      </c>
      <c r="F136" s="14" t="s">
        <v>247</v>
      </c>
      <c r="G136" s="10">
        <v>592</v>
      </c>
      <c r="H136" s="14" t="s">
        <v>62</v>
      </c>
      <c r="I136" s="41" t="str">
        <f>Assumptions!$I$133</f>
        <v>D</v>
      </c>
      <c r="J136" s="14" t="str">
        <f>IF(D136&lt;=Assumptions!$V$133,"Low",IF(D136&lt;=Assumptions!$W$133,"Mid","High"))</f>
        <v>Mid</v>
      </c>
      <c r="K136" s="15">
        <f>Assumptions!$Q$133</f>
        <v>2608</v>
      </c>
      <c r="L136" s="42">
        <f>INDEX(Assumptions!$B$61:$B$90,D136)</f>
        <v>2847.7778093883358</v>
      </c>
      <c r="M136" s="43">
        <f>IF(D136&lt;=Assumptions!$G$133,Assumptions!$AK$133,IF(D136&lt;Assumptions!$AH$133,Assumptions!$AK$133+(Assumptions!$AL$133-Assumptions!$AK$133)*(D136-Assumptions!$G$133)/(Assumptions!$AH$133-Assumptions!$G$133),IF(D136&lt;Assumptions!$P$133,Assumptions!$AL$133+(Assumptions!$AM$133-Assumptions!$AL$133)*(D136-Assumptions!$AH$133)/(Assumptions!$P$133-Assumptions!$AH$133),Assumptions!$AM$133)))</f>
        <v>-50000</v>
      </c>
      <c r="N136" s="44">
        <f t="shared" si="4"/>
        <v>-84.459459459459453</v>
      </c>
      <c r="O136" s="45">
        <f t="shared" si="5"/>
        <v>2763</v>
      </c>
      <c r="P136" s="14" t="str">
        <f>IF(D136&gt;=Assumptions!$P$133,"High",IF(D136&gt;=Assumptions!$AH$133,"Mid",IF(D136&lt;=Assumptions!$G$133,"Low","Loading")))</f>
        <v>Mid</v>
      </c>
      <c r="Q136" s="46">
        <f>MAX(K136,MIN(Assumptions!$S$133,O136),Q137)</f>
        <v>2763</v>
      </c>
      <c r="R136" s="12">
        <f>IF(AND(Q136&lt;=K136,INDEX(Assumptions!$C$26:$C$36,MATCH(G136,Assumptions!$A$26:$A$36,0))&lt;&gt;""),INDEX(Assumptions!$C$26:$C$36,MATCH(G136,Assumptions!$A$26:$A$36,0)),ROUND(G136*Q136,-2))</f>
        <v>1635700</v>
      </c>
      <c r="S136" s="47" t="str">
        <f>TRIM(IF(AND(Assumptions!$L$133&lt;&gt;"",D136&lt;Assumptions!$L$133),"View blocked / roof in front ("&amp;Assumptions!$M$133&amp;"); view premium still loading until L"&amp;Assumptions!$L$133&amp;". ","")&amp;IF(D136=Assumptions!$AH$133,"Mid-floor view premium fully loaded. ","")&amp;IF(D136=Assumptions!$P$133,"High-floor view premium fully loaded. ","")&amp;IF(Q136&lt;=K136,"At developer starting price.",""))</f>
        <v/>
      </c>
      <c r="T136" s="48" t="str">
        <f>Assumptions!$AJ$133</f>
        <v>NNW. Low floors overlook drop-off; Island Club in front; better from mid floor</v>
      </c>
    </row>
    <row r="137" spans="1:20" x14ac:dyDescent="0.2">
      <c r="A137" s="13" t="s">
        <v>259</v>
      </c>
      <c r="B137" s="14">
        <v>1</v>
      </c>
      <c r="C137" s="40">
        <v>7</v>
      </c>
      <c r="D137" s="40">
        <v>9</v>
      </c>
      <c r="E137" s="9" t="s">
        <v>41</v>
      </c>
      <c r="F137" s="14" t="s">
        <v>247</v>
      </c>
      <c r="G137" s="10">
        <v>592</v>
      </c>
      <c r="H137" s="14" t="s">
        <v>62</v>
      </c>
      <c r="I137" s="41" t="str">
        <f>Assumptions!$I$133</f>
        <v>D</v>
      </c>
      <c r="J137" s="14" t="str">
        <f>IF(D137&lt;=Assumptions!$V$133,"Low",IF(D137&lt;=Assumptions!$W$133,"Mid","High"))</f>
        <v>Mid</v>
      </c>
      <c r="K137" s="15">
        <f>Assumptions!$Q$133</f>
        <v>2608</v>
      </c>
      <c r="L137" s="42">
        <f>INDEX(Assumptions!$B$61:$B$90,D137)</f>
        <v>2828.3630156472263</v>
      </c>
      <c r="M137" s="43">
        <f>IF(D137&lt;=Assumptions!$G$133,Assumptions!$AK$133,IF(D137&lt;Assumptions!$AH$133,Assumptions!$AK$133+(Assumptions!$AL$133-Assumptions!$AK$133)*(D137-Assumptions!$G$133)/(Assumptions!$AH$133-Assumptions!$G$133),IF(D137&lt;Assumptions!$P$133,Assumptions!$AL$133+(Assumptions!$AM$133-Assumptions!$AL$133)*(D137-Assumptions!$AH$133)/(Assumptions!$P$133-Assumptions!$AH$133),Assumptions!$AM$133)))</f>
        <v>-50000</v>
      </c>
      <c r="N137" s="44">
        <f t="shared" si="4"/>
        <v>-84.459459459459453</v>
      </c>
      <c r="O137" s="45">
        <f t="shared" si="5"/>
        <v>2744</v>
      </c>
      <c r="P137" s="14" t="str">
        <f>IF(D137&gt;=Assumptions!$P$133,"High",IF(D137&gt;=Assumptions!$AH$133,"Mid",IF(D137&lt;=Assumptions!$G$133,"Low","Loading")))</f>
        <v>Mid</v>
      </c>
      <c r="Q137" s="46">
        <f>MAX(K137,MIN(Assumptions!$S$133,O137),Q138)</f>
        <v>2744</v>
      </c>
      <c r="R137" s="12">
        <f>IF(AND(Q137&lt;=K137,INDEX(Assumptions!$C$26:$C$36,MATCH(G137,Assumptions!$A$26:$A$36,0))&lt;&gt;""),INDEX(Assumptions!$C$26:$C$36,MATCH(G137,Assumptions!$A$26:$A$36,0)),ROUND(G137*Q137,-2))</f>
        <v>1624400</v>
      </c>
      <c r="S137" s="47" t="str">
        <f>TRIM(IF(AND(Assumptions!$L$133&lt;&gt;"",D137&lt;Assumptions!$L$133),"View blocked / roof in front ("&amp;Assumptions!$M$133&amp;"); view premium still loading until L"&amp;Assumptions!$L$133&amp;". ","")&amp;IF(D137=Assumptions!$AH$133,"Mid-floor view premium fully loaded. ","")&amp;IF(D137=Assumptions!$P$133,"High-floor view premium fully loaded. ","")&amp;IF(Q137&lt;=K137,"At developer starting price.",""))</f>
        <v/>
      </c>
      <c r="T137" s="48" t="str">
        <f>Assumptions!$AJ$133</f>
        <v>NNW. Low floors overlook drop-off; Island Club in front; better from mid floor</v>
      </c>
    </row>
    <row r="138" spans="1:20" x14ac:dyDescent="0.2">
      <c r="A138" s="13" t="s">
        <v>260</v>
      </c>
      <c r="B138" s="14">
        <v>1</v>
      </c>
      <c r="C138" s="40">
        <v>7</v>
      </c>
      <c r="D138" s="40">
        <v>8</v>
      </c>
      <c r="E138" s="9" t="s">
        <v>41</v>
      </c>
      <c r="F138" s="14" t="s">
        <v>247</v>
      </c>
      <c r="G138" s="10">
        <v>592</v>
      </c>
      <c r="H138" s="14" t="s">
        <v>62</v>
      </c>
      <c r="I138" s="41" t="str">
        <f>Assumptions!$I$133</f>
        <v>D</v>
      </c>
      <c r="J138" s="14" t="str">
        <f>IF(D138&lt;=Assumptions!$V$133,"Low",IF(D138&lt;=Assumptions!$W$133,"Mid","High"))</f>
        <v>Mid</v>
      </c>
      <c r="K138" s="15">
        <f>Assumptions!$Q$133</f>
        <v>2608</v>
      </c>
      <c r="L138" s="42">
        <f>INDEX(Assumptions!$B$61:$B$90,D138)</f>
        <v>2808.9482219061169</v>
      </c>
      <c r="M138" s="43">
        <f>IF(D138&lt;=Assumptions!$G$133,Assumptions!$AK$133,IF(D138&lt;Assumptions!$AH$133,Assumptions!$AK$133+(Assumptions!$AL$133-Assumptions!$AK$133)*(D138-Assumptions!$G$133)/(Assumptions!$AH$133-Assumptions!$G$133),IF(D138&lt;Assumptions!$P$133,Assumptions!$AL$133+(Assumptions!$AM$133-Assumptions!$AL$133)*(D138-Assumptions!$AH$133)/(Assumptions!$P$133-Assumptions!$AH$133),Assumptions!$AM$133)))</f>
        <v>-50000</v>
      </c>
      <c r="N138" s="44">
        <f t="shared" si="4"/>
        <v>-84.459459459459453</v>
      </c>
      <c r="O138" s="45">
        <f t="shared" si="5"/>
        <v>2724</v>
      </c>
      <c r="P138" s="14" t="str">
        <f>IF(D138&gt;=Assumptions!$P$133,"High",IF(D138&gt;=Assumptions!$AH$133,"Mid",IF(D138&lt;=Assumptions!$G$133,"Low","Loading")))</f>
        <v>Mid</v>
      </c>
      <c r="Q138" s="46">
        <f>MAX(K138,MIN(Assumptions!$S$133,O138),Q139)</f>
        <v>2724</v>
      </c>
      <c r="R138" s="12">
        <f>IF(AND(Q138&lt;=K138,INDEX(Assumptions!$C$26:$C$36,MATCH(G138,Assumptions!$A$26:$A$36,0))&lt;&gt;""),INDEX(Assumptions!$C$26:$C$36,MATCH(G138,Assumptions!$A$26:$A$36,0)),ROUND(G138*Q138,-2))</f>
        <v>1612600</v>
      </c>
      <c r="S138" s="47" t="str">
        <f>TRIM(IF(AND(Assumptions!$L$133&lt;&gt;"",D138&lt;Assumptions!$L$133),"View blocked / roof in front ("&amp;Assumptions!$M$133&amp;"); view premium still loading until L"&amp;Assumptions!$L$133&amp;". ","")&amp;IF(D138=Assumptions!$AH$133,"Mid-floor view premium fully loaded. ","")&amp;IF(D138=Assumptions!$P$133,"High-floor view premium fully loaded. ","")&amp;IF(Q138&lt;=K138,"At developer starting price.",""))</f>
        <v>Mid-floor view premium fully loaded.</v>
      </c>
      <c r="T138" s="48" t="str">
        <f>Assumptions!$AJ$133</f>
        <v>NNW. Low floors overlook drop-off; Island Club in front; better from mid floor</v>
      </c>
    </row>
    <row r="139" spans="1:20" x14ac:dyDescent="0.2">
      <c r="A139" s="13" t="s">
        <v>261</v>
      </c>
      <c r="B139" s="14">
        <v>1</v>
      </c>
      <c r="C139" s="40">
        <v>7</v>
      </c>
      <c r="D139" s="40">
        <v>7</v>
      </c>
      <c r="E139" s="9" t="s">
        <v>41</v>
      </c>
      <c r="F139" s="14" t="s">
        <v>247</v>
      </c>
      <c r="G139" s="10">
        <v>592</v>
      </c>
      <c r="H139" s="14" t="s">
        <v>62</v>
      </c>
      <c r="I139" s="41" t="str">
        <f>Assumptions!$I$133</f>
        <v>D</v>
      </c>
      <c r="J139" s="14" t="str">
        <f>IF(D139&lt;=Assumptions!$V$133,"Low",IF(D139&lt;=Assumptions!$W$133,"Mid","High"))</f>
        <v>Low</v>
      </c>
      <c r="K139" s="15">
        <f>Assumptions!$Q$133</f>
        <v>2608</v>
      </c>
      <c r="L139" s="42">
        <f>INDEX(Assumptions!$B$61:$B$90,D139)</f>
        <v>2789.5334281650071</v>
      </c>
      <c r="M139" s="43">
        <f>IF(D139&lt;=Assumptions!$G$133,Assumptions!$AK$133,IF(D139&lt;Assumptions!$AH$133,Assumptions!$AK$133+(Assumptions!$AL$133-Assumptions!$AK$133)*(D139-Assumptions!$G$133)/(Assumptions!$AH$133-Assumptions!$G$133),IF(D139&lt;Assumptions!$P$133,Assumptions!$AL$133+(Assumptions!$AM$133-Assumptions!$AL$133)*(D139-Assumptions!$AH$133)/(Assumptions!$P$133-Assumptions!$AH$133),Assumptions!$AM$133)))</f>
        <v>-50000</v>
      </c>
      <c r="N139" s="44">
        <f t="shared" si="4"/>
        <v>-84.459459459459453</v>
      </c>
      <c r="O139" s="45">
        <f t="shared" si="5"/>
        <v>2705</v>
      </c>
      <c r="P139" s="14" t="str">
        <f>IF(D139&gt;=Assumptions!$P$133,"High",IF(D139&gt;=Assumptions!$AH$133,"Mid",IF(D139&lt;=Assumptions!$G$133,"Low","Loading")))</f>
        <v>Loading</v>
      </c>
      <c r="Q139" s="46">
        <f>MAX(K139,MIN(Assumptions!$S$133,O139),Q140)</f>
        <v>2705</v>
      </c>
      <c r="R139" s="12">
        <f>IF(AND(Q139&lt;=K139,INDEX(Assumptions!$C$26:$C$36,MATCH(G139,Assumptions!$A$26:$A$36,0))&lt;&gt;""),INDEX(Assumptions!$C$26:$C$36,MATCH(G139,Assumptions!$A$26:$A$36,0)),ROUND(G139*Q139,-2))</f>
        <v>1601400</v>
      </c>
      <c r="S139" s="47" t="str">
        <f>TRIM(IF(AND(Assumptions!$L$133&lt;&gt;"",D139&lt;Assumptions!$L$133),"View blocked / roof in front ("&amp;Assumptions!$M$133&amp;"); view premium still loading until L"&amp;Assumptions!$L$133&amp;". ","")&amp;IF(D139=Assumptions!$AH$133,"Mid-floor view premium fully loaded. ","")&amp;IF(D139=Assumptions!$P$133,"High-floor view premium fully loaded. ","")&amp;IF(Q139&lt;=K139,"At developer starting price.",""))</f>
        <v/>
      </c>
      <c r="T139" s="48" t="str">
        <f>Assumptions!$AJ$133</f>
        <v>NNW. Low floors overlook drop-off; Island Club in front; better from mid floor</v>
      </c>
    </row>
    <row r="140" spans="1:20" x14ac:dyDescent="0.2">
      <c r="A140" s="13" t="s">
        <v>262</v>
      </c>
      <c r="B140" s="14">
        <v>1</v>
      </c>
      <c r="C140" s="40">
        <v>7</v>
      </c>
      <c r="D140" s="40">
        <v>6</v>
      </c>
      <c r="E140" s="9" t="s">
        <v>41</v>
      </c>
      <c r="F140" s="14" t="s">
        <v>247</v>
      </c>
      <c r="G140" s="10">
        <v>592</v>
      </c>
      <c r="H140" s="14" t="s">
        <v>62</v>
      </c>
      <c r="I140" s="41" t="str">
        <f>Assumptions!$I$133</f>
        <v>D</v>
      </c>
      <c r="J140" s="14" t="str">
        <f>IF(D140&lt;=Assumptions!$V$133,"Low",IF(D140&lt;=Assumptions!$W$133,"Mid","High"))</f>
        <v>Low</v>
      </c>
      <c r="K140" s="15">
        <f>Assumptions!$Q$133</f>
        <v>2608</v>
      </c>
      <c r="L140" s="42">
        <f>INDEX(Assumptions!$B$61:$B$90,D140)</f>
        <v>2770.1186344238977</v>
      </c>
      <c r="M140" s="43">
        <f>IF(D140&lt;=Assumptions!$G$133,Assumptions!$AK$133,IF(D140&lt;Assumptions!$AH$133,Assumptions!$AK$133+(Assumptions!$AL$133-Assumptions!$AK$133)*(D140-Assumptions!$G$133)/(Assumptions!$AH$133-Assumptions!$G$133),IF(D140&lt;Assumptions!$P$133,Assumptions!$AL$133+(Assumptions!$AM$133-Assumptions!$AL$133)*(D140-Assumptions!$AH$133)/(Assumptions!$P$133-Assumptions!$AH$133),Assumptions!$AM$133)))</f>
        <v>-50000</v>
      </c>
      <c r="N140" s="44">
        <f t="shared" si="4"/>
        <v>-84.459459459459453</v>
      </c>
      <c r="O140" s="45">
        <f t="shared" si="5"/>
        <v>2686</v>
      </c>
      <c r="P140" s="14" t="str">
        <f>IF(D140&gt;=Assumptions!$P$133,"High",IF(D140&gt;=Assumptions!$AH$133,"Mid",IF(D140&lt;=Assumptions!$G$133,"Low","Loading")))</f>
        <v>Loading</v>
      </c>
      <c r="Q140" s="46">
        <f>MAX(K140,MIN(Assumptions!$S$133,O140),Q141)</f>
        <v>2686</v>
      </c>
      <c r="R140" s="12">
        <f>IF(AND(Q140&lt;=K140,INDEX(Assumptions!$C$26:$C$36,MATCH(G140,Assumptions!$A$26:$A$36,0))&lt;&gt;""),INDEX(Assumptions!$C$26:$C$36,MATCH(G140,Assumptions!$A$26:$A$36,0)),ROUND(G140*Q140,-2))</f>
        <v>1590100</v>
      </c>
      <c r="S140" s="47" t="str">
        <f>TRIM(IF(AND(Assumptions!$L$133&lt;&gt;"",D140&lt;Assumptions!$L$133),"View blocked / roof in front ("&amp;Assumptions!$M$133&amp;"); view premium still loading until L"&amp;Assumptions!$L$133&amp;". ","")&amp;IF(D140=Assumptions!$AH$133,"Mid-floor view premium fully loaded. ","")&amp;IF(D140=Assumptions!$P$133,"High-floor view premium fully loaded. ","")&amp;IF(Q140&lt;=K140,"At developer starting price.",""))</f>
        <v/>
      </c>
      <c r="T140" s="48" t="str">
        <f>Assumptions!$AJ$133</f>
        <v>NNW. Low floors overlook drop-off; Island Club in front; better from mid floor</v>
      </c>
    </row>
    <row r="141" spans="1:20" x14ac:dyDescent="0.2">
      <c r="A141" s="13" t="s">
        <v>263</v>
      </c>
      <c r="B141" s="14">
        <v>1</v>
      </c>
      <c r="C141" s="40">
        <v>7</v>
      </c>
      <c r="D141" s="40">
        <v>5</v>
      </c>
      <c r="E141" s="9" t="s">
        <v>41</v>
      </c>
      <c r="F141" s="14" t="s">
        <v>247</v>
      </c>
      <c r="G141" s="10">
        <v>592</v>
      </c>
      <c r="H141" s="14" t="s">
        <v>62</v>
      </c>
      <c r="I141" s="41" t="str">
        <f>Assumptions!$I$133</f>
        <v>D</v>
      </c>
      <c r="J141" s="14" t="str">
        <f>IF(D141&lt;=Assumptions!$V$133,"Low",IF(D141&lt;=Assumptions!$W$133,"Mid","High"))</f>
        <v>Low</v>
      </c>
      <c r="K141" s="15">
        <f>Assumptions!$Q$133</f>
        <v>2608</v>
      </c>
      <c r="L141" s="42">
        <f>INDEX(Assumptions!$B$61:$B$90,D141)</f>
        <v>2750.7038406827883</v>
      </c>
      <c r="M141" s="43">
        <f>IF(D141&lt;=Assumptions!$G$133,Assumptions!$AK$133,IF(D141&lt;Assumptions!$AH$133,Assumptions!$AK$133+(Assumptions!$AL$133-Assumptions!$AK$133)*(D141-Assumptions!$G$133)/(Assumptions!$AH$133-Assumptions!$G$133),IF(D141&lt;Assumptions!$P$133,Assumptions!$AL$133+(Assumptions!$AM$133-Assumptions!$AL$133)*(D141-Assumptions!$AH$133)/(Assumptions!$P$133-Assumptions!$AH$133),Assumptions!$AM$133)))</f>
        <v>-50000</v>
      </c>
      <c r="N141" s="44">
        <f t="shared" si="4"/>
        <v>-84.459459459459453</v>
      </c>
      <c r="O141" s="45">
        <f t="shared" si="5"/>
        <v>2666</v>
      </c>
      <c r="P141" s="14" t="str">
        <f>IF(D141&gt;=Assumptions!$P$133,"High",IF(D141&gt;=Assumptions!$AH$133,"Mid",IF(D141&lt;=Assumptions!$G$133,"Low","Loading")))</f>
        <v>Loading</v>
      </c>
      <c r="Q141" s="46">
        <f>MAX(K141,MIN(Assumptions!$S$133,O141),Q142)</f>
        <v>2666</v>
      </c>
      <c r="R141" s="12">
        <f>IF(AND(Q141&lt;=K141,INDEX(Assumptions!$C$26:$C$36,MATCH(G141,Assumptions!$A$26:$A$36,0))&lt;&gt;""),INDEX(Assumptions!$C$26:$C$36,MATCH(G141,Assumptions!$A$26:$A$36,0)),ROUND(G141*Q141,-2))</f>
        <v>1578300</v>
      </c>
      <c r="S141" s="47" t="str">
        <f>TRIM(IF(AND(Assumptions!$L$133&lt;&gt;"",D141&lt;Assumptions!$L$133),"View blocked / roof in front ("&amp;Assumptions!$M$133&amp;"); view premium still loading until L"&amp;Assumptions!$L$133&amp;". ","")&amp;IF(D141=Assumptions!$AH$133,"Mid-floor view premium fully loaded. ","")&amp;IF(D141=Assumptions!$P$133,"High-floor view premium fully loaded. ","")&amp;IF(Q141&lt;=K141,"At developer starting price.",""))</f>
        <v>View blocked / roof in front (Island Club: 51% of view, 23.5 to 66m away); view premium still loading until L6.</v>
      </c>
      <c r="T141" s="48" t="str">
        <f>Assumptions!$AJ$133</f>
        <v>NNW. Low floors overlook drop-off; Island Club in front; better from mid floor</v>
      </c>
    </row>
    <row r="142" spans="1:20" x14ac:dyDescent="0.2">
      <c r="A142" s="13" t="s">
        <v>264</v>
      </c>
      <c r="B142" s="14">
        <v>1</v>
      </c>
      <c r="C142" s="40">
        <v>7</v>
      </c>
      <c r="D142" s="40">
        <v>4</v>
      </c>
      <c r="E142" s="9" t="s">
        <v>41</v>
      </c>
      <c r="F142" s="14" t="s">
        <v>247</v>
      </c>
      <c r="G142" s="10">
        <v>592</v>
      </c>
      <c r="H142" s="14" t="s">
        <v>62</v>
      </c>
      <c r="I142" s="41" t="str">
        <f>Assumptions!$I$133</f>
        <v>D</v>
      </c>
      <c r="J142" s="14" t="str">
        <f>IF(D142&lt;=Assumptions!$V$133,"Low",IF(D142&lt;=Assumptions!$W$133,"Mid","High"))</f>
        <v>Low</v>
      </c>
      <c r="K142" s="15">
        <f>Assumptions!$Q$133</f>
        <v>2608</v>
      </c>
      <c r="L142" s="42">
        <f>INDEX(Assumptions!$B$61:$B$90,D142)</f>
        <v>2731.2890469416789</v>
      </c>
      <c r="M142" s="43">
        <f>IF(D142&lt;=Assumptions!$G$133,Assumptions!$AK$133,IF(D142&lt;Assumptions!$AH$133,Assumptions!$AK$133+(Assumptions!$AL$133-Assumptions!$AK$133)*(D142-Assumptions!$G$133)/(Assumptions!$AH$133-Assumptions!$G$133),IF(D142&lt;Assumptions!$P$133,Assumptions!$AL$133+(Assumptions!$AM$133-Assumptions!$AL$133)*(D142-Assumptions!$AH$133)/(Assumptions!$P$133-Assumptions!$AH$133),Assumptions!$AM$133)))</f>
        <v>-50000</v>
      </c>
      <c r="N142" s="44">
        <f t="shared" si="4"/>
        <v>-84.459459459459453</v>
      </c>
      <c r="O142" s="45">
        <f t="shared" si="5"/>
        <v>2647</v>
      </c>
      <c r="P142" s="14" t="str">
        <f>IF(D142&gt;=Assumptions!$P$133,"High",IF(D142&gt;=Assumptions!$AH$133,"Mid",IF(D142&lt;=Assumptions!$G$133,"Low","Loading")))</f>
        <v>Loading</v>
      </c>
      <c r="Q142" s="46">
        <f>MAX(K142,MIN(Assumptions!$S$133,O142),Q143)</f>
        <v>2647</v>
      </c>
      <c r="R142" s="12">
        <f>IF(AND(Q142&lt;=K142,INDEX(Assumptions!$C$26:$C$36,MATCH(G142,Assumptions!$A$26:$A$36,0))&lt;&gt;""),INDEX(Assumptions!$C$26:$C$36,MATCH(G142,Assumptions!$A$26:$A$36,0)),ROUND(G142*Q142,-2))</f>
        <v>1567000</v>
      </c>
      <c r="S142" s="47" t="str">
        <f>TRIM(IF(AND(Assumptions!$L$133&lt;&gt;"",D142&lt;Assumptions!$L$133),"View blocked / roof in front ("&amp;Assumptions!$M$133&amp;"); view premium still loading until L"&amp;Assumptions!$L$133&amp;". ","")&amp;IF(D142=Assumptions!$AH$133,"Mid-floor view premium fully loaded. ","")&amp;IF(D142=Assumptions!$P$133,"High-floor view premium fully loaded. ","")&amp;IF(Q142&lt;=K142,"At developer starting price.",""))</f>
        <v>View blocked / roof in front (Island Club: 51% of view, 23.5 to 66m away); view premium still loading until L6.</v>
      </c>
      <c r="T142" s="48" t="str">
        <f>Assumptions!$AJ$133</f>
        <v>NNW. Low floors overlook drop-off; Island Club in front; better from mid floor</v>
      </c>
    </row>
    <row r="143" spans="1:20" x14ac:dyDescent="0.2">
      <c r="A143" s="13" t="s">
        <v>265</v>
      </c>
      <c r="B143" s="14">
        <v>1</v>
      </c>
      <c r="C143" s="40">
        <v>7</v>
      </c>
      <c r="D143" s="40">
        <v>3</v>
      </c>
      <c r="E143" s="9" t="s">
        <v>41</v>
      </c>
      <c r="F143" s="14" t="s">
        <v>247</v>
      </c>
      <c r="G143" s="10">
        <v>592</v>
      </c>
      <c r="H143" s="14" t="s">
        <v>62</v>
      </c>
      <c r="I143" s="41" t="str">
        <f>Assumptions!$I$133</f>
        <v>D</v>
      </c>
      <c r="J143" s="14" t="str">
        <f>IF(D143&lt;=Assumptions!$V$133,"Low",IF(D143&lt;=Assumptions!$W$133,"Mid","High"))</f>
        <v>Low</v>
      </c>
      <c r="K143" s="15">
        <f>Assumptions!$Q$133</f>
        <v>2608</v>
      </c>
      <c r="L143" s="42">
        <f>INDEX(Assumptions!$B$61:$B$90,D143)</f>
        <v>2711.874253200569</v>
      </c>
      <c r="M143" s="43">
        <f>IF(D143&lt;=Assumptions!$G$133,Assumptions!$AK$133,IF(D143&lt;Assumptions!$AH$133,Assumptions!$AK$133+(Assumptions!$AL$133-Assumptions!$AK$133)*(D143-Assumptions!$G$133)/(Assumptions!$AH$133-Assumptions!$G$133),IF(D143&lt;Assumptions!$P$133,Assumptions!$AL$133+(Assumptions!$AM$133-Assumptions!$AL$133)*(D143-Assumptions!$AH$133)/(Assumptions!$P$133-Assumptions!$AH$133),Assumptions!$AM$133)))</f>
        <v>-50000</v>
      </c>
      <c r="N143" s="44">
        <f t="shared" si="4"/>
        <v>-84.459459459459453</v>
      </c>
      <c r="O143" s="45">
        <f t="shared" si="5"/>
        <v>2627</v>
      </c>
      <c r="P143" s="14" t="str">
        <f>IF(D143&gt;=Assumptions!$P$133,"High",IF(D143&gt;=Assumptions!$AH$133,"Mid",IF(D143&lt;=Assumptions!$G$133,"Low","Loading")))</f>
        <v>Loading</v>
      </c>
      <c r="Q143" s="46">
        <f>MAX(K143,MIN(Assumptions!$S$133,O143),Q144)</f>
        <v>2627</v>
      </c>
      <c r="R143" s="12">
        <f>IF(AND(Q143&lt;=K143,INDEX(Assumptions!$C$26:$C$36,MATCH(G143,Assumptions!$A$26:$A$36,0))&lt;&gt;""),INDEX(Assumptions!$C$26:$C$36,MATCH(G143,Assumptions!$A$26:$A$36,0)),ROUND(G143*Q143,-2))</f>
        <v>1555200</v>
      </c>
      <c r="S143" s="47" t="str">
        <f>TRIM(IF(AND(Assumptions!$L$133&lt;&gt;"",D143&lt;Assumptions!$L$133),"View blocked / roof in front ("&amp;Assumptions!$M$133&amp;"); view premium still loading until L"&amp;Assumptions!$L$133&amp;". ","")&amp;IF(D143=Assumptions!$AH$133,"Mid-floor view premium fully loaded. ","")&amp;IF(D143=Assumptions!$P$133,"High-floor view premium fully loaded. ","")&amp;IF(Q143&lt;=K143,"At developer starting price.",""))</f>
        <v>View blocked / roof in front (Island Club: 51% of view, 23.5 to 66m away); view premium still loading until L6.</v>
      </c>
      <c r="T143" s="48" t="str">
        <f>Assumptions!$AJ$133</f>
        <v>NNW. Low floors overlook drop-off; Island Club in front; better from mid floor</v>
      </c>
    </row>
    <row r="144" spans="1:20" x14ac:dyDescent="0.2">
      <c r="A144" s="13" t="s">
        <v>266</v>
      </c>
      <c r="B144" s="14">
        <v>1</v>
      </c>
      <c r="C144" s="40">
        <v>7</v>
      </c>
      <c r="D144" s="40">
        <v>2</v>
      </c>
      <c r="E144" s="9" t="s">
        <v>41</v>
      </c>
      <c r="F144" s="14" t="s">
        <v>267</v>
      </c>
      <c r="G144" s="10">
        <v>592</v>
      </c>
      <c r="H144" s="14" t="s">
        <v>62</v>
      </c>
      <c r="I144" s="41" t="str">
        <f>Assumptions!$I$133</f>
        <v>D</v>
      </c>
      <c r="J144" s="14" t="str">
        <f>IF(D144&lt;=Assumptions!$V$133,"Low",IF(D144&lt;=Assumptions!$W$133,"Mid","High"))</f>
        <v>Low</v>
      </c>
      <c r="K144" s="15">
        <f>Assumptions!$Q$133</f>
        <v>2608</v>
      </c>
      <c r="L144" s="42">
        <f>INDEX(Assumptions!$B$61:$B$90,D144)</f>
        <v>2692.4594594594596</v>
      </c>
      <c r="M144" s="43">
        <f>IF(D144&lt;=Assumptions!$G$133,Assumptions!$AK$133,IF(D144&lt;Assumptions!$AH$133,Assumptions!$AK$133+(Assumptions!$AL$133-Assumptions!$AK$133)*(D144-Assumptions!$G$133)/(Assumptions!$AH$133-Assumptions!$G$133),IF(D144&lt;Assumptions!$P$133,Assumptions!$AL$133+(Assumptions!$AM$133-Assumptions!$AL$133)*(D144-Assumptions!$AH$133)/(Assumptions!$P$133-Assumptions!$AH$133),Assumptions!$AM$133)))</f>
        <v>-50000</v>
      </c>
      <c r="N144" s="44">
        <f t="shared" si="4"/>
        <v>-84.459459459459453</v>
      </c>
      <c r="O144" s="45">
        <f t="shared" si="5"/>
        <v>2608</v>
      </c>
      <c r="P144" s="14" t="str">
        <f>IF(D144&gt;=Assumptions!$P$133,"High",IF(D144&gt;=Assumptions!$AH$133,"Mid",IF(D144&lt;=Assumptions!$G$133,"Low","Loading")))</f>
        <v>Low</v>
      </c>
      <c r="Q144" s="46">
        <f>MAX(K144,MIN(Assumptions!$S$133,O144))</f>
        <v>2608</v>
      </c>
      <c r="R144" s="12">
        <f>IF(AND(Q144&lt;=K144,INDEX(Assumptions!$C$26:$C$36,MATCH(G144,Assumptions!$A$26:$A$36,0))&lt;&gt;""),INDEX(Assumptions!$C$26:$C$36,MATCH(G144,Assumptions!$A$26:$A$36,0)),ROUND(G144*Q144,-2))</f>
        <v>1544000</v>
      </c>
      <c r="S144" s="47" t="str">
        <f>TRIM(IF(AND(Assumptions!$L$133&lt;&gt;"",D144&lt;Assumptions!$L$133),"View blocked / roof in front ("&amp;Assumptions!$M$133&amp;"); view premium still loading until L"&amp;Assumptions!$L$133&amp;". ","")&amp;IF(D144=Assumptions!$AH$133,"Mid-floor view premium fully loaded. ","")&amp;IF(D144=Assumptions!$P$133,"High-floor view premium fully loaded. ","")&amp;IF(Q144&lt;=K144,"At developer starting price.",""))</f>
        <v>View blocked / roof in front (Island Club: 51% of view, 23.5 to 66m away); view premium still loading until L6. At developer starting price.</v>
      </c>
      <c r="T144" s="48" t="str">
        <f>Assumptions!$AJ$133</f>
        <v>NNW. Low floors overlook drop-off; Island Club in front; better from mid floor</v>
      </c>
    </row>
    <row r="145" spans="1:20" x14ac:dyDescent="0.2">
      <c r="A145" s="13" t="s">
        <v>268</v>
      </c>
      <c r="B145" s="14">
        <v>1</v>
      </c>
      <c r="C145" s="40">
        <v>8</v>
      </c>
      <c r="D145" s="40">
        <v>21</v>
      </c>
      <c r="E145" s="9" t="s">
        <v>41</v>
      </c>
      <c r="F145" s="14" t="s">
        <v>269</v>
      </c>
      <c r="G145" s="10">
        <v>592</v>
      </c>
      <c r="H145" s="14" t="s">
        <v>62</v>
      </c>
      <c r="I145" s="41" t="str">
        <f>Assumptions!$I$134</f>
        <v>D</v>
      </c>
      <c r="J145" s="14" t="str">
        <f>IF(D145&lt;=Assumptions!$V$134,"Low",IF(D145&lt;=Assumptions!$W$134,"Mid","High"))</f>
        <v>High</v>
      </c>
      <c r="K145" s="15">
        <f>Assumptions!$Q$134</f>
        <v>2608</v>
      </c>
      <c r="L145" s="42">
        <f>INDEX(Assumptions!$B$61:$B$90,D145)</f>
        <v>3086.4428571428575</v>
      </c>
      <c r="M145" s="43">
        <f>IF(D145&lt;=Assumptions!$G$134,Assumptions!$AK$134,IF(D145&lt;Assumptions!$AH$134,Assumptions!$AK$134+(Assumptions!$AL$134-Assumptions!$AK$134)*(D145-Assumptions!$G$134)/(Assumptions!$AH$134-Assumptions!$G$134),IF(D145&lt;Assumptions!$P$134,Assumptions!$AL$134+(Assumptions!$AM$134-Assumptions!$AL$134)*(D145-Assumptions!$AH$134)/(Assumptions!$P$134-Assumptions!$AH$134),Assumptions!$AM$134)))</f>
        <v>-50000</v>
      </c>
      <c r="N145" s="44">
        <f t="shared" si="4"/>
        <v>-84.459459459459453</v>
      </c>
      <c r="O145" s="45">
        <f t="shared" si="5"/>
        <v>3002</v>
      </c>
      <c r="P145" s="14" t="str">
        <f>IF(D145&gt;=Assumptions!$P$134,"High",IF(D145&gt;=Assumptions!$AH$134,"Mid",IF(D145&lt;=Assumptions!$G$134,"Low","Loading")))</f>
        <v>High</v>
      </c>
      <c r="Q145" s="46">
        <f>MAX(K145,MIN(Assumptions!$S$134,O145),Q146)</f>
        <v>3002</v>
      </c>
      <c r="R145" s="12">
        <f>IF(AND(Q145&lt;=K145,INDEX(Assumptions!$C$26:$C$36,MATCH(G145,Assumptions!$A$26:$A$36,0))&lt;&gt;""),INDEX(Assumptions!$C$26:$C$36,MATCH(G145,Assumptions!$A$26:$A$36,0)),ROUND(G145*Q145,-2))</f>
        <v>1777200</v>
      </c>
      <c r="S145" s="47" t="str">
        <f>TRIM(IF(AND(Assumptions!$L$134&lt;&gt;"",D145&lt;Assumptions!$L$134),"View blocked / roof in front ("&amp;Assumptions!$M$134&amp;"); view premium still loading until L"&amp;Assumptions!$L$134&amp;". ","")&amp;IF(D145=Assumptions!$AH$134,"Mid-floor view premium fully loaded. ","")&amp;IF(D145=Assumptions!$P$134,"High-floor view premium fully loaded. ","")&amp;IF(Q145&lt;=K145,"At developer starting price.",""))</f>
        <v/>
      </c>
      <c r="T145" s="48" t="str">
        <f>Assumptions!$AJ$134</f>
        <v>NNW. Low floors overlook drop-off; Island Club in front; better from mid floor</v>
      </c>
    </row>
    <row r="146" spans="1:20" x14ac:dyDescent="0.2">
      <c r="A146" s="13" t="s">
        <v>270</v>
      </c>
      <c r="B146" s="14">
        <v>1</v>
      </c>
      <c r="C146" s="40">
        <v>8</v>
      </c>
      <c r="D146" s="40">
        <v>20</v>
      </c>
      <c r="E146" s="9" t="s">
        <v>41</v>
      </c>
      <c r="F146" s="14" t="s">
        <v>269</v>
      </c>
      <c r="G146" s="10">
        <v>592</v>
      </c>
      <c r="H146" s="14" t="s">
        <v>62</v>
      </c>
      <c r="I146" s="41" t="str">
        <f>Assumptions!$I$134</f>
        <v>D</v>
      </c>
      <c r="J146" s="14" t="str">
        <f>IF(D146&lt;=Assumptions!$V$134,"Low",IF(D146&lt;=Assumptions!$W$134,"Mid","High"))</f>
        <v>High</v>
      </c>
      <c r="K146" s="15">
        <f>Assumptions!$Q$134</f>
        <v>2608</v>
      </c>
      <c r="L146" s="42">
        <f>INDEX(Assumptions!$B$61:$B$90,D146)</f>
        <v>3064.3857142857146</v>
      </c>
      <c r="M146" s="43">
        <f>IF(D146&lt;=Assumptions!$G$134,Assumptions!$AK$134,IF(D146&lt;Assumptions!$AH$134,Assumptions!$AK$134+(Assumptions!$AL$134-Assumptions!$AK$134)*(D146-Assumptions!$G$134)/(Assumptions!$AH$134-Assumptions!$G$134),IF(D146&lt;Assumptions!$P$134,Assumptions!$AL$134+(Assumptions!$AM$134-Assumptions!$AL$134)*(D146-Assumptions!$AH$134)/(Assumptions!$P$134-Assumptions!$AH$134),Assumptions!$AM$134)))</f>
        <v>-50000</v>
      </c>
      <c r="N146" s="44">
        <f t="shared" si="4"/>
        <v>-84.459459459459453</v>
      </c>
      <c r="O146" s="45">
        <f t="shared" si="5"/>
        <v>2980</v>
      </c>
      <c r="P146" s="14" t="str">
        <f>IF(D146&gt;=Assumptions!$P$134,"High",IF(D146&gt;=Assumptions!$AH$134,"Mid",IF(D146&lt;=Assumptions!$G$134,"Low","Loading")))</f>
        <v>High</v>
      </c>
      <c r="Q146" s="46">
        <f>MAX(K146,MIN(Assumptions!$S$134,O146),Q147)</f>
        <v>2980</v>
      </c>
      <c r="R146" s="12">
        <f>IF(AND(Q146&lt;=K146,INDEX(Assumptions!$C$26:$C$36,MATCH(G146,Assumptions!$A$26:$A$36,0))&lt;&gt;""),INDEX(Assumptions!$C$26:$C$36,MATCH(G146,Assumptions!$A$26:$A$36,0)),ROUND(G146*Q146,-2))</f>
        <v>1764200</v>
      </c>
      <c r="S146" s="47" t="str">
        <f>TRIM(IF(AND(Assumptions!$L$134&lt;&gt;"",D146&lt;Assumptions!$L$134),"View blocked / roof in front ("&amp;Assumptions!$M$134&amp;"); view premium still loading until L"&amp;Assumptions!$L$134&amp;". ","")&amp;IF(D146=Assumptions!$AH$134,"Mid-floor view premium fully loaded. ","")&amp;IF(D146=Assumptions!$P$134,"High-floor view premium fully loaded. ","")&amp;IF(Q146&lt;=K146,"At developer starting price.",""))</f>
        <v/>
      </c>
      <c r="T146" s="48" t="str">
        <f>Assumptions!$AJ$134</f>
        <v>NNW. Low floors overlook drop-off; Island Club in front; better from mid floor</v>
      </c>
    </row>
    <row r="147" spans="1:20" x14ac:dyDescent="0.2">
      <c r="A147" s="13" t="s">
        <v>271</v>
      </c>
      <c r="B147" s="14">
        <v>1</v>
      </c>
      <c r="C147" s="40">
        <v>8</v>
      </c>
      <c r="D147" s="40">
        <v>19</v>
      </c>
      <c r="E147" s="9" t="s">
        <v>41</v>
      </c>
      <c r="F147" s="14" t="s">
        <v>269</v>
      </c>
      <c r="G147" s="10">
        <v>592</v>
      </c>
      <c r="H147" s="14" t="s">
        <v>62</v>
      </c>
      <c r="I147" s="41" t="str">
        <f>Assumptions!$I$134</f>
        <v>D</v>
      </c>
      <c r="J147" s="14" t="str">
        <f>IF(D147&lt;=Assumptions!$V$134,"Low",IF(D147&lt;=Assumptions!$W$134,"Mid","High"))</f>
        <v>High</v>
      </c>
      <c r="K147" s="15">
        <f>Assumptions!$Q$134</f>
        <v>2608</v>
      </c>
      <c r="L147" s="42">
        <f>INDEX(Assumptions!$B$61:$B$90,D147)</f>
        <v>3042.3285714285716</v>
      </c>
      <c r="M147" s="43">
        <f>IF(D147&lt;=Assumptions!$G$134,Assumptions!$AK$134,IF(D147&lt;Assumptions!$AH$134,Assumptions!$AK$134+(Assumptions!$AL$134-Assumptions!$AK$134)*(D147-Assumptions!$G$134)/(Assumptions!$AH$134-Assumptions!$G$134),IF(D147&lt;Assumptions!$P$134,Assumptions!$AL$134+(Assumptions!$AM$134-Assumptions!$AL$134)*(D147-Assumptions!$AH$134)/(Assumptions!$P$134-Assumptions!$AH$134),Assumptions!$AM$134)))</f>
        <v>-50000</v>
      </c>
      <c r="N147" s="44">
        <f t="shared" si="4"/>
        <v>-84.459459459459453</v>
      </c>
      <c r="O147" s="45">
        <f t="shared" si="5"/>
        <v>2958</v>
      </c>
      <c r="P147" s="14" t="str">
        <f>IF(D147&gt;=Assumptions!$P$134,"High",IF(D147&gt;=Assumptions!$AH$134,"Mid",IF(D147&lt;=Assumptions!$G$134,"Low","Loading")))</f>
        <v>High</v>
      </c>
      <c r="Q147" s="46">
        <f>MAX(K147,MIN(Assumptions!$S$134,O147),Q148)</f>
        <v>2958</v>
      </c>
      <c r="R147" s="12">
        <f>IF(AND(Q147&lt;=K147,INDEX(Assumptions!$C$26:$C$36,MATCH(G147,Assumptions!$A$26:$A$36,0))&lt;&gt;""),INDEX(Assumptions!$C$26:$C$36,MATCH(G147,Assumptions!$A$26:$A$36,0)),ROUND(G147*Q147,-2))</f>
        <v>1751100</v>
      </c>
      <c r="S147" s="47" t="str">
        <f>TRIM(IF(AND(Assumptions!$L$134&lt;&gt;"",D147&lt;Assumptions!$L$134),"View blocked / roof in front ("&amp;Assumptions!$M$134&amp;"); view premium still loading until L"&amp;Assumptions!$L$134&amp;". ","")&amp;IF(D147=Assumptions!$AH$134,"Mid-floor view premium fully loaded. ","")&amp;IF(D147=Assumptions!$P$134,"High-floor view premium fully loaded. ","")&amp;IF(Q147&lt;=K147,"At developer starting price.",""))</f>
        <v/>
      </c>
      <c r="T147" s="48" t="str">
        <f>Assumptions!$AJ$134</f>
        <v>NNW. Low floors overlook drop-off; Island Club in front; better from mid floor</v>
      </c>
    </row>
    <row r="148" spans="1:20" x14ac:dyDescent="0.2">
      <c r="A148" s="13" t="s">
        <v>272</v>
      </c>
      <c r="B148" s="14">
        <v>1</v>
      </c>
      <c r="C148" s="40">
        <v>8</v>
      </c>
      <c r="D148" s="40">
        <v>18</v>
      </c>
      <c r="E148" s="9" t="s">
        <v>41</v>
      </c>
      <c r="F148" s="14" t="s">
        <v>269</v>
      </c>
      <c r="G148" s="10">
        <v>592</v>
      </c>
      <c r="H148" s="14" t="s">
        <v>62</v>
      </c>
      <c r="I148" s="41" t="str">
        <f>Assumptions!$I$134</f>
        <v>D</v>
      </c>
      <c r="J148" s="14" t="str">
        <f>IF(D148&lt;=Assumptions!$V$134,"Low",IF(D148&lt;=Assumptions!$W$134,"Mid","High"))</f>
        <v>High</v>
      </c>
      <c r="K148" s="15">
        <f>Assumptions!$Q$134</f>
        <v>2608</v>
      </c>
      <c r="L148" s="42">
        <f>INDEX(Assumptions!$B$61:$B$90,D148)</f>
        <v>3020.2714285714287</v>
      </c>
      <c r="M148" s="43">
        <f>IF(D148&lt;=Assumptions!$G$134,Assumptions!$AK$134,IF(D148&lt;Assumptions!$AH$134,Assumptions!$AK$134+(Assumptions!$AL$134-Assumptions!$AK$134)*(D148-Assumptions!$G$134)/(Assumptions!$AH$134-Assumptions!$G$134),IF(D148&lt;Assumptions!$P$134,Assumptions!$AL$134+(Assumptions!$AM$134-Assumptions!$AL$134)*(D148-Assumptions!$AH$134)/(Assumptions!$P$134-Assumptions!$AH$134),Assumptions!$AM$134)))</f>
        <v>-50000</v>
      </c>
      <c r="N148" s="44">
        <f t="shared" si="4"/>
        <v>-84.459459459459453</v>
      </c>
      <c r="O148" s="45">
        <f t="shared" si="5"/>
        <v>2936</v>
      </c>
      <c r="P148" s="14" t="str">
        <f>IF(D148&gt;=Assumptions!$P$134,"High",IF(D148&gt;=Assumptions!$AH$134,"Mid",IF(D148&lt;=Assumptions!$G$134,"Low","Loading")))</f>
        <v>High</v>
      </c>
      <c r="Q148" s="46">
        <f>MAX(K148,MIN(Assumptions!$S$134,O148),Q149)</f>
        <v>2936</v>
      </c>
      <c r="R148" s="12">
        <f>IF(AND(Q148&lt;=K148,INDEX(Assumptions!$C$26:$C$36,MATCH(G148,Assumptions!$A$26:$A$36,0))&lt;&gt;""),INDEX(Assumptions!$C$26:$C$36,MATCH(G148,Assumptions!$A$26:$A$36,0)),ROUND(G148*Q148,-2))</f>
        <v>1738100</v>
      </c>
      <c r="S148" s="47" t="str">
        <f>TRIM(IF(AND(Assumptions!$L$134&lt;&gt;"",D148&lt;Assumptions!$L$134),"View blocked / roof in front ("&amp;Assumptions!$M$134&amp;"); view premium still loading until L"&amp;Assumptions!$L$134&amp;". ","")&amp;IF(D148=Assumptions!$AH$134,"Mid-floor view premium fully loaded. ","")&amp;IF(D148=Assumptions!$P$134,"High-floor view premium fully loaded. ","")&amp;IF(Q148&lt;=K148,"At developer starting price.",""))</f>
        <v/>
      </c>
      <c r="T148" s="48" t="str">
        <f>Assumptions!$AJ$134</f>
        <v>NNW. Low floors overlook drop-off; Island Club in front; better from mid floor</v>
      </c>
    </row>
    <row r="149" spans="1:20" x14ac:dyDescent="0.2">
      <c r="A149" s="13" t="s">
        <v>273</v>
      </c>
      <c r="B149" s="14">
        <v>1</v>
      </c>
      <c r="C149" s="40">
        <v>8</v>
      </c>
      <c r="D149" s="40">
        <v>17</v>
      </c>
      <c r="E149" s="9" t="s">
        <v>41</v>
      </c>
      <c r="F149" s="14" t="s">
        <v>269</v>
      </c>
      <c r="G149" s="10">
        <v>592</v>
      </c>
      <c r="H149" s="14" t="s">
        <v>62</v>
      </c>
      <c r="I149" s="41" t="str">
        <f>Assumptions!$I$134</f>
        <v>D</v>
      </c>
      <c r="J149" s="14" t="str">
        <f>IF(D149&lt;=Assumptions!$V$134,"Low",IF(D149&lt;=Assumptions!$W$134,"Mid","High"))</f>
        <v>High</v>
      </c>
      <c r="K149" s="15">
        <f>Assumptions!$Q$134</f>
        <v>2608</v>
      </c>
      <c r="L149" s="42">
        <f>INDEX(Assumptions!$B$61:$B$90,D149)</f>
        <v>2998.2142857142858</v>
      </c>
      <c r="M149" s="43">
        <f>IF(D149&lt;=Assumptions!$G$134,Assumptions!$AK$134,IF(D149&lt;Assumptions!$AH$134,Assumptions!$AK$134+(Assumptions!$AL$134-Assumptions!$AK$134)*(D149-Assumptions!$G$134)/(Assumptions!$AH$134-Assumptions!$G$134),IF(D149&lt;Assumptions!$P$134,Assumptions!$AL$134+(Assumptions!$AM$134-Assumptions!$AL$134)*(D149-Assumptions!$AH$134)/(Assumptions!$P$134-Assumptions!$AH$134),Assumptions!$AM$134)))</f>
        <v>-50000</v>
      </c>
      <c r="N149" s="44">
        <f t="shared" si="4"/>
        <v>-84.459459459459453</v>
      </c>
      <c r="O149" s="45">
        <f t="shared" si="5"/>
        <v>2914</v>
      </c>
      <c r="P149" s="14" t="str">
        <f>IF(D149&gt;=Assumptions!$P$134,"High",IF(D149&gt;=Assumptions!$AH$134,"Mid",IF(D149&lt;=Assumptions!$G$134,"Low","Loading")))</f>
        <v>High</v>
      </c>
      <c r="Q149" s="46">
        <f>MAX(K149,MIN(Assumptions!$S$134,O149),Q150)</f>
        <v>2914</v>
      </c>
      <c r="R149" s="12">
        <f>IF(AND(Q149&lt;=K149,INDEX(Assumptions!$C$26:$C$36,MATCH(G149,Assumptions!$A$26:$A$36,0))&lt;&gt;""),INDEX(Assumptions!$C$26:$C$36,MATCH(G149,Assumptions!$A$26:$A$36,0)),ROUND(G149*Q149,-2))</f>
        <v>1725100</v>
      </c>
      <c r="S149" s="47" t="str">
        <f>TRIM(IF(AND(Assumptions!$L$134&lt;&gt;"",D149&lt;Assumptions!$L$134),"View blocked / roof in front ("&amp;Assumptions!$M$134&amp;"); view premium still loading until L"&amp;Assumptions!$L$134&amp;". ","")&amp;IF(D149=Assumptions!$AH$134,"Mid-floor view premium fully loaded. ","")&amp;IF(D149=Assumptions!$P$134,"High-floor view premium fully loaded. ","")&amp;IF(Q149&lt;=K149,"At developer starting price.",""))</f>
        <v/>
      </c>
      <c r="T149" s="48" t="str">
        <f>Assumptions!$AJ$134</f>
        <v>NNW. Low floors overlook drop-off; Island Club in front; better from mid floor</v>
      </c>
    </row>
    <row r="150" spans="1:20" x14ac:dyDescent="0.2">
      <c r="A150" s="13" t="s">
        <v>274</v>
      </c>
      <c r="B150" s="14">
        <v>1</v>
      </c>
      <c r="C150" s="40">
        <v>8</v>
      </c>
      <c r="D150" s="40">
        <v>16</v>
      </c>
      <c r="E150" s="9" t="s">
        <v>41</v>
      </c>
      <c r="F150" s="14" t="s">
        <v>269</v>
      </c>
      <c r="G150" s="10">
        <v>592</v>
      </c>
      <c r="H150" s="14" t="s">
        <v>62</v>
      </c>
      <c r="I150" s="41" t="str">
        <f>Assumptions!$I$134</f>
        <v>D</v>
      </c>
      <c r="J150" s="14" t="str">
        <f>IF(D150&lt;=Assumptions!$V$134,"Low",IF(D150&lt;=Assumptions!$W$134,"Mid","High"))</f>
        <v>High</v>
      </c>
      <c r="K150" s="15">
        <f>Assumptions!$Q$134</f>
        <v>2608</v>
      </c>
      <c r="L150" s="42">
        <f>INDEX(Assumptions!$B$61:$B$90,D150)</f>
        <v>2976.1571428571428</v>
      </c>
      <c r="M150" s="43">
        <f>IF(D150&lt;=Assumptions!$G$134,Assumptions!$AK$134,IF(D150&lt;Assumptions!$AH$134,Assumptions!$AK$134+(Assumptions!$AL$134-Assumptions!$AK$134)*(D150-Assumptions!$G$134)/(Assumptions!$AH$134-Assumptions!$G$134),IF(D150&lt;Assumptions!$P$134,Assumptions!$AL$134+(Assumptions!$AM$134-Assumptions!$AL$134)*(D150-Assumptions!$AH$134)/(Assumptions!$P$134-Assumptions!$AH$134),Assumptions!$AM$134)))</f>
        <v>-50000</v>
      </c>
      <c r="N150" s="44">
        <f t="shared" si="4"/>
        <v>-84.459459459459453</v>
      </c>
      <c r="O150" s="45">
        <f t="shared" si="5"/>
        <v>2892</v>
      </c>
      <c r="P150" s="14" t="str">
        <f>IF(D150&gt;=Assumptions!$P$134,"High",IF(D150&gt;=Assumptions!$AH$134,"Mid",IF(D150&lt;=Assumptions!$G$134,"Low","Loading")))</f>
        <v>High</v>
      </c>
      <c r="Q150" s="46">
        <f>MAX(K150,MIN(Assumptions!$S$134,O150),Q151)</f>
        <v>2892</v>
      </c>
      <c r="R150" s="12">
        <f>IF(AND(Q150&lt;=K150,INDEX(Assumptions!$C$26:$C$36,MATCH(G150,Assumptions!$A$26:$A$36,0))&lt;&gt;""),INDEX(Assumptions!$C$26:$C$36,MATCH(G150,Assumptions!$A$26:$A$36,0)),ROUND(G150*Q150,-2))</f>
        <v>1712100</v>
      </c>
      <c r="S150" s="47" t="str">
        <f>TRIM(IF(AND(Assumptions!$L$134&lt;&gt;"",D150&lt;Assumptions!$L$134),"View blocked / roof in front ("&amp;Assumptions!$M$134&amp;"); view premium still loading until L"&amp;Assumptions!$L$134&amp;". ","")&amp;IF(D150=Assumptions!$AH$134,"Mid-floor view premium fully loaded. ","")&amp;IF(D150=Assumptions!$P$134,"High-floor view premium fully loaded. ","")&amp;IF(Q150&lt;=K150,"At developer starting price.",""))</f>
        <v>High-floor view premium fully loaded.</v>
      </c>
      <c r="T150" s="48" t="str">
        <f>Assumptions!$AJ$134</f>
        <v>NNW. Low floors overlook drop-off; Island Club in front; better from mid floor</v>
      </c>
    </row>
    <row r="151" spans="1:20" x14ac:dyDescent="0.2">
      <c r="A151" s="13" t="s">
        <v>275</v>
      </c>
      <c r="B151" s="14">
        <v>1</v>
      </c>
      <c r="C151" s="40">
        <v>8</v>
      </c>
      <c r="D151" s="40">
        <v>15</v>
      </c>
      <c r="E151" s="9" t="s">
        <v>41</v>
      </c>
      <c r="F151" s="14" t="s">
        <v>269</v>
      </c>
      <c r="G151" s="10">
        <v>592</v>
      </c>
      <c r="H151" s="14" t="s">
        <v>62</v>
      </c>
      <c r="I151" s="41" t="str">
        <f>Assumptions!$I$134</f>
        <v>D</v>
      </c>
      <c r="J151" s="14" t="str">
        <f>IF(D151&lt;=Assumptions!$V$134,"Low",IF(D151&lt;=Assumptions!$W$134,"Mid","High"))</f>
        <v>Mid</v>
      </c>
      <c r="K151" s="15">
        <f>Assumptions!$Q$134</f>
        <v>2608</v>
      </c>
      <c r="L151" s="42">
        <f>INDEX(Assumptions!$B$61:$B$90,D151)</f>
        <v>2954.1000000000004</v>
      </c>
      <c r="M151" s="43">
        <f>IF(D151&lt;=Assumptions!$G$134,Assumptions!$AK$134,IF(D151&lt;Assumptions!$AH$134,Assumptions!$AK$134+(Assumptions!$AL$134-Assumptions!$AK$134)*(D151-Assumptions!$G$134)/(Assumptions!$AH$134-Assumptions!$G$134),IF(D151&lt;Assumptions!$P$134,Assumptions!$AL$134+(Assumptions!$AM$134-Assumptions!$AL$134)*(D151-Assumptions!$AH$134)/(Assumptions!$P$134-Assumptions!$AH$134),Assumptions!$AM$134)))</f>
        <v>-50000</v>
      </c>
      <c r="N151" s="44">
        <f t="shared" si="4"/>
        <v>-84.459459459459453</v>
      </c>
      <c r="O151" s="45">
        <f t="shared" si="5"/>
        <v>2870</v>
      </c>
      <c r="P151" s="14" t="str">
        <f>IF(D151&gt;=Assumptions!$P$134,"High",IF(D151&gt;=Assumptions!$AH$134,"Mid",IF(D151&lt;=Assumptions!$G$134,"Low","Loading")))</f>
        <v>Mid</v>
      </c>
      <c r="Q151" s="46">
        <f>MAX(K151,MIN(Assumptions!$S$134,O151),Q152)</f>
        <v>2870</v>
      </c>
      <c r="R151" s="12">
        <f>IF(AND(Q151&lt;=K151,INDEX(Assumptions!$C$26:$C$36,MATCH(G151,Assumptions!$A$26:$A$36,0))&lt;&gt;""),INDEX(Assumptions!$C$26:$C$36,MATCH(G151,Assumptions!$A$26:$A$36,0)),ROUND(G151*Q151,-2))</f>
        <v>1699000</v>
      </c>
      <c r="S151" s="47" t="str">
        <f>TRIM(IF(AND(Assumptions!$L$134&lt;&gt;"",D151&lt;Assumptions!$L$134),"View blocked / roof in front ("&amp;Assumptions!$M$134&amp;"); view premium still loading until L"&amp;Assumptions!$L$134&amp;". ","")&amp;IF(D151=Assumptions!$AH$134,"Mid-floor view premium fully loaded. ","")&amp;IF(D151=Assumptions!$P$134,"High-floor view premium fully loaded. ","")&amp;IF(Q151&lt;=K151,"At developer starting price.",""))</f>
        <v/>
      </c>
      <c r="T151" s="48" t="str">
        <f>Assumptions!$AJ$134</f>
        <v>NNW. Low floors overlook drop-off; Island Club in front; better from mid floor</v>
      </c>
    </row>
    <row r="152" spans="1:20" x14ac:dyDescent="0.2">
      <c r="A152" s="13" t="s">
        <v>276</v>
      </c>
      <c r="B152" s="14">
        <v>1</v>
      </c>
      <c r="C152" s="40">
        <v>8</v>
      </c>
      <c r="D152" s="40">
        <v>14</v>
      </c>
      <c r="E152" s="9" t="s">
        <v>41</v>
      </c>
      <c r="F152" s="14" t="s">
        <v>269</v>
      </c>
      <c r="G152" s="10">
        <v>592</v>
      </c>
      <c r="H152" s="14" t="s">
        <v>62</v>
      </c>
      <c r="I152" s="41" t="str">
        <f>Assumptions!$I$134</f>
        <v>D</v>
      </c>
      <c r="J152" s="14" t="str">
        <f>IF(D152&lt;=Assumptions!$V$134,"Low",IF(D152&lt;=Assumptions!$W$134,"Mid","High"))</f>
        <v>Mid</v>
      </c>
      <c r="K152" s="15">
        <f>Assumptions!$Q$134</f>
        <v>2608</v>
      </c>
      <c r="L152" s="42">
        <f>INDEX(Assumptions!$B$61:$B$90,D152)</f>
        <v>2932.0428571428574</v>
      </c>
      <c r="M152" s="43">
        <f>IF(D152&lt;=Assumptions!$G$134,Assumptions!$AK$134,IF(D152&lt;Assumptions!$AH$134,Assumptions!$AK$134+(Assumptions!$AL$134-Assumptions!$AK$134)*(D152-Assumptions!$G$134)/(Assumptions!$AH$134-Assumptions!$G$134),IF(D152&lt;Assumptions!$P$134,Assumptions!$AL$134+(Assumptions!$AM$134-Assumptions!$AL$134)*(D152-Assumptions!$AH$134)/(Assumptions!$P$134-Assumptions!$AH$134),Assumptions!$AM$134)))</f>
        <v>-50000</v>
      </c>
      <c r="N152" s="44">
        <f t="shared" si="4"/>
        <v>-84.459459459459453</v>
      </c>
      <c r="O152" s="45">
        <f t="shared" si="5"/>
        <v>2848</v>
      </c>
      <c r="P152" s="14" t="str">
        <f>IF(D152&gt;=Assumptions!$P$134,"High",IF(D152&gt;=Assumptions!$AH$134,"Mid",IF(D152&lt;=Assumptions!$G$134,"Low","Loading")))</f>
        <v>Mid</v>
      </c>
      <c r="Q152" s="46">
        <f>MAX(K152,MIN(Assumptions!$S$134,O152),Q153)</f>
        <v>2848</v>
      </c>
      <c r="R152" s="12">
        <f>IF(AND(Q152&lt;=K152,INDEX(Assumptions!$C$26:$C$36,MATCH(G152,Assumptions!$A$26:$A$36,0))&lt;&gt;""),INDEX(Assumptions!$C$26:$C$36,MATCH(G152,Assumptions!$A$26:$A$36,0)),ROUND(G152*Q152,-2))</f>
        <v>1686000</v>
      </c>
      <c r="S152" s="47" t="str">
        <f>TRIM(IF(AND(Assumptions!$L$134&lt;&gt;"",D152&lt;Assumptions!$L$134),"View blocked / roof in front ("&amp;Assumptions!$M$134&amp;"); view premium still loading until L"&amp;Assumptions!$L$134&amp;". ","")&amp;IF(D152=Assumptions!$AH$134,"Mid-floor view premium fully loaded. ","")&amp;IF(D152=Assumptions!$P$134,"High-floor view premium fully loaded. ","")&amp;IF(Q152&lt;=K152,"At developer starting price.",""))</f>
        <v/>
      </c>
      <c r="T152" s="48" t="str">
        <f>Assumptions!$AJ$134</f>
        <v>NNW. Low floors overlook drop-off; Island Club in front; better from mid floor</v>
      </c>
    </row>
    <row r="153" spans="1:20" x14ac:dyDescent="0.2">
      <c r="A153" s="13" t="s">
        <v>277</v>
      </c>
      <c r="B153" s="14">
        <v>1</v>
      </c>
      <c r="C153" s="40">
        <v>8</v>
      </c>
      <c r="D153" s="40">
        <v>13</v>
      </c>
      <c r="E153" s="9" t="s">
        <v>41</v>
      </c>
      <c r="F153" s="14" t="s">
        <v>269</v>
      </c>
      <c r="G153" s="10">
        <v>592</v>
      </c>
      <c r="H153" s="14" t="s">
        <v>62</v>
      </c>
      <c r="I153" s="41" t="str">
        <f>Assumptions!$I$134</f>
        <v>D</v>
      </c>
      <c r="J153" s="14" t="str">
        <f>IF(D153&lt;=Assumptions!$V$134,"Low",IF(D153&lt;=Assumptions!$W$134,"Mid","High"))</f>
        <v>Mid</v>
      </c>
      <c r="K153" s="15">
        <f>Assumptions!$Q$134</f>
        <v>2608</v>
      </c>
      <c r="L153" s="42">
        <f>INDEX(Assumptions!$B$61:$B$90,D153)</f>
        <v>2909.9857142857145</v>
      </c>
      <c r="M153" s="43">
        <f>IF(D153&lt;=Assumptions!$G$134,Assumptions!$AK$134,IF(D153&lt;Assumptions!$AH$134,Assumptions!$AK$134+(Assumptions!$AL$134-Assumptions!$AK$134)*(D153-Assumptions!$G$134)/(Assumptions!$AH$134-Assumptions!$G$134),IF(D153&lt;Assumptions!$P$134,Assumptions!$AL$134+(Assumptions!$AM$134-Assumptions!$AL$134)*(D153-Assumptions!$AH$134)/(Assumptions!$P$134-Assumptions!$AH$134),Assumptions!$AM$134)))</f>
        <v>-50000</v>
      </c>
      <c r="N153" s="44">
        <f t="shared" si="4"/>
        <v>-84.459459459459453</v>
      </c>
      <c r="O153" s="45">
        <f t="shared" si="5"/>
        <v>2826</v>
      </c>
      <c r="P153" s="14" t="str">
        <f>IF(D153&gt;=Assumptions!$P$134,"High",IF(D153&gt;=Assumptions!$AH$134,"Mid",IF(D153&lt;=Assumptions!$G$134,"Low","Loading")))</f>
        <v>Mid</v>
      </c>
      <c r="Q153" s="46">
        <f>MAX(K153,MIN(Assumptions!$S$134,O153),Q154)</f>
        <v>2826</v>
      </c>
      <c r="R153" s="12">
        <f>IF(AND(Q153&lt;=K153,INDEX(Assumptions!$C$26:$C$36,MATCH(G153,Assumptions!$A$26:$A$36,0))&lt;&gt;""),INDEX(Assumptions!$C$26:$C$36,MATCH(G153,Assumptions!$A$26:$A$36,0)),ROUND(G153*Q153,-2))</f>
        <v>1673000</v>
      </c>
      <c r="S153" s="47" t="str">
        <f>TRIM(IF(AND(Assumptions!$L$134&lt;&gt;"",D153&lt;Assumptions!$L$134),"View blocked / roof in front ("&amp;Assumptions!$M$134&amp;"); view premium still loading until L"&amp;Assumptions!$L$134&amp;". ","")&amp;IF(D153=Assumptions!$AH$134,"Mid-floor view premium fully loaded. ","")&amp;IF(D153=Assumptions!$P$134,"High-floor view premium fully loaded. ","")&amp;IF(Q153&lt;=K153,"At developer starting price.",""))</f>
        <v/>
      </c>
      <c r="T153" s="48" t="str">
        <f>Assumptions!$AJ$134</f>
        <v>NNW. Low floors overlook drop-off; Island Club in front; better from mid floor</v>
      </c>
    </row>
    <row r="154" spans="1:20" x14ac:dyDescent="0.2">
      <c r="A154" s="13" t="s">
        <v>278</v>
      </c>
      <c r="B154" s="14">
        <v>1</v>
      </c>
      <c r="C154" s="40">
        <v>8</v>
      </c>
      <c r="D154" s="40">
        <v>12</v>
      </c>
      <c r="E154" s="9" t="s">
        <v>41</v>
      </c>
      <c r="F154" s="14" t="s">
        <v>269</v>
      </c>
      <c r="G154" s="10">
        <v>592</v>
      </c>
      <c r="H154" s="14" t="s">
        <v>62</v>
      </c>
      <c r="I154" s="41" t="str">
        <f>Assumptions!$I$134</f>
        <v>D</v>
      </c>
      <c r="J154" s="14" t="str">
        <f>IF(D154&lt;=Assumptions!$V$134,"Low",IF(D154&lt;=Assumptions!$W$134,"Mid","High"))</f>
        <v>Mid</v>
      </c>
      <c r="K154" s="15">
        <f>Assumptions!$Q$134</f>
        <v>2608</v>
      </c>
      <c r="L154" s="42">
        <f>INDEX(Assumptions!$B$61:$B$90,D154)</f>
        <v>2887.9285714285716</v>
      </c>
      <c r="M154" s="43">
        <f>IF(D154&lt;=Assumptions!$G$134,Assumptions!$AK$134,IF(D154&lt;Assumptions!$AH$134,Assumptions!$AK$134+(Assumptions!$AL$134-Assumptions!$AK$134)*(D154-Assumptions!$G$134)/(Assumptions!$AH$134-Assumptions!$G$134),IF(D154&lt;Assumptions!$P$134,Assumptions!$AL$134+(Assumptions!$AM$134-Assumptions!$AL$134)*(D154-Assumptions!$AH$134)/(Assumptions!$P$134-Assumptions!$AH$134),Assumptions!$AM$134)))</f>
        <v>-50000</v>
      </c>
      <c r="N154" s="44">
        <f t="shared" si="4"/>
        <v>-84.459459459459453</v>
      </c>
      <c r="O154" s="45">
        <f t="shared" si="5"/>
        <v>2803</v>
      </c>
      <c r="P154" s="14" t="str">
        <f>IF(D154&gt;=Assumptions!$P$134,"High",IF(D154&gt;=Assumptions!$AH$134,"Mid",IF(D154&lt;=Assumptions!$G$134,"Low","Loading")))</f>
        <v>Mid</v>
      </c>
      <c r="Q154" s="46">
        <f>MAX(K154,MIN(Assumptions!$S$134,O154),Q155)</f>
        <v>2803</v>
      </c>
      <c r="R154" s="12">
        <f>IF(AND(Q154&lt;=K154,INDEX(Assumptions!$C$26:$C$36,MATCH(G154,Assumptions!$A$26:$A$36,0))&lt;&gt;""),INDEX(Assumptions!$C$26:$C$36,MATCH(G154,Assumptions!$A$26:$A$36,0)),ROUND(G154*Q154,-2))</f>
        <v>1659400</v>
      </c>
      <c r="S154" s="47" t="str">
        <f>TRIM(IF(AND(Assumptions!$L$134&lt;&gt;"",D154&lt;Assumptions!$L$134),"View blocked / roof in front ("&amp;Assumptions!$M$134&amp;"); view premium still loading until L"&amp;Assumptions!$L$134&amp;". ","")&amp;IF(D154=Assumptions!$AH$134,"Mid-floor view premium fully loaded. ","")&amp;IF(D154=Assumptions!$P$134,"High-floor view premium fully loaded. ","")&amp;IF(Q154&lt;=K154,"At developer starting price.",""))</f>
        <v/>
      </c>
      <c r="T154" s="48" t="str">
        <f>Assumptions!$AJ$134</f>
        <v>NNW. Low floors overlook drop-off; Island Club in front; better from mid floor</v>
      </c>
    </row>
    <row r="155" spans="1:20" x14ac:dyDescent="0.2">
      <c r="A155" s="13" t="s">
        <v>279</v>
      </c>
      <c r="B155" s="14">
        <v>1</v>
      </c>
      <c r="C155" s="40">
        <v>8</v>
      </c>
      <c r="D155" s="40">
        <v>11</v>
      </c>
      <c r="E155" s="9" t="s">
        <v>41</v>
      </c>
      <c r="F155" s="14" t="s">
        <v>269</v>
      </c>
      <c r="G155" s="10">
        <v>592</v>
      </c>
      <c r="H155" s="14" t="s">
        <v>62</v>
      </c>
      <c r="I155" s="41" t="str">
        <f>Assumptions!$I$134</f>
        <v>D</v>
      </c>
      <c r="J155" s="14" t="str">
        <f>IF(D155&lt;=Assumptions!$V$134,"Low",IF(D155&lt;=Assumptions!$W$134,"Mid","High"))</f>
        <v>Mid</v>
      </c>
      <c r="K155" s="15">
        <f>Assumptions!$Q$134</f>
        <v>2608</v>
      </c>
      <c r="L155" s="42">
        <f>INDEX(Assumptions!$B$61:$B$90,D155)</f>
        <v>2867.1926031294452</v>
      </c>
      <c r="M155" s="43">
        <f>IF(D155&lt;=Assumptions!$G$134,Assumptions!$AK$134,IF(D155&lt;Assumptions!$AH$134,Assumptions!$AK$134+(Assumptions!$AL$134-Assumptions!$AK$134)*(D155-Assumptions!$G$134)/(Assumptions!$AH$134-Assumptions!$G$134),IF(D155&lt;Assumptions!$P$134,Assumptions!$AL$134+(Assumptions!$AM$134-Assumptions!$AL$134)*(D155-Assumptions!$AH$134)/(Assumptions!$P$134-Assumptions!$AH$134),Assumptions!$AM$134)))</f>
        <v>-50000</v>
      </c>
      <c r="N155" s="44">
        <f t="shared" si="4"/>
        <v>-84.459459459459453</v>
      </c>
      <c r="O155" s="45">
        <f t="shared" si="5"/>
        <v>2783</v>
      </c>
      <c r="P155" s="14" t="str">
        <f>IF(D155&gt;=Assumptions!$P$134,"High",IF(D155&gt;=Assumptions!$AH$134,"Mid",IF(D155&lt;=Assumptions!$G$134,"Low","Loading")))</f>
        <v>Mid</v>
      </c>
      <c r="Q155" s="46">
        <f>MAX(K155,MIN(Assumptions!$S$134,O155),Q156)</f>
        <v>2783</v>
      </c>
      <c r="R155" s="12">
        <f>IF(AND(Q155&lt;=K155,INDEX(Assumptions!$C$26:$C$36,MATCH(G155,Assumptions!$A$26:$A$36,0))&lt;&gt;""),INDEX(Assumptions!$C$26:$C$36,MATCH(G155,Assumptions!$A$26:$A$36,0)),ROUND(G155*Q155,-2))</f>
        <v>1647500</v>
      </c>
      <c r="S155" s="47" t="str">
        <f>TRIM(IF(AND(Assumptions!$L$134&lt;&gt;"",D155&lt;Assumptions!$L$134),"View blocked / roof in front ("&amp;Assumptions!$M$134&amp;"); view premium still loading until L"&amp;Assumptions!$L$134&amp;". ","")&amp;IF(D155=Assumptions!$AH$134,"Mid-floor view premium fully loaded. ","")&amp;IF(D155=Assumptions!$P$134,"High-floor view premium fully loaded. ","")&amp;IF(Q155&lt;=K155,"At developer starting price.",""))</f>
        <v/>
      </c>
      <c r="T155" s="48" t="str">
        <f>Assumptions!$AJ$134</f>
        <v>NNW. Low floors overlook drop-off; Island Club in front; better from mid floor</v>
      </c>
    </row>
    <row r="156" spans="1:20" x14ac:dyDescent="0.2">
      <c r="A156" s="13" t="s">
        <v>280</v>
      </c>
      <c r="B156" s="14">
        <v>1</v>
      </c>
      <c r="C156" s="40">
        <v>8</v>
      </c>
      <c r="D156" s="40">
        <v>10</v>
      </c>
      <c r="E156" s="9" t="s">
        <v>41</v>
      </c>
      <c r="F156" s="14" t="s">
        <v>269</v>
      </c>
      <c r="G156" s="10">
        <v>592</v>
      </c>
      <c r="H156" s="14" t="s">
        <v>62</v>
      </c>
      <c r="I156" s="41" t="str">
        <f>Assumptions!$I$134</f>
        <v>D</v>
      </c>
      <c r="J156" s="14" t="str">
        <f>IF(D156&lt;=Assumptions!$V$134,"Low",IF(D156&lt;=Assumptions!$W$134,"Mid","High"))</f>
        <v>Mid</v>
      </c>
      <c r="K156" s="15">
        <f>Assumptions!$Q$134</f>
        <v>2608</v>
      </c>
      <c r="L156" s="42">
        <f>INDEX(Assumptions!$B$61:$B$90,D156)</f>
        <v>2847.7778093883358</v>
      </c>
      <c r="M156" s="43">
        <f>IF(D156&lt;=Assumptions!$G$134,Assumptions!$AK$134,IF(D156&lt;Assumptions!$AH$134,Assumptions!$AK$134+(Assumptions!$AL$134-Assumptions!$AK$134)*(D156-Assumptions!$G$134)/(Assumptions!$AH$134-Assumptions!$G$134),IF(D156&lt;Assumptions!$P$134,Assumptions!$AL$134+(Assumptions!$AM$134-Assumptions!$AL$134)*(D156-Assumptions!$AH$134)/(Assumptions!$P$134-Assumptions!$AH$134),Assumptions!$AM$134)))</f>
        <v>-50000</v>
      </c>
      <c r="N156" s="44">
        <f t="shared" si="4"/>
        <v>-84.459459459459453</v>
      </c>
      <c r="O156" s="45">
        <f t="shared" si="5"/>
        <v>2763</v>
      </c>
      <c r="P156" s="14" t="str">
        <f>IF(D156&gt;=Assumptions!$P$134,"High",IF(D156&gt;=Assumptions!$AH$134,"Mid",IF(D156&lt;=Assumptions!$G$134,"Low","Loading")))</f>
        <v>Mid</v>
      </c>
      <c r="Q156" s="46">
        <f>MAX(K156,MIN(Assumptions!$S$134,O156),Q157)</f>
        <v>2763</v>
      </c>
      <c r="R156" s="12">
        <f>IF(AND(Q156&lt;=K156,INDEX(Assumptions!$C$26:$C$36,MATCH(G156,Assumptions!$A$26:$A$36,0))&lt;&gt;""),INDEX(Assumptions!$C$26:$C$36,MATCH(G156,Assumptions!$A$26:$A$36,0)),ROUND(G156*Q156,-2))</f>
        <v>1635700</v>
      </c>
      <c r="S156" s="47" t="str">
        <f>TRIM(IF(AND(Assumptions!$L$134&lt;&gt;"",D156&lt;Assumptions!$L$134),"View blocked / roof in front ("&amp;Assumptions!$M$134&amp;"); view premium still loading until L"&amp;Assumptions!$L$134&amp;". ","")&amp;IF(D156=Assumptions!$AH$134,"Mid-floor view premium fully loaded. ","")&amp;IF(D156=Assumptions!$P$134,"High-floor view premium fully loaded. ","")&amp;IF(Q156&lt;=K156,"At developer starting price.",""))</f>
        <v/>
      </c>
      <c r="T156" s="48" t="str">
        <f>Assumptions!$AJ$134</f>
        <v>NNW. Low floors overlook drop-off; Island Club in front; better from mid floor</v>
      </c>
    </row>
    <row r="157" spans="1:20" x14ac:dyDescent="0.2">
      <c r="A157" s="13" t="s">
        <v>281</v>
      </c>
      <c r="B157" s="14">
        <v>1</v>
      </c>
      <c r="C157" s="40">
        <v>8</v>
      </c>
      <c r="D157" s="40">
        <v>9</v>
      </c>
      <c r="E157" s="9" t="s">
        <v>41</v>
      </c>
      <c r="F157" s="14" t="s">
        <v>269</v>
      </c>
      <c r="G157" s="10">
        <v>592</v>
      </c>
      <c r="H157" s="14" t="s">
        <v>62</v>
      </c>
      <c r="I157" s="41" t="str">
        <f>Assumptions!$I$134</f>
        <v>D</v>
      </c>
      <c r="J157" s="14" t="str">
        <f>IF(D157&lt;=Assumptions!$V$134,"Low",IF(D157&lt;=Assumptions!$W$134,"Mid","High"))</f>
        <v>Mid</v>
      </c>
      <c r="K157" s="15">
        <f>Assumptions!$Q$134</f>
        <v>2608</v>
      </c>
      <c r="L157" s="42">
        <f>INDEX(Assumptions!$B$61:$B$90,D157)</f>
        <v>2828.3630156472263</v>
      </c>
      <c r="M157" s="43">
        <f>IF(D157&lt;=Assumptions!$G$134,Assumptions!$AK$134,IF(D157&lt;Assumptions!$AH$134,Assumptions!$AK$134+(Assumptions!$AL$134-Assumptions!$AK$134)*(D157-Assumptions!$G$134)/(Assumptions!$AH$134-Assumptions!$G$134),IF(D157&lt;Assumptions!$P$134,Assumptions!$AL$134+(Assumptions!$AM$134-Assumptions!$AL$134)*(D157-Assumptions!$AH$134)/(Assumptions!$P$134-Assumptions!$AH$134),Assumptions!$AM$134)))</f>
        <v>-50000</v>
      </c>
      <c r="N157" s="44">
        <f t="shared" si="4"/>
        <v>-84.459459459459453</v>
      </c>
      <c r="O157" s="45">
        <f t="shared" si="5"/>
        <v>2744</v>
      </c>
      <c r="P157" s="14" t="str">
        <f>IF(D157&gt;=Assumptions!$P$134,"High",IF(D157&gt;=Assumptions!$AH$134,"Mid",IF(D157&lt;=Assumptions!$G$134,"Low","Loading")))</f>
        <v>Mid</v>
      </c>
      <c r="Q157" s="46">
        <f>MAX(K157,MIN(Assumptions!$S$134,O157),Q158)</f>
        <v>2744</v>
      </c>
      <c r="R157" s="12">
        <f>IF(AND(Q157&lt;=K157,INDEX(Assumptions!$C$26:$C$36,MATCH(G157,Assumptions!$A$26:$A$36,0))&lt;&gt;""),INDEX(Assumptions!$C$26:$C$36,MATCH(G157,Assumptions!$A$26:$A$36,0)),ROUND(G157*Q157,-2))</f>
        <v>1624400</v>
      </c>
      <c r="S157" s="47" t="str">
        <f>TRIM(IF(AND(Assumptions!$L$134&lt;&gt;"",D157&lt;Assumptions!$L$134),"View blocked / roof in front ("&amp;Assumptions!$M$134&amp;"); view premium still loading until L"&amp;Assumptions!$L$134&amp;". ","")&amp;IF(D157=Assumptions!$AH$134,"Mid-floor view premium fully loaded. ","")&amp;IF(D157=Assumptions!$P$134,"High-floor view premium fully loaded. ","")&amp;IF(Q157&lt;=K157,"At developer starting price.",""))</f>
        <v/>
      </c>
      <c r="T157" s="48" t="str">
        <f>Assumptions!$AJ$134</f>
        <v>NNW. Low floors overlook drop-off; Island Club in front; better from mid floor</v>
      </c>
    </row>
    <row r="158" spans="1:20" x14ac:dyDescent="0.2">
      <c r="A158" s="13" t="s">
        <v>282</v>
      </c>
      <c r="B158" s="14">
        <v>1</v>
      </c>
      <c r="C158" s="40">
        <v>8</v>
      </c>
      <c r="D158" s="40">
        <v>8</v>
      </c>
      <c r="E158" s="9" t="s">
        <v>41</v>
      </c>
      <c r="F158" s="14" t="s">
        <v>269</v>
      </c>
      <c r="G158" s="10">
        <v>592</v>
      </c>
      <c r="H158" s="14" t="s">
        <v>62</v>
      </c>
      <c r="I158" s="41" t="str">
        <f>Assumptions!$I$134</f>
        <v>D</v>
      </c>
      <c r="J158" s="14" t="str">
        <f>IF(D158&lt;=Assumptions!$V$134,"Low",IF(D158&lt;=Assumptions!$W$134,"Mid","High"))</f>
        <v>Mid</v>
      </c>
      <c r="K158" s="15">
        <f>Assumptions!$Q$134</f>
        <v>2608</v>
      </c>
      <c r="L158" s="42">
        <f>INDEX(Assumptions!$B$61:$B$90,D158)</f>
        <v>2808.9482219061169</v>
      </c>
      <c r="M158" s="43">
        <f>IF(D158&lt;=Assumptions!$G$134,Assumptions!$AK$134,IF(D158&lt;Assumptions!$AH$134,Assumptions!$AK$134+(Assumptions!$AL$134-Assumptions!$AK$134)*(D158-Assumptions!$G$134)/(Assumptions!$AH$134-Assumptions!$G$134),IF(D158&lt;Assumptions!$P$134,Assumptions!$AL$134+(Assumptions!$AM$134-Assumptions!$AL$134)*(D158-Assumptions!$AH$134)/(Assumptions!$P$134-Assumptions!$AH$134),Assumptions!$AM$134)))</f>
        <v>-50000</v>
      </c>
      <c r="N158" s="44">
        <f t="shared" si="4"/>
        <v>-84.459459459459453</v>
      </c>
      <c r="O158" s="45">
        <f t="shared" si="5"/>
        <v>2724</v>
      </c>
      <c r="P158" s="14" t="str">
        <f>IF(D158&gt;=Assumptions!$P$134,"High",IF(D158&gt;=Assumptions!$AH$134,"Mid",IF(D158&lt;=Assumptions!$G$134,"Low","Loading")))</f>
        <v>Mid</v>
      </c>
      <c r="Q158" s="46">
        <f>MAX(K158,MIN(Assumptions!$S$134,O158),Q159)</f>
        <v>2724</v>
      </c>
      <c r="R158" s="12">
        <f>IF(AND(Q158&lt;=K158,INDEX(Assumptions!$C$26:$C$36,MATCH(G158,Assumptions!$A$26:$A$36,0))&lt;&gt;""),INDEX(Assumptions!$C$26:$C$36,MATCH(G158,Assumptions!$A$26:$A$36,0)),ROUND(G158*Q158,-2))</f>
        <v>1612600</v>
      </c>
      <c r="S158" s="47" t="str">
        <f>TRIM(IF(AND(Assumptions!$L$134&lt;&gt;"",D158&lt;Assumptions!$L$134),"View blocked / roof in front ("&amp;Assumptions!$M$134&amp;"); view premium still loading until L"&amp;Assumptions!$L$134&amp;". ","")&amp;IF(D158=Assumptions!$AH$134,"Mid-floor view premium fully loaded. ","")&amp;IF(D158=Assumptions!$P$134,"High-floor view premium fully loaded. ","")&amp;IF(Q158&lt;=K158,"At developer starting price.",""))</f>
        <v>Mid-floor view premium fully loaded.</v>
      </c>
      <c r="T158" s="48" t="str">
        <f>Assumptions!$AJ$134</f>
        <v>NNW. Low floors overlook drop-off; Island Club in front; better from mid floor</v>
      </c>
    </row>
    <row r="159" spans="1:20" x14ac:dyDescent="0.2">
      <c r="A159" s="13" t="s">
        <v>283</v>
      </c>
      <c r="B159" s="14">
        <v>1</v>
      </c>
      <c r="C159" s="40">
        <v>8</v>
      </c>
      <c r="D159" s="40">
        <v>7</v>
      </c>
      <c r="E159" s="9" t="s">
        <v>41</v>
      </c>
      <c r="F159" s="14" t="s">
        <v>269</v>
      </c>
      <c r="G159" s="10">
        <v>592</v>
      </c>
      <c r="H159" s="14" t="s">
        <v>62</v>
      </c>
      <c r="I159" s="41" t="str">
        <f>Assumptions!$I$134</f>
        <v>D</v>
      </c>
      <c r="J159" s="14" t="str">
        <f>IF(D159&lt;=Assumptions!$V$134,"Low",IF(D159&lt;=Assumptions!$W$134,"Mid","High"))</f>
        <v>Low</v>
      </c>
      <c r="K159" s="15">
        <f>Assumptions!$Q$134</f>
        <v>2608</v>
      </c>
      <c r="L159" s="42">
        <f>INDEX(Assumptions!$B$61:$B$90,D159)</f>
        <v>2789.5334281650071</v>
      </c>
      <c r="M159" s="43">
        <f>IF(D159&lt;=Assumptions!$G$134,Assumptions!$AK$134,IF(D159&lt;Assumptions!$AH$134,Assumptions!$AK$134+(Assumptions!$AL$134-Assumptions!$AK$134)*(D159-Assumptions!$G$134)/(Assumptions!$AH$134-Assumptions!$G$134),IF(D159&lt;Assumptions!$P$134,Assumptions!$AL$134+(Assumptions!$AM$134-Assumptions!$AL$134)*(D159-Assumptions!$AH$134)/(Assumptions!$P$134-Assumptions!$AH$134),Assumptions!$AM$134)))</f>
        <v>-50000</v>
      </c>
      <c r="N159" s="44">
        <f t="shared" si="4"/>
        <v>-84.459459459459453</v>
      </c>
      <c r="O159" s="45">
        <f t="shared" si="5"/>
        <v>2705</v>
      </c>
      <c r="P159" s="14" t="str">
        <f>IF(D159&gt;=Assumptions!$P$134,"High",IF(D159&gt;=Assumptions!$AH$134,"Mid",IF(D159&lt;=Assumptions!$G$134,"Low","Loading")))</f>
        <v>Loading</v>
      </c>
      <c r="Q159" s="46">
        <f>MAX(K159,MIN(Assumptions!$S$134,O159),Q160)</f>
        <v>2705</v>
      </c>
      <c r="R159" s="12">
        <f>IF(AND(Q159&lt;=K159,INDEX(Assumptions!$C$26:$C$36,MATCH(G159,Assumptions!$A$26:$A$36,0))&lt;&gt;""),INDEX(Assumptions!$C$26:$C$36,MATCH(G159,Assumptions!$A$26:$A$36,0)),ROUND(G159*Q159,-2))</f>
        <v>1601400</v>
      </c>
      <c r="S159" s="47" t="str">
        <f>TRIM(IF(AND(Assumptions!$L$134&lt;&gt;"",D159&lt;Assumptions!$L$134),"View blocked / roof in front ("&amp;Assumptions!$M$134&amp;"); view premium still loading until L"&amp;Assumptions!$L$134&amp;". ","")&amp;IF(D159=Assumptions!$AH$134,"Mid-floor view premium fully loaded. ","")&amp;IF(D159=Assumptions!$P$134,"High-floor view premium fully loaded. ","")&amp;IF(Q159&lt;=K159,"At developer starting price.",""))</f>
        <v/>
      </c>
      <c r="T159" s="48" t="str">
        <f>Assumptions!$AJ$134</f>
        <v>NNW. Low floors overlook drop-off; Island Club in front; better from mid floor</v>
      </c>
    </row>
    <row r="160" spans="1:20" x14ac:dyDescent="0.2">
      <c r="A160" s="13" t="s">
        <v>284</v>
      </c>
      <c r="B160" s="14">
        <v>1</v>
      </c>
      <c r="C160" s="40">
        <v>8</v>
      </c>
      <c r="D160" s="40">
        <v>6</v>
      </c>
      <c r="E160" s="9" t="s">
        <v>41</v>
      </c>
      <c r="F160" s="14" t="s">
        <v>269</v>
      </c>
      <c r="G160" s="10">
        <v>592</v>
      </c>
      <c r="H160" s="14" t="s">
        <v>62</v>
      </c>
      <c r="I160" s="41" t="str">
        <f>Assumptions!$I$134</f>
        <v>D</v>
      </c>
      <c r="J160" s="14" t="str">
        <f>IF(D160&lt;=Assumptions!$V$134,"Low",IF(D160&lt;=Assumptions!$W$134,"Mid","High"))</f>
        <v>Low</v>
      </c>
      <c r="K160" s="15">
        <f>Assumptions!$Q$134</f>
        <v>2608</v>
      </c>
      <c r="L160" s="42">
        <f>INDEX(Assumptions!$B$61:$B$90,D160)</f>
        <v>2770.1186344238977</v>
      </c>
      <c r="M160" s="43">
        <f>IF(D160&lt;=Assumptions!$G$134,Assumptions!$AK$134,IF(D160&lt;Assumptions!$AH$134,Assumptions!$AK$134+(Assumptions!$AL$134-Assumptions!$AK$134)*(D160-Assumptions!$G$134)/(Assumptions!$AH$134-Assumptions!$G$134),IF(D160&lt;Assumptions!$P$134,Assumptions!$AL$134+(Assumptions!$AM$134-Assumptions!$AL$134)*(D160-Assumptions!$AH$134)/(Assumptions!$P$134-Assumptions!$AH$134),Assumptions!$AM$134)))</f>
        <v>-50000</v>
      </c>
      <c r="N160" s="44">
        <f t="shared" si="4"/>
        <v>-84.459459459459453</v>
      </c>
      <c r="O160" s="45">
        <f t="shared" si="5"/>
        <v>2686</v>
      </c>
      <c r="P160" s="14" t="str">
        <f>IF(D160&gt;=Assumptions!$P$134,"High",IF(D160&gt;=Assumptions!$AH$134,"Mid",IF(D160&lt;=Assumptions!$G$134,"Low","Loading")))</f>
        <v>Loading</v>
      </c>
      <c r="Q160" s="46">
        <f>MAX(K160,MIN(Assumptions!$S$134,O160),Q161)</f>
        <v>2686</v>
      </c>
      <c r="R160" s="12">
        <f>IF(AND(Q160&lt;=K160,INDEX(Assumptions!$C$26:$C$36,MATCH(G160,Assumptions!$A$26:$A$36,0))&lt;&gt;""),INDEX(Assumptions!$C$26:$C$36,MATCH(G160,Assumptions!$A$26:$A$36,0)),ROUND(G160*Q160,-2))</f>
        <v>1590100</v>
      </c>
      <c r="S160" s="47" t="str">
        <f>TRIM(IF(AND(Assumptions!$L$134&lt;&gt;"",D160&lt;Assumptions!$L$134),"View blocked / roof in front ("&amp;Assumptions!$M$134&amp;"); view premium still loading until L"&amp;Assumptions!$L$134&amp;". ","")&amp;IF(D160=Assumptions!$AH$134,"Mid-floor view premium fully loaded. ","")&amp;IF(D160=Assumptions!$P$134,"High-floor view premium fully loaded. ","")&amp;IF(Q160&lt;=K160,"At developer starting price.",""))</f>
        <v>View blocked / roof in front (Island Club: 52% of view, 31.7 to 66m away); view premium still loading until L7.</v>
      </c>
      <c r="T160" s="48" t="str">
        <f>Assumptions!$AJ$134</f>
        <v>NNW. Low floors overlook drop-off; Island Club in front; better from mid floor</v>
      </c>
    </row>
    <row r="161" spans="1:20" x14ac:dyDescent="0.2">
      <c r="A161" s="13" t="s">
        <v>285</v>
      </c>
      <c r="B161" s="14">
        <v>1</v>
      </c>
      <c r="C161" s="40">
        <v>8</v>
      </c>
      <c r="D161" s="40">
        <v>5</v>
      </c>
      <c r="E161" s="9" t="s">
        <v>41</v>
      </c>
      <c r="F161" s="14" t="s">
        <v>269</v>
      </c>
      <c r="G161" s="10">
        <v>592</v>
      </c>
      <c r="H161" s="14" t="s">
        <v>62</v>
      </c>
      <c r="I161" s="41" t="str">
        <f>Assumptions!$I$134</f>
        <v>D</v>
      </c>
      <c r="J161" s="14" t="str">
        <f>IF(D161&lt;=Assumptions!$V$134,"Low",IF(D161&lt;=Assumptions!$W$134,"Mid","High"))</f>
        <v>Low</v>
      </c>
      <c r="K161" s="15">
        <f>Assumptions!$Q$134</f>
        <v>2608</v>
      </c>
      <c r="L161" s="42">
        <f>INDEX(Assumptions!$B$61:$B$90,D161)</f>
        <v>2750.7038406827883</v>
      </c>
      <c r="M161" s="43">
        <f>IF(D161&lt;=Assumptions!$G$134,Assumptions!$AK$134,IF(D161&lt;Assumptions!$AH$134,Assumptions!$AK$134+(Assumptions!$AL$134-Assumptions!$AK$134)*(D161-Assumptions!$G$134)/(Assumptions!$AH$134-Assumptions!$G$134),IF(D161&lt;Assumptions!$P$134,Assumptions!$AL$134+(Assumptions!$AM$134-Assumptions!$AL$134)*(D161-Assumptions!$AH$134)/(Assumptions!$P$134-Assumptions!$AH$134),Assumptions!$AM$134)))</f>
        <v>-50000</v>
      </c>
      <c r="N161" s="44">
        <f t="shared" si="4"/>
        <v>-84.459459459459453</v>
      </c>
      <c r="O161" s="45">
        <f t="shared" si="5"/>
        <v>2666</v>
      </c>
      <c r="P161" s="14" t="str">
        <f>IF(D161&gt;=Assumptions!$P$134,"High",IF(D161&gt;=Assumptions!$AH$134,"Mid",IF(D161&lt;=Assumptions!$G$134,"Low","Loading")))</f>
        <v>Loading</v>
      </c>
      <c r="Q161" s="46">
        <f>MAX(K161,MIN(Assumptions!$S$134,O161),Q162)</f>
        <v>2666</v>
      </c>
      <c r="R161" s="12">
        <f>IF(AND(Q161&lt;=K161,INDEX(Assumptions!$C$26:$C$36,MATCH(G161,Assumptions!$A$26:$A$36,0))&lt;&gt;""),INDEX(Assumptions!$C$26:$C$36,MATCH(G161,Assumptions!$A$26:$A$36,0)),ROUND(G161*Q161,-2))</f>
        <v>1578300</v>
      </c>
      <c r="S161" s="47" t="str">
        <f>TRIM(IF(AND(Assumptions!$L$134&lt;&gt;"",D161&lt;Assumptions!$L$134),"View blocked / roof in front ("&amp;Assumptions!$M$134&amp;"); view premium still loading until L"&amp;Assumptions!$L$134&amp;". ","")&amp;IF(D161=Assumptions!$AH$134,"Mid-floor view premium fully loaded. ","")&amp;IF(D161=Assumptions!$P$134,"High-floor view premium fully loaded. ","")&amp;IF(Q161&lt;=K161,"At developer starting price.",""))</f>
        <v>View blocked / roof in front (Island Club: 52% of view, 31.7 to 66m away); view premium still loading until L7.</v>
      </c>
      <c r="T161" s="48" t="str">
        <f>Assumptions!$AJ$134</f>
        <v>NNW. Low floors overlook drop-off; Island Club in front; better from mid floor</v>
      </c>
    </row>
    <row r="162" spans="1:20" x14ac:dyDescent="0.2">
      <c r="A162" s="13" t="s">
        <v>286</v>
      </c>
      <c r="B162" s="14">
        <v>1</v>
      </c>
      <c r="C162" s="40">
        <v>8</v>
      </c>
      <c r="D162" s="40">
        <v>4</v>
      </c>
      <c r="E162" s="9" t="s">
        <v>41</v>
      </c>
      <c r="F162" s="14" t="s">
        <v>269</v>
      </c>
      <c r="G162" s="10">
        <v>592</v>
      </c>
      <c r="H162" s="14" t="s">
        <v>62</v>
      </c>
      <c r="I162" s="41" t="str">
        <f>Assumptions!$I$134</f>
        <v>D</v>
      </c>
      <c r="J162" s="14" t="str">
        <f>IF(D162&lt;=Assumptions!$V$134,"Low",IF(D162&lt;=Assumptions!$W$134,"Mid","High"))</f>
        <v>Low</v>
      </c>
      <c r="K162" s="15">
        <f>Assumptions!$Q$134</f>
        <v>2608</v>
      </c>
      <c r="L162" s="42">
        <f>INDEX(Assumptions!$B$61:$B$90,D162)</f>
        <v>2731.2890469416789</v>
      </c>
      <c r="M162" s="43">
        <f>IF(D162&lt;=Assumptions!$G$134,Assumptions!$AK$134,IF(D162&lt;Assumptions!$AH$134,Assumptions!$AK$134+(Assumptions!$AL$134-Assumptions!$AK$134)*(D162-Assumptions!$G$134)/(Assumptions!$AH$134-Assumptions!$G$134),IF(D162&lt;Assumptions!$P$134,Assumptions!$AL$134+(Assumptions!$AM$134-Assumptions!$AL$134)*(D162-Assumptions!$AH$134)/(Assumptions!$P$134-Assumptions!$AH$134),Assumptions!$AM$134)))</f>
        <v>-50000</v>
      </c>
      <c r="N162" s="44">
        <f t="shared" si="4"/>
        <v>-84.459459459459453</v>
      </c>
      <c r="O162" s="45">
        <f t="shared" si="5"/>
        <v>2647</v>
      </c>
      <c r="P162" s="14" t="str">
        <f>IF(D162&gt;=Assumptions!$P$134,"High",IF(D162&gt;=Assumptions!$AH$134,"Mid",IF(D162&lt;=Assumptions!$G$134,"Low","Loading")))</f>
        <v>Loading</v>
      </c>
      <c r="Q162" s="46">
        <f>MAX(K162,MIN(Assumptions!$S$134,O162),Q163)</f>
        <v>2647</v>
      </c>
      <c r="R162" s="12">
        <f>IF(AND(Q162&lt;=K162,INDEX(Assumptions!$C$26:$C$36,MATCH(G162,Assumptions!$A$26:$A$36,0))&lt;&gt;""),INDEX(Assumptions!$C$26:$C$36,MATCH(G162,Assumptions!$A$26:$A$36,0)),ROUND(G162*Q162,-2))</f>
        <v>1567000</v>
      </c>
      <c r="S162" s="47" t="str">
        <f>TRIM(IF(AND(Assumptions!$L$134&lt;&gt;"",D162&lt;Assumptions!$L$134),"View blocked / roof in front ("&amp;Assumptions!$M$134&amp;"); view premium still loading until L"&amp;Assumptions!$L$134&amp;". ","")&amp;IF(D162=Assumptions!$AH$134,"Mid-floor view premium fully loaded. ","")&amp;IF(D162=Assumptions!$P$134,"High-floor view premium fully loaded. ","")&amp;IF(Q162&lt;=K162,"At developer starting price.",""))</f>
        <v>View blocked / roof in front (Island Club: 52% of view, 31.7 to 66m away); view premium still loading until L7.</v>
      </c>
      <c r="T162" s="48" t="str">
        <f>Assumptions!$AJ$134</f>
        <v>NNW. Low floors overlook drop-off; Island Club in front; better from mid floor</v>
      </c>
    </row>
    <row r="163" spans="1:20" x14ac:dyDescent="0.2">
      <c r="A163" s="13" t="s">
        <v>287</v>
      </c>
      <c r="B163" s="14">
        <v>1</v>
      </c>
      <c r="C163" s="40">
        <v>8</v>
      </c>
      <c r="D163" s="40">
        <v>3</v>
      </c>
      <c r="E163" s="9" t="s">
        <v>41</v>
      </c>
      <c r="F163" s="14" t="s">
        <v>269</v>
      </c>
      <c r="G163" s="10">
        <v>592</v>
      </c>
      <c r="H163" s="14" t="s">
        <v>62</v>
      </c>
      <c r="I163" s="41" t="str">
        <f>Assumptions!$I$134</f>
        <v>D</v>
      </c>
      <c r="J163" s="14" t="str">
        <f>IF(D163&lt;=Assumptions!$V$134,"Low",IF(D163&lt;=Assumptions!$W$134,"Mid","High"))</f>
        <v>Low</v>
      </c>
      <c r="K163" s="15">
        <f>Assumptions!$Q$134</f>
        <v>2608</v>
      </c>
      <c r="L163" s="42">
        <f>INDEX(Assumptions!$B$61:$B$90,D163)</f>
        <v>2711.874253200569</v>
      </c>
      <c r="M163" s="43">
        <f>IF(D163&lt;=Assumptions!$G$134,Assumptions!$AK$134,IF(D163&lt;Assumptions!$AH$134,Assumptions!$AK$134+(Assumptions!$AL$134-Assumptions!$AK$134)*(D163-Assumptions!$G$134)/(Assumptions!$AH$134-Assumptions!$G$134),IF(D163&lt;Assumptions!$P$134,Assumptions!$AL$134+(Assumptions!$AM$134-Assumptions!$AL$134)*(D163-Assumptions!$AH$134)/(Assumptions!$P$134-Assumptions!$AH$134),Assumptions!$AM$134)))</f>
        <v>-50000</v>
      </c>
      <c r="N163" s="44">
        <f t="shared" si="4"/>
        <v>-84.459459459459453</v>
      </c>
      <c r="O163" s="45">
        <f t="shared" si="5"/>
        <v>2627</v>
      </c>
      <c r="P163" s="14" t="str">
        <f>IF(D163&gt;=Assumptions!$P$134,"High",IF(D163&gt;=Assumptions!$AH$134,"Mid",IF(D163&lt;=Assumptions!$G$134,"Low","Loading")))</f>
        <v>Loading</v>
      </c>
      <c r="Q163" s="46">
        <f>MAX(K163,MIN(Assumptions!$S$134,O163),Q164)</f>
        <v>2627</v>
      </c>
      <c r="R163" s="12">
        <f>IF(AND(Q163&lt;=K163,INDEX(Assumptions!$C$26:$C$36,MATCH(G163,Assumptions!$A$26:$A$36,0))&lt;&gt;""),INDEX(Assumptions!$C$26:$C$36,MATCH(G163,Assumptions!$A$26:$A$36,0)),ROUND(G163*Q163,-2))</f>
        <v>1555200</v>
      </c>
      <c r="S163" s="47" t="str">
        <f>TRIM(IF(AND(Assumptions!$L$134&lt;&gt;"",D163&lt;Assumptions!$L$134),"View blocked / roof in front ("&amp;Assumptions!$M$134&amp;"); view premium still loading until L"&amp;Assumptions!$L$134&amp;". ","")&amp;IF(D163=Assumptions!$AH$134,"Mid-floor view premium fully loaded. ","")&amp;IF(D163=Assumptions!$P$134,"High-floor view premium fully loaded. ","")&amp;IF(Q163&lt;=K163,"At developer starting price.",""))</f>
        <v>View blocked / roof in front (Island Club: 52% of view, 31.7 to 66m away); view premium still loading until L7.</v>
      </c>
      <c r="T163" s="48" t="str">
        <f>Assumptions!$AJ$134</f>
        <v>NNW. Low floors overlook drop-off; Island Club in front; better from mid floor</v>
      </c>
    </row>
    <row r="164" spans="1:20" x14ac:dyDescent="0.2">
      <c r="A164" s="13" t="s">
        <v>288</v>
      </c>
      <c r="B164" s="14">
        <v>1</v>
      </c>
      <c r="C164" s="40">
        <v>8</v>
      </c>
      <c r="D164" s="40">
        <v>2</v>
      </c>
      <c r="E164" s="9" t="s">
        <v>41</v>
      </c>
      <c r="F164" s="14" t="s">
        <v>289</v>
      </c>
      <c r="G164" s="10">
        <v>592</v>
      </c>
      <c r="H164" s="14" t="s">
        <v>62</v>
      </c>
      <c r="I164" s="41" t="str">
        <f>Assumptions!$I$134</f>
        <v>D</v>
      </c>
      <c r="J164" s="14" t="str">
        <f>IF(D164&lt;=Assumptions!$V$134,"Low",IF(D164&lt;=Assumptions!$W$134,"Mid","High"))</f>
        <v>Low</v>
      </c>
      <c r="K164" s="15">
        <f>Assumptions!$Q$134</f>
        <v>2608</v>
      </c>
      <c r="L164" s="42">
        <f>INDEX(Assumptions!$B$61:$B$90,D164)</f>
        <v>2692.4594594594596</v>
      </c>
      <c r="M164" s="43">
        <f>IF(D164&lt;=Assumptions!$G$134,Assumptions!$AK$134,IF(D164&lt;Assumptions!$AH$134,Assumptions!$AK$134+(Assumptions!$AL$134-Assumptions!$AK$134)*(D164-Assumptions!$G$134)/(Assumptions!$AH$134-Assumptions!$G$134),IF(D164&lt;Assumptions!$P$134,Assumptions!$AL$134+(Assumptions!$AM$134-Assumptions!$AL$134)*(D164-Assumptions!$AH$134)/(Assumptions!$P$134-Assumptions!$AH$134),Assumptions!$AM$134)))</f>
        <v>-50000</v>
      </c>
      <c r="N164" s="44">
        <f t="shared" si="4"/>
        <v>-84.459459459459453</v>
      </c>
      <c r="O164" s="45">
        <f t="shared" si="5"/>
        <v>2608</v>
      </c>
      <c r="P164" s="14" t="str">
        <f>IF(D164&gt;=Assumptions!$P$134,"High",IF(D164&gt;=Assumptions!$AH$134,"Mid",IF(D164&lt;=Assumptions!$G$134,"Low","Loading")))</f>
        <v>Low</v>
      </c>
      <c r="Q164" s="46">
        <f>MAX(K164,MIN(Assumptions!$S$134,O164))</f>
        <v>2608</v>
      </c>
      <c r="R164" s="12">
        <f>IF(AND(Q164&lt;=K164,INDEX(Assumptions!$C$26:$C$36,MATCH(G164,Assumptions!$A$26:$A$36,0))&lt;&gt;""),INDEX(Assumptions!$C$26:$C$36,MATCH(G164,Assumptions!$A$26:$A$36,0)),ROUND(G164*Q164,-2))</f>
        <v>1544000</v>
      </c>
      <c r="S164" s="47" t="str">
        <f>TRIM(IF(AND(Assumptions!$L$134&lt;&gt;"",D164&lt;Assumptions!$L$134),"View blocked / roof in front ("&amp;Assumptions!$M$134&amp;"); view premium still loading until L"&amp;Assumptions!$L$134&amp;". ","")&amp;IF(D164=Assumptions!$AH$134,"Mid-floor view premium fully loaded. ","")&amp;IF(D164=Assumptions!$P$134,"High-floor view premium fully loaded. ","")&amp;IF(Q164&lt;=K164,"At developer starting price.",""))</f>
        <v>View blocked / roof in front (Island Club: 52% of view, 31.7 to 66m away); view premium still loading until L7. At developer starting price.</v>
      </c>
      <c r="T164" s="48" t="str">
        <f>Assumptions!$AJ$134</f>
        <v>NNW. Low floors overlook drop-off; Island Club in front; better from mid floor</v>
      </c>
    </row>
    <row r="165" spans="1:20" x14ac:dyDescent="0.2">
      <c r="A165" s="13" t="s">
        <v>290</v>
      </c>
      <c r="B165" s="14">
        <v>1</v>
      </c>
      <c r="C165" s="40">
        <v>9</v>
      </c>
      <c r="D165" s="40">
        <v>21</v>
      </c>
      <c r="E165" s="9" t="s">
        <v>45</v>
      </c>
      <c r="F165" s="14" t="s">
        <v>291</v>
      </c>
      <c r="G165" s="10">
        <v>947</v>
      </c>
      <c r="H165" s="14" t="s">
        <v>62</v>
      </c>
      <c r="I165" s="41" t="str">
        <f>Assumptions!$I$135</f>
        <v>C</v>
      </c>
      <c r="J165" s="14" t="str">
        <f>IF(D165&lt;=Assumptions!$V$135,"Low",IF(D165&lt;=Assumptions!$W$135,"Mid","High"))</f>
        <v>High</v>
      </c>
      <c r="K165" s="15">
        <f>Assumptions!$Q$135</f>
        <v>2642</v>
      </c>
      <c r="L165" s="42">
        <f>INDEX(Assumptions!$I$61:$I$90,D165)</f>
        <v>3065.4538461538464</v>
      </c>
      <c r="M165" s="43">
        <f>IF(D165&lt;=Assumptions!$G$135,Assumptions!$AK$135,IF(D165&lt;Assumptions!$AH$135,Assumptions!$AK$135+(Assumptions!$AL$135-Assumptions!$AK$135)*(D165-Assumptions!$G$135)/(Assumptions!$AH$135-Assumptions!$G$135),IF(D165&lt;Assumptions!$P$135,Assumptions!$AL$135+(Assumptions!$AM$135-Assumptions!$AL$135)*(D165-Assumptions!$AH$135)/(Assumptions!$P$135-Assumptions!$AH$135),Assumptions!$AM$135)))</f>
        <v>-12500</v>
      </c>
      <c r="N165" s="44">
        <f t="shared" si="4"/>
        <v>-13.199577613516368</v>
      </c>
      <c r="O165" s="45">
        <f t="shared" si="5"/>
        <v>3052</v>
      </c>
      <c r="P165" s="14" t="str">
        <f>IF(D165&gt;=Assumptions!$P$135,"High",IF(D165&gt;=Assumptions!$AH$135,"Mid",IF(D165&lt;=Assumptions!$G$135,"Low","Loading")))</f>
        <v>High</v>
      </c>
      <c r="Q165" s="46">
        <f>MAX(K165,MIN(Assumptions!$S$135,O165),Q166)</f>
        <v>3052</v>
      </c>
      <c r="R165" s="12">
        <f>IF(AND(Q165&lt;=K165,INDEX(Assumptions!$C$26:$C$36,MATCH(G165,Assumptions!$A$26:$A$36,0))&lt;&gt;""),INDEX(Assumptions!$C$26:$C$36,MATCH(G165,Assumptions!$A$26:$A$36,0)),ROUND(G165*Q165,-2))</f>
        <v>2890200</v>
      </c>
      <c r="S165" s="47" t="str">
        <f>TRIM(IF(AND(Assumptions!$L$135&lt;&gt;"",D165&lt;Assumptions!$L$135),"View blocked / roof in front ("&amp;Assumptions!$M$135&amp;"); view premium still loading until L"&amp;Assumptions!$L$135&amp;". ","")&amp;IF(D165=Assumptions!$AH$135,"Mid-floor view premium fully loaded. ","")&amp;IF(D165=Assumptions!$P$135,"High-floor view premium fully loaded. ","")&amp;IF(Q165&lt;=K165,"At developer starting price.",""))</f>
        <v/>
      </c>
      <c r="T165" s="48" t="str">
        <f>Assumptions!$AJ$135</f>
        <v>ENE. Faces landed estate, quiet</v>
      </c>
    </row>
    <row r="166" spans="1:20" x14ac:dyDescent="0.2">
      <c r="A166" s="13" t="s">
        <v>292</v>
      </c>
      <c r="B166" s="14">
        <v>1</v>
      </c>
      <c r="C166" s="40">
        <v>9</v>
      </c>
      <c r="D166" s="40">
        <v>20</v>
      </c>
      <c r="E166" s="9" t="s">
        <v>45</v>
      </c>
      <c r="F166" s="14" t="s">
        <v>291</v>
      </c>
      <c r="G166" s="10">
        <v>947</v>
      </c>
      <c r="H166" s="14" t="s">
        <v>62</v>
      </c>
      <c r="I166" s="41" t="str">
        <f>Assumptions!$I$135</f>
        <v>C</v>
      </c>
      <c r="J166" s="14" t="str">
        <f>IF(D166&lt;=Assumptions!$V$135,"Low",IF(D166&lt;=Assumptions!$W$135,"Mid","High"))</f>
        <v>High</v>
      </c>
      <c r="K166" s="15">
        <f>Assumptions!$Q$135</f>
        <v>2642</v>
      </c>
      <c r="L166" s="42">
        <f>INDEX(Assumptions!$I$61:$I$90,D166)</f>
        <v>3040.9923076923078</v>
      </c>
      <c r="M166" s="43">
        <f>IF(D166&lt;=Assumptions!$G$135,Assumptions!$AK$135,IF(D166&lt;Assumptions!$AH$135,Assumptions!$AK$135+(Assumptions!$AL$135-Assumptions!$AK$135)*(D166-Assumptions!$G$135)/(Assumptions!$AH$135-Assumptions!$G$135),IF(D166&lt;Assumptions!$P$135,Assumptions!$AL$135+(Assumptions!$AM$135-Assumptions!$AL$135)*(D166-Assumptions!$AH$135)/(Assumptions!$P$135-Assumptions!$AH$135),Assumptions!$AM$135)))</f>
        <v>-12500</v>
      </c>
      <c r="N166" s="44">
        <f t="shared" si="4"/>
        <v>-13.199577613516368</v>
      </c>
      <c r="O166" s="45">
        <f t="shared" si="5"/>
        <v>3028</v>
      </c>
      <c r="P166" s="14" t="str">
        <f>IF(D166&gt;=Assumptions!$P$135,"High",IF(D166&gt;=Assumptions!$AH$135,"Mid",IF(D166&lt;=Assumptions!$G$135,"Low","Loading")))</f>
        <v>High</v>
      </c>
      <c r="Q166" s="46">
        <f>MAX(K166,MIN(Assumptions!$S$135,O166),Q167)</f>
        <v>3028</v>
      </c>
      <c r="R166" s="12">
        <f>IF(AND(Q166&lt;=K166,INDEX(Assumptions!$C$26:$C$36,MATCH(G166,Assumptions!$A$26:$A$36,0))&lt;&gt;""),INDEX(Assumptions!$C$26:$C$36,MATCH(G166,Assumptions!$A$26:$A$36,0)),ROUND(G166*Q166,-2))</f>
        <v>2867500</v>
      </c>
      <c r="S166" s="47" t="str">
        <f>TRIM(IF(AND(Assumptions!$L$135&lt;&gt;"",D166&lt;Assumptions!$L$135),"View blocked / roof in front ("&amp;Assumptions!$M$135&amp;"); view premium still loading until L"&amp;Assumptions!$L$135&amp;". ","")&amp;IF(D166=Assumptions!$AH$135,"Mid-floor view premium fully loaded. ","")&amp;IF(D166=Assumptions!$P$135,"High-floor view premium fully loaded. ","")&amp;IF(Q166&lt;=K166,"At developer starting price.",""))</f>
        <v/>
      </c>
      <c r="T166" s="48" t="str">
        <f>Assumptions!$AJ$135</f>
        <v>ENE. Faces landed estate, quiet</v>
      </c>
    </row>
    <row r="167" spans="1:20" x14ac:dyDescent="0.2">
      <c r="A167" s="13" t="s">
        <v>293</v>
      </c>
      <c r="B167" s="14">
        <v>1</v>
      </c>
      <c r="C167" s="40">
        <v>9</v>
      </c>
      <c r="D167" s="40">
        <v>19</v>
      </c>
      <c r="E167" s="9" t="s">
        <v>45</v>
      </c>
      <c r="F167" s="14" t="s">
        <v>291</v>
      </c>
      <c r="G167" s="10">
        <v>947</v>
      </c>
      <c r="H167" s="14" t="s">
        <v>62</v>
      </c>
      <c r="I167" s="41" t="str">
        <f>Assumptions!$I$135</f>
        <v>C</v>
      </c>
      <c r="J167" s="14" t="str">
        <f>IF(D167&lt;=Assumptions!$V$135,"Low",IF(D167&lt;=Assumptions!$W$135,"Mid","High"))</f>
        <v>High</v>
      </c>
      <c r="K167" s="15">
        <f>Assumptions!$Q$135</f>
        <v>2642</v>
      </c>
      <c r="L167" s="42">
        <f>INDEX(Assumptions!$I$61:$I$90,D167)</f>
        <v>3016.5307692307692</v>
      </c>
      <c r="M167" s="43">
        <f>IF(D167&lt;=Assumptions!$G$135,Assumptions!$AK$135,IF(D167&lt;Assumptions!$AH$135,Assumptions!$AK$135+(Assumptions!$AL$135-Assumptions!$AK$135)*(D167-Assumptions!$G$135)/(Assumptions!$AH$135-Assumptions!$G$135),IF(D167&lt;Assumptions!$P$135,Assumptions!$AL$135+(Assumptions!$AM$135-Assumptions!$AL$135)*(D167-Assumptions!$AH$135)/(Assumptions!$P$135-Assumptions!$AH$135),Assumptions!$AM$135)))</f>
        <v>-12500</v>
      </c>
      <c r="N167" s="44">
        <f t="shared" si="4"/>
        <v>-13.199577613516368</v>
      </c>
      <c r="O167" s="45">
        <f t="shared" si="5"/>
        <v>3003</v>
      </c>
      <c r="P167" s="14" t="str">
        <f>IF(D167&gt;=Assumptions!$P$135,"High",IF(D167&gt;=Assumptions!$AH$135,"Mid",IF(D167&lt;=Assumptions!$G$135,"Low","Loading")))</f>
        <v>High</v>
      </c>
      <c r="Q167" s="46">
        <f>MAX(K167,MIN(Assumptions!$S$135,O167),Q168)</f>
        <v>3003</v>
      </c>
      <c r="R167" s="12">
        <f>IF(AND(Q167&lt;=K167,INDEX(Assumptions!$C$26:$C$36,MATCH(G167,Assumptions!$A$26:$A$36,0))&lt;&gt;""),INDEX(Assumptions!$C$26:$C$36,MATCH(G167,Assumptions!$A$26:$A$36,0)),ROUND(G167*Q167,-2))</f>
        <v>2843800</v>
      </c>
      <c r="S167" s="47" t="str">
        <f>TRIM(IF(AND(Assumptions!$L$135&lt;&gt;"",D167&lt;Assumptions!$L$135),"View blocked / roof in front ("&amp;Assumptions!$M$135&amp;"); view premium still loading until L"&amp;Assumptions!$L$135&amp;". ","")&amp;IF(D167=Assumptions!$AH$135,"Mid-floor view premium fully loaded. ","")&amp;IF(D167=Assumptions!$P$135,"High-floor view premium fully loaded. ","")&amp;IF(Q167&lt;=K167,"At developer starting price.",""))</f>
        <v/>
      </c>
      <c r="T167" s="48" t="str">
        <f>Assumptions!$AJ$135</f>
        <v>ENE. Faces landed estate, quiet</v>
      </c>
    </row>
    <row r="168" spans="1:20" x14ac:dyDescent="0.2">
      <c r="A168" s="13" t="s">
        <v>294</v>
      </c>
      <c r="B168" s="14">
        <v>1</v>
      </c>
      <c r="C168" s="40">
        <v>9</v>
      </c>
      <c r="D168" s="40">
        <v>18</v>
      </c>
      <c r="E168" s="9" t="s">
        <v>45</v>
      </c>
      <c r="F168" s="14" t="s">
        <v>291</v>
      </c>
      <c r="G168" s="10">
        <v>947</v>
      </c>
      <c r="H168" s="14" t="s">
        <v>62</v>
      </c>
      <c r="I168" s="41" t="str">
        <f>Assumptions!$I$135</f>
        <v>C</v>
      </c>
      <c r="J168" s="14" t="str">
        <f>IF(D168&lt;=Assumptions!$V$135,"Low",IF(D168&lt;=Assumptions!$W$135,"Mid","High"))</f>
        <v>High</v>
      </c>
      <c r="K168" s="15">
        <f>Assumptions!$Q$135</f>
        <v>2642</v>
      </c>
      <c r="L168" s="42">
        <f>INDEX(Assumptions!$I$61:$I$90,D168)</f>
        <v>2992.0692307692311</v>
      </c>
      <c r="M168" s="43">
        <f>IF(D168&lt;=Assumptions!$G$135,Assumptions!$AK$135,IF(D168&lt;Assumptions!$AH$135,Assumptions!$AK$135+(Assumptions!$AL$135-Assumptions!$AK$135)*(D168-Assumptions!$G$135)/(Assumptions!$AH$135-Assumptions!$G$135),IF(D168&lt;Assumptions!$P$135,Assumptions!$AL$135+(Assumptions!$AM$135-Assumptions!$AL$135)*(D168-Assumptions!$AH$135)/(Assumptions!$P$135-Assumptions!$AH$135),Assumptions!$AM$135)))</f>
        <v>-12500</v>
      </c>
      <c r="N168" s="44">
        <f t="shared" si="4"/>
        <v>-13.199577613516368</v>
      </c>
      <c r="O168" s="45">
        <f t="shared" si="5"/>
        <v>2979</v>
      </c>
      <c r="P168" s="14" t="str">
        <f>IF(D168&gt;=Assumptions!$P$135,"High",IF(D168&gt;=Assumptions!$AH$135,"Mid",IF(D168&lt;=Assumptions!$G$135,"Low","Loading")))</f>
        <v>High</v>
      </c>
      <c r="Q168" s="46">
        <f>MAX(K168,MIN(Assumptions!$S$135,O168),Q169)</f>
        <v>2979</v>
      </c>
      <c r="R168" s="12">
        <f>IF(AND(Q168&lt;=K168,INDEX(Assumptions!$C$26:$C$36,MATCH(G168,Assumptions!$A$26:$A$36,0))&lt;&gt;""),INDEX(Assumptions!$C$26:$C$36,MATCH(G168,Assumptions!$A$26:$A$36,0)),ROUND(G168*Q168,-2))</f>
        <v>2821100</v>
      </c>
      <c r="S168" s="47" t="str">
        <f>TRIM(IF(AND(Assumptions!$L$135&lt;&gt;"",D168&lt;Assumptions!$L$135),"View blocked / roof in front ("&amp;Assumptions!$M$135&amp;"); view premium still loading until L"&amp;Assumptions!$L$135&amp;". ","")&amp;IF(D168=Assumptions!$AH$135,"Mid-floor view premium fully loaded. ","")&amp;IF(D168=Assumptions!$P$135,"High-floor view premium fully loaded. ","")&amp;IF(Q168&lt;=K168,"At developer starting price.",""))</f>
        <v/>
      </c>
      <c r="T168" s="48" t="str">
        <f>Assumptions!$AJ$135</f>
        <v>ENE. Faces landed estate, quiet</v>
      </c>
    </row>
    <row r="169" spans="1:20" x14ac:dyDescent="0.2">
      <c r="A169" s="13" t="s">
        <v>295</v>
      </c>
      <c r="B169" s="14">
        <v>1</v>
      </c>
      <c r="C169" s="40">
        <v>9</v>
      </c>
      <c r="D169" s="40">
        <v>17</v>
      </c>
      <c r="E169" s="9" t="s">
        <v>45</v>
      </c>
      <c r="F169" s="14" t="s">
        <v>291</v>
      </c>
      <c r="G169" s="10">
        <v>947</v>
      </c>
      <c r="H169" s="14" t="s">
        <v>62</v>
      </c>
      <c r="I169" s="41" t="str">
        <f>Assumptions!$I$135</f>
        <v>C</v>
      </c>
      <c r="J169" s="14" t="str">
        <f>IF(D169&lt;=Assumptions!$V$135,"Low",IF(D169&lt;=Assumptions!$W$135,"Mid","High"))</f>
        <v>High</v>
      </c>
      <c r="K169" s="15">
        <f>Assumptions!$Q$135</f>
        <v>2642</v>
      </c>
      <c r="L169" s="42">
        <f>INDEX(Assumptions!$I$61:$I$90,D169)</f>
        <v>2967.6076923076926</v>
      </c>
      <c r="M169" s="43">
        <f>IF(D169&lt;=Assumptions!$G$135,Assumptions!$AK$135,IF(D169&lt;Assumptions!$AH$135,Assumptions!$AK$135+(Assumptions!$AL$135-Assumptions!$AK$135)*(D169-Assumptions!$G$135)/(Assumptions!$AH$135-Assumptions!$G$135),IF(D169&lt;Assumptions!$P$135,Assumptions!$AL$135+(Assumptions!$AM$135-Assumptions!$AL$135)*(D169-Assumptions!$AH$135)/(Assumptions!$P$135-Assumptions!$AH$135),Assumptions!$AM$135)))</f>
        <v>-12500</v>
      </c>
      <c r="N169" s="44">
        <f t="shared" si="4"/>
        <v>-13.199577613516368</v>
      </c>
      <c r="O169" s="45">
        <f t="shared" si="5"/>
        <v>2954</v>
      </c>
      <c r="P169" s="14" t="str">
        <f>IF(D169&gt;=Assumptions!$P$135,"High",IF(D169&gt;=Assumptions!$AH$135,"Mid",IF(D169&lt;=Assumptions!$G$135,"Low","Loading")))</f>
        <v>High</v>
      </c>
      <c r="Q169" s="46">
        <f>MAX(K169,MIN(Assumptions!$S$135,O169),Q170)</f>
        <v>2954</v>
      </c>
      <c r="R169" s="12">
        <f>IF(AND(Q169&lt;=K169,INDEX(Assumptions!$C$26:$C$36,MATCH(G169,Assumptions!$A$26:$A$36,0))&lt;&gt;""),INDEX(Assumptions!$C$26:$C$36,MATCH(G169,Assumptions!$A$26:$A$36,0)),ROUND(G169*Q169,-2))</f>
        <v>2797400</v>
      </c>
      <c r="S169" s="47" t="str">
        <f>TRIM(IF(AND(Assumptions!$L$135&lt;&gt;"",D169&lt;Assumptions!$L$135),"View blocked / roof in front ("&amp;Assumptions!$M$135&amp;"); view premium still loading until L"&amp;Assumptions!$L$135&amp;". ","")&amp;IF(D169=Assumptions!$AH$135,"Mid-floor view premium fully loaded. ","")&amp;IF(D169=Assumptions!$P$135,"High-floor view premium fully loaded. ","")&amp;IF(Q169&lt;=K169,"At developer starting price.",""))</f>
        <v/>
      </c>
      <c r="T169" s="48" t="str">
        <f>Assumptions!$AJ$135</f>
        <v>ENE. Faces landed estate, quiet</v>
      </c>
    </row>
    <row r="170" spans="1:20" x14ac:dyDescent="0.2">
      <c r="A170" s="13" t="s">
        <v>296</v>
      </c>
      <c r="B170" s="14">
        <v>1</v>
      </c>
      <c r="C170" s="40">
        <v>9</v>
      </c>
      <c r="D170" s="40">
        <v>16</v>
      </c>
      <c r="E170" s="9" t="s">
        <v>45</v>
      </c>
      <c r="F170" s="14" t="s">
        <v>291</v>
      </c>
      <c r="G170" s="10">
        <v>947</v>
      </c>
      <c r="H170" s="14" t="s">
        <v>62</v>
      </c>
      <c r="I170" s="41" t="str">
        <f>Assumptions!$I$135</f>
        <v>C</v>
      </c>
      <c r="J170" s="14" t="str">
        <f>IF(D170&lt;=Assumptions!$V$135,"Low",IF(D170&lt;=Assumptions!$W$135,"Mid","High"))</f>
        <v>High</v>
      </c>
      <c r="K170" s="15">
        <f>Assumptions!$Q$135</f>
        <v>2642</v>
      </c>
      <c r="L170" s="42">
        <f>INDEX(Assumptions!$I$61:$I$90,D170)</f>
        <v>2943.146153846154</v>
      </c>
      <c r="M170" s="43">
        <f>IF(D170&lt;=Assumptions!$G$135,Assumptions!$AK$135,IF(D170&lt;Assumptions!$AH$135,Assumptions!$AK$135+(Assumptions!$AL$135-Assumptions!$AK$135)*(D170-Assumptions!$G$135)/(Assumptions!$AH$135-Assumptions!$G$135),IF(D170&lt;Assumptions!$P$135,Assumptions!$AL$135+(Assumptions!$AM$135-Assumptions!$AL$135)*(D170-Assumptions!$AH$135)/(Assumptions!$P$135-Assumptions!$AH$135),Assumptions!$AM$135)))</f>
        <v>-12500</v>
      </c>
      <c r="N170" s="44">
        <f t="shared" si="4"/>
        <v>-13.199577613516368</v>
      </c>
      <c r="O170" s="45">
        <f t="shared" si="5"/>
        <v>2930</v>
      </c>
      <c r="P170" s="14" t="str">
        <f>IF(D170&gt;=Assumptions!$P$135,"High",IF(D170&gt;=Assumptions!$AH$135,"Mid",IF(D170&lt;=Assumptions!$G$135,"Low","Loading")))</f>
        <v>High</v>
      </c>
      <c r="Q170" s="46">
        <f>MAX(K170,MIN(Assumptions!$S$135,O170),Q171)</f>
        <v>2930</v>
      </c>
      <c r="R170" s="12">
        <f>IF(AND(Q170&lt;=K170,INDEX(Assumptions!$C$26:$C$36,MATCH(G170,Assumptions!$A$26:$A$36,0))&lt;&gt;""),INDEX(Assumptions!$C$26:$C$36,MATCH(G170,Assumptions!$A$26:$A$36,0)),ROUND(G170*Q170,-2))</f>
        <v>2774700</v>
      </c>
      <c r="S170" s="47" t="str">
        <f>TRIM(IF(AND(Assumptions!$L$135&lt;&gt;"",D170&lt;Assumptions!$L$135),"View blocked / roof in front ("&amp;Assumptions!$M$135&amp;"); view premium still loading until L"&amp;Assumptions!$L$135&amp;". ","")&amp;IF(D170=Assumptions!$AH$135,"Mid-floor view premium fully loaded. ","")&amp;IF(D170=Assumptions!$P$135,"High-floor view premium fully loaded. ","")&amp;IF(Q170&lt;=K170,"At developer starting price.",""))</f>
        <v>High-floor view premium fully loaded.</v>
      </c>
      <c r="T170" s="48" t="str">
        <f>Assumptions!$AJ$135</f>
        <v>ENE. Faces landed estate, quiet</v>
      </c>
    </row>
    <row r="171" spans="1:20" x14ac:dyDescent="0.2">
      <c r="A171" s="13" t="s">
        <v>297</v>
      </c>
      <c r="B171" s="14">
        <v>1</v>
      </c>
      <c r="C171" s="40">
        <v>9</v>
      </c>
      <c r="D171" s="40">
        <v>15</v>
      </c>
      <c r="E171" s="9" t="s">
        <v>45</v>
      </c>
      <c r="F171" s="14" t="s">
        <v>291</v>
      </c>
      <c r="G171" s="10">
        <v>947</v>
      </c>
      <c r="H171" s="14" t="s">
        <v>62</v>
      </c>
      <c r="I171" s="41" t="str">
        <f>Assumptions!$I$135</f>
        <v>C</v>
      </c>
      <c r="J171" s="14" t="str">
        <f>IF(D171&lt;=Assumptions!$V$135,"Low",IF(D171&lt;=Assumptions!$W$135,"Mid","High"))</f>
        <v>Mid</v>
      </c>
      <c r="K171" s="15">
        <f>Assumptions!$Q$135</f>
        <v>2642</v>
      </c>
      <c r="L171" s="42">
        <f>INDEX(Assumptions!$I$61:$I$90,D171)</f>
        <v>2918.6846153846154</v>
      </c>
      <c r="M171" s="43">
        <f>IF(D171&lt;=Assumptions!$G$135,Assumptions!$AK$135,IF(D171&lt;Assumptions!$AH$135,Assumptions!$AK$135+(Assumptions!$AL$135-Assumptions!$AK$135)*(D171-Assumptions!$G$135)/(Assumptions!$AH$135-Assumptions!$G$135),IF(D171&lt;Assumptions!$P$135,Assumptions!$AL$135+(Assumptions!$AM$135-Assumptions!$AL$135)*(D171-Assumptions!$AH$135)/(Assumptions!$P$135-Assumptions!$AH$135),Assumptions!$AM$135)))</f>
        <v>-11734.693877551021</v>
      </c>
      <c r="N171" s="44">
        <f t="shared" si="4"/>
        <v>-12.391440208607202</v>
      </c>
      <c r="O171" s="45">
        <f t="shared" si="5"/>
        <v>2906</v>
      </c>
      <c r="P171" s="14" t="str">
        <f>IF(D171&gt;=Assumptions!$P$135,"High",IF(D171&gt;=Assumptions!$AH$135,"Mid",IF(D171&lt;=Assumptions!$G$135,"Low","Loading")))</f>
        <v>Mid</v>
      </c>
      <c r="Q171" s="46">
        <f>MAX(K171,MIN(Assumptions!$S$135,O171),Q172)</f>
        <v>2906</v>
      </c>
      <c r="R171" s="12">
        <f>IF(AND(Q171&lt;=K171,INDEX(Assumptions!$C$26:$C$36,MATCH(G171,Assumptions!$A$26:$A$36,0))&lt;&gt;""),INDEX(Assumptions!$C$26:$C$36,MATCH(G171,Assumptions!$A$26:$A$36,0)),ROUND(G171*Q171,-2))</f>
        <v>2752000</v>
      </c>
      <c r="S171" s="47" t="str">
        <f>TRIM(IF(AND(Assumptions!$L$135&lt;&gt;"",D171&lt;Assumptions!$L$135),"View blocked / roof in front ("&amp;Assumptions!$M$135&amp;"); view premium still loading until L"&amp;Assumptions!$L$135&amp;". ","")&amp;IF(D171=Assumptions!$AH$135,"Mid-floor view premium fully loaded. ","")&amp;IF(D171=Assumptions!$P$135,"High-floor view premium fully loaded. ","")&amp;IF(Q171&lt;=K171,"At developer starting price.",""))</f>
        <v/>
      </c>
      <c r="T171" s="48" t="str">
        <f>Assumptions!$AJ$135</f>
        <v>ENE. Faces landed estate, quiet</v>
      </c>
    </row>
    <row r="172" spans="1:20" x14ac:dyDescent="0.2">
      <c r="A172" s="13" t="s">
        <v>298</v>
      </c>
      <c r="B172" s="14">
        <v>1</v>
      </c>
      <c r="C172" s="40">
        <v>9</v>
      </c>
      <c r="D172" s="40">
        <v>14</v>
      </c>
      <c r="E172" s="9" t="s">
        <v>45</v>
      </c>
      <c r="F172" s="14" t="s">
        <v>291</v>
      </c>
      <c r="G172" s="10">
        <v>947</v>
      </c>
      <c r="H172" s="14" t="s">
        <v>62</v>
      </c>
      <c r="I172" s="41" t="str">
        <f>Assumptions!$I$135</f>
        <v>C</v>
      </c>
      <c r="J172" s="14" t="str">
        <f>IF(D172&lt;=Assumptions!$V$135,"Low",IF(D172&lt;=Assumptions!$W$135,"Mid","High"))</f>
        <v>Mid</v>
      </c>
      <c r="K172" s="15">
        <f>Assumptions!$Q$135</f>
        <v>2642</v>
      </c>
      <c r="L172" s="42">
        <f>INDEX(Assumptions!$I$61:$I$90,D172)</f>
        <v>2894.2230769230773</v>
      </c>
      <c r="M172" s="43">
        <f>IF(D172&lt;=Assumptions!$G$135,Assumptions!$AK$135,IF(D172&lt;Assumptions!$AH$135,Assumptions!$AK$135+(Assumptions!$AL$135-Assumptions!$AK$135)*(D172-Assumptions!$G$135)/(Assumptions!$AH$135-Assumptions!$G$135),IF(D172&lt;Assumptions!$P$135,Assumptions!$AL$135+(Assumptions!$AM$135-Assumptions!$AL$135)*(D172-Assumptions!$AH$135)/(Assumptions!$P$135-Assumptions!$AH$135),Assumptions!$AM$135)))</f>
        <v>-10969.387755102041</v>
      </c>
      <c r="N172" s="44">
        <f t="shared" si="4"/>
        <v>-11.583302803698038</v>
      </c>
      <c r="O172" s="45">
        <f t="shared" si="5"/>
        <v>2883</v>
      </c>
      <c r="P172" s="14" t="str">
        <f>IF(D172&gt;=Assumptions!$P$135,"High",IF(D172&gt;=Assumptions!$AH$135,"Mid",IF(D172&lt;=Assumptions!$G$135,"Low","Loading")))</f>
        <v>Mid</v>
      </c>
      <c r="Q172" s="46">
        <f>MAX(K172,MIN(Assumptions!$S$135,O172),Q173)</f>
        <v>2883</v>
      </c>
      <c r="R172" s="12">
        <f>IF(AND(Q172&lt;=K172,INDEX(Assumptions!$C$26:$C$36,MATCH(G172,Assumptions!$A$26:$A$36,0))&lt;&gt;""),INDEX(Assumptions!$C$26:$C$36,MATCH(G172,Assumptions!$A$26:$A$36,0)),ROUND(G172*Q172,-2))</f>
        <v>2730200</v>
      </c>
      <c r="S172" s="47" t="str">
        <f>TRIM(IF(AND(Assumptions!$L$135&lt;&gt;"",D172&lt;Assumptions!$L$135),"View blocked / roof in front ("&amp;Assumptions!$M$135&amp;"); view premium still loading until L"&amp;Assumptions!$L$135&amp;". ","")&amp;IF(D172=Assumptions!$AH$135,"Mid-floor view premium fully loaded. ","")&amp;IF(D172=Assumptions!$P$135,"High-floor view premium fully loaded. ","")&amp;IF(Q172&lt;=K172,"At developer starting price.",""))</f>
        <v/>
      </c>
      <c r="T172" s="48" t="str">
        <f>Assumptions!$AJ$135</f>
        <v>ENE. Faces landed estate, quiet</v>
      </c>
    </row>
    <row r="173" spans="1:20" x14ac:dyDescent="0.2">
      <c r="A173" s="13" t="s">
        <v>299</v>
      </c>
      <c r="B173" s="14">
        <v>1</v>
      </c>
      <c r="C173" s="40">
        <v>9</v>
      </c>
      <c r="D173" s="40">
        <v>13</v>
      </c>
      <c r="E173" s="9" t="s">
        <v>45</v>
      </c>
      <c r="F173" s="14" t="s">
        <v>291</v>
      </c>
      <c r="G173" s="10">
        <v>947</v>
      </c>
      <c r="H173" s="14" t="s">
        <v>62</v>
      </c>
      <c r="I173" s="41" t="str">
        <f>Assumptions!$I$135</f>
        <v>C</v>
      </c>
      <c r="J173" s="14" t="str">
        <f>IF(D173&lt;=Assumptions!$V$135,"Low",IF(D173&lt;=Assumptions!$W$135,"Mid","High"))</f>
        <v>Mid</v>
      </c>
      <c r="K173" s="15">
        <f>Assumptions!$Q$135</f>
        <v>2642</v>
      </c>
      <c r="L173" s="42">
        <f>INDEX(Assumptions!$I$61:$I$90,D173)</f>
        <v>2869.7615384615387</v>
      </c>
      <c r="M173" s="43">
        <f>IF(D173&lt;=Assumptions!$G$135,Assumptions!$AK$135,IF(D173&lt;Assumptions!$AH$135,Assumptions!$AK$135+(Assumptions!$AL$135-Assumptions!$AK$135)*(D173-Assumptions!$G$135)/(Assumptions!$AH$135-Assumptions!$G$135),IF(D173&lt;Assumptions!$P$135,Assumptions!$AL$135+(Assumptions!$AM$135-Assumptions!$AL$135)*(D173-Assumptions!$AH$135)/(Assumptions!$P$135-Assumptions!$AH$135),Assumptions!$AM$135)))</f>
        <v>-10204.081632653062</v>
      </c>
      <c r="N173" s="44">
        <f t="shared" si="4"/>
        <v>-10.775165398788872</v>
      </c>
      <c r="O173" s="45">
        <f t="shared" si="5"/>
        <v>2859</v>
      </c>
      <c r="P173" s="14" t="str">
        <f>IF(D173&gt;=Assumptions!$P$135,"High",IF(D173&gt;=Assumptions!$AH$135,"Mid",IF(D173&lt;=Assumptions!$G$135,"Low","Loading")))</f>
        <v>Mid</v>
      </c>
      <c r="Q173" s="46">
        <f>MAX(K173,MIN(Assumptions!$S$135,O173),Q174)</f>
        <v>2859</v>
      </c>
      <c r="R173" s="12">
        <f>IF(AND(Q173&lt;=K173,INDEX(Assumptions!$C$26:$C$36,MATCH(G173,Assumptions!$A$26:$A$36,0))&lt;&gt;""),INDEX(Assumptions!$C$26:$C$36,MATCH(G173,Assumptions!$A$26:$A$36,0)),ROUND(G173*Q173,-2))</f>
        <v>2707500</v>
      </c>
      <c r="S173" s="47" t="str">
        <f>TRIM(IF(AND(Assumptions!$L$135&lt;&gt;"",D173&lt;Assumptions!$L$135),"View blocked / roof in front ("&amp;Assumptions!$M$135&amp;"); view premium still loading until L"&amp;Assumptions!$L$135&amp;". ","")&amp;IF(D173=Assumptions!$AH$135,"Mid-floor view premium fully loaded. ","")&amp;IF(D173=Assumptions!$P$135,"High-floor view premium fully loaded. ","")&amp;IF(Q173&lt;=K173,"At developer starting price.",""))</f>
        <v/>
      </c>
      <c r="T173" s="48" t="str">
        <f>Assumptions!$AJ$135</f>
        <v>ENE. Faces landed estate, quiet</v>
      </c>
    </row>
    <row r="174" spans="1:20" x14ac:dyDescent="0.2">
      <c r="A174" s="13" t="s">
        <v>300</v>
      </c>
      <c r="B174" s="14">
        <v>1</v>
      </c>
      <c r="C174" s="40">
        <v>9</v>
      </c>
      <c r="D174" s="40">
        <v>12</v>
      </c>
      <c r="E174" s="9" t="s">
        <v>45</v>
      </c>
      <c r="F174" s="14" t="s">
        <v>291</v>
      </c>
      <c r="G174" s="10">
        <v>947</v>
      </c>
      <c r="H174" s="14" t="s">
        <v>62</v>
      </c>
      <c r="I174" s="41" t="str">
        <f>Assumptions!$I$135</f>
        <v>C</v>
      </c>
      <c r="J174" s="14" t="str">
        <f>IF(D174&lt;=Assumptions!$V$135,"Low",IF(D174&lt;=Assumptions!$W$135,"Mid","High"))</f>
        <v>Mid</v>
      </c>
      <c r="K174" s="15">
        <f>Assumptions!$Q$135</f>
        <v>2642</v>
      </c>
      <c r="L174" s="42">
        <f>INDEX(Assumptions!$I$61:$I$90,D174)</f>
        <v>2845.3</v>
      </c>
      <c r="M174" s="43">
        <f>IF(D174&lt;=Assumptions!$G$135,Assumptions!$AK$135,IF(D174&lt;Assumptions!$AH$135,Assumptions!$AK$135+(Assumptions!$AL$135-Assumptions!$AK$135)*(D174-Assumptions!$G$135)/(Assumptions!$AH$135-Assumptions!$G$135),IF(D174&lt;Assumptions!$P$135,Assumptions!$AL$135+(Assumptions!$AM$135-Assumptions!$AL$135)*(D174-Assumptions!$AH$135)/(Assumptions!$P$135-Assumptions!$AH$135),Assumptions!$AM$135)))</f>
        <v>-9438.7755102040828</v>
      </c>
      <c r="N174" s="44">
        <f t="shared" si="4"/>
        <v>-9.9670279938797073</v>
      </c>
      <c r="O174" s="45">
        <f t="shared" si="5"/>
        <v>2835</v>
      </c>
      <c r="P174" s="14" t="str">
        <f>IF(D174&gt;=Assumptions!$P$135,"High",IF(D174&gt;=Assumptions!$AH$135,"Mid",IF(D174&lt;=Assumptions!$G$135,"Low","Loading")))</f>
        <v>Mid</v>
      </c>
      <c r="Q174" s="46">
        <f>MAX(K174,MIN(Assumptions!$S$135,O174),Q175)</f>
        <v>2835</v>
      </c>
      <c r="R174" s="12">
        <f>IF(AND(Q174&lt;=K174,INDEX(Assumptions!$C$26:$C$36,MATCH(G174,Assumptions!$A$26:$A$36,0))&lt;&gt;""),INDEX(Assumptions!$C$26:$C$36,MATCH(G174,Assumptions!$A$26:$A$36,0)),ROUND(G174*Q174,-2))</f>
        <v>2684700</v>
      </c>
      <c r="S174" s="47" t="str">
        <f>TRIM(IF(AND(Assumptions!$L$135&lt;&gt;"",D174&lt;Assumptions!$L$135),"View blocked / roof in front ("&amp;Assumptions!$M$135&amp;"); view premium still loading until L"&amp;Assumptions!$L$135&amp;". ","")&amp;IF(D174=Assumptions!$AH$135,"Mid-floor view premium fully loaded. ","")&amp;IF(D174=Assumptions!$P$135,"High-floor view premium fully loaded. ","")&amp;IF(Q174&lt;=K174,"At developer starting price.",""))</f>
        <v/>
      </c>
      <c r="T174" s="48" t="str">
        <f>Assumptions!$AJ$135</f>
        <v>ENE. Faces landed estate, quiet</v>
      </c>
    </row>
    <row r="175" spans="1:20" x14ac:dyDescent="0.2">
      <c r="A175" s="13" t="s">
        <v>301</v>
      </c>
      <c r="B175" s="14">
        <v>1</v>
      </c>
      <c r="C175" s="40">
        <v>9</v>
      </c>
      <c r="D175" s="40">
        <v>11</v>
      </c>
      <c r="E175" s="9" t="s">
        <v>45</v>
      </c>
      <c r="F175" s="14" t="s">
        <v>291</v>
      </c>
      <c r="G175" s="10">
        <v>947</v>
      </c>
      <c r="H175" s="14" t="s">
        <v>62</v>
      </c>
      <c r="I175" s="41" t="str">
        <f>Assumptions!$I$135</f>
        <v>C</v>
      </c>
      <c r="J175" s="14" t="str">
        <f>IF(D175&lt;=Assumptions!$V$135,"Low",IF(D175&lt;=Assumptions!$W$135,"Mid","High"))</f>
        <v>Mid</v>
      </c>
      <c r="K175" s="15">
        <f>Assumptions!$Q$135</f>
        <v>2642</v>
      </c>
      <c r="L175" s="42">
        <f>INDEX(Assumptions!$I$61:$I$90,D175)</f>
        <v>2830.2498310454066</v>
      </c>
      <c r="M175" s="43">
        <f>IF(D175&lt;=Assumptions!$G$135,Assumptions!$AK$135,IF(D175&lt;Assumptions!$AH$135,Assumptions!$AK$135+(Assumptions!$AL$135-Assumptions!$AK$135)*(D175-Assumptions!$G$135)/(Assumptions!$AH$135-Assumptions!$G$135),IF(D175&lt;Assumptions!$P$135,Assumptions!$AL$135+(Assumptions!$AM$135-Assumptions!$AL$135)*(D175-Assumptions!$AH$135)/(Assumptions!$P$135-Assumptions!$AH$135),Assumptions!$AM$135)))</f>
        <v>-8673.4693877551035</v>
      </c>
      <c r="N175" s="44">
        <f t="shared" si="4"/>
        <v>-9.158890588970543</v>
      </c>
      <c r="O175" s="45">
        <f t="shared" si="5"/>
        <v>2821</v>
      </c>
      <c r="P175" s="14" t="str">
        <f>IF(D175&gt;=Assumptions!$P$135,"High",IF(D175&gt;=Assumptions!$AH$135,"Mid",IF(D175&lt;=Assumptions!$G$135,"Low","Loading")))</f>
        <v>Mid</v>
      </c>
      <c r="Q175" s="46">
        <f>MAX(K175,MIN(Assumptions!$S$135,O175),Q176)</f>
        <v>2821</v>
      </c>
      <c r="R175" s="12">
        <f>IF(AND(Q175&lt;=K175,INDEX(Assumptions!$C$26:$C$36,MATCH(G175,Assumptions!$A$26:$A$36,0))&lt;&gt;""),INDEX(Assumptions!$C$26:$C$36,MATCH(G175,Assumptions!$A$26:$A$36,0)),ROUND(G175*Q175,-2))</f>
        <v>2671500</v>
      </c>
      <c r="S175" s="47" t="str">
        <f>TRIM(IF(AND(Assumptions!$L$135&lt;&gt;"",D175&lt;Assumptions!$L$135),"View blocked / roof in front ("&amp;Assumptions!$M$135&amp;"); view premium still loading until L"&amp;Assumptions!$L$135&amp;". ","")&amp;IF(D175=Assumptions!$AH$135,"Mid-floor view premium fully loaded. ","")&amp;IF(D175=Assumptions!$P$135,"High-floor view premium fully loaded. ","")&amp;IF(Q175&lt;=K175,"At developer starting price.",""))</f>
        <v/>
      </c>
      <c r="T175" s="48" t="str">
        <f>Assumptions!$AJ$135</f>
        <v>ENE. Faces landed estate, quiet</v>
      </c>
    </row>
    <row r="176" spans="1:20" x14ac:dyDescent="0.2">
      <c r="A176" s="13" t="s">
        <v>302</v>
      </c>
      <c r="B176" s="14">
        <v>1</v>
      </c>
      <c r="C176" s="40">
        <v>9</v>
      </c>
      <c r="D176" s="40">
        <v>10</v>
      </c>
      <c r="E176" s="9" t="s">
        <v>45</v>
      </c>
      <c r="F176" s="14" t="s">
        <v>291</v>
      </c>
      <c r="G176" s="10">
        <v>947</v>
      </c>
      <c r="H176" s="14" t="s">
        <v>62</v>
      </c>
      <c r="I176" s="41" t="str">
        <f>Assumptions!$I$135</f>
        <v>C</v>
      </c>
      <c r="J176" s="14" t="str">
        <f>IF(D176&lt;=Assumptions!$V$135,"Low",IF(D176&lt;=Assumptions!$W$135,"Mid","High"))</f>
        <v>Mid</v>
      </c>
      <c r="K176" s="15">
        <f>Assumptions!$Q$135</f>
        <v>2642</v>
      </c>
      <c r="L176" s="42">
        <f>INDEX(Assumptions!$I$61:$I$90,D176)</f>
        <v>2815.199662090813</v>
      </c>
      <c r="M176" s="43">
        <f>IF(D176&lt;=Assumptions!$G$135,Assumptions!$AK$135,IF(D176&lt;Assumptions!$AH$135,Assumptions!$AK$135+(Assumptions!$AL$135-Assumptions!$AK$135)*(D176-Assumptions!$G$135)/(Assumptions!$AH$135-Assumptions!$G$135),IF(D176&lt;Assumptions!$P$135,Assumptions!$AL$135+(Assumptions!$AM$135-Assumptions!$AL$135)*(D176-Assumptions!$AH$135)/(Assumptions!$P$135-Assumptions!$AH$135),Assumptions!$AM$135)))</f>
        <v>-7908.1632653061242</v>
      </c>
      <c r="N176" s="44">
        <f t="shared" si="4"/>
        <v>-8.3507531840613769</v>
      </c>
      <c r="O176" s="45">
        <f t="shared" si="5"/>
        <v>2807</v>
      </c>
      <c r="P176" s="14" t="str">
        <f>IF(D176&gt;=Assumptions!$P$135,"High",IF(D176&gt;=Assumptions!$AH$135,"Mid",IF(D176&lt;=Assumptions!$G$135,"Low","Loading")))</f>
        <v>Mid</v>
      </c>
      <c r="Q176" s="46">
        <f>MAX(K176,MIN(Assumptions!$S$135,O176),Q177)</f>
        <v>2807</v>
      </c>
      <c r="R176" s="12">
        <f>IF(AND(Q176&lt;=K176,INDEX(Assumptions!$C$26:$C$36,MATCH(G176,Assumptions!$A$26:$A$36,0))&lt;&gt;""),INDEX(Assumptions!$C$26:$C$36,MATCH(G176,Assumptions!$A$26:$A$36,0)),ROUND(G176*Q176,-2))</f>
        <v>2658200</v>
      </c>
      <c r="S176" s="47" t="str">
        <f>TRIM(IF(AND(Assumptions!$L$135&lt;&gt;"",D176&lt;Assumptions!$L$135),"View blocked / roof in front ("&amp;Assumptions!$M$135&amp;"); view premium still loading until L"&amp;Assumptions!$L$135&amp;". ","")&amp;IF(D176=Assumptions!$AH$135,"Mid-floor view premium fully loaded. ","")&amp;IF(D176=Assumptions!$P$135,"High-floor view premium fully loaded. ","")&amp;IF(Q176&lt;=K176,"At developer starting price.",""))</f>
        <v/>
      </c>
      <c r="T176" s="48" t="str">
        <f>Assumptions!$AJ$135</f>
        <v>ENE. Faces landed estate, quiet</v>
      </c>
    </row>
    <row r="177" spans="1:20" x14ac:dyDescent="0.2">
      <c r="A177" s="13" t="s">
        <v>303</v>
      </c>
      <c r="B177" s="14">
        <v>1</v>
      </c>
      <c r="C177" s="40">
        <v>9</v>
      </c>
      <c r="D177" s="40">
        <v>9</v>
      </c>
      <c r="E177" s="9" t="s">
        <v>45</v>
      </c>
      <c r="F177" s="14" t="s">
        <v>291</v>
      </c>
      <c r="G177" s="10">
        <v>947</v>
      </c>
      <c r="H177" s="14" t="s">
        <v>62</v>
      </c>
      <c r="I177" s="41" t="str">
        <f>Assumptions!$I$135</f>
        <v>C</v>
      </c>
      <c r="J177" s="14" t="str">
        <f>IF(D177&lt;=Assumptions!$V$135,"Low",IF(D177&lt;=Assumptions!$W$135,"Mid","High"))</f>
        <v>Mid</v>
      </c>
      <c r="K177" s="15">
        <f>Assumptions!$Q$135</f>
        <v>2642</v>
      </c>
      <c r="L177" s="42">
        <f>INDEX(Assumptions!$I$61:$I$90,D177)</f>
        <v>2800.1494931362199</v>
      </c>
      <c r="M177" s="43">
        <f>IF(D177&lt;=Assumptions!$G$135,Assumptions!$AK$135,IF(D177&lt;Assumptions!$AH$135,Assumptions!$AK$135+(Assumptions!$AL$135-Assumptions!$AK$135)*(D177-Assumptions!$G$135)/(Assumptions!$AH$135-Assumptions!$G$135),IF(D177&lt;Assumptions!$P$135,Assumptions!$AL$135+(Assumptions!$AM$135-Assumptions!$AL$135)*(D177-Assumptions!$AH$135)/(Assumptions!$P$135-Assumptions!$AH$135),Assumptions!$AM$135)))</f>
        <v>-7142.8571428571449</v>
      </c>
      <c r="N177" s="44">
        <f t="shared" si="4"/>
        <v>-7.5426157791522126</v>
      </c>
      <c r="O177" s="45">
        <f t="shared" si="5"/>
        <v>2793</v>
      </c>
      <c r="P177" s="14" t="str">
        <f>IF(D177&gt;=Assumptions!$P$135,"High",IF(D177&gt;=Assumptions!$AH$135,"Mid",IF(D177&lt;=Assumptions!$G$135,"Low","Loading")))</f>
        <v>Mid</v>
      </c>
      <c r="Q177" s="46">
        <f>MAX(K177,MIN(Assumptions!$S$135,O177),Q178)</f>
        <v>2793</v>
      </c>
      <c r="R177" s="12">
        <f>IF(AND(Q177&lt;=K177,INDEX(Assumptions!$C$26:$C$36,MATCH(G177,Assumptions!$A$26:$A$36,0))&lt;&gt;""),INDEX(Assumptions!$C$26:$C$36,MATCH(G177,Assumptions!$A$26:$A$36,0)),ROUND(G177*Q177,-2))</f>
        <v>2645000</v>
      </c>
      <c r="S177" s="47" t="str">
        <f>TRIM(IF(AND(Assumptions!$L$135&lt;&gt;"",D177&lt;Assumptions!$L$135),"View blocked / roof in front ("&amp;Assumptions!$M$135&amp;"); view premium still loading until L"&amp;Assumptions!$L$135&amp;". ","")&amp;IF(D177=Assumptions!$AH$135,"Mid-floor view premium fully loaded. ","")&amp;IF(D177=Assumptions!$P$135,"High-floor view premium fully loaded. ","")&amp;IF(Q177&lt;=K177,"At developer starting price.",""))</f>
        <v>Mid-floor view premium fully loaded.</v>
      </c>
      <c r="T177" s="48" t="str">
        <f>Assumptions!$AJ$135</f>
        <v>ENE. Faces landed estate, quiet</v>
      </c>
    </row>
    <row r="178" spans="1:20" x14ac:dyDescent="0.2">
      <c r="A178" s="13" t="s">
        <v>304</v>
      </c>
      <c r="B178" s="14">
        <v>1</v>
      </c>
      <c r="C178" s="40">
        <v>9</v>
      </c>
      <c r="D178" s="40">
        <v>8</v>
      </c>
      <c r="E178" s="9" t="s">
        <v>45</v>
      </c>
      <c r="F178" s="14" t="s">
        <v>291</v>
      </c>
      <c r="G178" s="10">
        <v>947</v>
      </c>
      <c r="H178" s="14" t="s">
        <v>62</v>
      </c>
      <c r="I178" s="41" t="str">
        <f>Assumptions!$I$135</f>
        <v>C</v>
      </c>
      <c r="J178" s="14" t="str">
        <f>IF(D178&lt;=Assumptions!$V$135,"Low",IF(D178&lt;=Assumptions!$W$135,"Mid","High"))</f>
        <v>Low</v>
      </c>
      <c r="K178" s="15">
        <f>Assumptions!$Q$135</f>
        <v>2642</v>
      </c>
      <c r="L178" s="42">
        <f>INDEX(Assumptions!$I$61:$I$90,D178)</f>
        <v>2785.0993241816263</v>
      </c>
      <c r="M178" s="43">
        <f>IF(D178&lt;=Assumptions!$G$135,Assumptions!$AK$135,IF(D178&lt;Assumptions!$AH$135,Assumptions!$AK$135+(Assumptions!$AL$135-Assumptions!$AK$135)*(D178-Assumptions!$G$135)/(Assumptions!$AH$135-Assumptions!$G$135),IF(D178&lt;Assumptions!$P$135,Assumptions!$AL$135+(Assumptions!$AM$135-Assumptions!$AL$135)*(D178-Assumptions!$AH$135)/(Assumptions!$P$135-Assumptions!$AH$135),Assumptions!$AM$135)))</f>
        <v>1020.4081632653106</v>
      </c>
      <c r="N178" s="44">
        <f t="shared" si="4"/>
        <v>1.077516539878892</v>
      </c>
      <c r="O178" s="45">
        <f t="shared" si="5"/>
        <v>2786</v>
      </c>
      <c r="P178" s="14" t="str">
        <f>IF(D178&gt;=Assumptions!$P$135,"High",IF(D178&gt;=Assumptions!$AH$135,"Mid",IF(D178&lt;=Assumptions!$G$135,"Low","Loading")))</f>
        <v>Loading</v>
      </c>
      <c r="Q178" s="46">
        <f>MAX(K178,MIN(Assumptions!$S$135,O178),Q179)</f>
        <v>2786</v>
      </c>
      <c r="R178" s="12">
        <f>IF(AND(Q178&lt;=K178,INDEX(Assumptions!$C$26:$C$36,MATCH(G178,Assumptions!$A$26:$A$36,0))&lt;&gt;""),INDEX(Assumptions!$C$26:$C$36,MATCH(G178,Assumptions!$A$26:$A$36,0)),ROUND(G178*Q178,-2))</f>
        <v>2638300</v>
      </c>
      <c r="S178" s="47" t="str">
        <f>TRIM(IF(AND(Assumptions!$L$135&lt;&gt;"",D178&lt;Assumptions!$L$135),"View blocked / roof in front ("&amp;Assumptions!$M$135&amp;"); view premium still loading until L"&amp;Assumptions!$L$135&amp;". ","")&amp;IF(D178=Assumptions!$AH$135,"Mid-floor view premium fully loaded. ","")&amp;IF(D178=Assumptions!$P$135,"High-floor view premium fully loaded. ","")&amp;IF(Q178&lt;=K178,"At developer starting price.",""))</f>
        <v/>
      </c>
      <c r="T178" s="48" t="str">
        <f>Assumptions!$AJ$135</f>
        <v>ENE. Faces landed estate, quiet</v>
      </c>
    </row>
    <row r="179" spans="1:20" x14ac:dyDescent="0.2">
      <c r="A179" s="13" t="s">
        <v>305</v>
      </c>
      <c r="B179" s="14">
        <v>1</v>
      </c>
      <c r="C179" s="40">
        <v>9</v>
      </c>
      <c r="D179" s="40">
        <v>7</v>
      </c>
      <c r="E179" s="9" t="s">
        <v>45</v>
      </c>
      <c r="F179" s="14" t="s">
        <v>291</v>
      </c>
      <c r="G179" s="10">
        <v>947</v>
      </c>
      <c r="H179" s="14" t="s">
        <v>62</v>
      </c>
      <c r="I179" s="41" t="str">
        <f>Assumptions!$I$135</f>
        <v>C</v>
      </c>
      <c r="J179" s="14" t="str">
        <f>IF(D179&lt;=Assumptions!$V$135,"Low",IF(D179&lt;=Assumptions!$W$135,"Mid","High"))</f>
        <v>Low</v>
      </c>
      <c r="K179" s="15">
        <f>Assumptions!$Q$135</f>
        <v>2642</v>
      </c>
      <c r="L179" s="42">
        <f>INDEX(Assumptions!$I$61:$I$90,D179)</f>
        <v>2770.0491552270328</v>
      </c>
      <c r="M179" s="43">
        <f>IF(D179&lt;=Assumptions!$G$135,Assumptions!$AK$135,IF(D179&lt;Assumptions!$AH$135,Assumptions!$AK$135+(Assumptions!$AL$135-Assumptions!$AK$135)*(D179-Assumptions!$G$135)/(Assumptions!$AH$135-Assumptions!$G$135),IF(D179&lt;Assumptions!$P$135,Assumptions!$AL$135+(Assumptions!$AM$135-Assumptions!$AL$135)*(D179-Assumptions!$AH$135)/(Assumptions!$P$135-Assumptions!$AH$135),Assumptions!$AM$135)))</f>
        <v>9183.6734693877515</v>
      </c>
      <c r="N179" s="44">
        <f t="shared" si="4"/>
        <v>9.6976488589099805</v>
      </c>
      <c r="O179" s="45">
        <f t="shared" si="5"/>
        <v>2780</v>
      </c>
      <c r="P179" s="14" t="str">
        <f>IF(D179&gt;=Assumptions!$P$135,"High",IF(D179&gt;=Assumptions!$AH$135,"Mid",IF(D179&lt;=Assumptions!$G$135,"Low","Loading")))</f>
        <v>Loading</v>
      </c>
      <c r="Q179" s="46">
        <f>MAX(K179,MIN(Assumptions!$S$135,O179),Q180)</f>
        <v>2780</v>
      </c>
      <c r="R179" s="12">
        <f>IF(AND(Q179&lt;=K179,INDEX(Assumptions!$C$26:$C$36,MATCH(G179,Assumptions!$A$26:$A$36,0))&lt;&gt;""),INDEX(Assumptions!$C$26:$C$36,MATCH(G179,Assumptions!$A$26:$A$36,0)),ROUND(G179*Q179,-2))</f>
        <v>2632700</v>
      </c>
      <c r="S179" s="47" t="str">
        <f>TRIM(IF(AND(Assumptions!$L$135&lt;&gt;"",D179&lt;Assumptions!$L$135),"View blocked / roof in front ("&amp;Assumptions!$M$135&amp;"); view premium still loading until L"&amp;Assumptions!$L$135&amp;". ","")&amp;IF(D179=Assumptions!$AH$135,"Mid-floor view premium fully loaded. ","")&amp;IF(D179=Assumptions!$P$135,"High-floor view premium fully loaded. ","")&amp;IF(Q179&lt;=K179,"At developer starting price.",""))</f>
        <v/>
      </c>
      <c r="T179" s="48" t="str">
        <f>Assumptions!$AJ$135</f>
        <v>ENE. Faces landed estate, quiet</v>
      </c>
    </row>
    <row r="180" spans="1:20" x14ac:dyDescent="0.2">
      <c r="A180" s="13" t="s">
        <v>306</v>
      </c>
      <c r="B180" s="14">
        <v>1</v>
      </c>
      <c r="C180" s="40">
        <v>9</v>
      </c>
      <c r="D180" s="40">
        <v>6</v>
      </c>
      <c r="E180" s="9" t="s">
        <v>45</v>
      </c>
      <c r="F180" s="14" t="s">
        <v>291</v>
      </c>
      <c r="G180" s="10">
        <v>947</v>
      </c>
      <c r="H180" s="14" t="s">
        <v>62</v>
      </c>
      <c r="I180" s="41" t="str">
        <f>Assumptions!$I$135</f>
        <v>C</v>
      </c>
      <c r="J180" s="14" t="str">
        <f>IF(D180&lt;=Assumptions!$V$135,"Low",IF(D180&lt;=Assumptions!$W$135,"Mid","High"))</f>
        <v>Low</v>
      </c>
      <c r="K180" s="15">
        <f>Assumptions!$Q$135</f>
        <v>2642</v>
      </c>
      <c r="L180" s="42">
        <f>INDEX(Assumptions!$I$61:$I$90,D180)</f>
        <v>2754.9989862724392</v>
      </c>
      <c r="M180" s="43">
        <f>IF(D180&lt;=Assumptions!$G$135,Assumptions!$AK$135,IF(D180&lt;Assumptions!$AH$135,Assumptions!$AK$135+(Assumptions!$AL$135-Assumptions!$AK$135)*(D180-Assumptions!$G$135)/(Assumptions!$AH$135-Assumptions!$G$135),IF(D180&lt;Assumptions!$P$135,Assumptions!$AL$135+(Assumptions!$AM$135-Assumptions!$AL$135)*(D180-Assumptions!$AH$135)/(Assumptions!$P$135-Assumptions!$AH$135),Assumptions!$AM$135)))</f>
        <v>17346.938775510203</v>
      </c>
      <c r="N180" s="44">
        <f t="shared" si="4"/>
        <v>18.317781177941082</v>
      </c>
      <c r="O180" s="45">
        <f t="shared" si="5"/>
        <v>2773</v>
      </c>
      <c r="P180" s="14" t="str">
        <f>IF(D180&gt;=Assumptions!$P$135,"High",IF(D180&gt;=Assumptions!$AH$135,"Mid",IF(D180&lt;=Assumptions!$G$135,"Low","Loading")))</f>
        <v>Loading</v>
      </c>
      <c r="Q180" s="46">
        <f>MAX(K180,MIN(Assumptions!$S$135,O180),Q181)</f>
        <v>2773</v>
      </c>
      <c r="R180" s="12">
        <f>IF(AND(Q180&lt;=K180,INDEX(Assumptions!$C$26:$C$36,MATCH(G180,Assumptions!$A$26:$A$36,0))&lt;&gt;""),INDEX(Assumptions!$C$26:$C$36,MATCH(G180,Assumptions!$A$26:$A$36,0)),ROUND(G180*Q180,-2))</f>
        <v>2626000</v>
      </c>
      <c r="S180" s="47" t="str">
        <f>TRIM(IF(AND(Assumptions!$L$135&lt;&gt;"",D180&lt;Assumptions!$L$135),"View blocked / roof in front ("&amp;Assumptions!$M$135&amp;"); view premium still loading until L"&amp;Assumptions!$L$135&amp;". ","")&amp;IF(D180=Assumptions!$AH$135,"Mid-floor view premium fully loaded. ","")&amp;IF(D180=Assumptions!$P$135,"High-floor view premium fully loaded. ","")&amp;IF(Q180&lt;=K180,"At developer starting price.",""))</f>
        <v/>
      </c>
      <c r="T180" s="48" t="str">
        <f>Assumptions!$AJ$135</f>
        <v>ENE. Faces landed estate, quiet</v>
      </c>
    </row>
    <row r="181" spans="1:20" x14ac:dyDescent="0.2">
      <c r="A181" s="13" t="s">
        <v>307</v>
      </c>
      <c r="B181" s="14">
        <v>1</v>
      </c>
      <c r="C181" s="40">
        <v>9</v>
      </c>
      <c r="D181" s="40">
        <v>5</v>
      </c>
      <c r="E181" s="9" t="s">
        <v>45</v>
      </c>
      <c r="F181" s="14" t="s">
        <v>291</v>
      </c>
      <c r="G181" s="10">
        <v>947</v>
      </c>
      <c r="H181" s="14" t="s">
        <v>62</v>
      </c>
      <c r="I181" s="41" t="str">
        <f>Assumptions!$I$135</f>
        <v>C</v>
      </c>
      <c r="J181" s="14" t="str">
        <f>IF(D181&lt;=Assumptions!$V$135,"Low",IF(D181&lt;=Assumptions!$W$135,"Mid","High"))</f>
        <v>Low</v>
      </c>
      <c r="K181" s="15">
        <f>Assumptions!$Q$135</f>
        <v>2642</v>
      </c>
      <c r="L181" s="42">
        <f>INDEX(Assumptions!$I$61:$I$90,D181)</f>
        <v>2739.9488173178456</v>
      </c>
      <c r="M181" s="43">
        <f>IF(D181&lt;=Assumptions!$G$135,Assumptions!$AK$135,IF(D181&lt;Assumptions!$AH$135,Assumptions!$AK$135+(Assumptions!$AL$135-Assumptions!$AK$135)*(D181-Assumptions!$G$135)/(Assumptions!$AH$135-Assumptions!$G$135),IF(D181&lt;Assumptions!$P$135,Assumptions!$AL$135+(Assumptions!$AM$135-Assumptions!$AL$135)*(D181-Assumptions!$AH$135)/(Assumptions!$P$135-Assumptions!$AH$135),Assumptions!$AM$135)))</f>
        <v>25510.204081632655</v>
      </c>
      <c r="N181" s="44">
        <f t="shared" si="4"/>
        <v>26.937913496972183</v>
      </c>
      <c r="O181" s="45">
        <f t="shared" si="5"/>
        <v>2767</v>
      </c>
      <c r="P181" s="14" t="str">
        <f>IF(D181&gt;=Assumptions!$P$135,"High",IF(D181&gt;=Assumptions!$AH$135,"Mid",IF(D181&lt;=Assumptions!$G$135,"Low","Loading")))</f>
        <v>Loading</v>
      </c>
      <c r="Q181" s="46">
        <f>MAX(K181,MIN(Assumptions!$S$135,O181),Q182)</f>
        <v>2767</v>
      </c>
      <c r="R181" s="12">
        <f>IF(AND(Q181&lt;=K181,INDEX(Assumptions!$C$26:$C$36,MATCH(G181,Assumptions!$A$26:$A$36,0))&lt;&gt;""),INDEX(Assumptions!$C$26:$C$36,MATCH(G181,Assumptions!$A$26:$A$36,0)),ROUND(G181*Q181,-2))</f>
        <v>2620300</v>
      </c>
      <c r="S181" s="47" t="str">
        <f>TRIM(IF(AND(Assumptions!$L$135&lt;&gt;"",D181&lt;Assumptions!$L$135),"View blocked / roof in front ("&amp;Assumptions!$M$135&amp;"); view premium still loading until L"&amp;Assumptions!$L$135&amp;". ","")&amp;IF(D181=Assumptions!$AH$135,"Mid-floor view premium fully loaded. ","")&amp;IF(D181=Assumptions!$P$135,"High-floor view premium fully loaded. ","")&amp;IF(Q181&lt;=K181,"At developer starting price.",""))</f>
        <v/>
      </c>
      <c r="T181" s="48" t="str">
        <f>Assumptions!$AJ$135</f>
        <v>ENE. Faces landed estate, quiet</v>
      </c>
    </row>
    <row r="182" spans="1:20" x14ac:dyDescent="0.2">
      <c r="A182" s="13" t="s">
        <v>308</v>
      </c>
      <c r="B182" s="14">
        <v>1</v>
      </c>
      <c r="C182" s="40">
        <v>9</v>
      </c>
      <c r="D182" s="40">
        <v>4</v>
      </c>
      <c r="E182" s="9" t="s">
        <v>45</v>
      </c>
      <c r="F182" s="14" t="s">
        <v>291</v>
      </c>
      <c r="G182" s="10">
        <v>947</v>
      </c>
      <c r="H182" s="14" t="s">
        <v>62</v>
      </c>
      <c r="I182" s="41" t="str">
        <f>Assumptions!$I$135</f>
        <v>C</v>
      </c>
      <c r="J182" s="14" t="str">
        <f>IF(D182&lt;=Assumptions!$V$135,"Low",IF(D182&lt;=Assumptions!$W$135,"Mid","High"))</f>
        <v>Low</v>
      </c>
      <c r="K182" s="15">
        <f>Assumptions!$Q$135</f>
        <v>2642</v>
      </c>
      <c r="L182" s="42">
        <f>INDEX(Assumptions!$I$61:$I$90,D182)</f>
        <v>2724.8986483632525</v>
      </c>
      <c r="M182" s="43">
        <f>IF(D182&lt;=Assumptions!$G$135,Assumptions!$AK$135,IF(D182&lt;Assumptions!$AH$135,Assumptions!$AK$135+(Assumptions!$AL$135-Assumptions!$AK$135)*(D182-Assumptions!$G$135)/(Assumptions!$AH$135-Assumptions!$G$135),IF(D182&lt;Assumptions!$P$135,Assumptions!$AL$135+(Assumptions!$AM$135-Assumptions!$AL$135)*(D182-Assumptions!$AH$135)/(Assumptions!$P$135-Assumptions!$AH$135),Assumptions!$AM$135)))</f>
        <v>33673.469387755104</v>
      </c>
      <c r="N182" s="44">
        <f t="shared" si="4"/>
        <v>35.558045816003279</v>
      </c>
      <c r="O182" s="45">
        <f t="shared" si="5"/>
        <v>2760</v>
      </c>
      <c r="P182" s="14" t="str">
        <f>IF(D182&gt;=Assumptions!$P$135,"High",IF(D182&gt;=Assumptions!$AH$135,"Mid",IF(D182&lt;=Assumptions!$G$135,"Low","Loading")))</f>
        <v>Loading</v>
      </c>
      <c r="Q182" s="46">
        <f>MAX(K182,MIN(Assumptions!$S$135,O182),Q183)</f>
        <v>2760</v>
      </c>
      <c r="R182" s="12">
        <f>IF(AND(Q182&lt;=K182,INDEX(Assumptions!$C$26:$C$36,MATCH(G182,Assumptions!$A$26:$A$36,0))&lt;&gt;""),INDEX(Assumptions!$C$26:$C$36,MATCH(G182,Assumptions!$A$26:$A$36,0)),ROUND(G182*Q182,-2))</f>
        <v>2613700</v>
      </c>
      <c r="S182" s="47" t="str">
        <f>TRIM(IF(AND(Assumptions!$L$135&lt;&gt;"",D182&lt;Assumptions!$L$135),"View blocked / roof in front ("&amp;Assumptions!$M$135&amp;"); view premium still loading until L"&amp;Assumptions!$L$135&amp;". ","")&amp;IF(D182=Assumptions!$AH$135,"Mid-floor view premium fully loaded. ","")&amp;IF(D182=Assumptions!$P$135,"High-floor view premium fully loaded. ","")&amp;IF(Q182&lt;=K182,"At developer starting price.",""))</f>
        <v/>
      </c>
      <c r="T182" s="48" t="str">
        <f>Assumptions!$AJ$135</f>
        <v>ENE. Faces landed estate, quiet</v>
      </c>
    </row>
    <row r="183" spans="1:20" x14ac:dyDescent="0.2">
      <c r="A183" s="13" t="s">
        <v>309</v>
      </c>
      <c r="B183" s="14">
        <v>1</v>
      </c>
      <c r="C183" s="40">
        <v>9</v>
      </c>
      <c r="D183" s="40">
        <v>3</v>
      </c>
      <c r="E183" s="9" t="s">
        <v>45</v>
      </c>
      <c r="F183" s="14" t="s">
        <v>291</v>
      </c>
      <c r="G183" s="10">
        <v>947</v>
      </c>
      <c r="H183" s="14" t="s">
        <v>62</v>
      </c>
      <c r="I183" s="41" t="str">
        <f>Assumptions!$I$135</f>
        <v>C</v>
      </c>
      <c r="J183" s="14" t="str">
        <f>IF(D183&lt;=Assumptions!$V$135,"Low",IF(D183&lt;=Assumptions!$W$135,"Mid","High"))</f>
        <v>Low</v>
      </c>
      <c r="K183" s="15">
        <f>Assumptions!$Q$135</f>
        <v>2642</v>
      </c>
      <c r="L183" s="42">
        <f>INDEX(Assumptions!$I$61:$I$90,D183)</f>
        <v>2709.8484794086589</v>
      </c>
      <c r="M183" s="43">
        <f>IF(D183&lt;=Assumptions!$G$135,Assumptions!$AK$135,IF(D183&lt;Assumptions!$AH$135,Assumptions!$AK$135+(Assumptions!$AL$135-Assumptions!$AK$135)*(D183-Assumptions!$G$135)/(Assumptions!$AH$135-Assumptions!$G$135),IF(D183&lt;Assumptions!$P$135,Assumptions!$AL$135+(Assumptions!$AM$135-Assumptions!$AL$135)*(D183-Assumptions!$AH$135)/(Assumptions!$P$135-Assumptions!$AH$135),Assumptions!$AM$135)))</f>
        <v>41836.734693877552</v>
      </c>
      <c r="N183" s="44">
        <f t="shared" si="4"/>
        <v>44.178178135034372</v>
      </c>
      <c r="O183" s="45">
        <f t="shared" si="5"/>
        <v>2754</v>
      </c>
      <c r="P183" s="14" t="str">
        <f>IF(D183&gt;=Assumptions!$P$135,"High",IF(D183&gt;=Assumptions!$AH$135,"Mid",IF(D183&lt;=Assumptions!$G$135,"Low","Loading")))</f>
        <v>Loading</v>
      </c>
      <c r="Q183" s="46">
        <f>MAX(K183,MIN(Assumptions!$S$135,O183),Q184)</f>
        <v>2754</v>
      </c>
      <c r="R183" s="12">
        <f>IF(AND(Q183&lt;=K183,INDEX(Assumptions!$C$26:$C$36,MATCH(G183,Assumptions!$A$26:$A$36,0))&lt;&gt;""),INDEX(Assumptions!$C$26:$C$36,MATCH(G183,Assumptions!$A$26:$A$36,0)),ROUND(G183*Q183,-2))</f>
        <v>2608000</v>
      </c>
      <c r="S183" s="47" t="str">
        <f>TRIM(IF(AND(Assumptions!$L$135&lt;&gt;"",D183&lt;Assumptions!$L$135),"View blocked / roof in front ("&amp;Assumptions!$M$135&amp;"); view premium still loading until L"&amp;Assumptions!$L$135&amp;". ","")&amp;IF(D183=Assumptions!$AH$135,"Mid-floor view premium fully loaded. ","")&amp;IF(D183=Assumptions!$P$135,"High-floor view premium fully loaded. ","")&amp;IF(Q183&lt;=K183,"At developer starting price.",""))</f>
        <v/>
      </c>
      <c r="T183" s="48" t="str">
        <f>Assumptions!$AJ$135</f>
        <v>ENE. Faces landed estate, quiet</v>
      </c>
    </row>
    <row r="184" spans="1:20" x14ac:dyDescent="0.2">
      <c r="A184" s="13" t="s">
        <v>310</v>
      </c>
      <c r="B184" s="14">
        <v>1</v>
      </c>
      <c r="C184" s="40">
        <v>9</v>
      </c>
      <c r="D184" s="40">
        <v>2</v>
      </c>
      <c r="E184" s="9" t="s">
        <v>45</v>
      </c>
      <c r="F184" s="14" t="s">
        <v>311</v>
      </c>
      <c r="G184" s="10">
        <v>947</v>
      </c>
      <c r="H184" s="14" t="s">
        <v>62</v>
      </c>
      <c r="I184" s="41" t="str">
        <f>Assumptions!$I$135</f>
        <v>C</v>
      </c>
      <c r="J184" s="14" t="str">
        <f>IF(D184&lt;=Assumptions!$V$135,"Low",IF(D184&lt;=Assumptions!$W$135,"Mid","High"))</f>
        <v>Low</v>
      </c>
      <c r="K184" s="15">
        <f>Assumptions!$Q$135</f>
        <v>2642</v>
      </c>
      <c r="L184" s="42">
        <f>INDEX(Assumptions!$I$61:$I$90,D184)</f>
        <v>2694.7983104540654</v>
      </c>
      <c r="M184" s="43">
        <f>IF(D184&lt;=Assumptions!$G$135,Assumptions!$AK$135,IF(D184&lt;Assumptions!$AH$135,Assumptions!$AK$135+(Assumptions!$AL$135-Assumptions!$AK$135)*(D184-Assumptions!$G$135)/(Assumptions!$AH$135-Assumptions!$G$135),IF(D184&lt;Assumptions!$P$135,Assumptions!$AL$135+(Assumptions!$AM$135-Assumptions!$AL$135)*(D184-Assumptions!$AH$135)/(Assumptions!$P$135-Assumptions!$AH$135),Assumptions!$AM$135)))</f>
        <v>50000</v>
      </c>
      <c r="N184" s="44">
        <f t="shared" si="4"/>
        <v>52.798310454065472</v>
      </c>
      <c r="O184" s="45">
        <f t="shared" si="5"/>
        <v>2748</v>
      </c>
      <c r="P184" s="14" t="str">
        <f>IF(D184&gt;=Assumptions!$P$135,"High",IF(D184&gt;=Assumptions!$AH$135,"Mid",IF(D184&lt;=Assumptions!$G$135,"Low","Loading")))</f>
        <v>Low</v>
      </c>
      <c r="Q184" s="46">
        <f>MAX(K184,MIN(Assumptions!$S$135,O184))</f>
        <v>2748</v>
      </c>
      <c r="R184" s="12">
        <f>IF(AND(Q184&lt;=K184,INDEX(Assumptions!$C$26:$C$36,MATCH(G184,Assumptions!$A$26:$A$36,0))&lt;&gt;""),INDEX(Assumptions!$C$26:$C$36,MATCH(G184,Assumptions!$A$26:$A$36,0)),ROUND(G184*Q184,-2))</f>
        <v>2602400</v>
      </c>
      <c r="S184" s="47" t="str">
        <f>TRIM(IF(AND(Assumptions!$L$135&lt;&gt;"",D184&lt;Assumptions!$L$135),"View blocked / roof in front ("&amp;Assumptions!$M$135&amp;"); view premium still loading until L"&amp;Assumptions!$L$135&amp;". ","")&amp;IF(D184=Assumptions!$AH$135,"Mid-floor view premium fully loaded. ","")&amp;IF(D184=Assumptions!$P$135,"High-floor view premium fully loaded. ","")&amp;IF(Q184&lt;=K184,"At developer starting price.",""))</f>
        <v/>
      </c>
      <c r="T184" s="48" t="str">
        <f>Assumptions!$AJ$135</f>
        <v>ENE. Faces landed estate, quiet</v>
      </c>
    </row>
    <row r="185" spans="1:20" x14ac:dyDescent="0.2">
      <c r="A185" s="13" t="s">
        <v>312</v>
      </c>
      <c r="B185" s="14">
        <v>3</v>
      </c>
      <c r="C185" s="40">
        <v>10</v>
      </c>
      <c r="D185" s="40">
        <v>21</v>
      </c>
      <c r="E185" s="9" t="s">
        <v>47</v>
      </c>
      <c r="F185" s="14" t="s">
        <v>203</v>
      </c>
      <c r="G185" s="10">
        <v>1152</v>
      </c>
      <c r="H185" s="14" t="s">
        <v>62</v>
      </c>
      <c r="I185" s="41" t="str">
        <f>Assumptions!$I$136</f>
        <v>B</v>
      </c>
      <c r="J185" s="14" t="str">
        <f>IF(D185&lt;=Assumptions!$V$136,"Low",IF(D185&lt;=Assumptions!$W$136,"Mid","High"))</f>
        <v>High</v>
      </c>
      <c r="K185" s="15">
        <f>Assumptions!$Q$136</f>
        <v>2650</v>
      </c>
      <c r="L185" s="42">
        <f>INDEX(Assumptions!$M$61:$M$90,D185)</f>
        <v>3049.0307692307697</v>
      </c>
      <c r="M185" s="43">
        <f>IF(D185&lt;=Assumptions!$G$136,Assumptions!$AK$136,IF(D185&lt;Assumptions!$AH$136,Assumptions!$AK$136+(Assumptions!$AL$136-Assumptions!$AK$136)*(D185-Assumptions!$G$136)/(Assumptions!$AH$136-Assumptions!$G$136),IF(D185&lt;Assumptions!$P$136,Assumptions!$AL$136+(Assumptions!$AM$136-Assumptions!$AL$136)*(D185-Assumptions!$AH$136)/(Assumptions!$P$136-Assumptions!$AH$136),Assumptions!$AM$136)))</f>
        <v>38888.888888888891</v>
      </c>
      <c r="N185" s="44">
        <f t="shared" si="4"/>
        <v>33.757716049382715</v>
      </c>
      <c r="O185" s="45">
        <f t="shared" si="5"/>
        <v>3083</v>
      </c>
      <c r="P185" s="14" t="str">
        <f>IF(D185&gt;=Assumptions!$P$136,"High",IF(D185&gt;=Assumptions!$AH$136,"Mid",IF(D185&lt;=Assumptions!$G$136,"Low","Loading")))</f>
        <v>High</v>
      </c>
      <c r="Q185" s="46">
        <f>MAX(K185,MIN(Assumptions!$S$136,O185),Q186)</f>
        <v>3083</v>
      </c>
      <c r="R185" s="12">
        <f>IF(AND(Q185&lt;=K185,INDEX(Assumptions!$C$26:$C$36,MATCH(G185,Assumptions!$A$26:$A$36,0))&lt;&gt;""),INDEX(Assumptions!$C$26:$C$36,MATCH(G185,Assumptions!$A$26:$A$36,0)),ROUND(G185*Q185,-2))</f>
        <v>3551600</v>
      </c>
      <c r="S185" s="47" t="str">
        <f>TRIM(IF(AND(Assumptions!$L$136&lt;&gt;"",D185&lt;Assumptions!$L$136),"View blocked / roof in front ("&amp;Assumptions!$M$136&amp;"); view premium still loading until L"&amp;Assumptions!$L$136&amp;". ","")&amp;IF(D185=Assumptions!$AH$136,"Mid-floor view premium fully loaded. ","")&amp;IF(D185=Assumptions!$P$136,"High-floor view premium fully loaded. ","")&amp;IF(Q185&lt;=K185,"At developer starting price.",""))</f>
        <v/>
      </c>
      <c r="T185" s="48" t="str">
        <f>Assumptions!$AJ$136</f>
        <v>SSW. Super unblocked landed estate + nature reserve; premium loaded on mid &amp; high floors</v>
      </c>
    </row>
    <row r="186" spans="1:20" x14ac:dyDescent="0.2">
      <c r="A186" s="13" t="s">
        <v>313</v>
      </c>
      <c r="B186" s="14">
        <v>3</v>
      </c>
      <c r="C186" s="40">
        <v>10</v>
      </c>
      <c r="D186" s="40">
        <v>20</v>
      </c>
      <c r="E186" s="9" t="s">
        <v>47</v>
      </c>
      <c r="F186" s="14" t="s">
        <v>203</v>
      </c>
      <c r="G186" s="10">
        <v>1152</v>
      </c>
      <c r="H186" s="14" t="s">
        <v>62</v>
      </c>
      <c r="I186" s="41" t="str">
        <f>Assumptions!$I$136</f>
        <v>B</v>
      </c>
      <c r="J186" s="14" t="str">
        <f>IF(D186&lt;=Assumptions!$V$136,"Low",IF(D186&lt;=Assumptions!$W$136,"Mid","High"))</f>
        <v>High</v>
      </c>
      <c r="K186" s="15">
        <f>Assumptions!$Q$136</f>
        <v>2650</v>
      </c>
      <c r="L186" s="42">
        <f>INDEX(Assumptions!$M$61:$M$90,D186)</f>
        <v>3024.938461538462</v>
      </c>
      <c r="M186" s="43">
        <f>IF(D186&lt;=Assumptions!$G$136,Assumptions!$AK$136,IF(D186&lt;Assumptions!$AH$136,Assumptions!$AK$136+(Assumptions!$AL$136-Assumptions!$AK$136)*(D186-Assumptions!$G$136)/(Assumptions!$AH$136-Assumptions!$G$136),IF(D186&lt;Assumptions!$P$136,Assumptions!$AL$136+(Assumptions!$AM$136-Assumptions!$AL$136)*(D186-Assumptions!$AH$136)/(Assumptions!$P$136-Assumptions!$AH$136),Assumptions!$AM$136)))</f>
        <v>38888.888888888891</v>
      </c>
      <c r="N186" s="44">
        <f t="shared" si="4"/>
        <v>33.757716049382715</v>
      </c>
      <c r="O186" s="45">
        <f t="shared" si="5"/>
        <v>3059</v>
      </c>
      <c r="P186" s="14" t="str">
        <f>IF(D186&gt;=Assumptions!$P$136,"High",IF(D186&gt;=Assumptions!$AH$136,"Mid",IF(D186&lt;=Assumptions!$G$136,"Low","Loading")))</f>
        <v>High</v>
      </c>
      <c r="Q186" s="46">
        <f>MAX(K186,MIN(Assumptions!$S$136,O186),Q187)</f>
        <v>3059</v>
      </c>
      <c r="R186" s="12">
        <f>IF(AND(Q186&lt;=K186,INDEX(Assumptions!$C$26:$C$36,MATCH(G186,Assumptions!$A$26:$A$36,0))&lt;&gt;""),INDEX(Assumptions!$C$26:$C$36,MATCH(G186,Assumptions!$A$26:$A$36,0)),ROUND(G186*Q186,-2))</f>
        <v>3524000</v>
      </c>
      <c r="S186" s="47" t="str">
        <f>TRIM(IF(AND(Assumptions!$L$136&lt;&gt;"",D186&lt;Assumptions!$L$136),"View blocked / roof in front ("&amp;Assumptions!$M$136&amp;"); view premium still loading until L"&amp;Assumptions!$L$136&amp;". ","")&amp;IF(D186=Assumptions!$AH$136,"Mid-floor view premium fully loaded. ","")&amp;IF(D186=Assumptions!$P$136,"High-floor view premium fully loaded. ","")&amp;IF(Q186&lt;=K186,"At developer starting price.",""))</f>
        <v/>
      </c>
      <c r="T186" s="48" t="str">
        <f>Assumptions!$AJ$136</f>
        <v>SSW. Super unblocked landed estate + nature reserve; premium loaded on mid &amp; high floors</v>
      </c>
    </row>
    <row r="187" spans="1:20" x14ac:dyDescent="0.2">
      <c r="A187" s="13" t="s">
        <v>314</v>
      </c>
      <c r="B187" s="14">
        <v>3</v>
      </c>
      <c r="C187" s="40">
        <v>10</v>
      </c>
      <c r="D187" s="40">
        <v>19</v>
      </c>
      <c r="E187" s="9" t="s">
        <v>47</v>
      </c>
      <c r="F187" s="14" t="s">
        <v>203</v>
      </c>
      <c r="G187" s="10">
        <v>1152</v>
      </c>
      <c r="H187" s="14" t="s">
        <v>62</v>
      </c>
      <c r="I187" s="41" t="str">
        <f>Assumptions!$I$136</f>
        <v>B</v>
      </c>
      <c r="J187" s="14" t="str">
        <f>IF(D187&lt;=Assumptions!$V$136,"Low",IF(D187&lt;=Assumptions!$W$136,"Mid","High"))</f>
        <v>High</v>
      </c>
      <c r="K187" s="15">
        <f>Assumptions!$Q$136</f>
        <v>2650</v>
      </c>
      <c r="L187" s="42">
        <f>INDEX(Assumptions!$M$61:$M$90,D187)</f>
        <v>3000.8461538461543</v>
      </c>
      <c r="M187" s="43">
        <f>IF(D187&lt;=Assumptions!$G$136,Assumptions!$AK$136,IF(D187&lt;Assumptions!$AH$136,Assumptions!$AK$136+(Assumptions!$AL$136-Assumptions!$AK$136)*(D187-Assumptions!$G$136)/(Assumptions!$AH$136-Assumptions!$G$136),IF(D187&lt;Assumptions!$P$136,Assumptions!$AL$136+(Assumptions!$AM$136-Assumptions!$AL$136)*(D187-Assumptions!$AH$136)/(Assumptions!$P$136-Assumptions!$AH$136),Assumptions!$AM$136)))</f>
        <v>38888.888888888891</v>
      </c>
      <c r="N187" s="44">
        <f t="shared" si="4"/>
        <v>33.757716049382715</v>
      </c>
      <c r="O187" s="45">
        <f t="shared" si="5"/>
        <v>3035</v>
      </c>
      <c r="P187" s="14" t="str">
        <f>IF(D187&gt;=Assumptions!$P$136,"High",IF(D187&gt;=Assumptions!$AH$136,"Mid",IF(D187&lt;=Assumptions!$G$136,"Low","Loading")))</f>
        <v>High</v>
      </c>
      <c r="Q187" s="46">
        <f>MAX(K187,MIN(Assumptions!$S$136,O187),Q188)</f>
        <v>3035</v>
      </c>
      <c r="R187" s="12">
        <f>IF(AND(Q187&lt;=K187,INDEX(Assumptions!$C$26:$C$36,MATCH(G187,Assumptions!$A$26:$A$36,0))&lt;&gt;""),INDEX(Assumptions!$C$26:$C$36,MATCH(G187,Assumptions!$A$26:$A$36,0)),ROUND(G187*Q187,-2))</f>
        <v>3496300</v>
      </c>
      <c r="S187" s="47" t="str">
        <f>TRIM(IF(AND(Assumptions!$L$136&lt;&gt;"",D187&lt;Assumptions!$L$136),"View blocked / roof in front ("&amp;Assumptions!$M$136&amp;"); view premium still loading until L"&amp;Assumptions!$L$136&amp;". ","")&amp;IF(D187=Assumptions!$AH$136,"Mid-floor view premium fully loaded. ","")&amp;IF(D187=Assumptions!$P$136,"High-floor view premium fully loaded. ","")&amp;IF(Q187&lt;=K187,"At developer starting price.",""))</f>
        <v/>
      </c>
      <c r="T187" s="48" t="str">
        <f>Assumptions!$AJ$136</f>
        <v>SSW. Super unblocked landed estate + nature reserve; premium loaded on mid &amp; high floors</v>
      </c>
    </row>
    <row r="188" spans="1:20" x14ac:dyDescent="0.2">
      <c r="A188" s="13" t="s">
        <v>315</v>
      </c>
      <c r="B188" s="14">
        <v>3</v>
      </c>
      <c r="C188" s="40">
        <v>10</v>
      </c>
      <c r="D188" s="40">
        <v>18</v>
      </c>
      <c r="E188" s="9" t="s">
        <v>47</v>
      </c>
      <c r="F188" s="14" t="s">
        <v>203</v>
      </c>
      <c r="G188" s="10">
        <v>1152</v>
      </c>
      <c r="H188" s="14" t="s">
        <v>62</v>
      </c>
      <c r="I188" s="41" t="str">
        <f>Assumptions!$I$136</f>
        <v>B</v>
      </c>
      <c r="J188" s="14" t="str">
        <f>IF(D188&lt;=Assumptions!$V$136,"Low",IF(D188&lt;=Assumptions!$W$136,"Mid","High"))</f>
        <v>High</v>
      </c>
      <c r="K188" s="15">
        <f>Assumptions!$Q$136</f>
        <v>2650</v>
      </c>
      <c r="L188" s="42">
        <f>INDEX(Assumptions!$M$61:$M$90,D188)</f>
        <v>2976.7538461538461</v>
      </c>
      <c r="M188" s="43">
        <f>IF(D188&lt;=Assumptions!$G$136,Assumptions!$AK$136,IF(D188&lt;Assumptions!$AH$136,Assumptions!$AK$136+(Assumptions!$AL$136-Assumptions!$AK$136)*(D188-Assumptions!$G$136)/(Assumptions!$AH$136-Assumptions!$G$136),IF(D188&lt;Assumptions!$P$136,Assumptions!$AL$136+(Assumptions!$AM$136-Assumptions!$AL$136)*(D188-Assumptions!$AH$136)/(Assumptions!$P$136-Assumptions!$AH$136),Assumptions!$AM$136)))</f>
        <v>38888.888888888891</v>
      </c>
      <c r="N188" s="44">
        <f t="shared" si="4"/>
        <v>33.757716049382715</v>
      </c>
      <c r="O188" s="45">
        <f t="shared" si="5"/>
        <v>3011</v>
      </c>
      <c r="P188" s="14" t="str">
        <f>IF(D188&gt;=Assumptions!$P$136,"High",IF(D188&gt;=Assumptions!$AH$136,"Mid",IF(D188&lt;=Assumptions!$G$136,"Low","Loading")))</f>
        <v>High</v>
      </c>
      <c r="Q188" s="46">
        <f>MAX(K188,MIN(Assumptions!$S$136,O188),Q189)</f>
        <v>3011</v>
      </c>
      <c r="R188" s="12">
        <f>IF(AND(Q188&lt;=K188,INDEX(Assumptions!$C$26:$C$36,MATCH(G188,Assumptions!$A$26:$A$36,0))&lt;&gt;""),INDEX(Assumptions!$C$26:$C$36,MATCH(G188,Assumptions!$A$26:$A$36,0)),ROUND(G188*Q188,-2))</f>
        <v>3468700</v>
      </c>
      <c r="S188" s="47" t="str">
        <f>TRIM(IF(AND(Assumptions!$L$136&lt;&gt;"",D188&lt;Assumptions!$L$136),"View blocked / roof in front ("&amp;Assumptions!$M$136&amp;"); view premium still loading until L"&amp;Assumptions!$L$136&amp;". ","")&amp;IF(D188=Assumptions!$AH$136,"Mid-floor view premium fully loaded. ","")&amp;IF(D188=Assumptions!$P$136,"High-floor view premium fully loaded. ","")&amp;IF(Q188&lt;=K188,"At developer starting price.",""))</f>
        <v/>
      </c>
      <c r="T188" s="48" t="str">
        <f>Assumptions!$AJ$136</f>
        <v>SSW. Super unblocked landed estate + nature reserve; premium loaded on mid &amp; high floors</v>
      </c>
    </row>
    <row r="189" spans="1:20" x14ac:dyDescent="0.2">
      <c r="A189" s="13" t="s">
        <v>316</v>
      </c>
      <c r="B189" s="14">
        <v>3</v>
      </c>
      <c r="C189" s="40">
        <v>10</v>
      </c>
      <c r="D189" s="40">
        <v>17</v>
      </c>
      <c r="E189" s="9" t="s">
        <v>47</v>
      </c>
      <c r="F189" s="14" t="s">
        <v>203</v>
      </c>
      <c r="G189" s="10">
        <v>1152</v>
      </c>
      <c r="H189" s="14" t="s">
        <v>62</v>
      </c>
      <c r="I189" s="41" t="str">
        <f>Assumptions!$I$136</f>
        <v>B</v>
      </c>
      <c r="J189" s="14" t="str">
        <f>IF(D189&lt;=Assumptions!$V$136,"Low",IF(D189&lt;=Assumptions!$W$136,"Mid","High"))</f>
        <v>High</v>
      </c>
      <c r="K189" s="15">
        <f>Assumptions!$Q$136</f>
        <v>2650</v>
      </c>
      <c r="L189" s="42">
        <f>INDEX(Assumptions!$M$61:$M$90,D189)</f>
        <v>2952.6615384615384</v>
      </c>
      <c r="M189" s="43">
        <f>IF(D189&lt;=Assumptions!$G$136,Assumptions!$AK$136,IF(D189&lt;Assumptions!$AH$136,Assumptions!$AK$136+(Assumptions!$AL$136-Assumptions!$AK$136)*(D189-Assumptions!$G$136)/(Assumptions!$AH$136-Assumptions!$G$136),IF(D189&lt;Assumptions!$P$136,Assumptions!$AL$136+(Assumptions!$AM$136-Assumptions!$AL$136)*(D189-Assumptions!$AH$136)/(Assumptions!$P$136-Assumptions!$AH$136),Assumptions!$AM$136)))</f>
        <v>38888.888888888891</v>
      </c>
      <c r="N189" s="44">
        <f t="shared" si="4"/>
        <v>33.757716049382715</v>
      </c>
      <c r="O189" s="45">
        <f t="shared" si="5"/>
        <v>2986</v>
      </c>
      <c r="P189" s="14" t="str">
        <f>IF(D189&gt;=Assumptions!$P$136,"High",IF(D189&gt;=Assumptions!$AH$136,"Mid",IF(D189&lt;=Assumptions!$G$136,"Low","Loading")))</f>
        <v>High</v>
      </c>
      <c r="Q189" s="46">
        <f>MAX(K189,MIN(Assumptions!$S$136,O189),Q190)</f>
        <v>2986</v>
      </c>
      <c r="R189" s="12">
        <f>IF(AND(Q189&lt;=K189,INDEX(Assumptions!$C$26:$C$36,MATCH(G189,Assumptions!$A$26:$A$36,0))&lt;&gt;""),INDEX(Assumptions!$C$26:$C$36,MATCH(G189,Assumptions!$A$26:$A$36,0)),ROUND(G189*Q189,-2))</f>
        <v>3439900</v>
      </c>
      <c r="S189" s="47" t="str">
        <f>TRIM(IF(AND(Assumptions!$L$136&lt;&gt;"",D189&lt;Assumptions!$L$136),"View blocked / roof in front ("&amp;Assumptions!$M$136&amp;"); view premium still loading until L"&amp;Assumptions!$L$136&amp;". ","")&amp;IF(D189=Assumptions!$AH$136,"Mid-floor view premium fully loaded. ","")&amp;IF(D189=Assumptions!$P$136,"High-floor view premium fully loaded. ","")&amp;IF(Q189&lt;=K189,"At developer starting price.",""))</f>
        <v/>
      </c>
      <c r="T189" s="48" t="str">
        <f>Assumptions!$AJ$136</f>
        <v>SSW. Super unblocked landed estate + nature reserve; premium loaded on mid &amp; high floors</v>
      </c>
    </row>
    <row r="190" spans="1:20" x14ac:dyDescent="0.2">
      <c r="A190" s="13" t="s">
        <v>317</v>
      </c>
      <c r="B190" s="14">
        <v>3</v>
      </c>
      <c r="C190" s="40">
        <v>10</v>
      </c>
      <c r="D190" s="40">
        <v>16</v>
      </c>
      <c r="E190" s="9" t="s">
        <v>47</v>
      </c>
      <c r="F190" s="14" t="s">
        <v>203</v>
      </c>
      <c r="G190" s="10">
        <v>1152</v>
      </c>
      <c r="H190" s="14" t="s">
        <v>62</v>
      </c>
      <c r="I190" s="41" t="str">
        <f>Assumptions!$I$136</f>
        <v>B</v>
      </c>
      <c r="J190" s="14" t="str">
        <f>IF(D190&lt;=Assumptions!$V$136,"Low",IF(D190&lt;=Assumptions!$W$136,"Mid","High"))</f>
        <v>High</v>
      </c>
      <c r="K190" s="15">
        <f>Assumptions!$Q$136</f>
        <v>2650</v>
      </c>
      <c r="L190" s="42">
        <f>INDEX(Assumptions!$M$61:$M$90,D190)</f>
        <v>2928.5692307692307</v>
      </c>
      <c r="M190" s="43">
        <f>IF(D190&lt;=Assumptions!$G$136,Assumptions!$AK$136,IF(D190&lt;Assumptions!$AH$136,Assumptions!$AK$136+(Assumptions!$AL$136-Assumptions!$AK$136)*(D190-Assumptions!$G$136)/(Assumptions!$AH$136-Assumptions!$G$136),IF(D190&lt;Assumptions!$P$136,Assumptions!$AL$136+(Assumptions!$AM$136-Assumptions!$AL$136)*(D190-Assumptions!$AH$136)/(Assumptions!$P$136-Assumptions!$AH$136),Assumptions!$AM$136)))</f>
        <v>38888.888888888891</v>
      </c>
      <c r="N190" s="44">
        <f t="shared" si="4"/>
        <v>33.757716049382715</v>
      </c>
      <c r="O190" s="45">
        <f t="shared" si="5"/>
        <v>2962</v>
      </c>
      <c r="P190" s="14" t="str">
        <f>IF(D190&gt;=Assumptions!$P$136,"High",IF(D190&gt;=Assumptions!$AH$136,"Mid",IF(D190&lt;=Assumptions!$G$136,"Low","Loading")))</f>
        <v>High</v>
      </c>
      <c r="Q190" s="46">
        <f>MAX(K190,MIN(Assumptions!$S$136,O190),Q191)</f>
        <v>2962</v>
      </c>
      <c r="R190" s="12">
        <f>IF(AND(Q190&lt;=K190,INDEX(Assumptions!$C$26:$C$36,MATCH(G190,Assumptions!$A$26:$A$36,0))&lt;&gt;""),INDEX(Assumptions!$C$26:$C$36,MATCH(G190,Assumptions!$A$26:$A$36,0)),ROUND(G190*Q190,-2))</f>
        <v>3412200</v>
      </c>
      <c r="S190" s="47" t="str">
        <f>TRIM(IF(AND(Assumptions!$L$136&lt;&gt;"",D190&lt;Assumptions!$L$136),"View blocked / roof in front ("&amp;Assumptions!$M$136&amp;"); view premium still loading until L"&amp;Assumptions!$L$136&amp;". ","")&amp;IF(D190=Assumptions!$AH$136,"Mid-floor view premium fully loaded. ","")&amp;IF(D190=Assumptions!$P$136,"High-floor view premium fully loaded. ","")&amp;IF(Q190&lt;=K190,"At developer starting price.",""))</f>
        <v>High-floor view premium fully loaded.</v>
      </c>
      <c r="T190" s="48" t="str">
        <f>Assumptions!$AJ$136</f>
        <v>SSW. Super unblocked landed estate + nature reserve; premium loaded on mid &amp; high floors</v>
      </c>
    </row>
    <row r="191" spans="1:20" x14ac:dyDescent="0.2">
      <c r="A191" s="13" t="s">
        <v>318</v>
      </c>
      <c r="B191" s="14">
        <v>3</v>
      </c>
      <c r="C191" s="40">
        <v>10</v>
      </c>
      <c r="D191" s="40">
        <v>15</v>
      </c>
      <c r="E191" s="9" t="s">
        <v>47</v>
      </c>
      <c r="F191" s="14" t="s">
        <v>203</v>
      </c>
      <c r="G191" s="10">
        <v>1152</v>
      </c>
      <c r="H191" s="14" t="s">
        <v>62</v>
      </c>
      <c r="I191" s="41" t="str">
        <f>Assumptions!$I$136</f>
        <v>B</v>
      </c>
      <c r="J191" s="14" t="str">
        <f>IF(D191&lt;=Assumptions!$V$136,"Low",IF(D191&lt;=Assumptions!$W$136,"Mid","High"))</f>
        <v>Mid</v>
      </c>
      <c r="K191" s="15">
        <f>Assumptions!$Q$136</f>
        <v>2650</v>
      </c>
      <c r="L191" s="42">
        <f>INDEX(Assumptions!$M$61:$M$90,D191)</f>
        <v>2904.476923076923</v>
      </c>
      <c r="M191" s="43">
        <f>IF(D191&lt;=Assumptions!$G$136,Assumptions!$AK$136,IF(D191&lt;Assumptions!$AH$136,Assumptions!$AK$136+(Assumptions!$AL$136-Assumptions!$AK$136)*(D191-Assumptions!$G$136)/(Assumptions!$AH$136-Assumptions!$G$136),IF(D191&lt;Assumptions!$P$136,Assumptions!$AL$136+(Assumptions!$AM$136-Assumptions!$AL$136)*(D191-Assumptions!$AH$136)/(Assumptions!$P$136-Assumptions!$AH$136),Assumptions!$AM$136)))</f>
        <v>36904.761904761908</v>
      </c>
      <c r="N191" s="44">
        <f t="shared" si="4"/>
        <v>32.035383597883602</v>
      </c>
      <c r="O191" s="45">
        <f t="shared" si="5"/>
        <v>2937</v>
      </c>
      <c r="P191" s="14" t="str">
        <f>IF(D191&gt;=Assumptions!$P$136,"High",IF(D191&gt;=Assumptions!$AH$136,"Mid",IF(D191&lt;=Assumptions!$G$136,"Low","Loading")))</f>
        <v>Mid</v>
      </c>
      <c r="Q191" s="46">
        <f>MAX(K191,MIN(Assumptions!$S$136,O191),Q192)</f>
        <v>2937</v>
      </c>
      <c r="R191" s="12">
        <f>IF(AND(Q191&lt;=K191,INDEX(Assumptions!$C$26:$C$36,MATCH(G191,Assumptions!$A$26:$A$36,0))&lt;&gt;""),INDEX(Assumptions!$C$26:$C$36,MATCH(G191,Assumptions!$A$26:$A$36,0)),ROUND(G191*Q191,-2))</f>
        <v>3383400</v>
      </c>
      <c r="S191" s="47" t="str">
        <f>TRIM(IF(AND(Assumptions!$L$136&lt;&gt;"",D191&lt;Assumptions!$L$136),"View blocked / roof in front ("&amp;Assumptions!$M$136&amp;"); view premium still loading until L"&amp;Assumptions!$L$136&amp;". ","")&amp;IF(D191=Assumptions!$AH$136,"Mid-floor view premium fully loaded. ","")&amp;IF(D191=Assumptions!$P$136,"High-floor view premium fully loaded. ","")&amp;IF(Q191&lt;=K191,"At developer starting price.",""))</f>
        <v/>
      </c>
      <c r="T191" s="48" t="str">
        <f>Assumptions!$AJ$136</f>
        <v>SSW. Super unblocked landed estate + nature reserve; premium loaded on mid &amp; high floors</v>
      </c>
    </row>
    <row r="192" spans="1:20" x14ac:dyDescent="0.2">
      <c r="A192" s="13" t="s">
        <v>319</v>
      </c>
      <c r="B192" s="14">
        <v>3</v>
      </c>
      <c r="C192" s="40">
        <v>10</v>
      </c>
      <c r="D192" s="40">
        <v>14</v>
      </c>
      <c r="E192" s="9" t="s">
        <v>47</v>
      </c>
      <c r="F192" s="14" t="s">
        <v>203</v>
      </c>
      <c r="G192" s="10">
        <v>1152</v>
      </c>
      <c r="H192" s="14" t="s">
        <v>62</v>
      </c>
      <c r="I192" s="41" t="str">
        <f>Assumptions!$I$136</f>
        <v>B</v>
      </c>
      <c r="J192" s="14" t="str">
        <f>IF(D192&lt;=Assumptions!$V$136,"Low",IF(D192&lt;=Assumptions!$W$136,"Mid","High"))</f>
        <v>Mid</v>
      </c>
      <c r="K192" s="15">
        <f>Assumptions!$Q$136</f>
        <v>2650</v>
      </c>
      <c r="L192" s="42">
        <f>INDEX(Assumptions!$M$61:$M$90,D192)</f>
        <v>2880.3846153846152</v>
      </c>
      <c r="M192" s="43">
        <f>IF(D192&lt;=Assumptions!$G$136,Assumptions!$AK$136,IF(D192&lt;Assumptions!$AH$136,Assumptions!$AK$136+(Assumptions!$AL$136-Assumptions!$AK$136)*(D192-Assumptions!$G$136)/(Assumptions!$AH$136-Assumptions!$G$136),IF(D192&lt;Assumptions!$P$136,Assumptions!$AL$136+(Assumptions!$AM$136-Assumptions!$AL$136)*(D192-Assumptions!$AH$136)/(Assumptions!$P$136-Assumptions!$AH$136),Assumptions!$AM$136)))</f>
        <v>34920.634920634926</v>
      </c>
      <c r="N192" s="44">
        <f t="shared" si="4"/>
        <v>30.313051146384485</v>
      </c>
      <c r="O192" s="45">
        <f t="shared" si="5"/>
        <v>2911</v>
      </c>
      <c r="P192" s="14" t="str">
        <f>IF(D192&gt;=Assumptions!$P$136,"High",IF(D192&gt;=Assumptions!$AH$136,"Mid",IF(D192&lt;=Assumptions!$G$136,"Low","Loading")))</f>
        <v>Mid</v>
      </c>
      <c r="Q192" s="46">
        <f>MAX(K192,MIN(Assumptions!$S$136,O192),Q193)</f>
        <v>2911</v>
      </c>
      <c r="R192" s="12">
        <f>IF(AND(Q192&lt;=K192,INDEX(Assumptions!$C$26:$C$36,MATCH(G192,Assumptions!$A$26:$A$36,0))&lt;&gt;""),INDEX(Assumptions!$C$26:$C$36,MATCH(G192,Assumptions!$A$26:$A$36,0)),ROUND(G192*Q192,-2))</f>
        <v>3353500</v>
      </c>
      <c r="S192" s="47" t="str">
        <f>TRIM(IF(AND(Assumptions!$L$136&lt;&gt;"",D192&lt;Assumptions!$L$136),"View blocked / roof in front ("&amp;Assumptions!$M$136&amp;"); view premium still loading until L"&amp;Assumptions!$L$136&amp;". ","")&amp;IF(D192=Assumptions!$AH$136,"Mid-floor view premium fully loaded. ","")&amp;IF(D192=Assumptions!$P$136,"High-floor view premium fully loaded. ","")&amp;IF(Q192&lt;=K192,"At developer starting price.",""))</f>
        <v/>
      </c>
      <c r="T192" s="48" t="str">
        <f>Assumptions!$AJ$136</f>
        <v>SSW. Super unblocked landed estate + nature reserve; premium loaded on mid &amp; high floors</v>
      </c>
    </row>
    <row r="193" spans="1:20" x14ac:dyDescent="0.2">
      <c r="A193" s="13" t="s">
        <v>320</v>
      </c>
      <c r="B193" s="14">
        <v>3</v>
      </c>
      <c r="C193" s="40">
        <v>10</v>
      </c>
      <c r="D193" s="40">
        <v>13</v>
      </c>
      <c r="E193" s="9" t="s">
        <v>47</v>
      </c>
      <c r="F193" s="14" t="s">
        <v>203</v>
      </c>
      <c r="G193" s="10">
        <v>1152</v>
      </c>
      <c r="H193" s="14" t="s">
        <v>62</v>
      </c>
      <c r="I193" s="41" t="str">
        <f>Assumptions!$I$136</f>
        <v>B</v>
      </c>
      <c r="J193" s="14" t="str">
        <f>IF(D193&lt;=Assumptions!$V$136,"Low",IF(D193&lt;=Assumptions!$W$136,"Mid","High"))</f>
        <v>Mid</v>
      </c>
      <c r="K193" s="15">
        <f>Assumptions!$Q$136</f>
        <v>2650</v>
      </c>
      <c r="L193" s="42">
        <f>INDEX(Assumptions!$M$61:$M$90,D193)</f>
        <v>2856.2923076923075</v>
      </c>
      <c r="M193" s="43">
        <f>IF(D193&lt;=Assumptions!$G$136,Assumptions!$AK$136,IF(D193&lt;Assumptions!$AH$136,Assumptions!$AK$136+(Assumptions!$AL$136-Assumptions!$AK$136)*(D193-Assumptions!$G$136)/(Assumptions!$AH$136-Assumptions!$G$136),IF(D193&lt;Assumptions!$P$136,Assumptions!$AL$136+(Assumptions!$AM$136-Assumptions!$AL$136)*(D193-Assumptions!$AH$136)/(Assumptions!$P$136-Assumptions!$AH$136),Assumptions!$AM$136)))</f>
        <v>32936.507936507936</v>
      </c>
      <c r="N193" s="44">
        <f t="shared" si="4"/>
        <v>28.590718694885361</v>
      </c>
      <c r="O193" s="45">
        <f t="shared" si="5"/>
        <v>2885</v>
      </c>
      <c r="P193" s="14" t="str">
        <f>IF(D193&gt;=Assumptions!$P$136,"High",IF(D193&gt;=Assumptions!$AH$136,"Mid",IF(D193&lt;=Assumptions!$G$136,"Low","Loading")))</f>
        <v>Mid</v>
      </c>
      <c r="Q193" s="46">
        <f>MAX(K193,MIN(Assumptions!$S$136,O193),Q194)</f>
        <v>2885</v>
      </c>
      <c r="R193" s="12">
        <f>IF(AND(Q193&lt;=K193,INDEX(Assumptions!$C$26:$C$36,MATCH(G193,Assumptions!$A$26:$A$36,0))&lt;&gt;""),INDEX(Assumptions!$C$26:$C$36,MATCH(G193,Assumptions!$A$26:$A$36,0)),ROUND(G193*Q193,-2))</f>
        <v>3323500</v>
      </c>
      <c r="S193" s="47" t="str">
        <f>TRIM(IF(AND(Assumptions!$L$136&lt;&gt;"",D193&lt;Assumptions!$L$136),"View blocked / roof in front ("&amp;Assumptions!$M$136&amp;"); view premium still loading until L"&amp;Assumptions!$L$136&amp;". ","")&amp;IF(D193=Assumptions!$AH$136,"Mid-floor view premium fully loaded. ","")&amp;IF(D193=Assumptions!$P$136,"High-floor view premium fully loaded. ","")&amp;IF(Q193&lt;=K193,"At developer starting price.",""))</f>
        <v/>
      </c>
      <c r="T193" s="48" t="str">
        <f>Assumptions!$AJ$136</f>
        <v>SSW. Super unblocked landed estate + nature reserve; premium loaded on mid &amp; high floors</v>
      </c>
    </row>
    <row r="194" spans="1:20" x14ac:dyDescent="0.2">
      <c r="A194" s="13" t="s">
        <v>321</v>
      </c>
      <c r="B194" s="14">
        <v>3</v>
      </c>
      <c r="C194" s="40">
        <v>10</v>
      </c>
      <c r="D194" s="40">
        <v>12</v>
      </c>
      <c r="E194" s="9" t="s">
        <v>47</v>
      </c>
      <c r="F194" s="14" t="s">
        <v>203</v>
      </c>
      <c r="G194" s="10">
        <v>1152</v>
      </c>
      <c r="H194" s="14" t="s">
        <v>62</v>
      </c>
      <c r="I194" s="41" t="str">
        <f>Assumptions!$I$136</f>
        <v>B</v>
      </c>
      <c r="J194" s="14" t="str">
        <f>IF(D194&lt;=Assumptions!$V$136,"Low",IF(D194&lt;=Assumptions!$W$136,"Mid","High"))</f>
        <v>Mid</v>
      </c>
      <c r="K194" s="15">
        <f>Assumptions!$Q$136</f>
        <v>2650</v>
      </c>
      <c r="L194" s="42">
        <f>INDEX(Assumptions!$M$61:$M$90,D194)</f>
        <v>2832.2</v>
      </c>
      <c r="M194" s="43">
        <f>IF(D194&lt;=Assumptions!$G$136,Assumptions!$AK$136,IF(D194&lt;Assumptions!$AH$136,Assumptions!$AK$136+(Assumptions!$AL$136-Assumptions!$AK$136)*(D194-Assumptions!$G$136)/(Assumptions!$AH$136-Assumptions!$G$136),IF(D194&lt;Assumptions!$P$136,Assumptions!$AL$136+(Assumptions!$AM$136-Assumptions!$AL$136)*(D194-Assumptions!$AH$136)/(Assumptions!$P$136-Assumptions!$AH$136),Assumptions!$AM$136)))</f>
        <v>30952.380952380954</v>
      </c>
      <c r="N194" s="44">
        <f t="shared" si="4"/>
        <v>26.868386243386244</v>
      </c>
      <c r="O194" s="45">
        <f t="shared" si="5"/>
        <v>2859</v>
      </c>
      <c r="P194" s="14" t="str">
        <f>IF(D194&gt;=Assumptions!$P$136,"High",IF(D194&gt;=Assumptions!$AH$136,"Mid",IF(D194&lt;=Assumptions!$G$136,"Low","Loading")))</f>
        <v>Mid</v>
      </c>
      <c r="Q194" s="46">
        <f>MAX(K194,MIN(Assumptions!$S$136,O194),Q195)</f>
        <v>2859</v>
      </c>
      <c r="R194" s="12">
        <f>IF(AND(Q194&lt;=K194,INDEX(Assumptions!$C$26:$C$36,MATCH(G194,Assumptions!$A$26:$A$36,0))&lt;&gt;""),INDEX(Assumptions!$C$26:$C$36,MATCH(G194,Assumptions!$A$26:$A$36,0)),ROUND(G194*Q194,-2))</f>
        <v>3293600</v>
      </c>
      <c r="S194" s="47" t="str">
        <f>TRIM(IF(AND(Assumptions!$L$136&lt;&gt;"",D194&lt;Assumptions!$L$136),"View blocked / roof in front ("&amp;Assumptions!$M$136&amp;"); view premium still loading until L"&amp;Assumptions!$L$136&amp;". ","")&amp;IF(D194=Assumptions!$AH$136,"Mid-floor view premium fully loaded. ","")&amp;IF(D194=Assumptions!$P$136,"High-floor view premium fully loaded. ","")&amp;IF(Q194&lt;=K194,"At developer starting price.",""))</f>
        <v/>
      </c>
      <c r="T194" s="48" t="str">
        <f>Assumptions!$AJ$136</f>
        <v>SSW. Super unblocked landed estate + nature reserve; premium loaded on mid &amp; high floors</v>
      </c>
    </row>
    <row r="195" spans="1:20" x14ac:dyDescent="0.2">
      <c r="A195" s="13" t="s">
        <v>322</v>
      </c>
      <c r="B195" s="14">
        <v>3</v>
      </c>
      <c r="C195" s="40">
        <v>10</v>
      </c>
      <c r="D195" s="40">
        <v>11</v>
      </c>
      <c r="E195" s="9" t="s">
        <v>47</v>
      </c>
      <c r="F195" s="14" t="s">
        <v>203</v>
      </c>
      <c r="G195" s="10">
        <v>1152</v>
      </c>
      <c r="H195" s="14" t="s">
        <v>62</v>
      </c>
      <c r="I195" s="41" t="str">
        <f>Assumptions!$I$136</f>
        <v>B</v>
      </c>
      <c r="J195" s="14" t="str">
        <f>IF(D195&lt;=Assumptions!$V$136,"Low",IF(D195&lt;=Assumptions!$W$136,"Mid","High"))</f>
        <v>Mid</v>
      </c>
      <c r="K195" s="15">
        <f>Assumptions!$Q$136</f>
        <v>2650</v>
      </c>
      <c r="L195" s="42">
        <f>INDEX(Assumptions!$M$61:$M$90,D195)</f>
        <v>2818.3202777777778</v>
      </c>
      <c r="M195" s="43">
        <f>IF(D195&lt;=Assumptions!$G$136,Assumptions!$AK$136,IF(D195&lt;Assumptions!$AH$136,Assumptions!$AK$136+(Assumptions!$AL$136-Assumptions!$AK$136)*(D195-Assumptions!$G$136)/(Assumptions!$AH$136-Assumptions!$G$136),IF(D195&lt;Assumptions!$P$136,Assumptions!$AL$136+(Assumptions!$AM$136-Assumptions!$AL$136)*(D195-Assumptions!$AH$136)/(Assumptions!$P$136-Assumptions!$AH$136),Assumptions!$AM$136)))</f>
        <v>28968.253968253968</v>
      </c>
      <c r="N195" s="44">
        <f t="shared" si="4"/>
        <v>25.146053791887127</v>
      </c>
      <c r="O195" s="45">
        <f t="shared" si="5"/>
        <v>2843</v>
      </c>
      <c r="P195" s="14" t="str">
        <f>IF(D195&gt;=Assumptions!$P$136,"High",IF(D195&gt;=Assumptions!$AH$136,"Mid",IF(D195&lt;=Assumptions!$G$136,"Low","Loading")))</f>
        <v>Mid</v>
      </c>
      <c r="Q195" s="46">
        <f>MAX(K195,MIN(Assumptions!$S$136,O195),Q196)</f>
        <v>2843</v>
      </c>
      <c r="R195" s="12">
        <f>IF(AND(Q195&lt;=K195,INDEX(Assumptions!$C$26:$C$36,MATCH(G195,Assumptions!$A$26:$A$36,0))&lt;&gt;""),INDEX(Assumptions!$C$26:$C$36,MATCH(G195,Assumptions!$A$26:$A$36,0)),ROUND(G195*Q195,-2))</f>
        <v>3275100</v>
      </c>
      <c r="S195" s="47" t="str">
        <f>TRIM(IF(AND(Assumptions!$L$136&lt;&gt;"",D195&lt;Assumptions!$L$136),"View blocked / roof in front ("&amp;Assumptions!$M$136&amp;"); view premium still loading until L"&amp;Assumptions!$L$136&amp;". ","")&amp;IF(D195=Assumptions!$AH$136,"Mid-floor view premium fully loaded. ","")&amp;IF(D195=Assumptions!$P$136,"High-floor view premium fully loaded. ","")&amp;IF(Q195&lt;=K195,"At developer starting price.",""))</f>
        <v/>
      </c>
      <c r="T195" s="48" t="str">
        <f>Assumptions!$AJ$136</f>
        <v>SSW. Super unblocked landed estate + nature reserve; premium loaded on mid &amp; high floors</v>
      </c>
    </row>
    <row r="196" spans="1:20" x14ac:dyDescent="0.2">
      <c r="A196" s="13" t="s">
        <v>323</v>
      </c>
      <c r="B196" s="14">
        <v>3</v>
      </c>
      <c r="C196" s="40">
        <v>10</v>
      </c>
      <c r="D196" s="40">
        <v>10</v>
      </c>
      <c r="E196" s="9" t="s">
        <v>47</v>
      </c>
      <c r="F196" s="14" t="s">
        <v>203</v>
      </c>
      <c r="G196" s="10">
        <v>1152</v>
      </c>
      <c r="H196" s="14" t="s">
        <v>62</v>
      </c>
      <c r="I196" s="41" t="str">
        <f>Assumptions!$I$136</f>
        <v>B</v>
      </c>
      <c r="J196" s="14" t="str">
        <f>IF(D196&lt;=Assumptions!$V$136,"Low",IF(D196&lt;=Assumptions!$W$136,"Mid","High"))</f>
        <v>Mid</v>
      </c>
      <c r="K196" s="15">
        <f>Assumptions!$Q$136</f>
        <v>2650</v>
      </c>
      <c r="L196" s="42">
        <f>INDEX(Assumptions!$M$61:$M$90,D196)</f>
        <v>2804.4405555555554</v>
      </c>
      <c r="M196" s="43">
        <f>IF(D196&lt;=Assumptions!$G$136,Assumptions!$AK$136,IF(D196&lt;Assumptions!$AH$136,Assumptions!$AK$136+(Assumptions!$AL$136-Assumptions!$AK$136)*(D196-Assumptions!$G$136)/(Assumptions!$AH$136-Assumptions!$G$136),IF(D196&lt;Assumptions!$P$136,Assumptions!$AL$136+(Assumptions!$AM$136-Assumptions!$AL$136)*(D196-Assumptions!$AH$136)/(Assumptions!$P$136-Assumptions!$AH$136),Assumptions!$AM$136)))</f>
        <v>26984.126984126986</v>
      </c>
      <c r="N196" s="44">
        <f t="shared" si="4"/>
        <v>23.42372134038801</v>
      </c>
      <c r="O196" s="45">
        <f t="shared" si="5"/>
        <v>2828</v>
      </c>
      <c r="P196" s="14" t="str">
        <f>IF(D196&gt;=Assumptions!$P$136,"High",IF(D196&gt;=Assumptions!$AH$136,"Mid",IF(D196&lt;=Assumptions!$G$136,"Low","Loading")))</f>
        <v>Mid</v>
      </c>
      <c r="Q196" s="46">
        <f>MAX(K196,MIN(Assumptions!$S$136,O196),Q197)</f>
        <v>2828</v>
      </c>
      <c r="R196" s="12">
        <f>IF(AND(Q196&lt;=K196,INDEX(Assumptions!$C$26:$C$36,MATCH(G196,Assumptions!$A$26:$A$36,0))&lt;&gt;""),INDEX(Assumptions!$C$26:$C$36,MATCH(G196,Assumptions!$A$26:$A$36,0)),ROUND(G196*Q196,-2))</f>
        <v>3257900</v>
      </c>
      <c r="S196" s="47" t="str">
        <f>TRIM(IF(AND(Assumptions!$L$136&lt;&gt;"",D196&lt;Assumptions!$L$136),"View blocked / roof in front ("&amp;Assumptions!$M$136&amp;"); view premium still loading until L"&amp;Assumptions!$L$136&amp;". ","")&amp;IF(D196=Assumptions!$AH$136,"Mid-floor view premium fully loaded. ","")&amp;IF(D196=Assumptions!$P$136,"High-floor view premium fully loaded. ","")&amp;IF(Q196&lt;=K196,"At developer starting price.",""))</f>
        <v/>
      </c>
      <c r="T196" s="48" t="str">
        <f>Assumptions!$AJ$136</f>
        <v>SSW. Super unblocked landed estate + nature reserve; premium loaded on mid &amp; high floors</v>
      </c>
    </row>
    <row r="197" spans="1:20" x14ac:dyDescent="0.2">
      <c r="A197" s="13" t="s">
        <v>324</v>
      </c>
      <c r="B197" s="14">
        <v>3</v>
      </c>
      <c r="C197" s="40">
        <v>10</v>
      </c>
      <c r="D197" s="40">
        <v>9</v>
      </c>
      <c r="E197" s="9" t="s">
        <v>47</v>
      </c>
      <c r="F197" s="14" t="s">
        <v>203</v>
      </c>
      <c r="G197" s="10">
        <v>1152</v>
      </c>
      <c r="H197" s="14" t="s">
        <v>62</v>
      </c>
      <c r="I197" s="41" t="str">
        <f>Assumptions!$I$136</f>
        <v>B</v>
      </c>
      <c r="J197" s="14" t="str">
        <f>IF(D197&lt;=Assumptions!$V$136,"Low",IF(D197&lt;=Assumptions!$W$136,"Mid","High"))</f>
        <v>Mid</v>
      </c>
      <c r="K197" s="15">
        <f>Assumptions!$Q$136</f>
        <v>2650</v>
      </c>
      <c r="L197" s="42">
        <f>INDEX(Assumptions!$M$61:$M$90,D197)</f>
        <v>2790.560833333333</v>
      </c>
      <c r="M197" s="43">
        <f>IF(D197&lt;=Assumptions!$G$136,Assumptions!$AK$136,IF(D197&lt;Assumptions!$AH$136,Assumptions!$AK$136+(Assumptions!$AL$136-Assumptions!$AK$136)*(D197-Assumptions!$G$136)/(Assumptions!$AH$136-Assumptions!$G$136),IF(D197&lt;Assumptions!$P$136,Assumptions!$AL$136+(Assumptions!$AM$136-Assumptions!$AL$136)*(D197-Assumptions!$AH$136)/(Assumptions!$P$136-Assumptions!$AH$136),Assumptions!$AM$136)))</f>
        <v>25000</v>
      </c>
      <c r="N197" s="44">
        <f t="shared" ref="N197:N260" si="6">M197/G197</f>
        <v>21.701388888888889</v>
      </c>
      <c r="O197" s="45">
        <f t="shared" ref="O197:O260" si="7">ROUND(L197+N197,0)</f>
        <v>2812</v>
      </c>
      <c r="P197" s="14" t="str">
        <f>IF(D197&gt;=Assumptions!$P$136,"High",IF(D197&gt;=Assumptions!$AH$136,"Mid",IF(D197&lt;=Assumptions!$G$136,"Low","Loading")))</f>
        <v>Mid</v>
      </c>
      <c r="Q197" s="46">
        <f>MAX(K197,MIN(Assumptions!$S$136,O197),Q198)</f>
        <v>2812</v>
      </c>
      <c r="R197" s="12">
        <f>IF(AND(Q197&lt;=K197,INDEX(Assumptions!$C$26:$C$36,MATCH(G197,Assumptions!$A$26:$A$36,0))&lt;&gt;""),INDEX(Assumptions!$C$26:$C$36,MATCH(G197,Assumptions!$A$26:$A$36,0)),ROUND(G197*Q197,-2))</f>
        <v>3239400</v>
      </c>
      <c r="S197" s="47" t="str">
        <f>TRIM(IF(AND(Assumptions!$L$136&lt;&gt;"",D197&lt;Assumptions!$L$136),"View blocked / roof in front ("&amp;Assumptions!$M$136&amp;"); view premium still loading until L"&amp;Assumptions!$L$136&amp;". ","")&amp;IF(D197=Assumptions!$AH$136,"Mid-floor view premium fully loaded. ","")&amp;IF(D197=Assumptions!$P$136,"High-floor view premium fully loaded. ","")&amp;IF(Q197&lt;=K197,"At developer starting price.",""))</f>
        <v>Mid-floor view premium fully loaded.</v>
      </c>
      <c r="T197" s="48" t="str">
        <f>Assumptions!$AJ$136</f>
        <v>SSW. Super unblocked landed estate + nature reserve; premium loaded on mid &amp; high floors</v>
      </c>
    </row>
    <row r="198" spans="1:20" x14ac:dyDescent="0.2">
      <c r="A198" s="13" t="s">
        <v>325</v>
      </c>
      <c r="B198" s="14">
        <v>3</v>
      </c>
      <c r="C198" s="40">
        <v>10</v>
      </c>
      <c r="D198" s="40">
        <v>8</v>
      </c>
      <c r="E198" s="9" t="s">
        <v>47</v>
      </c>
      <c r="F198" s="14" t="s">
        <v>203</v>
      </c>
      <c r="G198" s="10">
        <v>1152</v>
      </c>
      <c r="H198" s="14" t="s">
        <v>62</v>
      </c>
      <c r="I198" s="41" t="str">
        <f>Assumptions!$I$136</f>
        <v>B</v>
      </c>
      <c r="J198" s="14" t="str">
        <f>IF(D198&lt;=Assumptions!$V$136,"Low",IF(D198&lt;=Assumptions!$W$136,"Mid","High"))</f>
        <v>Low</v>
      </c>
      <c r="K198" s="15">
        <f>Assumptions!$Q$136</f>
        <v>2650</v>
      </c>
      <c r="L198" s="42">
        <f>INDEX(Assumptions!$M$61:$M$90,D198)</f>
        <v>2776.681111111111</v>
      </c>
      <c r="M198" s="43">
        <f>IF(D198&lt;=Assumptions!$G$136,Assumptions!$AK$136,IF(D198&lt;Assumptions!$AH$136,Assumptions!$AK$136+(Assumptions!$AL$136-Assumptions!$AK$136)*(D198-Assumptions!$G$136)/(Assumptions!$AH$136-Assumptions!$G$136),IF(D198&lt;Assumptions!$P$136,Assumptions!$AL$136+(Assumptions!$AM$136-Assumptions!$AL$136)*(D198-Assumptions!$AH$136)/(Assumptions!$P$136-Assumptions!$AH$136),Assumptions!$AM$136)))</f>
        <v>28571.428571428572</v>
      </c>
      <c r="N198" s="44">
        <f t="shared" si="6"/>
        <v>24.801587301587304</v>
      </c>
      <c r="O198" s="45">
        <f t="shared" si="7"/>
        <v>2801</v>
      </c>
      <c r="P198" s="14" t="str">
        <f>IF(D198&gt;=Assumptions!$P$136,"High",IF(D198&gt;=Assumptions!$AH$136,"Mid",IF(D198&lt;=Assumptions!$G$136,"Low","Loading")))</f>
        <v>Loading</v>
      </c>
      <c r="Q198" s="46">
        <f>MAX(K198,MIN(Assumptions!$S$136,O198),Q199)</f>
        <v>2801</v>
      </c>
      <c r="R198" s="12">
        <f>IF(AND(Q198&lt;=K198,INDEX(Assumptions!$C$26:$C$36,MATCH(G198,Assumptions!$A$26:$A$36,0))&lt;&gt;""),INDEX(Assumptions!$C$26:$C$36,MATCH(G198,Assumptions!$A$26:$A$36,0)),ROUND(G198*Q198,-2))</f>
        <v>3226800</v>
      </c>
      <c r="S198" s="47" t="str">
        <f>TRIM(IF(AND(Assumptions!$L$136&lt;&gt;"",D198&lt;Assumptions!$L$136),"View blocked / roof in front ("&amp;Assumptions!$M$136&amp;"); view premium still loading until L"&amp;Assumptions!$L$136&amp;". ","")&amp;IF(D198=Assumptions!$AH$136,"Mid-floor view premium fully loaded. ","")&amp;IF(D198=Assumptions!$P$136,"High-floor view premium fully loaded. ","")&amp;IF(Q198&lt;=K198,"At developer starting price.",""))</f>
        <v/>
      </c>
      <c r="T198" s="48" t="str">
        <f>Assumptions!$AJ$136</f>
        <v>SSW. Super unblocked landed estate + nature reserve; premium loaded on mid &amp; high floors</v>
      </c>
    </row>
    <row r="199" spans="1:20" x14ac:dyDescent="0.2">
      <c r="A199" s="13" t="s">
        <v>326</v>
      </c>
      <c r="B199" s="14">
        <v>3</v>
      </c>
      <c r="C199" s="40">
        <v>10</v>
      </c>
      <c r="D199" s="40">
        <v>7</v>
      </c>
      <c r="E199" s="9" t="s">
        <v>47</v>
      </c>
      <c r="F199" s="14" t="s">
        <v>203</v>
      </c>
      <c r="G199" s="10">
        <v>1152</v>
      </c>
      <c r="H199" s="14" t="s">
        <v>62</v>
      </c>
      <c r="I199" s="41" t="str">
        <f>Assumptions!$I$136</f>
        <v>B</v>
      </c>
      <c r="J199" s="14" t="str">
        <f>IF(D199&lt;=Assumptions!$V$136,"Low",IF(D199&lt;=Assumptions!$W$136,"Mid","High"))</f>
        <v>Low</v>
      </c>
      <c r="K199" s="15">
        <f>Assumptions!$Q$136</f>
        <v>2650</v>
      </c>
      <c r="L199" s="42">
        <f>INDEX(Assumptions!$M$61:$M$90,D199)</f>
        <v>2762.8013888888891</v>
      </c>
      <c r="M199" s="43">
        <f>IF(D199&lt;=Assumptions!$G$136,Assumptions!$AK$136,IF(D199&lt;Assumptions!$AH$136,Assumptions!$AK$136+(Assumptions!$AL$136-Assumptions!$AK$136)*(D199-Assumptions!$G$136)/(Assumptions!$AH$136-Assumptions!$G$136),IF(D199&lt;Assumptions!$P$136,Assumptions!$AL$136+(Assumptions!$AM$136-Assumptions!$AL$136)*(D199-Assumptions!$AH$136)/(Assumptions!$P$136-Assumptions!$AH$136),Assumptions!$AM$136)))</f>
        <v>32142.857142857141</v>
      </c>
      <c r="N199" s="44">
        <f t="shared" si="6"/>
        <v>27.901785714285712</v>
      </c>
      <c r="O199" s="45">
        <f t="shared" si="7"/>
        <v>2791</v>
      </c>
      <c r="P199" s="14" t="str">
        <f>IF(D199&gt;=Assumptions!$P$136,"High",IF(D199&gt;=Assumptions!$AH$136,"Mid",IF(D199&lt;=Assumptions!$G$136,"Low","Loading")))</f>
        <v>Loading</v>
      </c>
      <c r="Q199" s="46">
        <f>MAX(K199,MIN(Assumptions!$S$136,O199),Q200)</f>
        <v>2791</v>
      </c>
      <c r="R199" s="12">
        <f>IF(AND(Q199&lt;=K199,INDEX(Assumptions!$C$26:$C$36,MATCH(G199,Assumptions!$A$26:$A$36,0))&lt;&gt;""),INDEX(Assumptions!$C$26:$C$36,MATCH(G199,Assumptions!$A$26:$A$36,0)),ROUND(G199*Q199,-2))</f>
        <v>3215200</v>
      </c>
      <c r="S199" s="47" t="str">
        <f>TRIM(IF(AND(Assumptions!$L$136&lt;&gt;"",D199&lt;Assumptions!$L$136),"View blocked / roof in front ("&amp;Assumptions!$M$136&amp;"); view premium still loading until L"&amp;Assumptions!$L$136&amp;". ","")&amp;IF(D199=Assumptions!$AH$136,"Mid-floor view premium fully loaded. ","")&amp;IF(D199=Assumptions!$P$136,"High-floor view premium fully loaded. ","")&amp;IF(Q199&lt;=K199,"At developer starting price.",""))</f>
        <v/>
      </c>
      <c r="T199" s="48" t="str">
        <f>Assumptions!$AJ$136</f>
        <v>SSW. Super unblocked landed estate + nature reserve; premium loaded on mid &amp; high floors</v>
      </c>
    </row>
    <row r="200" spans="1:20" x14ac:dyDescent="0.2">
      <c r="A200" s="13" t="s">
        <v>327</v>
      </c>
      <c r="B200" s="14">
        <v>3</v>
      </c>
      <c r="C200" s="40">
        <v>10</v>
      </c>
      <c r="D200" s="40">
        <v>6</v>
      </c>
      <c r="E200" s="9" t="s">
        <v>47</v>
      </c>
      <c r="F200" s="14" t="s">
        <v>203</v>
      </c>
      <c r="G200" s="10">
        <v>1152</v>
      </c>
      <c r="H200" s="14" t="s">
        <v>62</v>
      </c>
      <c r="I200" s="41" t="str">
        <f>Assumptions!$I$136</f>
        <v>B</v>
      </c>
      <c r="J200" s="14" t="str">
        <f>IF(D200&lt;=Assumptions!$V$136,"Low",IF(D200&lt;=Assumptions!$W$136,"Mid","High"))</f>
        <v>Low</v>
      </c>
      <c r="K200" s="15">
        <f>Assumptions!$Q$136</f>
        <v>2650</v>
      </c>
      <c r="L200" s="42">
        <f>INDEX(Assumptions!$M$61:$M$90,D200)</f>
        <v>2748.9216666666666</v>
      </c>
      <c r="M200" s="43">
        <f>IF(D200&lt;=Assumptions!$G$136,Assumptions!$AK$136,IF(D200&lt;Assumptions!$AH$136,Assumptions!$AK$136+(Assumptions!$AL$136-Assumptions!$AK$136)*(D200-Assumptions!$G$136)/(Assumptions!$AH$136-Assumptions!$G$136),IF(D200&lt;Assumptions!$P$136,Assumptions!$AL$136+(Assumptions!$AM$136-Assumptions!$AL$136)*(D200-Assumptions!$AH$136)/(Assumptions!$P$136-Assumptions!$AH$136),Assumptions!$AM$136)))</f>
        <v>35714.28571428571</v>
      </c>
      <c r="N200" s="44">
        <f t="shared" si="6"/>
        <v>31.001984126984123</v>
      </c>
      <c r="O200" s="45">
        <f t="shared" si="7"/>
        <v>2780</v>
      </c>
      <c r="P200" s="14" t="str">
        <f>IF(D200&gt;=Assumptions!$P$136,"High",IF(D200&gt;=Assumptions!$AH$136,"Mid",IF(D200&lt;=Assumptions!$G$136,"Low","Loading")))</f>
        <v>Loading</v>
      </c>
      <c r="Q200" s="46">
        <f>MAX(K200,MIN(Assumptions!$S$136,O200),Q201)</f>
        <v>2780</v>
      </c>
      <c r="R200" s="12">
        <f>IF(AND(Q200&lt;=K200,INDEX(Assumptions!$C$26:$C$36,MATCH(G200,Assumptions!$A$26:$A$36,0))&lt;&gt;""),INDEX(Assumptions!$C$26:$C$36,MATCH(G200,Assumptions!$A$26:$A$36,0)),ROUND(G200*Q200,-2))</f>
        <v>3202600</v>
      </c>
      <c r="S200" s="47" t="str">
        <f>TRIM(IF(AND(Assumptions!$L$136&lt;&gt;"",D200&lt;Assumptions!$L$136),"View blocked / roof in front ("&amp;Assumptions!$M$136&amp;"); view premium still loading until L"&amp;Assumptions!$L$136&amp;". ","")&amp;IF(D200=Assumptions!$AH$136,"Mid-floor view premium fully loaded. ","")&amp;IF(D200=Assumptions!$P$136,"High-floor view premium fully loaded. ","")&amp;IF(Q200&lt;=K200,"At developer starting price.",""))</f>
        <v/>
      </c>
      <c r="T200" s="48" t="str">
        <f>Assumptions!$AJ$136</f>
        <v>SSW. Super unblocked landed estate + nature reserve; premium loaded on mid &amp; high floors</v>
      </c>
    </row>
    <row r="201" spans="1:20" x14ac:dyDescent="0.2">
      <c r="A201" s="13" t="s">
        <v>328</v>
      </c>
      <c r="B201" s="14">
        <v>3</v>
      </c>
      <c r="C201" s="40">
        <v>10</v>
      </c>
      <c r="D201" s="40">
        <v>5</v>
      </c>
      <c r="E201" s="9" t="s">
        <v>47</v>
      </c>
      <c r="F201" s="14" t="s">
        <v>203</v>
      </c>
      <c r="G201" s="10">
        <v>1152</v>
      </c>
      <c r="H201" s="14" t="s">
        <v>62</v>
      </c>
      <c r="I201" s="41" t="str">
        <f>Assumptions!$I$136</f>
        <v>B</v>
      </c>
      <c r="J201" s="14" t="str">
        <f>IF(D201&lt;=Assumptions!$V$136,"Low",IF(D201&lt;=Assumptions!$W$136,"Mid","High"))</f>
        <v>Low</v>
      </c>
      <c r="K201" s="15">
        <f>Assumptions!$Q$136</f>
        <v>2650</v>
      </c>
      <c r="L201" s="42">
        <f>INDEX(Assumptions!$M$61:$M$90,D201)</f>
        <v>2735.0419444444442</v>
      </c>
      <c r="M201" s="43">
        <f>IF(D201&lt;=Assumptions!$G$136,Assumptions!$AK$136,IF(D201&lt;Assumptions!$AH$136,Assumptions!$AK$136+(Assumptions!$AL$136-Assumptions!$AK$136)*(D201-Assumptions!$G$136)/(Assumptions!$AH$136-Assumptions!$G$136),IF(D201&lt;Assumptions!$P$136,Assumptions!$AL$136+(Assumptions!$AM$136-Assumptions!$AL$136)*(D201-Assumptions!$AH$136)/(Assumptions!$P$136-Assumptions!$AH$136),Assumptions!$AM$136)))</f>
        <v>39285.71428571429</v>
      </c>
      <c r="N201" s="44">
        <f t="shared" si="6"/>
        <v>34.102182539682545</v>
      </c>
      <c r="O201" s="45">
        <f t="shared" si="7"/>
        <v>2769</v>
      </c>
      <c r="P201" s="14" t="str">
        <f>IF(D201&gt;=Assumptions!$P$136,"High",IF(D201&gt;=Assumptions!$AH$136,"Mid",IF(D201&lt;=Assumptions!$G$136,"Low","Loading")))</f>
        <v>Loading</v>
      </c>
      <c r="Q201" s="46">
        <f>MAX(K201,MIN(Assumptions!$S$136,O201),Q202)</f>
        <v>2769</v>
      </c>
      <c r="R201" s="12">
        <f>IF(AND(Q201&lt;=K201,INDEX(Assumptions!$C$26:$C$36,MATCH(G201,Assumptions!$A$26:$A$36,0))&lt;&gt;""),INDEX(Assumptions!$C$26:$C$36,MATCH(G201,Assumptions!$A$26:$A$36,0)),ROUND(G201*Q201,-2))</f>
        <v>3189900</v>
      </c>
      <c r="S201" s="47" t="str">
        <f>TRIM(IF(AND(Assumptions!$L$136&lt;&gt;"",D201&lt;Assumptions!$L$136),"View blocked / roof in front ("&amp;Assumptions!$M$136&amp;"); view premium still loading until L"&amp;Assumptions!$L$136&amp;". ","")&amp;IF(D201=Assumptions!$AH$136,"Mid-floor view premium fully loaded. ","")&amp;IF(D201=Assumptions!$P$136,"High-floor view premium fully loaded. ","")&amp;IF(Q201&lt;=K201,"At developer starting price.",""))</f>
        <v/>
      </c>
      <c r="T201" s="48" t="str">
        <f>Assumptions!$AJ$136</f>
        <v>SSW. Super unblocked landed estate + nature reserve; premium loaded on mid &amp; high floors</v>
      </c>
    </row>
    <row r="202" spans="1:20" x14ac:dyDescent="0.2">
      <c r="A202" s="13" t="s">
        <v>329</v>
      </c>
      <c r="B202" s="14">
        <v>3</v>
      </c>
      <c r="C202" s="40">
        <v>10</v>
      </c>
      <c r="D202" s="40">
        <v>4</v>
      </c>
      <c r="E202" s="9" t="s">
        <v>47</v>
      </c>
      <c r="F202" s="14" t="s">
        <v>203</v>
      </c>
      <c r="G202" s="10">
        <v>1152</v>
      </c>
      <c r="H202" s="14" t="s">
        <v>62</v>
      </c>
      <c r="I202" s="41" t="str">
        <f>Assumptions!$I$136</f>
        <v>B</v>
      </c>
      <c r="J202" s="14" t="str">
        <f>IF(D202&lt;=Assumptions!$V$136,"Low",IF(D202&lt;=Assumptions!$W$136,"Mid","High"))</f>
        <v>Low</v>
      </c>
      <c r="K202" s="15">
        <f>Assumptions!$Q$136</f>
        <v>2650</v>
      </c>
      <c r="L202" s="42">
        <f>INDEX(Assumptions!$M$61:$M$90,D202)</f>
        <v>2721.1622222222222</v>
      </c>
      <c r="M202" s="43">
        <f>IF(D202&lt;=Assumptions!$G$136,Assumptions!$AK$136,IF(D202&lt;Assumptions!$AH$136,Assumptions!$AK$136+(Assumptions!$AL$136-Assumptions!$AK$136)*(D202-Assumptions!$G$136)/(Assumptions!$AH$136-Assumptions!$G$136),IF(D202&lt;Assumptions!$P$136,Assumptions!$AL$136+(Assumptions!$AM$136-Assumptions!$AL$136)*(D202-Assumptions!$AH$136)/(Assumptions!$P$136-Assumptions!$AH$136),Assumptions!$AM$136)))</f>
        <v>42857.142857142855</v>
      </c>
      <c r="N202" s="44">
        <f t="shared" si="6"/>
        <v>37.202380952380949</v>
      </c>
      <c r="O202" s="45">
        <f t="shared" si="7"/>
        <v>2758</v>
      </c>
      <c r="P202" s="14" t="str">
        <f>IF(D202&gt;=Assumptions!$P$136,"High",IF(D202&gt;=Assumptions!$AH$136,"Mid",IF(D202&lt;=Assumptions!$G$136,"Low","Loading")))</f>
        <v>Loading</v>
      </c>
      <c r="Q202" s="46">
        <f>MAX(K202,MIN(Assumptions!$S$136,O202),Q203)</f>
        <v>2758</v>
      </c>
      <c r="R202" s="12">
        <f>IF(AND(Q202&lt;=K202,INDEX(Assumptions!$C$26:$C$36,MATCH(G202,Assumptions!$A$26:$A$36,0))&lt;&gt;""),INDEX(Assumptions!$C$26:$C$36,MATCH(G202,Assumptions!$A$26:$A$36,0)),ROUND(G202*Q202,-2))</f>
        <v>3177200</v>
      </c>
      <c r="S202" s="47" t="str">
        <f>TRIM(IF(AND(Assumptions!$L$136&lt;&gt;"",D202&lt;Assumptions!$L$136),"View blocked / roof in front ("&amp;Assumptions!$M$136&amp;"); view premium still loading until L"&amp;Assumptions!$L$136&amp;". ","")&amp;IF(D202=Assumptions!$AH$136,"Mid-floor view premium fully loaded. ","")&amp;IF(D202=Assumptions!$P$136,"High-floor view premium fully loaded. ","")&amp;IF(Q202&lt;=K202,"At developer starting price.",""))</f>
        <v/>
      </c>
      <c r="T202" s="48" t="str">
        <f>Assumptions!$AJ$136</f>
        <v>SSW. Super unblocked landed estate + nature reserve; premium loaded on mid &amp; high floors</v>
      </c>
    </row>
    <row r="203" spans="1:20" x14ac:dyDescent="0.2">
      <c r="A203" s="13" t="s">
        <v>330</v>
      </c>
      <c r="B203" s="14">
        <v>3</v>
      </c>
      <c r="C203" s="40">
        <v>10</v>
      </c>
      <c r="D203" s="40">
        <v>3</v>
      </c>
      <c r="E203" s="9" t="s">
        <v>47</v>
      </c>
      <c r="F203" s="14" t="s">
        <v>203</v>
      </c>
      <c r="G203" s="10">
        <v>1152</v>
      </c>
      <c r="H203" s="14" t="s">
        <v>62</v>
      </c>
      <c r="I203" s="41" t="str">
        <f>Assumptions!$I$136</f>
        <v>B</v>
      </c>
      <c r="J203" s="14" t="str">
        <f>IF(D203&lt;=Assumptions!$V$136,"Low",IF(D203&lt;=Assumptions!$W$136,"Mid","High"))</f>
        <v>Low</v>
      </c>
      <c r="K203" s="15">
        <f>Assumptions!$Q$136</f>
        <v>2650</v>
      </c>
      <c r="L203" s="42">
        <f>INDEX(Assumptions!$M$61:$M$90,D203)</f>
        <v>2707.2825000000003</v>
      </c>
      <c r="M203" s="43">
        <f>IF(D203&lt;=Assumptions!$G$136,Assumptions!$AK$136,IF(D203&lt;Assumptions!$AH$136,Assumptions!$AK$136+(Assumptions!$AL$136-Assumptions!$AK$136)*(D203-Assumptions!$G$136)/(Assumptions!$AH$136-Assumptions!$G$136),IF(D203&lt;Assumptions!$P$136,Assumptions!$AL$136+(Assumptions!$AM$136-Assumptions!$AL$136)*(D203-Assumptions!$AH$136)/(Assumptions!$P$136-Assumptions!$AH$136),Assumptions!$AM$136)))</f>
        <v>46428.571428571428</v>
      </c>
      <c r="N203" s="44">
        <f t="shared" si="6"/>
        <v>40.302579365079367</v>
      </c>
      <c r="O203" s="45">
        <f t="shared" si="7"/>
        <v>2748</v>
      </c>
      <c r="P203" s="14" t="str">
        <f>IF(D203&gt;=Assumptions!$P$136,"High",IF(D203&gt;=Assumptions!$AH$136,"Mid",IF(D203&lt;=Assumptions!$G$136,"Low","Loading")))</f>
        <v>Loading</v>
      </c>
      <c r="Q203" s="46">
        <f>MAX(K203,MIN(Assumptions!$S$136,O203),Q204)</f>
        <v>2748</v>
      </c>
      <c r="R203" s="12">
        <f>IF(AND(Q203&lt;=K203,INDEX(Assumptions!$C$26:$C$36,MATCH(G203,Assumptions!$A$26:$A$36,0))&lt;&gt;""),INDEX(Assumptions!$C$26:$C$36,MATCH(G203,Assumptions!$A$26:$A$36,0)),ROUND(G203*Q203,-2))</f>
        <v>3165700</v>
      </c>
      <c r="S203" s="47" t="str">
        <f>TRIM(IF(AND(Assumptions!$L$136&lt;&gt;"",D203&lt;Assumptions!$L$136),"View blocked / roof in front ("&amp;Assumptions!$M$136&amp;"); view premium still loading until L"&amp;Assumptions!$L$136&amp;". ","")&amp;IF(D203=Assumptions!$AH$136,"Mid-floor view premium fully loaded. ","")&amp;IF(D203=Assumptions!$P$136,"High-floor view premium fully loaded. ","")&amp;IF(Q203&lt;=K203,"At developer starting price.",""))</f>
        <v/>
      </c>
      <c r="T203" s="48" t="str">
        <f>Assumptions!$AJ$136</f>
        <v>SSW. Super unblocked landed estate + nature reserve; premium loaded on mid &amp; high floors</v>
      </c>
    </row>
    <row r="204" spans="1:20" x14ac:dyDescent="0.2">
      <c r="A204" s="13" t="s">
        <v>331</v>
      </c>
      <c r="B204" s="14">
        <v>3</v>
      </c>
      <c r="C204" s="40">
        <v>10</v>
      </c>
      <c r="D204" s="40">
        <v>2</v>
      </c>
      <c r="E204" s="9" t="s">
        <v>47</v>
      </c>
      <c r="F204" s="14" t="s">
        <v>223</v>
      </c>
      <c r="G204" s="10">
        <v>1152</v>
      </c>
      <c r="H204" s="14" t="s">
        <v>62</v>
      </c>
      <c r="I204" s="41" t="str">
        <f>Assumptions!$I$136</f>
        <v>B</v>
      </c>
      <c r="J204" s="14" t="str">
        <f>IF(D204&lt;=Assumptions!$V$136,"Low",IF(D204&lt;=Assumptions!$W$136,"Mid","High"))</f>
        <v>Low</v>
      </c>
      <c r="K204" s="15">
        <f>Assumptions!$Q$136</f>
        <v>2650</v>
      </c>
      <c r="L204" s="42">
        <f>INDEX(Assumptions!$M$61:$M$90,D204)</f>
        <v>2693.4027777777778</v>
      </c>
      <c r="M204" s="43">
        <f>IF(D204&lt;=Assumptions!$G$136,Assumptions!$AK$136,IF(D204&lt;Assumptions!$AH$136,Assumptions!$AK$136+(Assumptions!$AL$136-Assumptions!$AK$136)*(D204-Assumptions!$G$136)/(Assumptions!$AH$136-Assumptions!$G$136),IF(D204&lt;Assumptions!$P$136,Assumptions!$AL$136+(Assumptions!$AM$136-Assumptions!$AL$136)*(D204-Assumptions!$AH$136)/(Assumptions!$P$136-Assumptions!$AH$136),Assumptions!$AM$136)))</f>
        <v>50000</v>
      </c>
      <c r="N204" s="44">
        <f t="shared" si="6"/>
        <v>43.402777777777779</v>
      </c>
      <c r="O204" s="45">
        <f t="shared" si="7"/>
        <v>2737</v>
      </c>
      <c r="P204" s="14" t="str">
        <f>IF(D204&gt;=Assumptions!$P$136,"High",IF(D204&gt;=Assumptions!$AH$136,"Mid",IF(D204&lt;=Assumptions!$G$136,"Low","Loading")))</f>
        <v>Low</v>
      </c>
      <c r="Q204" s="46">
        <f>MAX(K204,MIN(Assumptions!$S$136,O204))</f>
        <v>2737</v>
      </c>
      <c r="R204" s="12">
        <f>IF(AND(Q204&lt;=K204,INDEX(Assumptions!$C$26:$C$36,MATCH(G204,Assumptions!$A$26:$A$36,0))&lt;&gt;""),INDEX(Assumptions!$C$26:$C$36,MATCH(G204,Assumptions!$A$26:$A$36,0)),ROUND(G204*Q204,-2))</f>
        <v>3153000</v>
      </c>
      <c r="S204" s="47" t="str">
        <f>TRIM(IF(AND(Assumptions!$L$136&lt;&gt;"",D204&lt;Assumptions!$L$136),"View blocked / roof in front ("&amp;Assumptions!$M$136&amp;"); view premium still loading until L"&amp;Assumptions!$L$136&amp;". ","")&amp;IF(D204=Assumptions!$AH$136,"Mid-floor view premium fully loaded. ","")&amp;IF(D204=Assumptions!$P$136,"High-floor view premium fully loaded. ","")&amp;IF(Q204&lt;=K204,"At developer starting price.",""))</f>
        <v/>
      </c>
      <c r="T204" s="48" t="str">
        <f>Assumptions!$AJ$136</f>
        <v>SSW. Super unblocked landed estate + nature reserve; premium loaded on mid &amp; high floors</v>
      </c>
    </row>
    <row r="205" spans="1:20" x14ac:dyDescent="0.2">
      <c r="A205" s="13" t="s">
        <v>332</v>
      </c>
      <c r="B205" s="14">
        <v>3</v>
      </c>
      <c r="C205" s="40">
        <v>11</v>
      </c>
      <c r="D205" s="40">
        <v>21</v>
      </c>
      <c r="E205" s="9" t="s">
        <v>44</v>
      </c>
      <c r="F205" s="14" t="s">
        <v>181</v>
      </c>
      <c r="G205" s="10">
        <v>732</v>
      </c>
      <c r="H205" s="14" t="s">
        <v>62</v>
      </c>
      <c r="I205" s="41" t="str">
        <f>Assumptions!$I$137</f>
        <v>D</v>
      </c>
      <c r="J205" s="14" t="str">
        <f>IF(D205&lt;=Assumptions!$V$137,"Low",IF(D205&lt;=Assumptions!$W$137,"Mid","High"))</f>
        <v>High</v>
      </c>
      <c r="K205" s="15">
        <f>Assumptions!$Q$137</f>
        <v>2630</v>
      </c>
      <c r="L205" s="42">
        <f>INDEX(Assumptions!$E$61:$E$90,D205)</f>
        <v>3080.3785714285714</v>
      </c>
      <c r="M205" s="43">
        <f>IF(D205&lt;=Assumptions!$G$137,Assumptions!$AK$137,IF(D205&lt;Assumptions!$AH$137,Assumptions!$AK$137+(Assumptions!$AL$137-Assumptions!$AK$137)*(D205-Assumptions!$G$137)/(Assumptions!$AH$137-Assumptions!$G$137),IF(D205&lt;Assumptions!$P$137,Assumptions!$AL$137+(Assumptions!$AM$137-Assumptions!$AL$137)*(D205-Assumptions!$AH$137)/(Assumptions!$P$137-Assumptions!$AH$137),Assumptions!$AM$137)))</f>
        <v>-50000</v>
      </c>
      <c r="N205" s="44">
        <f t="shared" si="6"/>
        <v>-68.306010928961754</v>
      </c>
      <c r="O205" s="45">
        <f t="shared" si="7"/>
        <v>3012</v>
      </c>
      <c r="P205" s="14" t="str">
        <f>IF(D205&gt;=Assumptions!$P$137,"High",IF(D205&gt;=Assumptions!$AH$137,"Mid",IF(D205&lt;=Assumptions!$G$137,"Low","Loading")))</f>
        <v>High</v>
      </c>
      <c r="Q205" s="46">
        <f>MAX(K205,MIN(Assumptions!$S$137,O205),Q206)</f>
        <v>3012</v>
      </c>
      <c r="R205" s="12">
        <f>IF(AND(Q205&lt;=K205,INDEX(Assumptions!$C$26:$C$36,MATCH(G205,Assumptions!$A$26:$A$36,0))&lt;&gt;""),INDEX(Assumptions!$C$26:$C$36,MATCH(G205,Assumptions!$A$26:$A$36,0)),ROUND(G205*Q205,-2))</f>
        <v>2204800</v>
      </c>
      <c r="S205" s="47" t="str">
        <f>TRIM(IF(AND(Assumptions!$L$137&lt;&gt;"",D205&lt;Assumptions!$L$137),"View blocked / roof in front ("&amp;Assumptions!$M$137&amp;"); view premium still loading until L"&amp;Assumptions!$L$137&amp;". ","")&amp;IF(D205=Assumptions!$AH$137,"Mid-floor view premium fully loaded. ","")&amp;IF(D205=Assumptions!$P$137,"High-floor view premium fully loaded. ","")&amp;IF(Q205&lt;=K205,"At developer starting price.",""))</f>
        <v/>
      </c>
      <c r="T205" s="48" t="str">
        <f>Assumptions!$AJ$137</f>
        <v>SSW. 24m setback to road (road noise), overlooking landed; landed / nature view improves from mid floor</v>
      </c>
    </row>
    <row r="206" spans="1:20" x14ac:dyDescent="0.2">
      <c r="A206" s="13" t="s">
        <v>333</v>
      </c>
      <c r="B206" s="14">
        <v>3</v>
      </c>
      <c r="C206" s="40">
        <v>11</v>
      </c>
      <c r="D206" s="40">
        <v>20</v>
      </c>
      <c r="E206" s="9" t="s">
        <v>44</v>
      </c>
      <c r="F206" s="14" t="s">
        <v>181</v>
      </c>
      <c r="G206" s="10">
        <v>732</v>
      </c>
      <c r="H206" s="14" t="s">
        <v>62</v>
      </c>
      <c r="I206" s="41" t="str">
        <f>Assumptions!$I$137</f>
        <v>D</v>
      </c>
      <c r="J206" s="14" t="str">
        <f>IF(D206&lt;=Assumptions!$V$137,"Low",IF(D206&lt;=Assumptions!$W$137,"Mid","High"))</f>
        <v>High</v>
      </c>
      <c r="K206" s="15">
        <f>Assumptions!$Q$137</f>
        <v>2630</v>
      </c>
      <c r="L206" s="42">
        <f>INDEX(Assumptions!$E$61:$E$90,D206)</f>
        <v>3057.3071428571425</v>
      </c>
      <c r="M206" s="43">
        <f>IF(D206&lt;=Assumptions!$G$137,Assumptions!$AK$137,IF(D206&lt;Assumptions!$AH$137,Assumptions!$AK$137+(Assumptions!$AL$137-Assumptions!$AK$137)*(D206-Assumptions!$G$137)/(Assumptions!$AH$137-Assumptions!$G$137),IF(D206&lt;Assumptions!$P$137,Assumptions!$AL$137+(Assumptions!$AM$137-Assumptions!$AL$137)*(D206-Assumptions!$AH$137)/(Assumptions!$P$137-Assumptions!$AH$137),Assumptions!$AM$137)))</f>
        <v>-50000</v>
      </c>
      <c r="N206" s="44">
        <f t="shared" si="6"/>
        <v>-68.306010928961754</v>
      </c>
      <c r="O206" s="45">
        <f t="shared" si="7"/>
        <v>2989</v>
      </c>
      <c r="P206" s="14" t="str">
        <f>IF(D206&gt;=Assumptions!$P$137,"High",IF(D206&gt;=Assumptions!$AH$137,"Mid",IF(D206&lt;=Assumptions!$G$137,"Low","Loading")))</f>
        <v>High</v>
      </c>
      <c r="Q206" s="46">
        <f>MAX(K206,MIN(Assumptions!$S$137,O206),Q207)</f>
        <v>2989</v>
      </c>
      <c r="R206" s="12">
        <f>IF(AND(Q206&lt;=K206,INDEX(Assumptions!$C$26:$C$36,MATCH(G206,Assumptions!$A$26:$A$36,0))&lt;&gt;""),INDEX(Assumptions!$C$26:$C$36,MATCH(G206,Assumptions!$A$26:$A$36,0)),ROUND(G206*Q206,-2))</f>
        <v>2187900</v>
      </c>
      <c r="S206" s="47" t="str">
        <f>TRIM(IF(AND(Assumptions!$L$137&lt;&gt;"",D206&lt;Assumptions!$L$137),"View blocked / roof in front ("&amp;Assumptions!$M$137&amp;"); view premium still loading until L"&amp;Assumptions!$L$137&amp;". ","")&amp;IF(D206=Assumptions!$AH$137,"Mid-floor view premium fully loaded. ","")&amp;IF(D206=Assumptions!$P$137,"High-floor view premium fully loaded. ","")&amp;IF(Q206&lt;=K206,"At developer starting price.",""))</f>
        <v/>
      </c>
      <c r="T206" s="48" t="str">
        <f>Assumptions!$AJ$137</f>
        <v>SSW. 24m setback to road (road noise), overlooking landed; landed / nature view improves from mid floor</v>
      </c>
    </row>
    <row r="207" spans="1:20" x14ac:dyDescent="0.2">
      <c r="A207" s="13" t="s">
        <v>334</v>
      </c>
      <c r="B207" s="14">
        <v>3</v>
      </c>
      <c r="C207" s="40">
        <v>11</v>
      </c>
      <c r="D207" s="40">
        <v>19</v>
      </c>
      <c r="E207" s="9" t="s">
        <v>44</v>
      </c>
      <c r="F207" s="14" t="s">
        <v>181</v>
      </c>
      <c r="G207" s="10">
        <v>732</v>
      </c>
      <c r="H207" s="14" t="s">
        <v>62</v>
      </c>
      <c r="I207" s="41" t="str">
        <f>Assumptions!$I$137</f>
        <v>D</v>
      </c>
      <c r="J207" s="14" t="str">
        <f>IF(D207&lt;=Assumptions!$V$137,"Low",IF(D207&lt;=Assumptions!$W$137,"Mid","High"))</f>
        <v>High</v>
      </c>
      <c r="K207" s="15">
        <f>Assumptions!$Q$137</f>
        <v>2630</v>
      </c>
      <c r="L207" s="42">
        <f>INDEX(Assumptions!$E$61:$E$90,D207)</f>
        <v>3034.235714285714</v>
      </c>
      <c r="M207" s="43">
        <f>IF(D207&lt;=Assumptions!$G$137,Assumptions!$AK$137,IF(D207&lt;Assumptions!$AH$137,Assumptions!$AK$137+(Assumptions!$AL$137-Assumptions!$AK$137)*(D207-Assumptions!$G$137)/(Assumptions!$AH$137-Assumptions!$G$137),IF(D207&lt;Assumptions!$P$137,Assumptions!$AL$137+(Assumptions!$AM$137-Assumptions!$AL$137)*(D207-Assumptions!$AH$137)/(Assumptions!$P$137-Assumptions!$AH$137),Assumptions!$AM$137)))</f>
        <v>-50000</v>
      </c>
      <c r="N207" s="44">
        <f t="shared" si="6"/>
        <v>-68.306010928961754</v>
      </c>
      <c r="O207" s="45">
        <f t="shared" si="7"/>
        <v>2966</v>
      </c>
      <c r="P207" s="14" t="str">
        <f>IF(D207&gt;=Assumptions!$P$137,"High",IF(D207&gt;=Assumptions!$AH$137,"Mid",IF(D207&lt;=Assumptions!$G$137,"Low","Loading")))</f>
        <v>High</v>
      </c>
      <c r="Q207" s="46">
        <f>MAX(K207,MIN(Assumptions!$S$137,O207),Q208)</f>
        <v>2966</v>
      </c>
      <c r="R207" s="12">
        <f>IF(AND(Q207&lt;=K207,INDEX(Assumptions!$C$26:$C$36,MATCH(G207,Assumptions!$A$26:$A$36,0))&lt;&gt;""),INDEX(Assumptions!$C$26:$C$36,MATCH(G207,Assumptions!$A$26:$A$36,0)),ROUND(G207*Q207,-2))</f>
        <v>2171100</v>
      </c>
      <c r="S207" s="47" t="str">
        <f>TRIM(IF(AND(Assumptions!$L$137&lt;&gt;"",D207&lt;Assumptions!$L$137),"View blocked / roof in front ("&amp;Assumptions!$M$137&amp;"); view premium still loading until L"&amp;Assumptions!$L$137&amp;". ","")&amp;IF(D207=Assumptions!$AH$137,"Mid-floor view premium fully loaded. ","")&amp;IF(D207=Assumptions!$P$137,"High-floor view premium fully loaded. ","")&amp;IF(Q207&lt;=K207,"At developer starting price.",""))</f>
        <v/>
      </c>
      <c r="T207" s="48" t="str">
        <f>Assumptions!$AJ$137</f>
        <v>SSW. 24m setback to road (road noise), overlooking landed; landed / nature view improves from mid floor</v>
      </c>
    </row>
    <row r="208" spans="1:20" x14ac:dyDescent="0.2">
      <c r="A208" s="13" t="s">
        <v>335</v>
      </c>
      <c r="B208" s="14">
        <v>3</v>
      </c>
      <c r="C208" s="40">
        <v>11</v>
      </c>
      <c r="D208" s="40">
        <v>18</v>
      </c>
      <c r="E208" s="9" t="s">
        <v>44</v>
      </c>
      <c r="F208" s="14" t="s">
        <v>181</v>
      </c>
      <c r="G208" s="10">
        <v>732</v>
      </c>
      <c r="H208" s="14" t="s">
        <v>62</v>
      </c>
      <c r="I208" s="41" t="str">
        <f>Assumptions!$I$137</f>
        <v>D</v>
      </c>
      <c r="J208" s="14" t="str">
        <f>IF(D208&lt;=Assumptions!$V$137,"Low",IF(D208&lt;=Assumptions!$W$137,"Mid","High"))</f>
        <v>High</v>
      </c>
      <c r="K208" s="15">
        <f>Assumptions!$Q$137</f>
        <v>2630</v>
      </c>
      <c r="L208" s="42">
        <f>INDEX(Assumptions!$E$61:$E$90,D208)</f>
        <v>3011.1642857142856</v>
      </c>
      <c r="M208" s="43">
        <f>IF(D208&lt;=Assumptions!$G$137,Assumptions!$AK$137,IF(D208&lt;Assumptions!$AH$137,Assumptions!$AK$137+(Assumptions!$AL$137-Assumptions!$AK$137)*(D208-Assumptions!$G$137)/(Assumptions!$AH$137-Assumptions!$G$137),IF(D208&lt;Assumptions!$P$137,Assumptions!$AL$137+(Assumptions!$AM$137-Assumptions!$AL$137)*(D208-Assumptions!$AH$137)/(Assumptions!$P$137-Assumptions!$AH$137),Assumptions!$AM$137)))</f>
        <v>-50000</v>
      </c>
      <c r="N208" s="44">
        <f t="shared" si="6"/>
        <v>-68.306010928961754</v>
      </c>
      <c r="O208" s="45">
        <f t="shared" si="7"/>
        <v>2943</v>
      </c>
      <c r="P208" s="14" t="str">
        <f>IF(D208&gt;=Assumptions!$P$137,"High",IF(D208&gt;=Assumptions!$AH$137,"Mid",IF(D208&lt;=Assumptions!$G$137,"Low","Loading")))</f>
        <v>High</v>
      </c>
      <c r="Q208" s="46">
        <f>MAX(K208,MIN(Assumptions!$S$137,O208),Q209)</f>
        <v>2943</v>
      </c>
      <c r="R208" s="12">
        <f>IF(AND(Q208&lt;=K208,INDEX(Assumptions!$C$26:$C$36,MATCH(G208,Assumptions!$A$26:$A$36,0))&lt;&gt;""),INDEX(Assumptions!$C$26:$C$36,MATCH(G208,Assumptions!$A$26:$A$36,0)),ROUND(G208*Q208,-2))</f>
        <v>2154300</v>
      </c>
      <c r="S208" s="47" t="str">
        <f>TRIM(IF(AND(Assumptions!$L$137&lt;&gt;"",D208&lt;Assumptions!$L$137),"View blocked / roof in front ("&amp;Assumptions!$M$137&amp;"); view premium still loading until L"&amp;Assumptions!$L$137&amp;". ","")&amp;IF(D208=Assumptions!$AH$137,"Mid-floor view premium fully loaded. ","")&amp;IF(D208=Assumptions!$P$137,"High-floor view premium fully loaded. ","")&amp;IF(Q208&lt;=K208,"At developer starting price.",""))</f>
        <v/>
      </c>
      <c r="T208" s="48" t="str">
        <f>Assumptions!$AJ$137</f>
        <v>SSW. 24m setback to road (road noise), overlooking landed; landed / nature view improves from mid floor</v>
      </c>
    </row>
    <row r="209" spans="1:20" x14ac:dyDescent="0.2">
      <c r="A209" s="13" t="s">
        <v>336</v>
      </c>
      <c r="B209" s="14">
        <v>3</v>
      </c>
      <c r="C209" s="40">
        <v>11</v>
      </c>
      <c r="D209" s="40">
        <v>17</v>
      </c>
      <c r="E209" s="9" t="s">
        <v>44</v>
      </c>
      <c r="F209" s="14" t="s">
        <v>181</v>
      </c>
      <c r="G209" s="10">
        <v>732</v>
      </c>
      <c r="H209" s="14" t="s">
        <v>62</v>
      </c>
      <c r="I209" s="41" t="str">
        <f>Assumptions!$I$137</f>
        <v>D</v>
      </c>
      <c r="J209" s="14" t="str">
        <f>IF(D209&lt;=Assumptions!$V$137,"Low",IF(D209&lt;=Assumptions!$W$137,"Mid","High"))</f>
        <v>High</v>
      </c>
      <c r="K209" s="15">
        <f>Assumptions!$Q$137</f>
        <v>2630</v>
      </c>
      <c r="L209" s="42">
        <f>INDEX(Assumptions!$E$61:$E$90,D209)</f>
        <v>2988.0928571428572</v>
      </c>
      <c r="M209" s="43">
        <f>IF(D209&lt;=Assumptions!$G$137,Assumptions!$AK$137,IF(D209&lt;Assumptions!$AH$137,Assumptions!$AK$137+(Assumptions!$AL$137-Assumptions!$AK$137)*(D209-Assumptions!$G$137)/(Assumptions!$AH$137-Assumptions!$G$137),IF(D209&lt;Assumptions!$P$137,Assumptions!$AL$137+(Assumptions!$AM$137-Assumptions!$AL$137)*(D209-Assumptions!$AH$137)/(Assumptions!$P$137-Assumptions!$AH$137),Assumptions!$AM$137)))</f>
        <v>-50000</v>
      </c>
      <c r="N209" s="44">
        <f t="shared" si="6"/>
        <v>-68.306010928961754</v>
      </c>
      <c r="O209" s="45">
        <f t="shared" si="7"/>
        <v>2920</v>
      </c>
      <c r="P209" s="14" t="str">
        <f>IF(D209&gt;=Assumptions!$P$137,"High",IF(D209&gt;=Assumptions!$AH$137,"Mid",IF(D209&lt;=Assumptions!$G$137,"Low","Loading")))</f>
        <v>High</v>
      </c>
      <c r="Q209" s="46">
        <f>MAX(K209,MIN(Assumptions!$S$137,O209),Q210)</f>
        <v>2920</v>
      </c>
      <c r="R209" s="12">
        <f>IF(AND(Q209&lt;=K209,INDEX(Assumptions!$C$26:$C$36,MATCH(G209,Assumptions!$A$26:$A$36,0))&lt;&gt;""),INDEX(Assumptions!$C$26:$C$36,MATCH(G209,Assumptions!$A$26:$A$36,0)),ROUND(G209*Q209,-2))</f>
        <v>2137400</v>
      </c>
      <c r="S209" s="47" t="str">
        <f>TRIM(IF(AND(Assumptions!$L$137&lt;&gt;"",D209&lt;Assumptions!$L$137),"View blocked / roof in front ("&amp;Assumptions!$M$137&amp;"); view premium still loading until L"&amp;Assumptions!$L$137&amp;". ","")&amp;IF(D209=Assumptions!$AH$137,"Mid-floor view premium fully loaded. ","")&amp;IF(D209=Assumptions!$P$137,"High-floor view premium fully loaded. ","")&amp;IF(Q209&lt;=K209,"At developer starting price.",""))</f>
        <v/>
      </c>
      <c r="T209" s="48" t="str">
        <f>Assumptions!$AJ$137</f>
        <v>SSW. 24m setback to road (road noise), overlooking landed; landed / nature view improves from mid floor</v>
      </c>
    </row>
    <row r="210" spans="1:20" x14ac:dyDescent="0.2">
      <c r="A210" s="13" t="s">
        <v>337</v>
      </c>
      <c r="B210" s="14">
        <v>3</v>
      </c>
      <c r="C210" s="40">
        <v>11</v>
      </c>
      <c r="D210" s="40">
        <v>16</v>
      </c>
      <c r="E210" s="9" t="s">
        <v>44</v>
      </c>
      <c r="F210" s="14" t="s">
        <v>181</v>
      </c>
      <c r="G210" s="10">
        <v>732</v>
      </c>
      <c r="H210" s="14" t="s">
        <v>62</v>
      </c>
      <c r="I210" s="41" t="str">
        <f>Assumptions!$I$137</f>
        <v>D</v>
      </c>
      <c r="J210" s="14" t="str">
        <f>IF(D210&lt;=Assumptions!$V$137,"Low",IF(D210&lt;=Assumptions!$W$137,"Mid","High"))</f>
        <v>High</v>
      </c>
      <c r="K210" s="15">
        <f>Assumptions!$Q$137</f>
        <v>2630</v>
      </c>
      <c r="L210" s="42">
        <f>INDEX(Assumptions!$E$61:$E$90,D210)</f>
        <v>2965.0214285714283</v>
      </c>
      <c r="M210" s="43">
        <f>IF(D210&lt;=Assumptions!$G$137,Assumptions!$AK$137,IF(D210&lt;Assumptions!$AH$137,Assumptions!$AK$137+(Assumptions!$AL$137-Assumptions!$AK$137)*(D210-Assumptions!$G$137)/(Assumptions!$AH$137-Assumptions!$G$137),IF(D210&lt;Assumptions!$P$137,Assumptions!$AL$137+(Assumptions!$AM$137-Assumptions!$AL$137)*(D210-Assumptions!$AH$137)/(Assumptions!$P$137-Assumptions!$AH$137),Assumptions!$AM$137)))</f>
        <v>-50000</v>
      </c>
      <c r="N210" s="44">
        <f t="shared" si="6"/>
        <v>-68.306010928961754</v>
      </c>
      <c r="O210" s="45">
        <f t="shared" si="7"/>
        <v>2897</v>
      </c>
      <c r="P210" s="14" t="str">
        <f>IF(D210&gt;=Assumptions!$P$137,"High",IF(D210&gt;=Assumptions!$AH$137,"Mid",IF(D210&lt;=Assumptions!$G$137,"Low","Loading")))</f>
        <v>High</v>
      </c>
      <c r="Q210" s="46">
        <f>MAX(K210,MIN(Assumptions!$S$137,O210),Q211)</f>
        <v>2897</v>
      </c>
      <c r="R210" s="12">
        <f>IF(AND(Q210&lt;=K210,INDEX(Assumptions!$C$26:$C$36,MATCH(G210,Assumptions!$A$26:$A$36,0))&lt;&gt;""),INDEX(Assumptions!$C$26:$C$36,MATCH(G210,Assumptions!$A$26:$A$36,0)),ROUND(G210*Q210,-2))</f>
        <v>2120600</v>
      </c>
      <c r="S210" s="47" t="str">
        <f>TRIM(IF(AND(Assumptions!$L$137&lt;&gt;"",D210&lt;Assumptions!$L$137),"View blocked / roof in front ("&amp;Assumptions!$M$137&amp;"); view premium still loading until L"&amp;Assumptions!$L$137&amp;". ","")&amp;IF(D210=Assumptions!$AH$137,"Mid-floor view premium fully loaded. ","")&amp;IF(D210=Assumptions!$P$137,"High-floor view premium fully loaded. ","")&amp;IF(Q210&lt;=K210,"At developer starting price.",""))</f>
        <v>High-floor view premium fully loaded.</v>
      </c>
      <c r="T210" s="48" t="str">
        <f>Assumptions!$AJ$137</f>
        <v>SSW. 24m setback to road (road noise), overlooking landed; landed / nature view improves from mid floor</v>
      </c>
    </row>
    <row r="211" spans="1:20" x14ac:dyDescent="0.2">
      <c r="A211" s="13" t="s">
        <v>338</v>
      </c>
      <c r="B211" s="14">
        <v>3</v>
      </c>
      <c r="C211" s="40">
        <v>11</v>
      </c>
      <c r="D211" s="40">
        <v>15</v>
      </c>
      <c r="E211" s="9" t="s">
        <v>44</v>
      </c>
      <c r="F211" s="14" t="s">
        <v>181</v>
      </c>
      <c r="G211" s="10">
        <v>732</v>
      </c>
      <c r="H211" s="14" t="s">
        <v>62</v>
      </c>
      <c r="I211" s="41" t="str">
        <f>Assumptions!$I$137</f>
        <v>D</v>
      </c>
      <c r="J211" s="14" t="str">
        <f>IF(D211&lt;=Assumptions!$V$137,"Low",IF(D211&lt;=Assumptions!$W$137,"Mid","High"))</f>
        <v>Mid</v>
      </c>
      <c r="K211" s="15">
        <f>Assumptions!$Q$137</f>
        <v>2630</v>
      </c>
      <c r="L211" s="42">
        <f>INDEX(Assumptions!$E$61:$E$90,D211)</f>
        <v>2941.95</v>
      </c>
      <c r="M211" s="43">
        <f>IF(D211&lt;=Assumptions!$G$137,Assumptions!$AK$137,IF(D211&lt;Assumptions!$AH$137,Assumptions!$AK$137+(Assumptions!$AL$137-Assumptions!$AK$137)*(D211-Assumptions!$G$137)/(Assumptions!$AH$137-Assumptions!$G$137),IF(D211&lt;Assumptions!$P$137,Assumptions!$AL$137+(Assumptions!$AM$137-Assumptions!$AL$137)*(D211-Assumptions!$AH$137)/(Assumptions!$P$137-Assumptions!$AH$137),Assumptions!$AM$137)))</f>
        <v>-50000</v>
      </c>
      <c r="N211" s="44">
        <f t="shared" si="6"/>
        <v>-68.306010928961754</v>
      </c>
      <c r="O211" s="45">
        <f t="shared" si="7"/>
        <v>2874</v>
      </c>
      <c r="P211" s="14" t="str">
        <f>IF(D211&gt;=Assumptions!$P$137,"High",IF(D211&gt;=Assumptions!$AH$137,"Mid",IF(D211&lt;=Assumptions!$G$137,"Low","Loading")))</f>
        <v>Mid</v>
      </c>
      <c r="Q211" s="46">
        <f>MAX(K211,MIN(Assumptions!$S$137,O211),Q212)</f>
        <v>2874</v>
      </c>
      <c r="R211" s="12">
        <f>IF(AND(Q211&lt;=K211,INDEX(Assumptions!$C$26:$C$36,MATCH(G211,Assumptions!$A$26:$A$36,0))&lt;&gt;""),INDEX(Assumptions!$C$26:$C$36,MATCH(G211,Assumptions!$A$26:$A$36,0)),ROUND(G211*Q211,-2))</f>
        <v>2103800</v>
      </c>
      <c r="S211" s="47" t="str">
        <f>TRIM(IF(AND(Assumptions!$L$137&lt;&gt;"",D211&lt;Assumptions!$L$137),"View blocked / roof in front ("&amp;Assumptions!$M$137&amp;"); view premium still loading until L"&amp;Assumptions!$L$137&amp;". ","")&amp;IF(D211=Assumptions!$AH$137,"Mid-floor view premium fully loaded. ","")&amp;IF(D211=Assumptions!$P$137,"High-floor view premium fully loaded. ","")&amp;IF(Q211&lt;=K211,"At developer starting price.",""))</f>
        <v/>
      </c>
      <c r="T211" s="48" t="str">
        <f>Assumptions!$AJ$137</f>
        <v>SSW. 24m setback to road (road noise), overlooking landed; landed / nature view improves from mid floor</v>
      </c>
    </row>
    <row r="212" spans="1:20" x14ac:dyDescent="0.2">
      <c r="A212" s="13" t="s">
        <v>339</v>
      </c>
      <c r="B212" s="14">
        <v>3</v>
      </c>
      <c r="C212" s="40">
        <v>11</v>
      </c>
      <c r="D212" s="40">
        <v>14</v>
      </c>
      <c r="E212" s="9" t="s">
        <v>44</v>
      </c>
      <c r="F212" s="14" t="s">
        <v>181</v>
      </c>
      <c r="G212" s="10">
        <v>732</v>
      </c>
      <c r="H212" s="14" t="s">
        <v>62</v>
      </c>
      <c r="I212" s="41" t="str">
        <f>Assumptions!$I$137</f>
        <v>D</v>
      </c>
      <c r="J212" s="14" t="str">
        <f>IF(D212&lt;=Assumptions!$V$137,"Low",IF(D212&lt;=Assumptions!$W$137,"Mid","High"))</f>
        <v>Mid</v>
      </c>
      <c r="K212" s="15">
        <f>Assumptions!$Q$137</f>
        <v>2630</v>
      </c>
      <c r="L212" s="42">
        <f>INDEX(Assumptions!$E$61:$E$90,D212)</f>
        <v>2918.8785714285714</v>
      </c>
      <c r="M212" s="43">
        <f>IF(D212&lt;=Assumptions!$G$137,Assumptions!$AK$137,IF(D212&lt;Assumptions!$AH$137,Assumptions!$AK$137+(Assumptions!$AL$137-Assumptions!$AK$137)*(D212-Assumptions!$G$137)/(Assumptions!$AH$137-Assumptions!$G$137),IF(D212&lt;Assumptions!$P$137,Assumptions!$AL$137+(Assumptions!$AM$137-Assumptions!$AL$137)*(D212-Assumptions!$AH$137)/(Assumptions!$P$137-Assumptions!$AH$137),Assumptions!$AM$137)))</f>
        <v>-50000</v>
      </c>
      <c r="N212" s="44">
        <f t="shared" si="6"/>
        <v>-68.306010928961754</v>
      </c>
      <c r="O212" s="45">
        <f t="shared" si="7"/>
        <v>2851</v>
      </c>
      <c r="P212" s="14" t="str">
        <f>IF(D212&gt;=Assumptions!$P$137,"High",IF(D212&gt;=Assumptions!$AH$137,"Mid",IF(D212&lt;=Assumptions!$G$137,"Low","Loading")))</f>
        <v>Mid</v>
      </c>
      <c r="Q212" s="46">
        <f>MAX(K212,MIN(Assumptions!$S$137,O212),Q213)</f>
        <v>2851</v>
      </c>
      <c r="R212" s="12">
        <f>IF(AND(Q212&lt;=K212,INDEX(Assumptions!$C$26:$C$36,MATCH(G212,Assumptions!$A$26:$A$36,0))&lt;&gt;""),INDEX(Assumptions!$C$26:$C$36,MATCH(G212,Assumptions!$A$26:$A$36,0)),ROUND(G212*Q212,-2))</f>
        <v>2086900</v>
      </c>
      <c r="S212" s="47" t="str">
        <f>TRIM(IF(AND(Assumptions!$L$137&lt;&gt;"",D212&lt;Assumptions!$L$137),"View blocked / roof in front ("&amp;Assumptions!$M$137&amp;"); view premium still loading until L"&amp;Assumptions!$L$137&amp;". ","")&amp;IF(D212=Assumptions!$AH$137,"Mid-floor view premium fully loaded. ","")&amp;IF(D212=Assumptions!$P$137,"High-floor view premium fully loaded. ","")&amp;IF(Q212&lt;=K212,"At developer starting price.",""))</f>
        <v/>
      </c>
      <c r="T212" s="48" t="str">
        <f>Assumptions!$AJ$137</f>
        <v>SSW. 24m setback to road (road noise), overlooking landed; landed / nature view improves from mid floor</v>
      </c>
    </row>
    <row r="213" spans="1:20" x14ac:dyDescent="0.2">
      <c r="A213" s="13" t="s">
        <v>340</v>
      </c>
      <c r="B213" s="14">
        <v>3</v>
      </c>
      <c r="C213" s="40">
        <v>11</v>
      </c>
      <c r="D213" s="40">
        <v>13</v>
      </c>
      <c r="E213" s="9" t="s">
        <v>44</v>
      </c>
      <c r="F213" s="14" t="s">
        <v>181</v>
      </c>
      <c r="G213" s="10">
        <v>732</v>
      </c>
      <c r="H213" s="14" t="s">
        <v>62</v>
      </c>
      <c r="I213" s="41" t="str">
        <f>Assumptions!$I$137</f>
        <v>D</v>
      </c>
      <c r="J213" s="14" t="str">
        <f>IF(D213&lt;=Assumptions!$V$137,"Low",IF(D213&lt;=Assumptions!$W$137,"Mid","High"))</f>
        <v>Mid</v>
      </c>
      <c r="K213" s="15">
        <f>Assumptions!$Q$137</f>
        <v>2630</v>
      </c>
      <c r="L213" s="42">
        <f>INDEX(Assumptions!$E$61:$E$90,D213)</f>
        <v>2895.8071428571425</v>
      </c>
      <c r="M213" s="43">
        <f>IF(D213&lt;=Assumptions!$G$137,Assumptions!$AK$137,IF(D213&lt;Assumptions!$AH$137,Assumptions!$AK$137+(Assumptions!$AL$137-Assumptions!$AK$137)*(D213-Assumptions!$G$137)/(Assumptions!$AH$137-Assumptions!$G$137),IF(D213&lt;Assumptions!$P$137,Assumptions!$AL$137+(Assumptions!$AM$137-Assumptions!$AL$137)*(D213-Assumptions!$AH$137)/(Assumptions!$P$137-Assumptions!$AH$137),Assumptions!$AM$137)))</f>
        <v>-50000</v>
      </c>
      <c r="N213" s="44">
        <f t="shared" si="6"/>
        <v>-68.306010928961754</v>
      </c>
      <c r="O213" s="45">
        <f t="shared" si="7"/>
        <v>2828</v>
      </c>
      <c r="P213" s="14" t="str">
        <f>IF(D213&gt;=Assumptions!$P$137,"High",IF(D213&gt;=Assumptions!$AH$137,"Mid",IF(D213&lt;=Assumptions!$G$137,"Low","Loading")))</f>
        <v>Mid</v>
      </c>
      <c r="Q213" s="46">
        <f>MAX(K213,MIN(Assumptions!$S$137,O213),Q214)</f>
        <v>2828</v>
      </c>
      <c r="R213" s="12">
        <f>IF(AND(Q213&lt;=K213,INDEX(Assumptions!$C$26:$C$36,MATCH(G213,Assumptions!$A$26:$A$36,0))&lt;&gt;""),INDEX(Assumptions!$C$26:$C$36,MATCH(G213,Assumptions!$A$26:$A$36,0)),ROUND(G213*Q213,-2))</f>
        <v>2070100</v>
      </c>
      <c r="S213" s="47" t="str">
        <f>TRIM(IF(AND(Assumptions!$L$137&lt;&gt;"",D213&lt;Assumptions!$L$137),"View blocked / roof in front ("&amp;Assumptions!$M$137&amp;"); view premium still loading until L"&amp;Assumptions!$L$137&amp;". ","")&amp;IF(D213=Assumptions!$AH$137,"Mid-floor view premium fully loaded. ","")&amp;IF(D213=Assumptions!$P$137,"High-floor view premium fully loaded. ","")&amp;IF(Q213&lt;=K213,"At developer starting price.",""))</f>
        <v/>
      </c>
      <c r="T213" s="48" t="str">
        <f>Assumptions!$AJ$137</f>
        <v>SSW. 24m setback to road (road noise), overlooking landed; landed / nature view improves from mid floor</v>
      </c>
    </row>
    <row r="214" spans="1:20" x14ac:dyDescent="0.2">
      <c r="A214" s="13" t="s">
        <v>341</v>
      </c>
      <c r="B214" s="14">
        <v>3</v>
      </c>
      <c r="C214" s="40">
        <v>11</v>
      </c>
      <c r="D214" s="40">
        <v>12</v>
      </c>
      <c r="E214" s="9" t="s">
        <v>44</v>
      </c>
      <c r="F214" s="14" t="s">
        <v>181</v>
      </c>
      <c r="G214" s="10">
        <v>732</v>
      </c>
      <c r="H214" s="14" t="s">
        <v>62</v>
      </c>
      <c r="I214" s="41" t="str">
        <f>Assumptions!$I$137</f>
        <v>D</v>
      </c>
      <c r="J214" s="14" t="str">
        <f>IF(D214&lt;=Assumptions!$V$137,"Low",IF(D214&lt;=Assumptions!$W$137,"Mid","High"))</f>
        <v>Mid</v>
      </c>
      <c r="K214" s="15">
        <f>Assumptions!$Q$137</f>
        <v>2630</v>
      </c>
      <c r="L214" s="42">
        <f>INDEX(Assumptions!$E$61:$E$90,D214)</f>
        <v>2872.735714285714</v>
      </c>
      <c r="M214" s="43">
        <f>IF(D214&lt;=Assumptions!$G$137,Assumptions!$AK$137,IF(D214&lt;Assumptions!$AH$137,Assumptions!$AK$137+(Assumptions!$AL$137-Assumptions!$AK$137)*(D214-Assumptions!$G$137)/(Assumptions!$AH$137-Assumptions!$G$137),IF(D214&lt;Assumptions!$P$137,Assumptions!$AL$137+(Assumptions!$AM$137-Assumptions!$AL$137)*(D214-Assumptions!$AH$137)/(Assumptions!$P$137-Assumptions!$AH$137),Assumptions!$AM$137)))</f>
        <v>-50000</v>
      </c>
      <c r="N214" s="44">
        <f t="shared" si="6"/>
        <v>-68.306010928961754</v>
      </c>
      <c r="O214" s="45">
        <f t="shared" si="7"/>
        <v>2804</v>
      </c>
      <c r="P214" s="14" t="str">
        <f>IF(D214&gt;=Assumptions!$P$137,"High",IF(D214&gt;=Assumptions!$AH$137,"Mid",IF(D214&lt;=Assumptions!$G$137,"Low","Loading")))</f>
        <v>Mid</v>
      </c>
      <c r="Q214" s="46">
        <f>MAX(K214,MIN(Assumptions!$S$137,O214),Q215)</f>
        <v>2804</v>
      </c>
      <c r="R214" s="12">
        <f>IF(AND(Q214&lt;=K214,INDEX(Assumptions!$C$26:$C$36,MATCH(G214,Assumptions!$A$26:$A$36,0))&lt;&gt;""),INDEX(Assumptions!$C$26:$C$36,MATCH(G214,Assumptions!$A$26:$A$36,0)),ROUND(G214*Q214,-2))</f>
        <v>2052500</v>
      </c>
      <c r="S214" s="47" t="str">
        <f>TRIM(IF(AND(Assumptions!$L$137&lt;&gt;"",D214&lt;Assumptions!$L$137),"View blocked / roof in front ("&amp;Assumptions!$M$137&amp;"); view premium still loading until L"&amp;Assumptions!$L$137&amp;". ","")&amp;IF(D214=Assumptions!$AH$137,"Mid-floor view premium fully loaded. ","")&amp;IF(D214=Assumptions!$P$137,"High-floor view premium fully loaded. ","")&amp;IF(Q214&lt;=K214,"At developer starting price.",""))</f>
        <v/>
      </c>
      <c r="T214" s="48" t="str">
        <f>Assumptions!$AJ$137</f>
        <v>SSW. 24m setback to road (road noise), overlooking landed; landed / nature view improves from mid floor</v>
      </c>
    </row>
    <row r="215" spans="1:20" x14ac:dyDescent="0.2">
      <c r="A215" s="13" t="s">
        <v>342</v>
      </c>
      <c r="B215" s="14">
        <v>3</v>
      </c>
      <c r="C215" s="40">
        <v>11</v>
      </c>
      <c r="D215" s="40">
        <v>11</v>
      </c>
      <c r="E215" s="9" t="s">
        <v>44</v>
      </c>
      <c r="F215" s="14" t="s">
        <v>181</v>
      </c>
      <c r="G215" s="10">
        <v>732</v>
      </c>
      <c r="H215" s="14" t="s">
        <v>62</v>
      </c>
      <c r="I215" s="41" t="str">
        <f>Assumptions!$I$137</f>
        <v>D</v>
      </c>
      <c r="J215" s="14" t="str">
        <f>IF(D215&lt;=Assumptions!$V$137,"Low",IF(D215&lt;=Assumptions!$W$137,"Mid","High"))</f>
        <v>Mid</v>
      </c>
      <c r="K215" s="15">
        <f>Assumptions!$Q$137</f>
        <v>2630</v>
      </c>
      <c r="L215" s="42">
        <f>INDEX(Assumptions!$E$61:$E$90,D215)</f>
        <v>2852.6266321541557</v>
      </c>
      <c r="M215" s="43">
        <f>IF(D215&lt;=Assumptions!$G$137,Assumptions!$AK$137,IF(D215&lt;Assumptions!$AH$137,Assumptions!$AK$137+(Assumptions!$AL$137-Assumptions!$AK$137)*(D215-Assumptions!$G$137)/(Assumptions!$AH$137-Assumptions!$G$137),IF(D215&lt;Assumptions!$P$137,Assumptions!$AL$137+(Assumptions!$AM$137-Assumptions!$AL$137)*(D215-Assumptions!$AH$137)/(Assumptions!$P$137-Assumptions!$AH$137),Assumptions!$AM$137)))</f>
        <v>-50000</v>
      </c>
      <c r="N215" s="44">
        <f t="shared" si="6"/>
        <v>-68.306010928961754</v>
      </c>
      <c r="O215" s="45">
        <f t="shared" si="7"/>
        <v>2784</v>
      </c>
      <c r="P215" s="14" t="str">
        <f>IF(D215&gt;=Assumptions!$P$137,"High",IF(D215&gt;=Assumptions!$AH$137,"Mid",IF(D215&lt;=Assumptions!$G$137,"Low","Loading")))</f>
        <v>Mid</v>
      </c>
      <c r="Q215" s="46">
        <f>MAX(K215,MIN(Assumptions!$S$137,O215),Q216)</f>
        <v>2784</v>
      </c>
      <c r="R215" s="12">
        <f>IF(AND(Q215&lt;=K215,INDEX(Assumptions!$C$26:$C$36,MATCH(G215,Assumptions!$A$26:$A$36,0))&lt;&gt;""),INDEX(Assumptions!$C$26:$C$36,MATCH(G215,Assumptions!$A$26:$A$36,0)),ROUND(G215*Q215,-2))</f>
        <v>2037900</v>
      </c>
      <c r="S215" s="47" t="str">
        <f>TRIM(IF(AND(Assumptions!$L$137&lt;&gt;"",D215&lt;Assumptions!$L$137),"View blocked / roof in front ("&amp;Assumptions!$M$137&amp;"); view premium still loading until L"&amp;Assumptions!$L$137&amp;". ","")&amp;IF(D215=Assumptions!$AH$137,"Mid-floor view premium fully loaded. ","")&amp;IF(D215=Assumptions!$P$137,"High-floor view premium fully loaded. ","")&amp;IF(Q215&lt;=K215,"At developer starting price.",""))</f>
        <v/>
      </c>
      <c r="T215" s="48" t="str">
        <f>Assumptions!$AJ$137</f>
        <v>SSW. 24m setback to road (road noise), overlooking landed; landed / nature view improves from mid floor</v>
      </c>
    </row>
    <row r="216" spans="1:20" x14ac:dyDescent="0.2">
      <c r="A216" s="13" t="s">
        <v>343</v>
      </c>
      <c r="B216" s="14">
        <v>3</v>
      </c>
      <c r="C216" s="40">
        <v>11</v>
      </c>
      <c r="D216" s="40">
        <v>10</v>
      </c>
      <c r="E216" s="9" t="s">
        <v>44</v>
      </c>
      <c r="F216" s="14" t="s">
        <v>181</v>
      </c>
      <c r="G216" s="10">
        <v>732</v>
      </c>
      <c r="H216" s="14" t="s">
        <v>62</v>
      </c>
      <c r="I216" s="41" t="str">
        <f>Assumptions!$I$137</f>
        <v>D</v>
      </c>
      <c r="J216" s="14" t="str">
        <f>IF(D216&lt;=Assumptions!$V$137,"Low",IF(D216&lt;=Assumptions!$W$137,"Mid","High"))</f>
        <v>Mid</v>
      </c>
      <c r="K216" s="15">
        <f>Assumptions!$Q$137</f>
        <v>2630</v>
      </c>
      <c r="L216" s="42">
        <f>INDEX(Assumptions!$E$61:$E$90,D216)</f>
        <v>2835.4798964624674</v>
      </c>
      <c r="M216" s="43">
        <f>IF(D216&lt;=Assumptions!$G$137,Assumptions!$AK$137,IF(D216&lt;Assumptions!$AH$137,Assumptions!$AK$137+(Assumptions!$AL$137-Assumptions!$AK$137)*(D216-Assumptions!$G$137)/(Assumptions!$AH$137-Assumptions!$G$137),IF(D216&lt;Assumptions!$P$137,Assumptions!$AL$137+(Assumptions!$AM$137-Assumptions!$AL$137)*(D216-Assumptions!$AH$137)/(Assumptions!$P$137-Assumptions!$AH$137),Assumptions!$AM$137)))</f>
        <v>-50000</v>
      </c>
      <c r="N216" s="44">
        <f t="shared" si="6"/>
        <v>-68.306010928961754</v>
      </c>
      <c r="O216" s="45">
        <f t="shared" si="7"/>
        <v>2767</v>
      </c>
      <c r="P216" s="14" t="str">
        <f>IF(D216&gt;=Assumptions!$P$137,"High",IF(D216&gt;=Assumptions!$AH$137,"Mid",IF(D216&lt;=Assumptions!$G$137,"Low","Loading")))</f>
        <v>Mid</v>
      </c>
      <c r="Q216" s="46">
        <f>MAX(K216,MIN(Assumptions!$S$137,O216),Q217)</f>
        <v>2767</v>
      </c>
      <c r="R216" s="12">
        <f>IF(AND(Q216&lt;=K216,INDEX(Assumptions!$C$26:$C$36,MATCH(G216,Assumptions!$A$26:$A$36,0))&lt;&gt;""),INDEX(Assumptions!$C$26:$C$36,MATCH(G216,Assumptions!$A$26:$A$36,0)),ROUND(G216*Q216,-2))</f>
        <v>2025400</v>
      </c>
      <c r="S216" s="47" t="str">
        <f>TRIM(IF(AND(Assumptions!$L$137&lt;&gt;"",D216&lt;Assumptions!$L$137),"View blocked / roof in front ("&amp;Assumptions!$M$137&amp;"); view premium still loading until L"&amp;Assumptions!$L$137&amp;". ","")&amp;IF(D216=Assumptions!$AH$137,"Mid-floor view premium fully loaded. ","")&amp;IF(D216=Assumptions!$P$137,"High-floor view premium fully loaded. ","")&amp;IF(Q216&lt;=K216,"At developer starting price.",""))</f>
        <v/>
      </c>
      <c r="T216" s="48" t="str">
        <f>Assumptions!$AJ$137</f>
        <v>SSW. 24m setback to road (road noise), overlooking landed; landed / nature view improves from mid floor</v>
      </c>
    </row>
    <row r="217" spans="1:20" x14ac:dyDescent="0.2">
      <c r="A217" s="13" t="s">
        <v>344</v>
      </c>
      <c r="B217" s="14">
        <v>3</v>
      </c>
      <c r="C217" s="40">
        <v>11</v>
      </c>
      <c r="D217" s="40">
        <v>9</v>
      </c>
      <c r="E217" s="9" t="s">
        <v>44</v>
      </c>
      <c r="F217" s="14" t="s">
        <v>181</v>
      </c>
      <c r="G217" s="10">
        <v>732</v>
      </c>
      <c r="H217" s="14" t="s">
        <v>62</v>
      </c>
      <c r="I217" s="41" t="str">
        <f>Assumptions!$I$137</f>
        <v>D</v>
      </c>
      <c r="J217" s="14" t="str">
        <f>IF(D217&lt;=Assumptions!$V$137,"Low",IF(D217&lt;=Assumptions!$W$137,"Mid","High"))</f>
        <v>Mid</v>
      </c>
      <c r="K217" s="15">
        <f>Assumptions!$Q$137</f>
        <v>2630</v>
      </c>
      <c r="L217" s="42">
        <f>INDEX(Assumptions!$E$61:$E$90,D217)</f>
        <v>2818.3331607707792</v>
      </c>
      <c r="M217" s="43">
        <f>IF(D217&lt;=Assumptions!$G$137,Assumptions!$AK$137,IF(D217&lt;Assumptions!$AH$137,Assumptions!$AK$137+(Assumptions!$AL$137-Assumptions!$AK$137)*(D217-Assumptions!$G$137)/(Assumptions!$AH$137-Assumptions!$G$137),IF(D217&lt;Assumptions!$P$137,Assumptions!$AL$137+(Assumptions!$AM$137-Assumptions!$AL$137)*(D217-Assumptions!$AH$137)/(Assumptions!$P$137-Assumptions!$AH$137),Assumptions!$AM$137)))</f>
        <v>-50000</v>
      </c>
      <c r="N217" s="44">
        <f t="shared" si="6"/>
        <v>-68.306010928961754</v>
      </c>
      <c r="O217" s="45">
        <f t="shared" si="7"/>
        <v>2750</v>
      </c>
      <c r="P217" s="14" t="str">
        <f>IF(D217&gt;=Assumptions!$P$137,"High",IF(D217&gt;=Assumptions!$AH$137,"Mid",IF(D217&lt;=Assumptions!$G$137,"Low","Loading")))</f>
        <v>Mid</v>
      </c>
      <c r="Q217" s="46">
        <f>MAX(K217,MIN(Assumptions!$S$137,O217),Q218)</f>
        <v>2767</v>
      </c>
      <c r="R217" s="12">
        <f>IF(AND(Q217&lt;=K217,INDEX(Assumptions!$C$26:$C$36,MATCH(G217,Assumptions!$A$26:$A$36,0))&lt;&gt;""),INDEX(Assumptions!$C$26:$C$36,MATCH(G217,Assumptions!$A$26:$A$36,0)),ROUND(G217*Q217,-2))</f>
        <v>2025400</v>
      </c>
      <c r="S217" s="47" t="str">
        <f>TRIM(IF(AND(Assumptions!$L$137&lt;&gt;"",D217&lt;Assumptions!$L$137),"View blocked / roof in front ("&amp;Assumptions!$M$137&amp;"); view premium still loading until L"&amp;Assumptions!$L$137&amp;". ","")&amp;IF(D217=Assumptions!$AH$137,"Mid-floor view premium fully loaded. ","")&amp;IF(D217=Assumptions!$P$137,"High-floor view premium fully loaded. ","")&amp;IF(Q217&lt;=K217,"At developer starting price.",""))</f>
        <v/>
      </c>
      <c r="T217" s="48" t="str">
        <f>Assumptions!$AJ$137</f>
        <v>SSW. 24m setback to road (road noise), overlooking landed; landed / nature view improves from mid floor</v>
      </c>
    </row>
    <row r="218" spans="1:20" x14ac:dyDescent="0.2">
      <c r="A218" s="13" t="s">
        <v>345</v>
      </c>
      <c r="B218" s="14">
        <v>3</v>
      </c>
      <c r="C218" s="40">
        <v>11</v>
      </c>
      <c r="D218" s="40">
        <v>8</v>
      </c>
      <c r="E218" s="9" t="s">
        <v>44</v>
      </c>
      <c r="F218" s="14" t="s">
        <v>181</v>
      </c>
      <c r="G218" s="10">
        <v>732</v>
      </c>
      <c r="H218" s="14" t="s">
        <v>62</v>
      </c>
      <c r="I218" s="41" t="str">
        <f>Assumptions!$I$137</f>
        <v>D</v>
      </c>
      <c r="J218" s="14" t="str">
        <f>IF(D218&lt;=Assumptions!$V$137,"Low",IF(D218&lt;=Assumptions!$W$137,"Mid","High"))</f>
        <v>Mid</v>
      </c>
      <c r="K218" s="15">
        <f>Assumptions!$Q$137</f>
        <v>2630</v>
      </c>
      <c r="L218" s="42">
        <f>INDEX(Assumptions!$E$61:$E$90,D218)</f>
        <v>2801.1864250790909</v>
      </c>
      <c r="M218" s="43">
        <f>IF(D218&lt;=Assumptions!$G$137,Assumptions!$AK$137,IF(D218&lt;Assumptions!$AH$137,Assumptions!$AK$137+(Assumptions!$AL$137-Assumptions!$AK$137)*(D218-Assumptions!$G$137)/(Assumptions!$AH$137-Assumptions!$G$137),IF(D218&lt;Assumptions!$P$137,Assumptions!$AL$137+(Assumptions!$AM$137-Assumptions!$AL$137)*(D218-Assumptions!$AH$137)/(Assumptions!$P$137-Assumptions!$AH$137),Assumptions!$AM$137)))</f>
        <v>-50000</v>
      </c>
      <c r="N218" s="44">
        <f t="shared" si="6"/>
        <v>-68.306010928961754</v>
      </c>
      <c r="O218" s="45">
        <f t="shared" si="7"/>
        <v>2733</v>
      </c>
      <c r="P218" s="14" t="str">
        <f>IF(D218&gt;=Assumptions!$P$137,"High",IF(D218&gt;=Assumptions!$AH$137,"Mid",IF(D218&lt;=Assumptions!$G$137,"Low","Loading")))</f>
        <v>Mid</v>
      </c>
      <c r="Q218" s="46">
        <f>MAX(K218,MIN(Assumptions!$S$137,O218),Q219)</f>
        <v>2767</v>
      </c>
      <c r="R218" s="12">
        <f>IF(AND(Q218&lt;=K218,INDEX(Assumptions!$C$26:$C$36,MATCH(G218,Assumptions!$A$26:$A$36,0))&lt;&gt;""),INDEX(Assumptions!$C$26:$C$36,MATCH(G218,Assumptions!$A$26:$A$36,0)),ROUND(G218*Q218,-2))</f>
        <v>2025400</v>
      </c>
      <c r="S218" s="47" t="str">
        <f>TRIM(IF(AND(Assumptions!$L$137&lt;&gt;"",D218&lt;Assumptions!$L$137),"View blocked / roof in front ("&amp;Assumptions!$M$137&amp;"); view premium still loading until L"&amp;Assumptions!$L$137&amp;". ","")&amp;IF(D218=Assumptions!$AH$137,"Mid-floor view premium fully loaded. ","")&amp;IF(D218=Assumptions!$P$137,"High-floor view premium fully loaded. ","")&amp;IF(Q218&lt;=K218,"At developer starting price.",""))</f>
        <v>Mid-floor view premium fully loaded.</v>
      </c>
      <c r="T218" s="48" t="str">
        <f>Assumptions!$AJ$137</f>
        <v>SSW. 24m setback to road (road noise), overlooking landed; landed / nature view improves from mid floor</v>
      </c>
    </row>
    <row r="219" spans="1:20" x14ac:dyDescent="0.2">
      <c r="A219" s="13" t="s">
        <v>346</v>
      </c>
      <c r="B219" s="14">
        <v>3</v>
      </c>
      <c r="C219" s="40">
        <v>11</v>
      </c>
      <c r="D219" s="40">
        <v>7</v>
      </c>
      <c r="E219" s="9" t="s">
        <v>44</v>
      </c>
      <c r="F219" s="14" t="s">
        <v>181</v>
      </c>
      <c r="G219" s="10">
        <v>732</v>
      </c>
      <c r="H219" s="14" t="s">
        <v>62</v>
      </c>
      <c r="I219" s="41" t="str">
        <f>Assumptions!$I$137</f>
        <v>D</v>
      </c>
      <c r="J219" s="14" t="str">
        <f>IF(D219&lt;=Assumptions!$V$137,"Low",IF(D219&lt;=Assumptions!$W$137,"Mid","High"))</f>
        <v>Low</v>
      </c>
      <c r="K219" s="15">
        <f>Assumptions!$Q$137</f>
        <v>2630</v>
      </c>
      <c r="L219" s="42">
        <f>INDEX(Assumptions!$E$61:$E$90,D219)</f>
        <v>2784.0396893874026</v>
      </c>
      <c r="M219" s="43">
        <f>IF(D219&lt;=Assumptions!$G$137,Assumptions!$AK$137,IF(D219&lt;Assumptions!$AH$137,Assumptions!$AK$137+(Assumptions!$AL$137-Assumptions!$AK$137)*(D219-Assumptions!$G$137)/(Assumptions!$AH$137-Assumptions!$G$137),IF(D219&lt;Assumptions!$P$137,Assumptions!$AL$137+(Assumptions!$AM$137-Assumptions!$AL$137)*(D219-Assumptions!$AH$137)/(Assumptions!$P$137-Assumptions!$AH$137),Assumptions!$AM$137)))</f>
        <v>-33333.333333333328</v>
      </c>
      <c r="N219" s="44">
        <f t="shared" si="6"/>
        <v>-45.537340619307827</v>
      </c>
      <c r="O219" s="45">
        <f t="shared" si="7"/>
        <v>2739</v>
      </c>
      <c r="P219" s="14" t="str">
        <f>IF(D219&gt;=Assumptions!$P$137,"High",IF(D219&gt;=Assumptions!$AH$137,"Mid",IF(D219&lt;=Assumptions!$G$137,"Low","Loading")))</f>
        <v>Loading</v>
      </c>
      <c r="Q219" s="46">
        <f>MAX(K219,MIN(Assumptions!$S$137,O219),Q220)</f>
        <v>2767</v>
      </c>
      <c r="R219" s="12">
        <f>IF(AND(Q219&lt;=K219,INDEX(Assumptions!$C$26:$C$36,MATCH(G219,Assumptions!$A$26:$A$36,0))&lt;&gt;""),INDEX(Assumptions!$C$26:$C$36,MATCH(G219,Assumptions!$A$26:$A$36,0)),ROUND(G219*Q219,-2))</f>
        <v>2025400</v>
      </c>
      <c r="S219" s="47" t="str">
        <f>TRIM(IF(AND(Assumptions!$L$137&lt;&gt;"",D219&lt;Assumptions!$L$137),"View blocked / roof in front ("&amp;Assumptions!$M$137&amp;"); view premium still loading until L"&amp;Assumptions!$L$137&amp;". ","")&amp;IF(D219=Assumptions!$AH$137,"Mid-floor view premium fully loaded. ","")&amp;IF(D219=Assumptions!$P$137,"High-floor view premium fully loaded. ","")&amp;IF(Q219&lt;=K219,"At developer starting price.",""))</f>
        <v/>
      </c>
      <c r="T219" s="48" t="str">
        <f>Assumptions!$AJ$137</f>
        <v>SSW. 24m setback to road (road noise), overlooking landed; landed / nature view improves from mid floor</v>
      </c>
    </row>
    <row r="220" spans="1:20" x14ac:dyDescent="0.2">
      <c r="A220" s="13" t="s">
        <v>347</v>
      </c>
      <c r="B220" s="14">
        <v>3</v>
      </c>
      <c r="C220" s="40">
        <v>11</v>
      </c>
      <c r="D220" s="40">
        <v>6</v>
      </c>
      <c r="E220" s="9" t="s">
        <v>44</v>
      </c>
      <c r="F220" s="14" t="s">
        <v>181</v>
      </c>
      <c r="G220" s="10">
        <v>732</v>
      </c>
      <c r="H220" s="14" t="s">
        <v>62</v>
      </c>
      <c r="I220" s="41" t="str">
        <f>Assumptions!$I$137</f>
        <v>D</v>
      </c>
      <c r="J220" s="14" t="str">
        <f>IF(D220&lt;=Assumptions!$V$137,"Low",IF(D220&lt;=Assumptions!$W$137,"Mid","High"))</f>
        <v>Low</v>
      </c>
      <c r="K220" s="15">
        <f>Assumptions!$Q$137</f>
        <v>2630</v>
      </c>
      <c r="L220" s="42">
        <f>INDEX(Assumptions!$E$61:$E$90,D220)</f>
        <v>2766.8929536957148</v>
      </c>
      <c r="M220" s="43">
        <f>IF(D220&lt;=Assumptions!$G$137,Assumptions!$AK$137,IF(D220&lt;Assumptions!$AH$137,Assumptions!$AK$137+(Assumptions!$AL$137-Assumptions!$AK$137)*(D220-Assumptions!$G$137)/(Assumptions!$AH$137-Assumptions!$G$137),IF(D220&lt;Assumptions!$P$137,Assumptions!$AL$137+(Assumptions!$AM$137-Assumptions!$AL$137)*(D220-Assumptions!$AH$137)/(Assumptions!$P$137-Assumptions!$AH$137),Assumptions!$AM$137)))</f>
        <v>-16666.666666666672</v>
      </c>
      <c r="N220" s="44">
        <f t="shared" si="6"/>
        <v>-22.768670309653924</v>
      </c>
      <c r="O220" s="45">
        <f t="shared" si="7"/>
        <v>2744</v>
      </c>
      <c r="P220" s="14" t="str">
        <f>IF(D220&gt;=Assumptions!$P$137,"High",IF(D220&gt;=Assumptions!$AH$137,"Mid",IF(D220&lt;=Assumptions!$G$137,"Low","Loading")))</f>
        <v>Loading</v>
      </c>
      <c r="Q220" s="46">
        <f>MAX(K220,MIN(Assumptions!$S$137,O220),Q221)</f>
        <v>2767</v>
      </c>
      <c r="R220" s="12">
        <f>IF(AND(Q220&lt;=K220,INDEX(Assumptions!$C$26:$C$36,MATCH(G220,Assumptions!$A$26:$A$36,0))&lt;&gt;""),INDEX(Assumptions!$C$26:$C$36,MATCH(G220,Assumptions!$A$26:$A$36,0)),ROUND(G220*Q220,-2))</f>
        <v>2025400</v>
      </c>
      <c r="S220" s="47" t="str">
        <f>TRIM(IF(AND(Assumptions!$L$137&lt;&gt;"",D220&lt;Assumptions!$L$137),"View blocked / roof in front ("&amp;Assumptions!$M$137&amp;"); view premium still loading until L"&amp;Assumptions!$L$137&amp;". ","")&amp;IF(D220=Assumptions!$AH$137,"Mid-floor view premium fully loaded. ","")&amp;IF(D220=Assumptions!$P$137,"High-floor view premium fully loaded. ","")&amp;IF(Q220&lt;=K220,"At developer starting price.",""))</f>
        <v/>
      </c>
      <c r="T220" s="48" t="str">
        <f>Assumptions!$AJ$137</f>
        <v>SSW. 24m setback to road (road noise), overlooking landed; landed / nature view improves from mid floor</v>
      </c>
    </row>
    <row r="221" spans="1:20" x14ac:dyDescent="0.2">
      <c r="A221" s="13" t="s">
        <v>348</v>
      </c>
      <c r="B221" s="14">
        <v>3</v>
      </c>
      <c r="C221" s="40">
        <v>11</v>
      </c>
      <c r="D221" s="40">
        <v>5</v>
      </c>
      <c r="E221" s="9" t="s">
        <v>44</v>
      </c>
      <c r="F221" s="14" t="s">
        <v>181</v>
      </c>
      <c r="G221" s="10">
        <v>732</v>
      </c>
      <c r="H221" s="14" t="s">
        <v>62</v>
      </c>
      <c r="I221" s="41" t="str">
        <f>Assumptions!$I$137</f>
        <v>D</v>
      </c>
      <c r="J221" s="14" t="str">
        <f>IF(D221&lt;=Assumptions!$V$137,"Low",IF(D221&lt;=Assumptions!$W$137,"Mid","High"))</f>
        <v>Low</v>
      </c>
      <c r="K221" s="15">
        <f>Assumptions!$Q$137</f>
        <v>2630</v>
      </c>
      <c r="L221" s="42">
        <f>INDEX(Assumptions!$E$61:$E$90,D221)</f>
        <v>2749.7462180040266</v>
      </c>
      <c r="M221" s="43">
        <f>IF(D221&lt;=Assumptions!$G$137,Assumptions!$AK$137,IF(D221&lt;Assumptions!$AH$137,Assumptions!$AK$137+(Assumptions!$AL$137-Assumptions!$AK$137)*(D221-Assumptions!$G$137)/(Assumptions!$AH$137-Assumptions!$G$137),IF(D221&lt;Assumptions!$P$137,Assumptions!$AL$137+(Assumptions!$AM$137-Assumptions!$AL$137)*(D221-Assumptions!$AH$137)/(Assumptions!$P$137-Assumptions!$AH$137),Assumptions!$AM$137)))</f>
        <v>0</v>
      </c>
      <c r="N221" s="44">
        <f t="shared" si="6"/>
        <v>0</v>
      </c>
      <c r="O221" s="45">
        <f t="shared" si="7"/>
        <v>2750</v>
      </c>
      <c r="P221" s="14" t="str">
        <f>IF(D221&gt;=Assumptions!$P$137,"High",IF(D221&gt;=Assumptions!$AH$137,"Mid",IF(D221&lt;=Assumptions!$G$137,"Low","Loading")))</f>
        <v>Loading</v>
      </c>
      <c r="Q221" s="46">
        <f>MAX(K221,MIN(Assumptions!$S$137,O221),Q222)</f>
        <v>2767</v>
      </c>
      <c r="R221" s="12">
        <f>IF(AND(Q221&lt;=K221,INDEX(Assumptions!$C$26:$C$36,MATCH(G221,Assumptions!$A$26:$A$36,0))&lt;&gt;""),INDEX(Assumptions!$C$26:$C$36,MATCH(G221,Assumptions!$A$26:$A$36,0)),ROUND(G221*Q221,-2))</f>
        <v>2025400</v>
      </c>
      <c r="S221" s="47" t="str">
        <f>TRIM(IF(AND(Assumptions!$L$137&lt;&gt;"",D221&lt;Assumptions!$L$137),"View blocked / roof in front ("&amp;Assumptions!$M$137&amp;"); view premium still loading until L"&amp;Assumptions!$L$137&amp;". ","")&amp;IF(D221=Assumptions!$AH$137,"Mid-floor view premium fully loaded. ","")&amp;IF(D221=Assumptions!$P$137,"High-floor view premium fully loaded. ","")&amp;IF(Q221&lt;=K221,"At developer starting price.",""))</f>
        <v/>
      </c>
      <c r="T221" s="48" t="str">
        <f>Assumptions!$AJ$137</f>
        <v>SSW. 24m setback to road (road noise), overlooking landed; landed / nature view improves from mid floor</v>
      </c>
    </row>
    <row r="222" spans="1:20" x14ac:dyDescent="0.2">
      <c r="A222" s="13" t="s">
        <v>349</v>
      </c>
      <c r="B222" s="14">
        <v>3</v>
      </c>
      <c r="C222" s="40">
        <v>11</v>
      </c>
      <c r="D222" s="40">
        <v>4</v>
      </c>
      <c r="E222" s="9" t="s">
        <v>44</v>
      </c>
      <c r="F222" s="14" t="s">
        <v>181</v>
      </c>
      <c r="G222" s="10">
        <v>732</v>
      </c>
      <c r="H222" s="14" t="s">
        <v>62</v>
      </c>
      <c r="I222" s="41" t="str">
        <f>Assumptions!$I$137</f>
        <v>D</v>
      </c>
      <c r="J222" s="14" t="str">
        <f>IF(D222&lt;=Assumptions!$V$137,"Low",IF(D222&lt;=Assumptions!$W$137,"Mid","High"))</f>
        <v>Low</v>
      </c>
      <c r="K222" s="15">
        <f>Assumptions!$Q$137</f>
        <v>2630</v>
      </c>
      <c r="L222" s="42">
        <f>INDEX(Assumptions!$E$61:$E$90,D222)</f>
        <v>2732.5994823123383</v>
      </c>
      <c r="M222" s="43">
        <f>IF(D222&lt;=Assumptions!$G$137,Assumptions!$AK$137,IF(D222&lt;Assumptions!$AH$137,Assumptions!$AK$137+(Assumptions!$AL$137-Assumptions!$AK$137)*(D222-Assumptions!$G$137)/(Assumptions!$AH$137-Assumptions!$G$137),IF(D222&lt;Assumptions!$P$137,Assumptions!$AL$137+(Assumptions!$AM$137-Assumptions!$AL$137)*(D222-Assumptions!$AH$137)/(Assumptions!$P$137-Assumptions!$AH$137),Assumptions!$AM$137)))</f>
        <v>16666.666666666664</v>
      </c>
      <c r="N222" s="44">
        <f t="shared" si="6"/>
        <v>22.768670309653913</v>
      </c>
      <c r="O222" s="45">
        <f t="shared" si="7"/>
        <v>2755</v>
      </c>
      <c r="P222" s="14" t="str">
        <f>IF(D222&gt;=Assumptions!$P$137,"High",IF(D222&gt;=Assumptions!$AH$137,"Mid",IF(D222&lt;=Assumptions!$G$137,"Low","Loading")))</f>
        <v>Loading</v>
      </c>
      <c r="Q222" s="46">
        <f>MAX(K222,MIN(Assumptions!$S$137,O222),Q223)</f>
        <v>2767</v>
      </c>
      <c r="R222" s="12">
        <f>IF(AND(Q222&lt;=K222,INDEX(Assumptions!$C$26:$C$36,MATCH(G222,Assumptions!$A$26:$A$36,0))&lt;&gt;""),INDEX(Assumptions!$C$26:$C$36,MATCH(G222,Assumptions!$A$26:$A$36,0)),ROUND(G222*Q222,-2))</f>
        <v>2025400</v>
      </c>
      <c r="S222" s="47" t="str">
        <f>TRIM(IF(AND(Assumptions!$L$137&lt;&gt;"",D222&lt;Assumptions!$L$137),"View blocked / roof in front ("&amp;Assumptions!$M$137&amp;"); view premium still loading until L"&amp;Assumptions!$L$137&amp;". ","")&amp;IF(D222=Assumptions!$AH$137,"Mid-floor view premium fully loaded. ","")&amp;IF(D222=Assumptions!$P$137,"High-floor view premium fully loaded. ","")&amp;IF(Q222&lt;=K222,"At developer starting price.",""))</f>
        <v/>
      </c>
      <c r="T222" s="48" t="str">
        <f>Assumptions!$AJ$137</f>
        <v>SSW. 24m setback to road (road noise), overlooking landed; landed / nature view improves from mid floor</v>
      </c>
    </row>
    <row r="223" spans="1:20" x14ac:dyDescent="0.2">
      <c r="A223" s="13" t="s">
        <v>350</v>
      </c>
      <c r="B223" s="14">
        <v>3</v>
      </c>
      <c r="C223" s="40">
        <v>11</v>
      </c>
      <c r="D223" s="40">
        <v>3</v>
      </c>
      <c r="E223" s="9" t="s">
        <v>44</v>
      </c>
      <c r="F223" s="14" t="s">
        <v>181</v>
      </c>
      <c r="G223" s="10">
        <v>732</v>
      </c>
      <c r="H223" s="14" t="s">
        <v>62</v>
      </c>
      <c r="I223" s="41" t="str">
        <f>Assumptions!$I$137</f>
        <v>D</v>
      </c>
      <c r="J223" s="14" t="str">
        <f>IF(D223&lt;=Assumptions!$V$137,"Low",IF(D223&lt;=Assumptions!$W$137,"Mid","High"))</f>
        <v>Low</v>
      </c>
      <c r="K223" s="15">
        <f>Assumptions!$Q$137</f>
        <v>2630</v>
      </c>
      <c r="L223" s="42">
        <f>INDEX(Assumptions!$E$61:$E$90,D223)</f>
        <v>2715.45274662065</v>
      </c>
      <c r="M223" s="43">
        <f>IF(D223&lt;=Assumptions!$G$137,Assumptions!$AK$137,IF(D223&lt;Assumptions!$AH$137,Assumptions!$AK$137+(Assumptions!$AL$137-Assumptions!$AK$137)*(D223-Assumptions!$G$137)/(Assumptions!$AH$137-Assumptions!$G$137),IF(D223&lt;Assumptions!$P$137,Assumptions!$AL$137+(Assumptions!$AM$137-Assumptions!$AL$137)*(D223-Assumptions!$AH$137)/(Assumptions!$P$137-Assumptions!$AH$137),Assumptions!$AM$137)))</f>
        <v>33333.333333333328</v>
      </c>
      <c r="N223" s="44">
        <f t="shared" si="6"/>
        <v>45.537340619307827</v>
      </c>
      <c r="O223" s="45">
        <f t="shared" si="7"/>
        <v>2761</v>
      </c>
      <c r="P223" s="14" t="str">
        <f>IF(D223&gt;=Assumptions!$P$137,"High",IF(D223&gt;=Assumptions!$AH$137,"Mid",IF(D223&lt;=Assumptions!$G$137,"Low","Loading")))</f>
        <v>Loading</v>
      </c>
      <c r="Q223" s="46">
        <f>MAX(K223,MIN(Assumptions!$S$137,O223),Q224)</f>
        <v>2767</v>
      </c>
      <c r="R223" s="12">
        <f>IF(AND(Q223&lt;=K223,INDEX(Assumptions!$C$26:$C$36,MATCH(G223,Assumptions!$A$26:$A$36,0))&lt;&gt;""),INDEX(Assumptions!$C$26:$C$36,MATCH(G223,Assumptions!$A$26:$A$36,0)),ROUND(G223*Q223,-2))</f>
        <v>2025400</v>
      </c>
      <c r="S223" s="47" t="str">
        <f>TRIM(IF(AND(Assumptions!$L$137&lt;&gt;"",D223&lt;Assumptions!$L$137),"View blocked / roof in front ("&amp;Assumptions!$M$137&amp;"); view premium still loading until L"&amp;Assumptions!$L$137&amp;". ","")&amp;IF(D223=Assumptions!$AH$137,"Mid-floor view premium fully loaded. ","")&amp;IF(D223=Assumptions!$P$137,"High-floor view premium fully loaded. ","")&amp;IF(Q223&lt;=K223,"At developer starting price.",""))</f>
        <v/>
      </c>
      <c r="T223" s="48" t="str">
        <f>Assumptions!$AJ$137</f>
        <v>SSW. 24m setback to road (road noise), overlooking landed; landed / nature view improves from mid floor</v>
      </c>
    </row>
    <row r="224" spans="1:20" x14ac:dyDescent="0.2">
      <c r="A224" s="13" t="s">
        <v>351</v>
      </c>
      <c r="B224" s="14">
        <v>3</v>
      </c>
      <c r="C224" s="40">
        <v>11</v>
      </c>
      <c r="D224" s="40">
        <v>2</v>
      </c>
      <c r="E224" s="9" t="s">
        <v>44</v>
      </c>
      <c r="F224" s="14" t="s">
        <v>201</v>
      </c>
      <c r="G224" s="10">
        <v>732</v>
      </c>
      <c r="H224" s="14" t="s">
        <v>62</v>
      </c>
      <c r="I224" s="41" t="str">
        <f>Assumptions!$I$137</f>
        <v>D</v>
      </c>
      <c r="J224" s="14" t="str">
        <f>IF(D224&lt;=Assumptions!$V$137,"Low",IF(D224&lt;=Assumptions!$W$137,"Mid","High"))</f>
        <v>Low</v>
      </c>
      <c r="K224" s="15">
        <f>Assumptions!$Q$137</f>
        <v>2630</v>
      </c>
      <c r="L224" s="42">
        <f>INDEX(Assumptions!$E$61:$E$90,D224)</f>
        <v>2698.3060109289618</v>
      </c>
      <c r="M224" s="43">
        <f>IF(D224&lt;=Assumptions!$G$137,Assumptions!$AK$137,IF(D224&lt;Assumptions!$AH$137,Assumptions!$AK$137+(Assumptions!$AL$137-Assumptions!$AK$137)*(D224-Assumptions!$G$137)/(Assumptions!$AH$137-Assumptions!$G$137),IF(D224&lt;Assumptions!$P$137,Assumptions!$AL$137+(Assumptions!$AM$137-Assumptions!$AL$137)*(D224-Assumptions!$AH$137)/(Assumptions!$P$137-Assumptions!$AH$137),Assumptions!$AM$137)))</f>
        <v>50000</v>
      </c>
      <c r="N224" s="44">
        <f t="shared" si="6"/>
        <v>68.306010928961754</v>
      </c>
      <c r="O224" s="45">
        <f t="shared" si="7"/>
        <v>2767</v>
      </c>
      <c r="P224" s="14" t="str">
        <f>IF(D224&gt;=Assumptions!$P$137,"High",IF(D224&gt;=Assumptions!$AH$137,"Mid",IF(D224&lt;=Assumptions!$G$137,"Low","Loading")))</f>
        <v>Low</v>
      </c>
      <c r="Q224" s="46">
        <f>MAX(K224,MIN(Assumptions!$S$137,O224))</f>
        <v>2767</v>
      </c>
      <c r="R224" s="12">
        <f>IF(AND(Q224&lt;=K224,INDEX(Assumptions!$C$26:$C$36,MATCH(G224,Assumptions!$A$26:$A$36,0))&lt;&gt;""),INDEX(Assumptions!$C$26:$C$36,MATCH(G224,Assumptions!$A$26:$A$36,0)),ROUND(G224*Q224,-2))</f>
        <v>2025400</v>
      </c>
      <c r="S224" s="47" t="str">
        <f>TRIM(IF(AND(Assumptions!$L$137&lt;&gt;"",D224&lt;Assumptions!$L$137),"View blocked / roof in front ("&amp;Assumptions!$M$137&amp;"); view premium still loading until L"&amp;Assumptions!$L$137&amp;". ","")&amp;IF(D224=Assumptions!$AH$137,"Mid-floor view premium fully loaded. ","")&amp;IF(D224=Assumptions!$P$137,"High-floor view premium fully loaded. ","")&amp;IF(Q224&lt;=K224,"At developer starting price.",""))</f>
        <v/>
      </c>
      <c r="T224" s="48" t="str">
        <f>Assumptions!$AJ$137</f>
        <v>SSW. 24m setback to road (road noise), overlooking landed; landed / nature view improves from mid floor</v>
      </c>
    </row>
    <row r="225" spans="1:20" x14ac:dyDescent="0.2">
      <c r="A225" s="13" t="s">
        <v>352</v>
      </c>
      <c r="B225" s="14">
        <v>3</v>
      </c>
      <c r="C225" s="40">
        <v>12</v>
      </c>
      <c r="D225" s="40">
        <v>21</v>
      </c>
      <c r="E225" s="9" t="s">
        <v>43</v>
      </c>
      <c r="F225" s="14" t="s">
        <v>137</v>
      </c>
      <c r="G225" s="10">
        <v>678</v>
      </c>
      <c r="H225" s="14" t="s">
        <v>62</v>
      </c>
      <c r="I225" s="41" t="str">
        <f>Assumptions!$I$138</f>
        <v>B</v>
      </c>
      <c r="J225" s="14" t="str">
        <f>IF(D225&lt;=Assumptions!$V$138,"Low",IF(D225&lt;=Assumptions!$W$138,"Mid","High"))</f>
        <v>High</v>
      </c>
      <c r="K225" s="15">
        <f>Assumptions!$Q$138</f>
        <v>2613</v>
      </c>
      <c r="L225" s="42">
        <f>INDEX(Assumptions!$C$61:$C$90,D225)</f>
        <v>3050.8642857142859</v>
      </c>
      <c r="M225" s="43">
        <f>IF(D225&lt;=Assumptions!$G$138,Assumptions!$AK$138,IF(D225&lt;Assumptions!$AH$138,Assumptions!$AK$138+(Assumptions!$AL$138-Assumptions!$AK$138)*(D225-Assumptions!$G$138)/(Assumptions!$AH$138-Assumptions!$G$138),IF(D225&lt;Assumptions!$P$138,Assumptions!$AL$138+(Assumptions!$AM$138-Assumptions!$AL$138)*(D225-Assumptions!$AH$138)/(Assumptions!$P$138-Assumptions!$AH$138),Assumptions!$AM$138)))</f>
        <v>43750</v>
      </c>
      <c r="N225" s="44">
        <f t="shared" si="6"/>
        <v>64.528023598820056</v>
      </c>
      <c r="O225" s="45">
        <f t="shared" si="7"/>
        <v>3115</v>
      </c>
      <c r="P225" s="14" t="str">
        <f>IF(D225&gt;=Assumptions!$P$138,"High",IF(D225&gt;=Assumptions!$AH$138,"Mid",IF(D225&lt;=Assumptions!$G$138,"Low","Loading")))</f>
        <v>High</v>
      </c>
      <c r="Q225" s="46">
        <f>MAX(K225,MIN(Assumptions!$S$138,O225),Q226)</f>
        <v>3115</v>
      </c>
      <c r="R225" s="12">
        <f>IF(AND(Q225&lt;=K225,INDEX(Assumptions!$C$26:$C$36,MATCH(G225,Assumptions!$A$26:$A$36,0))&lt;&gt;""),INDEX(Assumptions!$C$26:$C$36,MATCH(G225,Assumptions!$A$26:$A$36,0)),ROUND(G225*Q225,-2))</f>
        <v>2112000</v>
      </c>
      <c r="S225" s="47" t="str">
        <f>TRIM(IF(AND(Assumptions!$L$138&lt;&gt;"",D225&lt;Assumptions!$L$138),"View blocked / roof in front ("&amp;Assumptions!$M$138&amp;"); view premium still loading until L"&amp;Assumptions!$L$138&amp;". ","")&amp;IF(D225=Assumptions!$AH$138,"Mid-floor view premium fully loaded. ","")&amp;IF(D225=Assumptions!$P$138,"High-floor view premium fully loaded. ","")&amp;IF(Q225&lt;=K225,"At developer starting price.",""))</f>
        <v/>
      </c>
      <c r="T225" s="48" t="str">
        <f>Assumptions!$AJ$138</f>
        <v>SSW. Unblocked direct view of landed estate &amp; nature reserve</v>
      </c>
    </row>
    <row r="226" spans="1:20" x14ac:dyDescent="0.2">
      <c r="A226" s="13" t="s">
        <v>353</v>
      </c>
      <c r="B226" s="14">
        <v>3</v>
      </c>
      <c r="C226" s="40">
        <v>12</v>
      </c>
      <c r="D226" s="40">
        <v>20</v>
      </c>
      <c r="E226" s="9" t="s">
        <v>43</v>
      </c>
      <c r="F226" s="14" t="s">
        <v>137</v>
      </c>
      <c r="G226" s="10">
        <v>678</v>
      </c>
      <c r="H226" s="14" t="s">
        <v>62</v>
      </c>
      <c r="I226" s="41" t="str">
        <f>Assumptions!$I$138</f>
        <v>B</v>
      </c>
      <c r="J226" s="14" t="str">
        <f>IF(D226&lt;=Assumptions!$V$138,"Low",IF(D226&lt;=Assumptions!$W$138,"Mid","High"))</f>
        <v>High</v>
      </c>
      <c r="K226" s="15">
        <f>Assumptions!$Q$138</f>
        <v>2613</v>
      </c>
      <c r="L226" s="42">
        <f>INDEX(Assumptions!$C$61:$C$90,D226)</f>
        <v>3028.0785714285716</v>
      </c>
      <c r="M226" s="43">
        <f>IF(D226&lt;=Assumptions!$G$138,Assumptions!$AK$138,IF(D226&lt;Assumptions!$AH$138,Assumptions!$AK$138+(Assumptions!$AL$138-Assumptions!$AK$138)*(D226-Assumptions!$G$138)/(Assumptions!$AH$138-Assumptions!$G$138),IF(D226&lt;Assumptions!$P$138,Assumptions!$AL$138+(Assumptions!$AM$138-Assumptions!$AL$138)*(D226-Assumptions!$AH$138)/(Assumptions!$P$138-Assumptions!$AH$138),Assumptions!$AM$138)))</f>
        <v>43750</v>
      </c>
      <c r="N226" s="44">
        <f t="shared" si="6"/>
        <v>64.528023598820056</v>
      </c>
      <c r="O226" s="45">
        <f t="shared" si="7"/>
        <v>3093</v>
      </c>
      <c r="P226" s="14" t="str">
        <f>IF(D226&gt;=Assumptions!$P$138,"High",IF(D226&gt;=Assumptions!$AH$138,"Mid",IF(D226&lt;=Assumptions!$G$138,"Low","Loading")))</f>
        <v>High</v>
      </c>
      <c r="Q226" s="46">
        <f>MAX(K226,MIN(Assumptions!$S$138,O226),Q227)</f>
        <v>3093</v>
      </c>
      <c r="R226" s="12">
        <f>IF(AND(Q226&lt;=K226,INDEX(Assumptions!$C$26:$C$36,MATCH(G226,Assumptions!$A$26:$A$36,0))&lt;&gt;""),INDEX(Assumptions!$C$26:$C$36,MATCH(G226,Assumptions!$A$26:$A$36,0)),ROUND(G226*Q226,-2))</f>
        <v>2097100</v>
      </c>
      <c r="S226" s="47" t="str">
        <f>TRIM(IF(AND(Assumptions!$L$138&lt;&gt;"",D226&lt;Assumptions!$L$138),"View blocked / roof in front ("&amp;Assumptions!$M$138&amp;"); view premium still loading until L"&amp;Assumptions!$L$138&amp;". ","")&amp;IF(D226=Assumptions!$AH$138,"Mid-floor view premium fully loaded. ","")&amp;IF(D226=Assumptions!$P$138,"High-floor view premium fully loaded. ","")&amp;IF(Q226&lt;=K226,"At developer starting price.",""))</f>
        <v/>
      </c>
      <c r="T226" s="48" t="str">
        <f>Assumptions!$AJ$138</f>
        <v>SSW. Unblocked direct view of landed estate &amp; nature reserve</v>
      </c>
    </row>
    <row r="227" spans="1:20" x14ac:dyDescent="0.2">
      <c r="A227" s="13" t="s">
        <v>354</v>
      </c>
      <c r="B227" s="14">
        <v>3</v>
      </c>
      <c r="C227" s="40">
        <v>12</v>
      </c>
      <c r="D227" s="40">
        <v>19</v>
      </c>
      <c r="E227" s="9" t="s">
        <v>43</v>
      </c>
      <c r="F227" s="14" t="s">
        <v>137</v>
      </c>
      <c r="G227" s="10">
        <v>678</v>
      </c>
      <c r="H227" s="14" t="s">
        <v>62</v>
      </c>
      <c r="I227" s="41" t="str">
        <f>Assumptions!$I$138</f>
        <v>B</v>
      </c>
      <c r="J227" s="14" t="str">
        <f>IF(D227&lt;=Assumptions!$V$138,"Low",IF(D227&lt;=Assumptions!$W$138,"Mid","High"))</f>
        <v>High</v>
      </c>
      <c r="K227" s="15">
        <f>Assumptions!$Q$138</f>
        <v>2613</v>
      </c>
      <c r="L227" s="42">
        <f>INDEX(Assumptions!$C$61:$C$90,D227)</f>
        <v>3005.2928571428574</v>
      </c>
      <c r="M227" s="43">
        <f>IF(D227&lt;=Assumptions!$G$138,Assumptions!$AK$138,IF(D227&lt;Assumptions!$AH$138,Assumptions!$AK$138+(Assumptions!$AL$138-Assumptions!$AK$138)*(D227-Assumptions!$G$138)/(Assumptions!$AH$138-Assumptions!$G$138),IF(D227&lt;Assumptions!$P$138,Assumptions!$AL$138+(Assumptions!$AM$138-Assumptions!$AL$138)*(D227-Assumptions!$AH$138)/(Assumptions!$P$138-Assumptions!$AH$138),Assumptions!$AM$138)))</f>
        <v>43750</v>
      </c>
      <c r="N227" s="44">
        <f t="shared" si="6"/>
        <v>64.528023598820056</v>
      </c>
      <c r="O227" s="45">
        <f t="shared" si="7"/>
        <v>3070</v>
      </c>
      <c r="P227" s="14" t="str">
        <f>IF(D227&gt;=Assumptions!$P$138,"High",IF(D227&gt;=Assumptions!$AH$138,"Mid",IF(D227&lt;=Assumptions!$G$138,"Low","Loading")))</f>
        <v>High</v>
      </c>
      <c r="Q227" s="46">
        <f>MAX(K227,MIN(Assumptions!$S$138,O227),Q228)</f>
        <v>3070</v>
      </c>
      <c r="R227" s="12">
        <f>IF(AND(Q227&lt;=K227,INDEX(Assumptions!$C$26:$C$36,MATCH(G227,Assumptions!$A$26:$A$36,0))&lt;&gt;""),INDEX(Assumptions!$C$26:$C$36,MATCH(G227,Assumptions!$A$26:$A$36,0)),ROUND(G227*Q227,-2))</f>
        <v>2081500</v>
      </c>
      <c r="S227" s="47" t="str">
        <f>TRIM(IF(AND(Assumptions!$L$138&lt;&gt;"",D227&lt;Assumptions!$L$138),"View blocked / roof in front ("&amp;Assumptions!$M$138&amp;"); view premium still loading until L"&amp;Assumptions!$L$138&amp;". ","")&amp;IF(D227=Assumptions!$AH$138,"Mid-floor view premium fully loaded. ","")&amp;IF(D227=Assumptions!$P$138,"High-floor view premium fully loaded. ","")&amp;IF(Q227&lt;=K227,"At developer starting price.",""))</f>
        <v/>
      </c>
      <c r="T227" s="48" t="str">
        <f>Assumptions!$AJ$138</f>
        <v>SSW. Unblocked direct view of landed estate &amp; nature reserve</v>
      </c>
    </row>
    <row r="228" spans="1:20" x14ac:dyDescent="0.2">
      <c r="A228" s="13" t="s">
        <v>355</v>
      </c>
      <c r="B228" s="14">
        <v>3</v>
      </c>
      <c r="C228" s="40">
        <v>12</v>
      </c>
      <c r="D228" s="40">
        <v>18</v>
      </c>
      <c r="E228" s="9" t="s">
        <v>43</v>
      </c>
      <c r="F228" s="14" t="s">
        <v>137</v>
      </c>
      <c r="G228" s="10">
        <v>678</v>
      </c>
      <c r="H228" s="14" t="s">
        <v>62</v>
      </c>
      <c r="I228" s="41" t="str">
        <f>Assumptions!$I$138</f>
        <v>B</v>
      </c>
      <c r="J228" s="14" t="str">
        <f>IF(D228&lt;=Assumptions!$V$138,"Low",IF(D228&lt;=Assumptions!$W$138,"Mid","High"))</f>
        <v>High</v>
      </c>
      <c r="K228" s="15">
        <f>Assumptions!$Q$138</f>
        <v>2613</v>
      </c>
      <c r="L228" s="42">
        <f>INDEX(Assumptions!$C$61:$C$90,D228)</f>
        <v>2982.5071428571428</v>
      </c>
      <c r="M228" s="43">
        <f>IF(D228&lt;=Assumptions!$G$138,Assumptions!$AK$138,IF(D228&lt;Assumptions!$AH$138,Assumptions!$AK$138+(Assumptions!$AL$138-Assumptions!$AK$138)*(D228-Assumptions!$G$138)/(Assumptions!$AH$138-Assumptions!$G$138),IF(D228&lt;Assumptions!$P$138,Assumptions!$AL$138+(Assumptions!$AM$138-Assumptions!$AL$138)*(D228-Assumptions!$AH$138)/(Assumptions!$P$138-Assumptions!$AH$138),Assumptions!$AM$138)))</f>
        <v>43750</v>
      </c>
      <c r="N228" s="44">
        <f t="shared" si="6"/>
        <v>64.528023598820056</v>
      </c>
      <c r="O228" s="45">
        <f t="shared" si="7"/>
        <v>3047</v>
      </c>
      <c r="P228" s="14" t="str">
        <f>IF(D228&gt;=Assumptions!$P$138,"High",IF(D228&gt;=Assumptions!$AH$138,"Mid",IF(D228&lt;=Assumptions!$G$138,"Low","Loading")))</f>
        <v>High</v>
      </c>
      <c r="Q228" s="46">
        <f>MAX(K228,MIN(Assumptions!$S$138,O228),Q229)</f>
        <v>3047</v>
      </c>
      <c r="R228" s="12">
        <f>IF(AND(Q228&lt;=K228,INDEX(Assumptions!$C$26:$C$36,MATCH(G228,Assumptions!$A$26:$A$36,0))&lt;&gt;""),INDEX(Assumptions!$C$26:$C$36,MATCH(G228,Assumptions!$A$26:$A$36,0)),ROUND(G228*Q228,-2))</f>
        <v>2065900</v>
      </c>
      <c r="S228" s="47" t="str">
        <f>TRIM(IF(AND(Assumptions!$L$138&lt;&gt;"",D228&lt;Assumptions!$L$138),"View blocked / roof in front ("&amp;Assumptions!$M$138&amp;"); view premium still loading until L"&amp;Assumptions!$L$138&amp;". ","")&amp;IF(D228=Assumptions!$AH$138,"Mid-floor view premium fully loaded. ","")&amp;IF(D228=Assumptions!$P$138,"High-floor view premium fully loaded. ","")&amp;IF(Q228&lt;=K228,"At developer starting price.",""))</f>
        <v/>
      </c>
      <c r="T228" s="48" t="str">
        <f>Assumptions!$AJ$138</f>
        <v>SSW. Unblocked direct view of landed estate &amp; nature reserve</v>
      </c>
    </row>
    <row r="229" spans="1:20" x14ac:dyDescent="0.2">
      <c r="A229" s="13" t="s">
        <v>356</v>
      </c>
      <c r="B229" s="14">
        <v>3</v>
      </c>
      <c r="C229" s="40">
        <v>12</v>
      </c>
      <c r="D229" s="40">
        <v>17</v>
      </c>
      <c r="E229" s="9" t="s">
        <v>43</v>
      </c>
      <c r="F229" s="14" t="s">
        <v>137</v>
      </c>
      <c r="G229" s="10">
        <v>678</v>
      </c>
      <c r="H229" s="14" t="s">
        <v>62</v>
      </c>
      <c r="I229" s="41" t="str">
        <f>Assumptions!$I$138</f>
        <v>B</v>
      </c>
      <c r="J229" s="14" t="str">
        <f>IF(D229&lt;=Assumptions!$V$138,"Low",IF(D229&lt;=Assumptions!$W$138,"Mid","High"))</f>
        <v>High</v>
      </c>
      <c r="K229" s="15">
        <f>Assumptions!$Q$138</f>
        <v>2613</v>
      </c>
      <c r="L229" s="42">
        <f>INDEX(Assumptions!$C$61:$C$90,D229)</f>
        <v>2959.7214285714285</v>
      </c>
      <c r="M229" s="43">
        <f>IF(D229&lt;=Assumptions!$G$138,Assumptions!$AK$138,IF(D229&lt;Assumptions!$AH$138,Assumptions!$AK$138+(Assumptions!$AL$138-Assumptions!$AK$138)*(D229-Assumptions!$G$138)/(Assumptions!$AH$138-Assumptions!$G$138),IF(D229&lt;Assumptions!$P$138,Assumptions!$AL$138+(Assumptions!$AM$138-Assumptions!$AL$138)*(D229-Assumptions!$AH$138)/(Assumptions!$P$138-Assumptions!$AH$138),Assumptions!$AM$138)))</f>
        <v>43750</v>
      </c>
      <c r="N229" s="44">
        <f t="shared" si="6"/>
        <v>64.528023598820056</v>
      </c>
      <c r="O229" s="45">
        <f t="shared" si="7"/>
        <v>3024</v>
      </c>
      <c r="P229" s="14" t="str">
        <f>IF(D229&gt;=Assumptions!$P$138,"High",IF(D229&gt;=Assumptions!$AH$138,"Mid",IF(D229&lt;=Assumptions!$G$138,"Low","Loading")))</f>
        <v>High</v>
      </c>
      <c r="Q229" s="46">
        <f>MAX(K229,MIN(Assumptions!$S$138,O229),Q230)</f>
        <v>3024</v>
      </c>
      <c r="R229" s="12">
        <f>IF(AND(Q229&lt;=K229,INDEX(Assumptions!$C$26:$C$36,MATCH(G229,Assumptions!$A$26:$A$36,0))&lt;&gt;""),INDEX(Assumptions!$C$26:$C$36,MATCH(G229,Assumptions!$A$26:$A$36,0)),ROUND(G229*Q229,-2))</f>
        <v>2050300</v>
      </c>
      <c r="S229" s="47" t="str">
        <f>TRIM(IF(AND(Assumptions!$L$138&lt;&gt;"",D229&lt;Assumptions!$L$138),"View blocked / roof in front ("&amp;Assumptions!$M$138&amp;"); view premium still loading until L"&amp;Assumptions!$L$138&amp;". ","")&amp;IF(D229=Assumptions!$AH$138,"Mid-floor view premium fully loaded. ","")&amp;IF(D229=Assumptions!$P$138,"High-floor view premium fully loaded. ","")&amp;IF(Q229&lt;=K229,"At developer starting price.",""))</f>
        <v/>
      </c>
      <c r="T229" s="48" t="str">
        <f>Assumptions!$AJ$138</f>
        <v>SSW. Unblocked direct view of landed estate &amp; nature reserve</v>
      </c>
    </row>
    <row r="230" spans="1:20" x14ac:dyDescent="0.2">
      <c r="A230" s="13" t="s">
        <v>357</v>
      </c>
      <c r="B230" s="14">
        <v>3</v>
      </c>
      <c r="C230" s="40">
        <v>12</v>
      </c>
      <c r="D230" s="40">
        <v>16</v>
      </c>
      <c r="E230" s="9" t="s">
        <v>43</v>
      </c>
      <c r="F230" s="14" t="s">
        <v>137</v>
      </c>
      <c r="G230" s="10">
        <v>678</v>
      </c>
      <c r="H230" s="14" t="s">
        <v>62</v>
      </c>
      <c r="I230" s="41" t="str">
        <f>Assumptions!$I$138</f>
        <v>B</v>
      </c>
      <c r="J230" s="14" t="str">
        <f>IF(D230&lt;=Assumptions!$V$138,"Low",IF(D230&lt;=Assumptions!$W$138,"Mid","High"))</f>
        <v>High</v>
      </c>
      <c r="K230" s="15">
        <f>Assumptions!$Q$138</f>
        <v>2613</v>
      </c>
      <c r="L230" s="42">
        <f>INDEX(Assumptions!$C$61:$C$90,D230)</f>
        <v>2936.9357142857143</v>
      </c>
      <c r="M230" s="43">
        <f>IF(D230&lt;=Assumptions!$G$138,Assumptions!$AK$138,IF(D230&lt;Assumptions!$AH$138,Assumptions!$AK$138+(Assumptions!$AL$138-Assumptions!$AK$138)*(D230-Assumptions!$G$138)/(Assumptions!$AH$138-Assumptions!$G$138),IF(D230&lt;Assumptions!$P$138,Assumptions!$AL$138+(Assumptions!$AM$138-Assumptions!$AL$138)*(D230-Assumptions!$AH$138)/(Assumptions!$P$138-Assumptions!$AH$138),Assumptions!$AM$138)))</f>
        <v>43750</v>
      </c>
      <c r="N230" s="44">
        <f t="shared" si="6"/>
        <v>64.528023598820056</v>
      </c>
      <c r="O230" s="45">
        <f t="shared" si="7"/>
        <v>3001</v>
      </c>
      <c r="P230" s="14" t="str">
        <f>IF(D230&gt;=Assumptions!$P$138,"High",IF(D230&gt;=Assumptions!$AH$138,"Mid",IF(D230&lt;=Assumptions!$G$138,"Low","Loading")))</f>
        <v>High</v>
      </c>
      <c r="Q230" s="46">
        <f>MAX(K230,MIN(Assumptions!$S$138,O230),Q231)</f>
        <v>3001</v>
      </c>
      <c r="R230" s="12">
        <f>IF(AND(Q230&lt;=K230,INDEX(Assumptions!$C$26:$C$36,MATCH(G230,Assumptions!$A$26:$A$36,0))&lt;&gt;""),INDEX(Assumptions!$C$26:$C$36,MATCH(G230,Assumptions!$A$26:$A$36,0)),ROUND(G230*Q230,-2))</f>
        <v>2034700</v>
      </c>
      <c r="S230" s="47" t="str">
        <f>TRIM(IF(AND(Assumptions!$L$138&lt;&gt;"",D230&lt;Assumptions!$L$138),"View blocked / roof in front ("&amp;Assumptions!$M$138&amp;"); view premium still loading until L"&amp;Assumptions!$L$138&amp;". ","")&amp;IF(D230=Assumptions!$AH$138,"Mid-floor view premium fully loaded. ","")&amp;IF(D230=Assumptions!$P$138,"High-floor view premium fully loaded. ","")&amp;IF(Q230&lt;=K230,"At developer starting price.",""))</f>
        <v>High-floor view premium fully loaded.</v>
      </c>
      <c r="T230" s="48" t="str">
        <f>Assumptions!$AJ$138</f>
        <v>SSW. Unblocked direct view of landed estate &amp; nature reserve</v>
      </c>
    </row>
    <row r="231" spans="1:20" x14ac:dyDescent="0.2">
      <c r="A231" s="13" t="s">
        <v>358</v>
      </c>
      <c r="B231" s="14">
        <v>3</v>
      </c>
      <c r="C231" s="40">
        <v>12</v>
      </c>
      <c r="D231" s="40">
        <v>15</v>
      </c>
      <c r="E231" s="9" t="s">
        <v>43</v>
      </c>
      <c r="F231" s="14" t="s">
        <v>137</v>
      </c>
      <c r="G231" s="10">
        <v>678</v>
      </c>
      <c r="H231" s="14" t="s">
        <v>62</v>
      </c>
      <c r="I231" s="41" t="str">
        <f>Assumptions!$I$138</f>
        <v>B</v>
      </c>
      <c r="J231" s="14" t="str">
        <f>IF(D231&lt;=Assumptions!$V$138,"Low",IF(D231&lt;=Assumptions!$W$138,"Mid","High"))</f>
        <v>Mid</v>
      </c>
      <c r="K231" s="15">
        <f>Assumptions!$Q$138</f>
        <v>2613</v>
      </c>
      <c r="L231" s="42">
        <f>INDEX(Assumptions!$C$61:$C$90,D231)</f>
        <v>2914.15</v>
      </c>
      <c r="M231" s="43">
        <f>IF(D231&lt;=Assumptions!$G$138,Assumptions!$AK$138,IF(D231&lt;Assumptions!$AH$138,Assumptions!$AK$138+(Assumptions!$AL$138-Assumptions!$AK$138)*(D231-Assumptions!$G$138)/(Assumptions!$AH$138-Assumptions!$G$138),IF(D231&lt;Assumptions!$P$138,Assumptions!$AL$138+(Assumptions!$AM$138-Assumptions!$AL$138)*(D231-Assumptions!$AH$138)/(Assumptions!$P$138-Assumptions!$AH$138),Assumptions!$AM$138)))</f>
        <v>44531.25</v>
      </c>
      <c r="N231" s="44">
        <f t="shared" si="6"/>
        <v>65.680309734513273</v>
      </c>
      <c r="O231" s="45">
        <f t="shared" si="7"/>
        <v>2980</v>
      </c>
      <c r="P231" s="14" t="str">
        <f>IF(D231&gt;=Assumptions!$P$138,"High",IF(D231&gt;=Assumptions!$AH$138,"Mid",IF(D231&lt;=Assumptions!$G$138,"Low","Loading")))</f>
        <v>Mid</v>
      </c>
      <c r="Q231" s="46">
        <f>MAX(K231,MIN(Assumptions!$S$138,O231),Q232)</f>
        <v>2980</v>
      </c>
      <c r="R231" s="12">
        <f>IF(AND(Q231&lt;=K231,INDEX(Assumptions!$C$26:$C$36,MATCH(G231,Assumptions!$A$26:$A$36,0))&lt;&gt;""),INDEX(Assumptions!$C$26:$C$36,MATCH(G231,Assumptions!$A$26:$A$36,0)),ROUND(G231*Q231,-2))</f>
        <v>2020400</v>
      </c>
      <c r="S231" s="47" t="str">
        <f>TRIM(IF(AND(Assumptions!$L$138&lt;&gt;"",D231&lt;Assumptions!$L$138),"View blocked / roof in front ("&amp;Assumptions!$M$138&amp;"); view premium still loading until L"&amp;Assumptions!$L$138&amp;". ","")&amp;IF(D231=Assumptions!$AH$138,"Mid-floor view premium fully loaded. ","")&amp;IF(D231=Assumptions!$P$138,"High-floor view premium fully loaded. ","")&amp;IF(Q231&lt;=K231,"At developer starting price.",""))</f>
        <v/>
      </c>
      <c r="T231" s="48" t="str">
        <f>Assumptions!$AJ$138</f>
        <v>SSW. Unblocked direct view of landed estate &amp; nature reserve</v>
      </c>
    </row>
    <row r="232" spans="1:20" x14ac:dyDescent="0.2">
      <c r="A232" s="13" t="s">
        <v>359</v>
      </c>
      <c r="B232" s="14">
        <v>3</v>
      </c>
      <c r="C232" s="40">
        <v>12</v>
      </c>
      <c r="D232" s="40">
        <v>14</v>
      </c>
      <c r="E232" s="9" t="s">
        <v>43</v>
      </c>
      <c r="F232" s="14" t="s">
        <v>137</v>
      </c>
      <c r="G232" s="10">
        <v>678</v>
      </c>
      <c r="H232" s="14" t="s">
        <v>62</v>
      </c>
      <c r="I232" s="41" t="str">
        <f>Assumptions!$I$138</f>
        <v>B</v>
      </c>
      <c r="J232" s="14" t="str">
        <f>IF(D232&lt;=Assumptions!$V$138,"Low",IF(D232&lt;=Assumptions!$W$138,"Mid","High"))</f>
        <v>Mid</v>
      </c>
      <c r="K232" s="15">
        <f>Assumptions!$Q$138</f>
        <v>2613</v>
      </c>
      <c r="L232" s="42">
        <f>INDEX(Assumptions!$C$61:$C$90,D232)</f>
        <v>2891.3642857142859</v>
      </c>
      <c r="M232" s="43">
        <f>IF(D232&lt;=Assumptions!$G$138,Assumptions!$AK$138,IF(D232&lt;Assumptions!$AH$138,Assumptions!$AK$138+(Assumptions!$AL$138-Assumptions!$AK$138)*(D232-Assumptions!$G$138)/(Assumptions!$AH$138-Assumptions!$G$138),IF(D232&lt;Assumptions!$P$138,Assumptions!$AL$138+(Assumptions!$AM$138-Assumptions!$AL$138)*(D232-Assumptions!$AH$138)/(Assumptions!$P$138-Assumptions!$AH$138),Assumptions!$AM$138)))</f>
        <v>45312.5</v>
      </c>
      <c r="N232" s="44">
        <f t="shared" si="6"/>
        <v>66.83259587020649</v>
      </c>
      <c r="O232" s="45">
        <f t="shared" si="7"/>
        <v>2958</v>
      </c>
      <c r="P232" s="14" t="str">
        <f>IF(D232&gt;=Assumptions!$P$138,"High",IF(D232&gt;=Assumptions!$AH$138,"Mid",IF(D232&lt;=Assumptions!$G$138,"Low","Loading")))</f>
        <v>Mid</v>
      </c>
      <c r="Q232" s="46">
        <f>MAX(K232,MIN(Assumptions!$S$138,O232),Q233)</f>
        <v>2958</v>
      </c>
      <c r="R232" s="12">
        <f>IF(AND(Q232&lt;=K232,INDEX(Assumptions!$C$26:$C$36,MATCH(G232,Assumptions!$A$26:$A$36,0))&lt;&gt;""),INDEX(Assumptions!$C$26:$C$36,MATCH(G232,Assumptions!$A$26:$A$36,0)),ROUND(G232*Q232,-2))</f>
        <v>2005500</v>
      </c>
      <c r="S232" s="47" t="str">
        <f>TRIM(IF(AND(Assumptions!$L$138&lt;&gt;"",D232&lt;Assumptions!$L$138),"View blocked / roof in front ("&amp;Assumptions!$M$138&amp;"); view premium still loading until L"&amp;Assumptions!$L$138&amp;". ","")&amp;IF(D232=Assumptions!$AH$138,"Mid-floor view premium fully loaded. ","")&amp;IF(D232=Assumptions!$P$138,"High-floor view premium fully loaded. ","")&amp;IF(Q232&lt;=K232,"At developer starting price.",""))</f>
        <v/>
      </c>
      <c r="T232" s="48" t="str">
        <f>Assumptions!$AJ$138</f>
        <v>SSW. Unblocked direct view of landed estate &amp; nature reserve</v>
      </c>
    </row>
    <row r="233" spans="1:20" x14ac:dyDescent="0.2">
      <c r="A233" s="13" t="s">
        <v>360</v>
      </c>
      <c r="B233" s="14">
        <v>3</v>
      </c>
      <c r="C233" s="40">
        <v>12</v>
      </c>
      <c r="D233" s="40">
        <v>13</v>
      </c>
      <c r="E233" s="9" t="s">
        <v>43</v>
      </c>
      <c r="F233" s="14" t="s">
        <v>137</v>
      </c>
      <c r="G233" s="10">
        <v>678</v>
      </c>
      <c r="H233" s="14" t="s">
        <v>62</v>
      </c>
      <c r="I233" s="41" t="str">
        <f>Assumptions!$I$138</f>
        <v>B</v>
      </c>
      <c r="J233" s="14" t="str">
        <f>IF(D233&lt;=Assumptions!$V$138,"Low",IF(D233&lt;=Assumptions!$W$138,"Mid","High"))</f>
        <v>Mid</v>
      </c>
      <c r="K233" s="15">
        <f>Assumptions!$Q$138</f>
        <v>2613</v>
      </c>
      <c r="L233" s="42">
        <f>INDEX(Assumptions!$C$61:$C$90,D233)</f>
        <v>2868.5785714285716</v>
      </c>
      <c r="M233" s="43">
        <f>IF(D233&lt;=Assumptions!$G$138,Assumptions!$AK$138,IF(D233&lt;Assumptions!$AH$138,Assumptions!$AK$138+(Assumptions!$AL$138-Assumptions!$AK$138)*(D233-Assumptions!$G$138)/(Assumptions!$AH$138-Assumptions!$G$138),IF(D233&lt;Assumptions!$P$138,Assumptions!$AL$138+(Assumptions!$AM$138-Assumptions!$AL$138)*(D233-Assumptions!$AH$138)/(Assumptions!$P$138-Assumptions!$AH$138),Assumptions!$AM$138)))</f>
        <v>46093.75</v>
      </c>
      <c r="N233" s="44">
        <f t="shared" si="6"/>
        <v>67.984882005899706</v>
      </c>
      <c r="O233" s="45">
        <f t="shared" si="7"/>
        <v>2937</v>
      </c>
      <c r="P233" s="14" t="str">
        <f>IF(D233&gt;=Assumptions!$P$138,"High",IF(D233&gt;=Assumptions!$AH$138,"Mid",IF(D233&lt;=Assumptions!$G$138,"Low","Loading")))</f>
        <v>Mid</v>
      </c>
      <c r="Q233" s="46">
        <f>MAX(K233,MIN(Assumptions!$S$138,O233),Q234)</f>
        <v>2937</v>
      </c>
      <c r="R233" s="12">
        <f>IF(AND(Q233&lt;=K233,INDEX(Assumptions!$C$26:$C$36,MATCH(G233,Assumptions!$A$26:$A$36,0))&lt;&gt;""),INDEX(Assumptions!$C$26:$C$36,MATCH(G233,Assumptions!$A$26:$A$36,0)),ROUND(G233*Q233,-2))</f>
        <v>1991300</v>
      </c>
      <c r="S233" s="47" t="str">
        <f>TRIM(IF(AND(Assumptions!$L$138&lt;&gt;"",D233&lt;Assumptions!$L$138),"View blocked / roof in front ("&amp;Assumptions!$M$138&amp;"); view premium still loading until L"&amp;Assumptions!$L$138&amp;". ","")&amp;IF(D233=Assumptions!$AH$138,"Mid-floor view premium fully loaded. ","")&amp;IF(D233=Assumptions!$P$138,"High-floor view premium fully loaded. ","")&amp;IF(Q233&lt;=K233,"At developer starting price.",""))</f>
        <v/>
      </c>
      <c r="T233" s="48" t="str">
        <f>Assumptions!$AJ$138</f>
        <v>SSW. Unblocked direct view of landed estate &amp; nature reserve</v>
      </c>
    </row>
    <row r="234" spans="1:20" x14ac:dyDescent="0.2">
      <c r="A234" s="13" t="s">
        <v>361</v>
      </c>
      <c r="B234" s="14">
        <v>3</v>
      </c>
      <c r="C234" s="40">
        <v>12</v>
      </c>
      <c r="D234" s="40">
        <v>12</v>
      </c>
      <c r="E234" s="9" t="s">
        <v>43</v>
      </c>
      <c r="F234" s="14" t="s">
        <v>137</v>
      </c>
      <c r="G234" s="10">
        <v>678</v>
      </c>
      <c r="H234" s="14" t="s">
        <v>62</v>
      </c>
      <c r="I234" s="41" t="str">
        <f>Assumptions!$I$138</f>
        <v>B</v>
      </c>
      <c r="J234" s="14" t="str">
        <f>IF(D234&lt;=Assumptions!$V$138,"Low",IF(D234&lt;=Assumptions!$W$138,"Mid","High"))</f>
        <v>Mid</v>
      </c>
      <c r="K234" s="15">
        <f>Assumptions!$Q$138</f>
        <v>2613</v>
      </c>
      <c r="L234" s="42">
        <f>INDEX(Assumptions!$C$61:$C$90,D234)</f>
        <v>2845.7928571428574</v>
      </c>
      <c r="M234" s="43">
        <f>IF(D234&lt;=Assumptions!$G$138,Assumptions!$AK$138,IF(D234&lt;Assumptions!$AH$138,Assumptions!$AK$138+(Assumptions!$AL$138-Assumptions!$AK$138)*(D234-Assumptions!$G$138)/(Assumptions!$AH$138-Assumptions!$G$138),IF(D234&lt;Assumptions!$P$138,Assumptions!$AL$138+(Assumptions!$AM$138-Assumptions!$AL$138)*(D234-Assumptions!$AH$138)/(Assumptions!$P$138-Assumptions!$AH$138),Assumptions!$AM$138)))</f>
        <v>46875</v>
      </c>
      <c r="N234" s="44">
        <f t="shared" si="6"/>
        <v>69.137168141592923</v>
      </c>
      <c r="O234" s="45">
        <f t="shared" si="7"/>
        <v>2915</v>
      </c>
      <c r="P234" s="14" t="str">
        <f>IF(D234&gt;=Assumptions!$P$138,"High",IF(D234&gt;=Assumptions!$AH$138,"Mid",IF(D234&lt;=Assumptions!$G$138,"Low","Loading")))</f>
        <v>Mid</v>
      </c>
      <c r="Q234" s="46">
        <f>MAX(K234,MIN(Assumptions!$S$138,O234),Q235)</f>
        <v>2915</v>
      </c>
      <c r="R234" s="12">
        <f>IF(AND(Q234&lt;=K234,INDEX(Assumptions!$C$26:$C$36,MATCH(G234,Assumptions!$A$26:$A$36,0))&lt;&gt;""),INDEX(Assumptions!$C$26:$C$36,MATCH(G234,Assumptions!$A$26:$A$36,0)),ROUND(G234*Q234,-2))</f>
        <v>1976400</v>
      </c>
      <c r="S234" s="47" t="str">
        <f>TRIM(IF(AND(Assumptions!$L$138&lt;&gt;"",D234&lt;Assumptions!$L$138),"View blocked / roof in front ("&amp;Assumptions!$M$138&amp;"); view premium still loading until L"&amp;Assumptions!$L$138&amp;". ","")&amp;IF(D234=Assumptions!$AH$138,"Mid-floor view premium fully loaded. ","")&amp;IF(D234=Assumptions!$P$138,"High-floor view premium fully loaded. ","")&amp;IF(Q234&lt;=K234,"At developer starting price.",""))</f>
        <v/>
      </c>
      <c r="T234" s="48" t="str">
        <f>Assumptions!$AJ$138</f>
        <v>SSW. Unblocked direct view of landed estate &amp; nature reserve</v>
      </c>
    </row>
    <row r="235" spans="1:20" x14ac:dyDescent="0.2">
      <c r="A235" s="13" t="s">
        <v>362</v>
      </c>
      <c r="B235" s="14">
        <v>3</v>
      </c>
      <c r="C235" s="40">
        <v>12</v>
      </c>
      <c r="D235" s="40">
        <v>11</v>
      </c>
      <c r="E235" s="9" t="s">
        <v>43</v>
      </c>
      <c r="F235" s="14" t="s">
        <v>137</v>
      </c>
      <c r="G235" s="10">
        <v>678</v>
      </c>
      <c r="H235" s="14" t="s">
        <v>62</v>
      </c>
      <c r="I235" s="41" t="str">
        <f>Assumptions!$I$138</f>
        <v>B</v>
      </c>
      <c r="J235" s="14" t="str">
        <f>IF(D235&lt;=Assumptions!$V$138,"Low",IF(D235&lt;=Assumptions!$W$138,"Mid","High"))</f>
        <v>Mid</v>
      </c>
      <c r="K235" s="15">
        <f>Assumptions!$Q$138</f>
        <v>2613</v>
      </c>
      <c r="L235" s="42">
        <f>INDEX(Assumptions!$C$61:$C$90,D235)</f>
        <v>2826.6287532991773</v>
      </c>
      <c r="M235" s="43">
        <f>IF(D235&lt;=Assumptions!$G$138,Assumptions!$AK$138,IF(D235&lt;Assumptions!$AH$138,Assumptions!$AK$138+(Assumptions!$AL$138-Assumptions!$AK$138)*(D235-Assumptions!$G$138)/(Assumptions!$AH$138-Assumptions!$G$138),IF(D235&lt;Assumptions!$P$138,Assumptions!$AL$138+(Assumptions!$AM$138-Assumptions!$AL$138)*(D235-Assumptions!$AH$138)/(Assumptions!$P$138-Assumptions!$AH$138),Assumptions!$AM$138)))</f>
        <v>47656.25</v>
      </c>
      <c r="N235" s="44">
        <f t="shared" si="6"/>
        <v>70.28945427728614</v>
      </c>
      <c r="O235" s="45">
        <f t="shared" si="7"/>
        <v>2897</v>
      </c>
      <c r="P235" s="14" t="str">
        <f>IF(D235&gt;=Assumptions!$P$138,"High",IF(D235&gt;=Assumptions!$AH$138,"Mid",IF(D235&lt;=Assumptions!$G$138,"Low","Loading")))</f>
        <v>Mid</v>
      </c>
      <c r="Q235" s="46">
        <f>MAX(K235,MIN(Assumptions!$S$138,O235),Q236)</f>
        <v>2897</v>
      </c>
      <c r="R235" s="12">
        <f>IF(AND(Q235&lt;=K235,INDEX(Assumptions!$C$26:$C$36,MATCH(G235,Assumptions!$A$26:$A$36,0))&lt;&gt;""),INDEX(Assumptions!$C$26:$C$36,MATCH(G235,Assumptions!$A$26:$A$36,0)),ROUND(G235*Q235,-2))</f>
        <v>1964200</v>
      </c>
      <c r="S235" s="47" t="str">
        <f>TRIM(IF(AND(Assumptions!$L$138&lt;&gt;"",D235&lt;Assumptions!$L$138),"View blocked / roof in front ("&amp;Assumptions!$M$138&amp;"); view premium still loading until L"&amp;Assumptions!$L$138&amp;". ","")&amp;IF(D235=Assumptions!$AH$138,"Mid-floor view premium fully loaded. ","")&amp;IF(D235=Assumptions!$P$138,"High-floor view premium fully loaded. ","")&amp;IF(Q235&lt;=K235,"At developer starting price.",""))</f>
        <v/>
      </c>
      <c r="T235" s="48" t="str">
        <f>Assumptions!$AJ$138</f>
        <v>SSW. Unblocked direct view of landed estate &amp; nature reserve</v>
      </c>
    </row>
    <row r="236" spans="1:20" x14ac:dyDescent="0.2">
      <c r="A236" s="13" t="s">
        <v>363</v>
      </c>
      <c r="B236" s="14">
        <v>3</v>
      </c>
      <c r="C236" s="40">
        <v>12</v>
      </c>
      <c r="D236" s="40">
        <v>10</v>
      </c>
      <c r="E236" s="9" t="s">
        <v>43</v>
      </c>
      <c r="F236" s="14" t="s">
        <v>137</v>
      </c>
      <c r="G236" s="10">
        <v>678</v>
      </c>
      <c r="H236" s="14" t="s">
        <v>62</v>
      </c>
      <c r="I236" s="41" t="str">
        <f>Assumptions!$I$138</f>
        <v>B</v>
      </c>
      <c r="J236" s="14" t="str">
        <f>IF(D236&lt;=Assumptions!$V$138,"Low",IF(D236&lt;=Assumptions!$W$138,"Mid","High"))</f>
        <v>Mid</v>
      </c>
      <c r="K236" s="15">
        <f>Assumptions!$Q$138</f>
        <v>2613</v>
      </c>
      <c r="L236" s="42">
        <f>INDEX(Assumptions!$C$61:$C$90,D236)</f>
        <v>2811.0862598975314</v>
      </c>
      <c r="M236" s="43">
        <f>IF(D236&lt;=Assumptions!$G$138,Assumptions!$AK$138,IF(D236&lt;Assumptions!$AH$138,Assumptions!$AK$138+(Assumptions!$AL$138-Assumptions!$AK$138)*(D236-Assumptions!$G$138)/(Assumptions!$AH$138-Assumptions!$G$138),IF(D236&lt;Assumptions!$P$138,Assumptions!$AL$138+(Assumptions!$AM$138-Assumptions!$AL$138)*(D236-Assumptions!$AH$138)/(Assumptions!$P$138-Assumptions!$AH$138),Assumptions!$AM$138)))</f>
        <v>48437.5</v>
      </c>
      <c r="N236" s="44">
        <f t="shared" si="6"/>
        <v>71.441740412979357</v>
      </c>
      <c r="O236" s="45">
        <f t="shared" si="7"/>
        <v>2883</v>
      </c>
      <c r="P236" s="14" t="str">
        <f>IF(D236&gt;=Assumptions!$P$138,"High",IF(D236&gt;=Assumptions!$AH$138,"Mid",IF(D236&lt;=Assumptions!$G$138,"Low","Loading")))</f>
        <v>Mid</v>
      </c>
      <c r="Q236" s="46">
        <f>MAX(K236,MIN(Assumptions!$S$138,O236),Q237)</f>
        <v>2883</v>
      </c>
      <c r="R236" s="12">
        <f>IF(AND(Q236&lt;=K236,INDEX(Assumptions!$C$26:$C$36,MATCH(G236,Assumptions!$A$26:$A$36,0))&lt;&gt;""),INDEX(Assumptions!$C$26:$C$36,MATCH(G236,Assumptions!$A$26:$A$36,0)),ROUND(G236*Q236,-2))</f>
        <v>1954700</v>
      </c>
      <c r="S236" s="47" t="str">
        <f>TRIM(IF(AND(Assumptions!$L$138&lt;&gt;"",D236&lt;Assumptions!$L$138),"View blocked / roof in front ("&amp;Assumptions!$M$138&amp;"); view premium still loading until L"&amp;Assumptions!$L$138&amp;". ","")&amp;IF(D236=Assumptions!$AH$138,"Mid-floor view premium fully loaded. ","")&amp;IF(D236=Assumptions!$P$138,"High-floor view premium fully loaded. ","")&amp;IF(Q236&lt;=K236,"At developer starting price.",""))</f>
        <v/>
      </c>
      <c r="T236" s="48" t="str">
        <f>Assumptions!$AJ$138</f>
        <v>SSW. Unblocked direct view of landed estate &amp; nature reserve</v>
      </c>
    </row>
    <row r="237" spans="1:20" x14ac:dyDescent="0.2">
      <c r="A237" s="13" t="s">
        <v>364</v>
      </c>
      <c r="B237" s="14">
        <v>3</v>
      </c>
      <c r="C237" s="40">
        <v>12</v>
      </c>
      <c r="D237" s="40">
        <v>9</v>
      </c>
      <c r="E237" s="9" t="s">
        <v>43</v>
      </c>
      <c r="F237" s="14" t="s">
        <v>137</v>
      </c>
      <c r="G237" s="10">
        <v>678</v>
      </c>
      <c r="H237" s="14" t="s">
        <v>62</v>
      </c>
      <c r="I237" s="41" t="str">
        <f>Assumptions!$I$138</f>
        <v>B</v>
      </c>
      <c r="J237" s="14" t="str">
        <f>IF(D237&lt;=Assumptions!$V$138,"Low",IF(D237&lt;=Assumptions!$W$138,"Mid","High"))</f>
        <v>Mid</v>
      </c>
      <c r="K237" s="15">
        <f>Assumptions!$Q$138</f>
        <v>2613</v>
      </c>
      <c r="L237" s="42">
        <f>INDEX(Assumptions!$C$61:$C$90,D237)</f>
        <v>2795.5437664958858</v>
      </c>
      <c r="M237" s="43">
        <f>IF(D237&lt;=Assumptions!$G$138,Assumptions!$AK$138,IF(D237&lt;Assumptions!$AH$138,Assumptions!$AK$138+(Assumptions!$AL$138-Assumptions!$AK$138)*(D237-Assumptions!$G$138)/(Assumptions!$AH$138-Assumptions!$G$138),IF(D237&lt;Assumptions!$P$138,Assumptions!$AL$138+(Assumptions!$AM$138-Assumptions!$AL$138)*(D237-Assumptions!$AH$138)/(Assumptions!$P$138-Assumptions!$AH$138),Assumptions!$AM$138)))</f>
        <v>49218.75</v>
      </c>
      <c r="N237" s="44">
        <f t="shared" si="6"/>
        <v>72.594026548672559</v>
      </c>
      <c r="O237" s="45">
        <f t="shared" si="7"/>
        <v>2868</v>
      </c>
      <c r="P237" s="14" t="str">
        <f>IF(D237&gt;=Assumptions!$P$138,"High",IF(D237&gt;=Assumptions!$AH$138,"Mid",IF(D237&lt;=Assumptions!$G$138,"Low","Loading")))</f>
        <v>Mid</v>
      </c>
      <c r="Q237" s="46">
        <f>MAX(K237,MIN(Assumptions!$S$138,O237),Q238)</f>
        <v>2868</v>
      </c>
      <c r="R237" s="12">
        <f>IF(AND(Q237&lt;=K237,INDEX(Assumptions!$C$26:$C$36,MATCH(G237,Assumptions!$A$26:$A$36,0))&lt;&gt;""),INDEX(Assumptions!$C$26:$C$36,MATCH(G237,Assumptions!$A$26:$A$36,0)),ROUND(G237*Q237,-2))</f>
        <v>1944500</v>
      </c>
      <c r="S237" s="47" t="str">
        <f>TRIM(IF(AND(Assumptions!$L$138&lt;&gt;"",D237&lt;Assumptions!$L$138),"View blocked / roof in front ("&amp;Assumptions!$M$138&amp;"); view premium still loading until L"&amp;Assumptions!$L$138&amp;". ","")&amp;IF(D237=Assumptions!$AH$138,"Mid-floor view premium fully loaded. ","")&amp;IF(D237=Assumptions!$P$138,"High-floor view premium fully loaded. ","")&amp;IF(Q237&lt;=K237,"At developer starting price.",""))</f>
        <v/>
      </c>
      <c r="T237" s="48" t="str">
        <f>Assumptions!$AJ$138</f>
        <v>SSW. Unblocked direct view of landed estate &amp; nature reserve</v>
      </c>
    </row>
    <row r="238" spans="1:20" x14ac:dyDescent="0.2">
      <c r="A238" s="13" t="s">
        <v>365</v>
      </c>
      <c r="B238" s="14">
        <v>3</v>
      </c>
      <c r="C238" s="40">
        <v>12</v>
      </c>
      <c r="D238" s="40">
        <v>8</v>
      </c>
      <c r="E238" s="9" t="s">
        <v>43</v>
      </c>
      <c r="F238" s="14" t="s">
        <v>137</v>
      </c>
      <c r="G238" s="10">
        <v>678</v>
      </c>
      <c r="H238" s="14" t="s">
        <v>62</v>
      </c>
      <c r="I238" s="41" t="str">
        <f>Assumptions!$I$138</f>
        <v>B</v>
      </c>
      <c r="J238" s="14" t="str">
        <f>IF(D238&lt;=Assumptions!$V$138,"Low",IF(D238&lt;=Assumptions!$W$138,"Mid","High"))</f>
        <v>Mid</v>
      </c>
      <c r="K238" s="15">
        <f>Assumptions!$Q$138</f>
        <v>2613</v>
      </c>
      <c r="L238" s="42">
        <f>INDEX(Assumptions!$C$61:$C$90,D238)</f>
        <v>2780.0012730942403</v>
      </c>
      <c r="M238" s="43">
        <f>IF(D238&lt;=Assumptions!$G$138,Assumptions!$AK$138,IF(D238&lt;Assumptions!$AH$138,Assumptions!$AK$138+(Assumptions!$AL$138-Assumptions!$AK$138)*(D238-Assumptions!$G$138)/(Assumptions!$AH$138-Assumptions!$G$138),IF(D238&lt;Assumptions!$P$138,Assumptions!$AL$138+(Assumptions!$AM$138-Assumptions!$AL$138)*(D238-Assumptions!$AH$138)/(Assumptions!$P$138-Assumptions!$AH$138),Assumptions!$AM$138)))</f>
        <v>50000</v>
      </c>
      <c r="N238" s="44">
        <f t="shared" si="6"/>
        <v>73.746312684365776</v>
      </c>
      <c r="O238" s="45">
        <f t="shared" si="7"/>
        <v>2854</v>
      </c>
      <c r="P238" s="14" t="str">
        <f>IF(D238&gt;=Assumptions!$P$138,"High",IF(D238&gt;=Assumptions!$AH$138,"Mid",IF(D238&lt;=Assumptions!$G$138,"Low","Loading")))</f>
        <v>Mid</v>
      </c>
      <c r="Q238" s="46">
        <f>MAX(K238,MIN(Assumptions!$S$138,O238),Q239)</f>
        <v>2854</v>
      </c>
      <c r="R238" s="12">
        <f>IF(AND(Q238&lt;=K238,INDEX(Assumptions!$C$26:$C$36,MATCH(G238,Assumptions!$A$26:$A$36,0))&lt;&gt;""),INDEX(Assumptions!$C$26:$C$36,MATCH(G238,Assumptions!$A$26:$A$36,0)),ROUND(G238*Q238,-2))</f>
        <v>1935000</v>
      </c>
      <c r="S238" s="47" t="str">
        <f>TRIM(IF(AND(Assumptions!$L$138&lt;&gt;"",D238&lt;Assumptions!$L$138),"View blocked / roof in front ("&amp;Assumptions!$M$138&amp;"); view premium still loading until L"&amp;Assumptions!$L$138&amp;". ","")&amp;IF(D238=Assumptions!$AH$138,"Mid-floor view premium fully loaded. ","")&amp;IF(D238=Assumptions!$P$138,"High-floor view premium fully loaded. ","")&amp;IF(Q238&lt;=K238,"At developer starting price.",""))</f>
        <v>Mid-floor view premium fully loaded.</v>
      </c>
      <c r="T238" s="48" t="str">
        <f>Assumptions!$AJ$138</f>
        <v>SSW. Unblocked direct view of landed estate &amp; nature reserve</v>
      </c>
    </row>
    <row r="239" spans="1:20" x14ac:dyDescent="0.2">
      <c r="A239" s="13" t="s">
        <v>366</v>
      </c>
      <c r="B239" s="14">
        <v>3</v>
      </c>
      <c r="C239" s="40">
        <v>12</v>
      </c>
      <c r="D239" s="40">
        <v>7</v>
      </c>
      <c r="E239" s="9" t="s">
        <v>43</v>
      </c>
      <c r="F239" s="14" t="s">
        <v>137</v>
      </c>
      <c r="G239" s="10">
        <v>678</v>
      </c>
      <c r="H239" s="14" t="s">
        <v>62</v>
      </c>
      <c r="I239" s="41" t="str">
        <f>Assumptions!$I$138</f>
        <v>B</v>
      </c>
      <c r="J239" s="14" t="str">
        <f>IF(D239&lt;=Assumptions!$V$138,"Low",IF(D239&lt;=Assumptions!$W$138,"Mid","High"))</f>
        <v>Low</v>
      </c>
      <c r="K239" s="15">
        <f>Assumptions!$Q$138</f>
        <v>2613</v>
      </c>
      <c r="L239" s="42">
        <f>INDEX(Assumptions!$C$61:$C$90,D239)</f>
        <v>2764.4587796925944</v>
      </c>
      <c r="M239" s="43">
        <f>IF(D239&lt;=Assumptions!$G$138,Assumptions!$AK$138,IF(D239&lt;Assumptions!$AH$138,Assumptions!$AK$138+(Assumptions!$AL$138-Assumptions!$AK$138)*(D239-Assumptions!$G$138)/(Assumptions!$AH$138-Assumptions!$G$138),IF(D239&lt;Assumptions!$P$138,Assumptions!$AL$138+(Assumptions!$AM$138-Assumptions!$AL$138)*(D239-Assumptions!$AH$138)/(Assumptions!$P$138-Assumptions!$AH$138),Assumptions!$AM$138)))</f>
        <v>50000</v>
      </c>
      <c r="N239" s="44">
        <f t="shared" si="6"/>
        <v>73.746312684365776</v>
      </c>
      <c r="O239" s="45">
        <f t="shared" si="7"/>
        <v>2838</v>
      </c>
      <c r="P239" s="14" t="str">
        <f>IF(D239&gt;=Assumptions!$P$138,"High",IF(D239&gt;=Assumptions!$AH$138,"Mid",IF(D239&lt;=Assumptions!$G$138,"Low","Loading")))</f>
        <v>Loading</v>
      </c>
      <c r="Q239" s="46">
        <f>MAX(K239,MIN(Assumptions!$S$138,O239),Q240)</f>
        <v>2838</v>
      </c>
      <c r="R239" s="12">
        <f>IF(AND(Q239&lt;=K239,INDEX(Assumptions!$C$26:$C$36,MATCH(G239,Assumptions!$A$26:$A$36,0))&lt;&gt;""),INDEX(Assumptions!$C$26:$C$36,MATCH(G239,Assumptions!$A$26:$A$36,0)),ROUND(G239*Q239,-2))</f>
        <v>1924200</v>
      </c>
      <c r="S239" s="47" t="str">
        <f>TRIM(IF(AND(Assumptions!$L$138&lt;&gt;"",D239&lt;Assumptions!$L$138),"View blocked / roof in front ("&amp;Assumptions!$M$138&amp;"); view premium still loading until L"&amp;Assumptions!$L$138&amp;". ","")&amp;IF(D239=Assumptions!$AH$138,"Mid-floor view premium fully loaded. ","")&amp;IF(D239=Assumptions!$P$138,"High-floor view premium fully loaded. ","")&amp;IF(Q239&lt;=K239,"At developer starting price.",""))</f>
        <v/>
      </c>
      <c r="T239" s="48" t="str">
        <f>Assumptions!$AJ$138</f>
        <v>SSW. Unblocked direct view of landed estate &amp; nature reserve</v>
      </c>
    </row>
    <row r="240" spans="1:20" x14ac:dyDescent="0.2">
      <c r="A240" s="13" t="s">
        <v>367</v>
      </c>
      <c r="B240" s="14">
        <v>3</v>
      </c>
      <c r="C240" s="40">
        <v>12</v>
      </c>
      <c r="D240" s="40">
        <v>6</v>
      </c>
      <c r="E240" s="9" t="s">
        <v>43</v>
      </c>
      <c r="F240" s="14" t="s">
        <v>137</v>
      </c>
      <c r="G240" s="10">
        <v>678</v>
      </c>
      <c r="H240" s="14" t="s">
        <v>62</v>
      </c>
      <c r="I240" s="41" t="str">
        <f>Assumptions!$I$138</f>
        <v>B</v>
      </c>
      <c r="J240" s="14" t="str">
        <f>IF(D240&lt;=Assumptions!$V$138,"Low",IF(D240&lt;=Assumptions!$W$138,"Mid","High"))</f>
        <v>Low</v>
      </c>
      <c r="K240" s="15">
        <f>Assumptions!$Q$138</f>
        <v>2613</v>
      </c>
      <c r="L240" s="42">
        <f>INDEX(Assumptions!$C$61:$C$90,D240)</f>
        <v>2748.9162862909488</v>
      </c>
      <c r="M240" s="43">
        <f>IF(D240&lt;=Assumptions!$G$138,Assumptions!$AK$138,IF(D240&lt;Assumptions!$AH$138,Assumptions!$AK$138+(Assumptions!$AL$138-Assumptions!$AK$138)*(D240-Assumptions!$G$138)/(Assumptions!$AH$138-Assumptions!$G$138),IF(D240&lt;Assumptions!$P$138,Assumptions!$AL$138+(Assumptions!$AM$138-Assumptions!$AL$138)*(D240-Assumptions!$AH$138)/(Assumptions!$P$138-Assumptions!$AH$138),Assumptions!$AM$138)))</f>
        <v>50000</v>
      </c>
      <c r="N240" s="44">
        <f t="shared" si="6"/>
        <v>73.746312684365776</v>
      </c>
      <c r="O240" s="45">
        <f t="shared" si="7"/>
        <v>2823</v>
      </c>
      <c r="P240" s="14" t="str">
        <f>IF(D240&gt;=Assumptions!$P$138,"High",IF(D240&gt;=Assumptions!$AH$138,"Mid",IF(D240&lt;=Assumptions!$G$138,"Low","Loading")))</f>
        <v>Loading</v>
      </c>
      <c r="Q240" s="46">
        <f>MAX(K240,MIN(Assumptions!$S$138,O240),Q241)</f>
        <v>2823</v>
      </c>
      <c r="R240" s="12">
        <f>IF(AND(Q240&lt;=K240,INDEX(Assumptions!$C$26:$C$36,MATCH(G240,Assumptions!$A$26:$A$36,0))&lt;&gt;""),INDEX(Assumptions!$C$26:$C$36,MATCH(G240,Assumptions!$A$26:$A$36,0)),ROUND(G240*Q240,-2))</f>
        <v>1914000</v>
      </c>
      <c r="S240" s="47" t="str">
        <f>TRIM(IF(AND(Assumptions!$L$138&lt;&gt;"",D240&lt;Assumptions!$L$138),"View blocked / roof in front ("&amp;Assumptions!$M$138&amp;"); view premium still loading until L"&amp;Assumptions!$L$138&amp;". ","")&amp;IF(D240=Assumptions!$AH$138,"Mid-floor view premium fully loaded. ","")&amp;IF(D240=Assumptions!$P$138,"High-floor view premium fully loaded. ","")&amp;IF(Q240&lt;=K240,"At developer starting price.",""))</f>
        <v/>
      </c>
      <c r="T240" s="48" t="str">
        <f>Assumptions!$AJ$138</f>
        <v>SSW. Unblocked direct view of landed estate &amp; nature reserve</v>
      </c>
    </row>
    <row r="241" spans="1:20" x14ac:dyDescent="0.2">
      <c r="A241" s="13" t="s">
        <v>368</v>
      </c>
      <c r="B241" s="14">
        <v>3</v>
      </c>
      <c r="C241" s="40">
        <v>12</v>
      </c>
      <c r="D241" s="40">
        <v>5</v>
      </c>
      <c r="E241" s="9" t="s">
        <v>43</v>
      </c>
      <c r="F241" s="14" t="s">
        <v>137</v>
      </c>
      <c r="G241" s="10">
        <v>678</v>
      </c>
      <c r="H241" s="14" t="s">
        <v>62</v>
      </c>
      <c r="I241" s="41" t="str">
        <f>Assumptions!$I$138</f>
        <v>B</v>
      </c>
      <c r="J241" s="14" t="str">
        <f>IF(D241&lt;=Assumptions!$V$138,"Low",IF(D241&lt;=Assumptions!$W$138,"Mid","High"))</f>
        <v>Low</v>
      </c>
      <c r="K241" s="15">
        <f>Assumptions!$Q$138</f>
        <v>2613</v>
      </c>
      <c r="L241" s="42">
        <f>INDEX(Assumptions!$C$61:$C$90,D241)</f>
        <v>2733.3737928893029</v>
      </c>
      <c r="M241" s="43">
        <f>IF(D241&lt;=Assumptions!$G$138,Assumptions!$AK$138,IF(D241&lt;Assumptions!$AH$138,Assumptions!$AK$138+(Assumptions!$AL$138-Assumptions!$AK$138)*(D241-Assumptions!$G$138)/(Assumptions!$AH$138-Assumptions!$G$138),IF(D241&lt;Assumptions!$P$138,Assumptions!$AL$138+(Assumptions!$AM$138-Assumptions!$AL$138)*(D241-Assumptions!$AH$138)/(Assumptions!$P$138-Assumptions!$AH$138),Assumptions!$AM$138)))</f>
        <v>50000</v>
      </c>
      <c r="N241" s="44">
        <f t="shared" si="6"/>
        <v>73.746312684365776</v>
      </c>
      <c r="O241" s="45">
        <f t="shared" si="7"/>
        <v>2807</v>
      </c>
      <c r="P241" s="14" t="str">
        <f>IF(D241&gt;=Assumptions!$P$138,"High",IF(D241&gt;=Assumptions!$AH$138,"Mid",IF(D241&lt;=Assumptions!$G$138,"Low","Loading")))</f>
        <v>Loading</v>
      </c>
      <c r="Q241" s="46">
        <f>MAX(K241,MIN(Assumptions!$S$138,O241),Q242)</f>
        <v>2807</v>
      </c>
      <c r="R241" s="12">
        <f>IF(AND(Q241&lt;=K241,INDEX(Assumptions!$C$26:$C$36,MATCH(G241,Assumptions!$A$26:$A$36,0))&lt;&gt;""),INDEX(Assumptions!$C$26:$C$36,MATCH(G241,Assumptions!$A$26:$A$36,0)),ROUND(G241*Q241,-2))</f>
        <v>1903100</v>
      </c>
      <c r="S241" s="47" t="str">
        <f>TRIM(IF(AND(Assumptions!$L$138&lt;&gt;"",D241&lt;Assumptions!$L$138),"View blocked / roof in front ("&amp;Assumptions!$M$138&amp;"); view premium still loading until L"&amp;Assumptions!$L$138&amp;". ","")&amp;IF(D241=Assumptions!$AH$138,"Mid-floor view premium fully loaded. ","")&amp;IF(D241=Assumptions!$P$138,"High-floor view premium fully loaded. ","")&amp;IF(Q241&lt;=K241,"At developer starting price.",""))</f>
        <v/>
      </c>
      <c r="T241" s="48" t="str">
        <f>Assumptions!$AJ$138</f>
        <v>SSW. Unblocked direct view of landed estate &amp; nature reserve</v>
      </c>
    </row>
    <row r="242" spans="1:20" x14ac:dyDescent="0.2">
      <c r="A242" s="13" t="s">
        <v>369</v>
      </c>
      <c r="B242" s="14">
        <v>3</v>
      </c>
      <c r="C242" s="40">
        <v>12</v>
      </c>
      <c r="D242" s="40">
        <v>4</v>
      </c>
      <c r="E242" s="9" t="s">
        <v>43</v>
      </c>
      <c r="F242" s="14" t="s">
        <v>137</v>
      </c>
      <c r="G242" s="10">
        <v>678</v>
      </c>
      <c r="H242" s="14" t="s">
        <v>62</v>
      </c>
      <c r="I242" s="41" t="str">
        <f>Assumptions!$I$138</f>
        <v>B</v>
      </c>
      <c r="J242" s="14" t="str">
        <f>IF(D242&lt;=Assumptions!$V$138,"Low",IF(D242&lt;=Assumptions!$W$138,"Mid","High"))</f>
        <v>Low</v>
      </c>
      <c r="K242" s="15">
        <f>Assumptions!$Q$138</f>
        <v>2613</v>
      </c>
      <c r="L242" s="42">
        <f>INDEX(Assumptions!$C$61:$C$90,D242)</f>
        <v>2717.8312994876574</v>
      </c>
      <c r="M242" s="43">
        <f>IF(D242&lt;=Assumptions!$G$138,Assumptions!$AK$138,IF(D242&lt;Assumptions!$AH$138,Assumptions!$AK$138+(Assumptions!$AL$138-Assumptions!$AK$138)*(D242-Assumptions!$G$138)/(Assumptions!$AH$138-Assumptions!$G$138),IF(D242&lt;Assumptions!$P$138,Assumptions!$AL$138+(Assumptions!$AM$138-Assumptions!$AL$138)*(D242-Assumptions!$AH$138)/(Assumptions!$P$138-Assumptions!$AH$138),Assumptions!$AM$138)))</f>
        <v>50000</v>
      </c>
      <c r="N242" s="44">
        <f t="shared" si="6"/>
        <v>73.746312684365776</v>
      </c>
      <c r="O242" s="45">
        <f t="shared" si="7"/>
        <v>2792</v>
      </c>
      <c r="P242" s="14" t="str">
        <f>IF(D242&gt;=Assumptions!$P$138,"High",IF(D242&gt;=Assumptions!$AH$138,"Mid",IF(D242&lt;=Assumptions!$G$138,"Low","Loading")))</f>
        <v>Loading</v>
      </c>
      <c r="Q242" s="46">
        <f>MAX(K242,MIN(Assumptions!$S$138,O242),Q243)</f>
        <v>2792</v>
      </c>
      <c r="R242" s="12">
        <f>IF(AND(Q242&lt;=K242,INDEX(Assumptions!$C$26:$C$36,MATCH(G242,Assumptions!$A$26:$A$36,0))&lt;&gt;""),INDEX(Assumptions!$C$26:$C$36,MATCH(G242,Assumptions!$A$26:$A$36,0)),ROUND(G242*Q242,-2))</f>
        <v>1893000</v>
      </c>
      <c r="S242" s="47" t="str">
        <f>TRIM(IF(AND(Assumptions!$L$138&lt;&gt;"",D242&lt;Assumptions!$L$138),"View blocked / roof in front ("&amp;Assumptions!$M$138&amp;"); view premium still loading until L"&amp;Assumptions!$L$138&amp;". ","")&amp;IF(D242=Assumptions!$AH$138,"Mid-floor view premium fully loaded. ","")&amp;IF(D242=Assumptions!$P$138,"High-floor view premium fully loaded. ","")&amp;IF(Q242&lt;=K242,"At developer starting price.",""))</f>
        <v/>
      </c>
      <c r="T242" s="48" t="str">
        <f>Assumptions!$AJ$138</f>
        <v>SSW. Unblocked direct view of landed estate &amp; nature reserve</v>
      </c>
    </row>
    <row r="243" spans="1:20" x14ac:dyDescent="0.2">
      <c r="A243" s="13" t="s">
        <v>370</v>
      </c>
      <c r="B243" s="14">
        <v>3</v>
      </c>
      <c r="C243" s="40">
        <v>12</v>
      </c>
      <c r="D243" s="40">
        <v>3</v>
      </c>
      <c r="E243" s="9" t="s">
        <v>43</v>
      </c>
      <c r="F243" s="14" t="s">
        <v>137</v>
      </c>
      <c r="G243" s="10">
        <v>678</v>
      </c>
      <c r="H243" s="14" t="s">
        <v>62</v>
      </c>
      <c r="I243" s="41" t="str">
        <f>Assumptions!$I$138</f>
        <v>B</v>
      </c>
      <c r="J243" s="14" t="str">
        <f>IF(D243&lt;=Assumptions!$V$138,"Low",IF(D243&lt;=Assumptions!$W$138,"Mid","High"))</f>
        <v>Low</v>
      </c>
      <c r="K243" s="15">
        <f>Assumptions!$Q$138</f>
        <v>2613</v>
      </c>
      <c r="L243" s="42">
        <f>INDEX(Assumptions!$C$61:$C$90,D243)</f>
        <v>2702.2888060860114</v>
      </c>
      <c r="M243" s="43">
        <f>IF(D243&lt;=Assumptions!$G$138,Assumptions!$AK$138,IF(D243&lt;Assumptions!$AH$138,Assumptions!$AK$138+(Assumptions!$AL$138-Assumptions!$AK$138)*(D243-Assumptions!$G$138)/(Assumptions!$AH$138-Assumptions!$G$138),IF(D243&lt;Assumptions!$P$138,Assumptions!$AL$138+(Assumptions!$AM$138-Assumptions!$AL$138)*(D243-Assumptions!$AH$138)/(Assumptions!$P$138-Assumptions!$AH$138),Assumptions!$AM$138)))</f>
        <v>50000</v>
      </c>
      <c r="N243" s="44">
        <f t="shared" si="6"/>
        <v>73.746312684365776</v>
      </c>
      <c r="O243" s="45">
        <f t="shared" si="7"/>
        <v>2776</v>
      </c>
      <c r="P243" s="14" t="str">
        <f>IF(D243&gt;=Assumptions!$P$138,"High",IF(D243&gt;=Assumptions!$AH$138,"Mid",IF(D243&lt;=Assumptions!$G$138,"Low","Loading")))</f>
        <v>Loading</v>
      </c>
      <c r="Q243" s="46">
        <f>MAX(K243,MIN(Assumptions!$S$138,O243),Q244)</f>
        <v>2776</v>
      </c>
      <c r="R243" s="12">
        <f>IF(AND(Q243&lt;=K243,INDEX(Assumptions!$C$26:$C$36,MATCH(G243,Assumptions!$A$26:$A$36,0))&lt;&gt;""),INDEX(Assumptions!$C$26:$C$36,MATCH(G243,Assumptions!$A$26:$A$36,0)),ROUND(G243*Q243,-2))</f>
        <v>1882100</v>
      </c>
      <c r="S243" s="47" t="str">
        <f>TRIM(IF(AND(Assumptions!$L$138&lt;&gt;"",D243&lt;Assumptions!$L$138),"View blocked / roof in front ("&amp;Assumptions!$M$138&amp;"); view premium still loading until L"&amp;Assumptions!$L$138&amp;". ","")&amp;IF(D243=Assumptions!$AH$138,"Mid-floor view premium fully loaded. ","")&amp;IF(D243=Assumptions!$P$138,"High-floor view premium fully loaded. ","")&amp;IF(Q243&lt;=K243,"At developer starting price.",""))</f>
        <v/>
      </c>
      <c r="T243" s="48" t="str">
        <f>Assumptions!$AJ$138</f>
        <v>SSW. Unblocked direct view of landed estate &amp; nature reserve</v>
      </c>
    </row>
    <row r="244" spans="1:20" x14ac:dyDescent="0.2">
      <c r="A244" s="13" t="s">
        <v>371</v>
      </c>
      <c r="B244" s="14">
        <v>3</v>
      </c>
      <c r="C244" s="40">
        <v>12</v>
      </c>
      <c r="D244" s="40">
        <v>2</v>
      </c>
      <c r="E244" s="9" t="s">
        <v>43</v>
      </c>
      <c r="F244" s="14" t="s">
        <v>157</v>
      </c>
      <c r="G244" s="10">
        <v>678</v>
      </c>
      <c r="H244" s="14" t="s">
        <v>62</v>
      </c>
      <c r="I244" s="41" t="str">
        <f>Assumptions!$I$138</f>
        <v>B</v>
      </c>
      <c r="J244" s="14" t="str">
        <f>IF(D244&lt;=Assumptions!$V$138,"Low",IF(D244&lt;=Assumptions!$W$138,"Mid","High"))</f>
        <v>Low</v>
      </c>
      <c r="K244" s="15">
        <f>Assumptions!$Q$138</f>
        <v>2613</v>
      </c>
      <c r="L244" s="42">
        <f>INDEX(Assumptions!$C$61:$C$90,D244)</f>
        <v>2686.7463126843659</v>
      </c>
      <c r="M244" s="43">
        <f>IF(D244&lt;=Assumptions!$G$138,Assumptions!$AK$138,IF(D244&lt;Assumptions!$AH$138,Assumptions!$AK$138+(Assumptions!$AL$138-Assumptions!$AK$138)*(D244-Assumptions!$G$138)/(Assumptions!$AH$138-Assumptions!$G$138),IF(D244&lt;Assumptions!$P$138,Assumptions!$AL$138+(Assumptions!$AM$138-Assumptions!$AL$138)*(D244-Assumptions!$AH$138)/(Assumptions!$P$138-Assumptions!$AH$138),Assumptions!$AM$138)))</f>
        <v>50000</v>
      </c>
      <c r="N244" s="44">
        <f t="shared" si="6"/>
        <v>73.746312684365776</v>
      </c>
      <c r="O244" s="45">
        <f t="shared" si="7"/>
        <v>2760</v>
      </c>
      <c r="P244" s="14" t="str">
        <f>IF(D244&gt;=Assumptions!$P$138,"High",IF(D244&gt;=Assumptions!$AH$138,"Mid",IF(D244&lt;=Assumptions!$G$138,"Low","Loading")))</f>
        <v>Low</v>
      </c>
      <c r="Q244" s="46">
        <f>MAX(K244,MIN(Assumptions!$S$138,O244))</f>
        <v>2760</v>
      </c>
      <c r="R244" s="12">
        <f>IF(AND(Q244&lt;=K244,INDEX(Assumptions!$C$26:$C$36,MATCH(G244,Assumptions!$A$26:$A$36,0))&lt;&gt;""),INDEX(Assumptions!$C$26:$C$36,MATCH(G244,Assumptions!$A$26:$A$36,0)),ROUND(G244*Q244,-2))</f>
        <v>1871300</v>
      </c>
      <c r="S244" s="47" t="str">
        <f>TRIM(IF(AND(Assumptions!$L$138&lt;&gt;"",D244&lt;Assumptions!$L$138),"View blocked / roof in front ("&amp;Assumptions!$M$138&amp;"); view premium still loading until L"&amp;Assumptions!$L$138&amp;". ","")&amp;IF(D244=Assumptions!$AH$138,"Mid-floor view premium fully loaded. ","")&amp;IF(D244=Assumptions!$P$138,"High-floor view premium fully loaded. ","")&amp;IF(Q244&lt;=K244,"At developer starting price.",""))</f>
        <v/>
      </c>
      <c r="T244" s="48" t="str">
        <f>Assumptions!$AJ$138</f>
        <v>SSW. Unblocked direct view of landed estate &amp; nature reserve</v>
      </c>
    </row>
    <row r="245" spans="1:20" x14ac:dyDescent="0.2">
      <c r="A245" s="13" t="s">
        <v>372</v>
      </c>
      <c r="B245" s="14">
        <v>3</v>
      </c>
      <c r="C245" s="40">
        <v>13</v>
      </c>
      <c r="D245" s="40">
        <v>21</v>
      </c>
      <c r="E245" s="9" t="s">
        <v>43</v>
      </c>
      <c r="F245" s="14" t="s">
        <v>373</v>
      </c>
      <c r="G245" s="10">
        <v>678</v>
      </c>
      <c r="H245" s="14" t="s">
        <v>62</v>
      </c>
      <c r="I245" s="41" t="str">
        <f>Assumptions!$I$139</f>
        <v>B</v>
      </c>
      <c r="J245" s="14" t="str">
        <f>IF(D245&lt;=Assumptions!$V$139,"Low",IF(D245&lt;=Assumptions!$W$139,"Mid","High"))</f>
        <v>High</v>
      </c>
      <c r="K245" s="15">
        <f>Assumptions!$Q$139</f>
        <v>2613</v>
      </c>
      <c r="L245" s="42">
        <f>INDEX(Assumptions!$C$61:$C$90,D245)</f>
        <v>3050.8642857142859</v>
      </c>
      <c r="M245" s="43">
        <f>IF(D245&lt;=Assumptions!$G$139,Assumptions!$AK$139,IF(D245&lt;Assumptions!$AH$139,Assumptions!$AK$139+(Assumptions!$AL$139-Assumptions!$AK$139)*(D245-Assumptions!$G$139)/(Assumptions!$AH$139-Assumptions!$G$139),IF(D245&lt;Assumptions!$P$139,Assumptions!$AL$139+(Assumptions!$AM$139-Assumptions!$AL$139)*(D245-Assumptions!$AH$139)/(Assumptions!$P$139-Assumptions!$AH$139),Assumptions!$AM$139)))</f>
        <v>43750</v>
      </c>
      <c r="N245" s="44">
        <f t="shared" si="6"/>
        <v>64.528023598820056</v>
      </c>
      <c r="O245" s="45">
        <f t="shared" si="7"/>
        <v>3115</v>
      </c>
      <c r="P245" s="14" t="str">
        <f>IF(D245&gt;=Assumptions!$P$139,"High",IF(D245&gt;=Assumptions!$AH$139,"Mid",IF(D245&lt;=Assumptions!$G$139,"Low","Loading")))</f>
        <v>High</v>
      </c>
      <c r="Q245" s="46">
        <f>MAX(K245,MIN(Assumptions!$S$139,O245),Q246)</f>
        <v>3115</v>
      </c>
      <c r="R245" s="12">
        <f>IF(AND(Q245&lt;=K245,INDEX(Assumptions!$C$26:$C$36,MATCH(G245,Assumptions!$A$26:$A$36,0))&lt;&gt;""),INDEX(Assumptions!$C$26:$C$36,MATCH(G245,Assumptions!$A$26:$A$36,0)),ROUND(G245*Q245,-2))</f>
        <v>2112000</v>
      </c>
      <c r="S245" s="47" t="str">
        <f>TRIM(IF(AND(Assumptions!$L$139&lt;&gt;"",D245&lt;Assumptions!$L$139),"View blocked / roof in front ("&amp;Assumptions!$M$139&amp;"); view premium still loading until L"&amp;Assumptions!$L$139&amp;". ","")&amp;IF(D245=Assumptions!$AH$139,"Mid-floor view premium fully loaded. ","")&amp;IF(D245=Assumptions!$P$139,"High-floor view premium fully loaded. ","")&amp;IF(Q245&lt;=K245,"At developer starting price.",""))</f>
        <v/>
      </c>
      <c r="T245" s="48" t="str">
        <f>Assumptions!$AJ$139</f>
        <v>SSW. Unblocked direct view of landed estate &amp; nature reserve</v>
      </c>
    </row>
    <row r="246" spans="1:20" x14ac:dyDescent="0.2">
      <c r="A246" s="13" t="s">
        <v>374</v>
      </c>
      <c r="B246" s="14">
        <v>3</v>
      </c>
      <c r="C246" s="40">
        <v>13</v>
      </c>
      <c r="D246" s="40">
        <v>20</v>
      </c>
      <c r="E246" s="9" t="s">
        <v>43</v>
      </c>
      <c r="F246" s="14" t="s">
        <v>373</v>
      </c>
      <c r="G246" s="10">
        <v>678</v>
      </c>
      <c r="H246" s="14" t="s">
        <v>62</v>
      </c>
      <c r="I246" s="41" t="str">
        <f>Assumptions!$I$139</f>
        <v>B</v>
      </c>
      <c r="J246" s="14" t="str">
        <f>IF(D246&lt;=Assumptions!$V$139,"Low",IF(D246&lt;=Assumptions!$W$139,"Mid","High"))</f>
        <v>High</v>
      </c>
      <c r="K246" s="15">
        <f>Assumptions!$Q$139</f>
        <v>2613</v>
      </c>
      <c r="L246" s="42">
        <f>INDEX(Assumptions!$C$61:$C$90,D246)</f>
        <v>3028.0785714285716</v>
      </c>
      <c r="M246" s="43">
        <f>IF(D246&lt;=Assumptions!$G$139,Assumptions!$AK$139,IF(D246&lt;Assumptions!$AH$139,Assumptions!$AK$139+(Assumptions!$AL$139-Assumptions!$AK$139)*(D246-Assumptions!$G$139)/(Assumptions!$AH$139-Assumptions!$G$139),IF(D246&lt;Assumptions!$P$139,Assumptions!$AL$139+(Assumptions!$AM$139-Assumptions!$AL$139)*(D246-Assumptions!$AH$139)/(Assumptions!$P$139-Assumptions!$AH$139),Assumptions!$AM$139)))</f>
        <v>43750</v>
      </c>
      <c r="N246" s="44">
        <f t="shared" si="6"/>
        <v>64.528023598820056</v>
      </c>
      <c r="O246" s="45">
        <f t="shared" si="7"/>
        <v>3093</v>
      </c>
      <c r="P246" s="14" t="str">
        <f>IF(D246&gt;=Assumptions!$P$139,"High",IF(D246&gt;=Assumptions!$AH$139,"Mid",IF(D246&lt;=Assumptions!$G$139,"Low","Loading")))</f>
        <v>High</v>
      </c>
      <c r="Q246" s="46">
        <f>MAX(K246,MIN(Assumptions!$S$139,O246),Q247)</f>
        <v>3093</v>
      </c>
      <c r="R246" s="12">
        <f>IF(AND(Q246&lt;=K246,INDEX(Assumptions!$C$26:$C$36,MATCH(G246,Assumptions!$A$26:$A$36,0))&lt;&gt;""),INDEX(Assumptions!$C$26:$C$36,MATCH(G246,Assumptions!$A$26:$A$36,0)),ROUND(G246*Q246,-2))</f>
        <v>2097100</v>
      </c>
      <c r="S246" s="47" t="str">
        <f>TRIM(IF(AND(Assumptions!$L$139&lt;&gt;"",D246&lt;Assumptions!$L$139),"View blocked / roof in front ("&amp;Assumptions!$M$139&amp;"); view premium still loading until L"&amp;Assumptions!$L$139&amp;". ","")&amp;IF(D246=Assumptions!$AH$139,"Mid-floor view premium fully loaded. ","")&amp;IF(D246=Assumptions!$P$139,"High-floor view premium fully loaded. ","")&amp;IF(Q246&lt;=K246,"At developer starting price.",""))</f>
        <v/>
      </c>
      <c r="T246" s="48" t="str">
        <f>Assumptions!$AJ$139</f>
        <v>SSW. Unblocked direct view of landed estate &amp; nature reserve</v>
      </c>
    </row>
    <row r="247" spans="1:20" x14ac:dyDescent="0.2">
      <c r="A247" s="13" t="s">
        <v>375</v>
      </c>
      <c r="B247" s="14">
        <v>3</v>
      </c>
      <c r="C247" s="40">
        <v>13</v>
      </c>
      <c r="D247" s="40">
        <v>19</v>
      </c>
      <c r="E247" s="9" t="s">
        <v>43</v>
      </c>
      <c r="F247" s="14" t="s">
        <v>373</v>
      </c>
      <c r="G247" s="10">
        <v>678</v>
      </c>
      <c r="H247" s="14" t="s">
        <v>62</v>
      </c>
      <c r="I247" s="41" t="str">
        <f>Assumptions!$I$139</f>
        <v>B</v>
      </c>
      <c r="J247" s="14" t="str">
        <f>IF(D247&lt;=Assumptions!$V$139,"Low",IF(D247&lt;=Assumptions!$W$139,"Mid","High"))</f>
        <v>High</v>
      </c>
      <c r="K247" s="15">
        <f>Assumptions!$Q$139</f>
        <v>2613</v>
      </c>
      <c r="L247" s="42">
        <f>INDEX(Assumptions!$C$61:$C$90,D247)</f>
        <v>3005.2928571428574</v>
      </c>
      <c r="M247" s="43">
        <f>IF(D247&lt;=Assumptions!$G$139,Assumptions!$AK$139,IF(D247&lt;Assumptions!$AH$139,Assumptions!$AK$139+(Assumptions!$AL$139-Assumptions!$AK$139)*(D247-Assumptions!$G$139)/(Assumptions!$AH$139-Assumptions!$G$139),IF(D247&lt;Assumptions!$P$139,Assumptions!$AL$139+(Assumptions!$AM$139-Assumptions!$AL$139)*(D247-Assumptions!$AH$139)/(Assumptions!$P$139-Assumptions!$AH$139),Assumptions!$AM$139)))</f>
        <v>43750</v>
      </c>
      <c r="N247" s="44">
        <f t="shared" si="6"/>
        <v>64.528023598820056</v>
      </c>
      <c r="O247" s="45">
        <f t="shared" si="7"/>
        <v>3070</v>
      </c>
      <c r="P247" s="14" t="str">
        <f>IF(D247&gt;=Assumptions!$P$139,"High",IF(D247&gt;=Assumptions!$AH$139,"Mid",IF(D247&lt;=Assumptions!$G$139,"Low","Loading")))</f>
        <v>High</v>
      </c>
      <c r="Q247" s="46">
        <f>MAX(K247,MIN(Assumptions!$S$139,O247),Q248)</f>
        <v>3070</v>
      </c>
      <c r="R247" s="12">
        <f>IF(AND(Q247&lt;=K247,INDEX(Assumptions!$C$26:$C$36,MATCH(G247,Assumptions!$A$26:$A$36,0))&lt;&gt;""),INDEX(Assumptions!$C$26:$C$36,MATCH(G247,Assumptions!$A$26:$A$36,0)),ROUND(G247*Q247,-2))</f>
        <v>2081500</v>
      </c>
      <c r="S247" s="47" t="str">
        <f>TRIM(IF(AND(Assumptions!$L$139&lt;&gt;"",D247&lt;Assumptions!$L$139),"View blocked / roof in front ("&amp;Assumptions!$M$139&amp;"); view premium still loading until L"&amp;Assumptions!$L$139&amp;". ","")&amp;IF(D247=Assumptions!$AH$139,"Mid-floor view premium fully loaded. ","")&amp;IF(D247=Assumptions!$P$139,"High-floor view premium fully loaded. ","")&amp;IF(Q247&lt;=K247,"At developer starting price.",""))</f>
        <v/>
      </c>
      <c r="T247" s="48" t="str">
        <f>Assumptions!$AJ$139</f>
        <v>SSW. Unblocked direct view of landed estate &amp; nature reserve</v>
      </c>
    </row>
    <row r="248" spans="1:20" x14ac:dyDescent="0.2">
      <c r="A248" s="13" t="s">
        <v>376</v>
      </c>
      <c r="B248" s="14">
        <v>3</v>
      </c>
      <c r="C248" s="40">
        <v>13</v>
      </c>
      <c r="D248" s="40">
        <v>18</v>
      </c>
      <c r="E248" s="9" t="s">
        <v>43</v>
      </c>
      <c r="F248" s="14" t="s">
        <v>373</v>
      </c>
      <c r="G248" s="10">
        <v>678</v>
      </c>
      <c r="H248" s="14" t="s">
        <v>62</v>
      </c>
      <c r="I248" s="41" t="str">
        <f>Assumptions!$I$139</f>
        <v>B</v>
      </c>
      <c r="J248" s="14" t="str">
        <f>IF(D248&lt;=Assumptions!$V$139,"Low",IF(D248&lt;=Assumptions!$W$139,"Mid","High"))</f>
        <v>High</v>
      </c>
      <c r="K248" s="15">
        <f>Assumptions!$Q$139</f>
        <v>2613</v>
      </c>
      <c r="L248" s="42">
        <f>INDEX(Assumptions!$C$61:$C$90,D248)</f>
        <v>2982.5071428571428</v>
      </c>
      <c r="M248" s="43">
        <f>IF(D248&lt;=Assumptions!$G$139,Assumptions!$AK$139,IF(D248&lt;Assumptions!$AH$139,Assumptions!$AK$139+(Assumptions!$AL$139-Assumptions!$AK$139)*(D248-Assumptions!$G$139)/(Assumptions!$AH$139-Assumptions!$G$139),IF(D248&lt;Assumptions!$P$139,Assumptions!$AL$139+(Assumptions!$AM$139-Assumptions!$AL$139)*(D248-Assumptions!$AH$139)/(Assumptions!$P$139-Assumptions!$AH$139),Assumptions!$AM$139)))</f>
        <v>43750</v>
      </c>
      <c r="N248" s="44">
        <f t="shared" si="6"/>
        <v>64.528023598820056</v>
      </c>
      <c r="O248" s="45">
        <f t="shared" si="7"/>
        <v>3047</v>
      </c>
      <c r="P248" s="14" t="str">
        <f>IF(D248&gt;=Assumptions!$P$139,"High",IF(D248&gt;=Assumptions!$AH$139,"Mid",IF(D248&lt;=Assumptions!$G$139,"Low","Loading")))</f>
        <v>High</v>
      </c>
      <c r="Q248" s="46">
        <f>MAX(K248,MIN(Assumptions!$S$139,O248),Q249)</f>
        <v>3047</v>
      </c>
      <c r="R248" s="12">
        <f>IF(AND(Q248&lt;=K248,INDEX(Assumptions!$C$26:$C$36,MATCH(G248,Assumptions!$A$26:$A$36,0))&lt;&gt;""),INDEX(Assumptions!$C$26:$C$36,MATCH(G248,Assumptions!$A$26:$A$36,0)),ROUND(G248*Q248,-2))</f>
        <v>2065900</v>
      </c>
      <c r="S248" s="47" t="str">
        <f>TRIM(IF(AND(Assumptions!$L$139&lt;&gt;"",D248&lt;Assumptions!$L$139),"View blocked / roof in front ("&amp;Assumptions!$M$139&amp;"); view premium still loading until L"&amp;Assumptions!$L$139&amp;". ","")&amp;IF(D248=Assumptions!$AH$139,"Mid-floor view premium fully loaded. ","")&amp;IF(D248=Assumptions!$P$139,"High-floor view premium fully loaded. ","")&amp;IF(Q248&lt;=K248,"At developer starting price.",""))</f>
        <v/>
      </c>
      <c r="T248" s="48" t="str">
        <f>Assumptions!$AJ$139</f>
        <v>SSW. Unblocked direct view of landed estate &amp; nature reserve</v>
      </c>
    </row>
    <row r="249" spans="1:20" x14ac:dyDescent="0.2">
      <c r="A249" s="13" t="s">
        <v>377</v>
      </c>
      <c r="B249" s="14">
        <v>3</v>
      </c>
      <c r="C249" s="40">
        <v>13</v>
      </c>
      <c r="D249" s="40">
        <v>17</v>
      </c>
      <c r="E249" s="9" t="s">
        <v>43</v>
      </c>
      <c r="F249" s="14" t="s">
        <v>373</v>
      </c>
      <c r="G249" s="10">
        <v>678</v>
      </c>
      <c r="H249" s="14" t="s">
        <v>62</v>
      </c>
      <c r="I249" s="41" t="str">
        <f>Assumptions!$I$139</f>
        <v>B</v>
      </c>
      <c r="J249" s="14" t="str">
        <f>IF(D249&lt;=Assumptions!$V$139,"Low",IF(D249&lt;=Assumptions!$W$139,"Mid","High"))</f>
        <v>High</v>
      </c>
      <c r="K249" s="15">
        <f>Assumptions!$Q$139</f>
        <v>2613</v>
      </c>
      <c r="L249" s="42">
        <f>INDEX(Assumptions!$C$61:$C$90,D249)</f>
        <v>2959.7214285714285</v>
      </c>
      <c r="M249" s="43">
        <f>IF(D249&lt;=Assumptions!$G$139,Assumptions!$AK$139,IF(D249&lt;Assumptions!$AH$139,Assumptions!$AK$139+(Assumptions!$AL$139-Assumptions!$AK$139)*(D249-Assumptions!$G$139)/(Assumptions!$AH$139-Assumptions!$G$139),IF(D249&lt;Assumptions!$P$139,Assumptions!$AL$139+(Assumptions!$AM$139-Assumptions!$AL$139)*(D249-Assumptions!$AH$139)/(Assumptions!$P$139-Assumptions!$AH$139),Assumptions!$AM$139)))</f>
        <v>43750</v>
      </c>
      <c r="N249" s="44">
        <f t="shared" si="6"/>
        <v>64.528023598820056</v>
      </c>
      <c r="O249" s="45">
        <f t="shared" si="7"/>
        <v>3024</v>
      </c>
      <c r="P249" s="14" t="str">
        <f>IF(D249&gt;=Assumptions!$P$139,"High",IF(D249&gt;=Assumptions!$AH$139,"Mid",IF(D249&lt;=Assumptions!$G$139,"Low","Loading")))</f>
        <v>High</v>
      </c>
      <c r="Q249" s="46">
        <f>MAX(K249,MIN(Assumptions!$S$139,O249),Q250)</f>
        <v>3024</v>
      </c>
      <c r="R249" s="12">
        <f>IF(AND(Q249&lt;=K249,INDEX(Assumptions!$C$26:$C$36,MATCH(G249,Assumptions!$A$26:$A$36,0))&lt;&gt;""),INDEX(Assumptions!$C$26:$C$36,MATCH(G249,Assumptions!$A$26:$A$36,0)),ROUND(G249*Q249,-2))</f>
        <v>2050300</v>
      </c>
      <c r="S249" s="47" t="str">
        <f>TRIM(IF(AND(Assumptions!$L$139&lt;&gt;"",D249&lt;Assumptions!$L$139),"View blocked / roof in front ("&amp;Assumptions!$M$139&amp;"); view premium still loading until L"&amp;Assumptions!$L$139&amp;". ","")&amp;IF(D249=Assumptions!$AH$139,"Mid-floor view premium fully loaded. ","")&amp;IF(D249=Assumptions!$P$139,"High-floor view premium fully loaded. ","")&amp;IF(Q249&lt;=K249,"At developer starting price.",""))</f>
        <v/>
      </c>
      <c r="T249" s="48" t="str">
        <f>Assumptions!$AJ$139</f>
        <v>SSW. Unblocked direct view of landed estate &amp; nature reserve</v>
      </c>
    </row>
    <row r="250" spans="1:20" x14ac:dyDescent="0.2">
      <c r="A250" s="13" t="s">
        <v>378</v>
      </c>
      <c r="B250" s="14">
        <v>3</v>
      </c>
      <c r="C250" s="40">
        <v>13</v>
      </c>
      <c r="D250" s="40">
        <v>16</v>
      </c>
      <c r="E250" s="9" t="s">
        <v>43</v>
      </c>
      <c r="F250" s="14" t="s">
        <v>373</v>
      </c>
      <c r="G250" s="10">
        <v>678</v>
      </c>
      <c r="H250" s="14" t="s">
        <v>62</v>
      </c>
      <c r="I250" s="41" t="str">
        <f>Assumptions!$I$139</f>
        <v>B</v>
      </c>
      <c r="J250" s="14" t="str">
        <f>IF(D250&lt;=Assumptions!$V$139,"Low",IF(D250&lt;=Assumptions!$W$139,"Mid","High"))</f>
        <v>High</v>
      </c>
      <c r="K250" s="15">
        <f>Assumptions!$Q$139</f>
        <v>2613</v>
      </c>
      <c r="L250" s="42">
        <f>INDEX(Assumptions!$C$61:$C$90,D250)</f>
        <v>2936.9357142857143</v>
      </c>
      <c r="M250" s="43">
        <f>IF(D250&lt;=Assumptions!$G$139,Assumptions!$AK$139,IF(D250&lt;Assumptions!$AH$139,Assumptions!$AK$139+(Assumptions!$AL$139-Assumptions!$AK$139)*(D250-Assumptions!$G$139)/(Assumptions!$AH$139-Assumptions!$G$139),IF(D250&lt;Assumptions!$P$139,Assumptions!$AL$139+(Assumptions!$AM$139-Assumptions!$AL$139)*(D250-Assumptions!$AH$139)/(Assumptions!$P$139-Assumptions!$AH$139),Assumptions!$AM$139)))</f>
        <v>43750</v>
      </c>
      <c r="N250" s="44">
        <f t="shared" si="6"/>
        <v>64.528023598820056</v>
      </c>
      <c r="O250" s="45">
        <f t="shared" si="7"/>
        <v>3001</v>
      </c>
      <c r="P250" s="14" t="str">
        <f>IF(D250&gt;=Assumptions!$P$139,"High",IF(D250&gt;=Assumptions!$AH$139,"Mid",IF(D250&lt;=Assumptions!$G$139,"Low","Loading")))</f>
        <v>High</v>
      </c>
      <c r="Q250" s="46">
        <f>MAX(K250,MIN(Assumptions!$S$139,O250),Q251)</f>
        <v>3001</v>
      </c>
      <c r="R250" s="12">
        <f>IF(AND(Q250&lt;=K250,INDEX(Assumptions!$C$26:$C$36,MATCH(G250,Assumptions!$A$26:$A$36,0))&lt;&gt;""),INDEX(Assumptions!$C$26:$C$36,MATCH(G250,Assumptions!$A$26:$A$36,0)),ROUND(G250*Q250,-2))</f>
        <v>2034700</v>
      </c>
      <c r="S250" s="47" t="str">
        <f>TRIM(IF(AND(Assumptions!$L$139&lt;&gt;"",D250&lt;Assumptions!$L$139),"View blocked / roof in front ("&amp;Assumptions!$M$139&amp;"); view premium still loading until L"&amp;Assumptions!$L$139&amp;". ","")&amp;IF(D250=Assumptions!$AH$139,"Mid-floor view premium fully loaded. ","")&amp;IF(D250=Assumptions!$P$139,"High-floor view premium fully loaded. ","")&amp;IF(Q250&lt;=K250,"At developer starting price.",""))</f>
        <v>High-floor view premium fully loaded.</v>
      </c>
      <c r="T250" s="48" t="str">
        <f>Assumptions!$AJ$139</f>
        <v>SSW. Unblocked direct view of landed estate &amp; nature reserve</v>
      </c>
    </row>
    <row r="251" spans="1:20" x14ac:dyDescent="0.2">
      <c r="A251" s="13" t="s">
        <v>379</v>
      </c>
      <c r="B251" s="14">
        <v>3</v>
      </c>
      <c r="C251" s="40">
        <v>13</v>
      </c>
      <c r="D251" s="40">
        <v>15</v>
      </c>
      <c r="E251" s="9" t="s">
        <v>43</v>
      </c>
      <c r="F251" s="14" t="s">
        <v>373</v>
      </c>
      <c r="G251" s="10">
        <v>678</v>
      </c>
      <c r="H251" s="14" t="s">
        <v>62</v>
      </c>
      <c r="I251" s="41" t="str">
        <f>Assumptions!$I$139</f>
        <v>B</v>
      </c>
      <c r="J251" s="14" t="str">
        <f>IF(D251&lt;=Assumptions!$V$139,"Low",IF(D251&lt;=Assumptions!$W$139,"Mid","High"))</f>
        <v>Mid</v>
      </c>
      <c r="K251" s="15">
        <f>Assumptions!$Q$139</f>
        <v>2613</v>
      </c>
      <c r="L251" s="42">
        <f>INDEX(Assumptions!$C$61:$C$90,D251)</f>
        <v>2914.15</v>
      </c>
      <c r="M251" s="43">
        <f>IF(D251&lt;=Assumptions!$G$139,Assumptions!$AK$139,IF(D251&lt;Assumptions!$AH$139,Assumptions!$AK$139+(Assumptions!$AL$139-Assumptions!$AK$139)*(D251-Assumptions!$G$139)/(Assumptions!$AH$139-Assumptions!$G$139),IF(D251&lt;Assumptions!$P$139,Assumptions!$AL$139+(Assumptions!$AM$139-Assumptions!$AL$139)*(D251-Assumptions!$AH$139)/(Assumptions!$P$139-Assumptions!$AH$139),Assumptions!$AM$139)))</f>
        <v>44531.25</v>
      </c>
      <c r="N251" s="44">
        <f t="shared" si="6"/>
        <v>65.680309734513273</v>
      </c>
      <c r="O251" s="45">
        <f t="shared" si="7"/>
        <v>2980</v>
      </c>
      <c r="P251" s="14" t="str">
        <f>IF(D251&gt;=Assumptions!$P$139,"High",IF(D251&gt;=Assumptions!$AH$139,"Mid",IF(D251&lt;=Assumptions!$G$139,"Low","Loading")))</f>
        <v>Mid</v>
      </c>
      <c r="Q251" s="46">
        <f>MAX(K251,MIN(Assumptions!$S$139,O251),Q252)</f>
        <v>2980</v>
      </c>
      <c r="R251" s="12">
        <f>IF(AND(Q251&lt;=K251,INDEX(Assumptions!$C$26:$C$36,MATCH(G251,Assumptions!$A$26:$A$36,0))&lt;&gt;""),INDEX(Assumptions!$C$26:$C$36,MATCH(G251,Assumptions!$A$26:$A$36,0)),ROUND(G251*Q251,-2))</f>
        <v>2020400</v>
      </c>
      <c r="S251" s="47" t="str">
        <f>TRIM(IF(AND(Assumptions!$L$139&lt;&gt;"",D251&lt;Assumptions!$L$139),"View blocked / roof in front ("&amp;Assumptions!$M$139&amp;"); view premium still loading until L"&amp;Assumptions!$L$139&amp;". ","")&amp;IF(D251=Assumptions!$AH$139,"Mid-floor view premium fully loaded. ","")&amp;IF(D251=Assumptions!$P$139,"High-floor view premium fully loaded. ","")&amp;IF(Q251&lt;=K251,"At developer starting price.",""))</f>
        <v/>
      </c>
      <c r="T251" s="48" t="str">
        <f>Assumptions!$AJ$139</f>
        <v>SSW. Unblocked direct view of landed estate &amp; nature reserve</v>
      </c>
    </row>
    <row r="252" spans="1:20" x14ac:dyDescent="0.2">
      <c r="A252" s="13" t="s">
        <v>380</v>
      </c>
      <c r="B252" s="14">
        <v>3</v>
      </c>
      <c r="C252" s="40">
        <v>13</v>
      </c>
      <c r="D252" s="40">
        <v>14</v>
      </c>
      <c r="E252" s="9" t="s">
        <v>43</v>
      </c>
      <c r="F252" s="14" t="s">
        <v>373</v>
      </c>
      <c r="G252" s="10">
        <v>678</v>
      </c>
      <c r="H252" s="14" t="s">
        <v>62</v>
      </c>
      <c r="I252" s="41" t="str">
        <f>Assumptions!$I$139</f>
        <v>B</v>
      </c>
      <c r="J252" s="14" t="str">
        <f>IF(D252&lt;=Assumptions!$V$139,"Low",IF(D252&lt;=Assumptions!$W$139,"Mid","High"))</f>
        <v>Mid</v>
      </c>
      <c r="K252" s="15">
        <f>Assumptions!$Q$139</f>
        <v>2613</v>
      </c>
      <c r="L252" s="42">
        <f>INDEX(Assumptions!$C$61:$C$90,D252)</f>
        <v>2891.3642857142859</v>
      </c>
      <c r="M252" s="43">
        <f>IF(D252&lt;=Assumptions!$G$139,Assumptions!$AK$139,IF(D252&lt;Assumptions!$AH$139,Assumptions!$AK$139+(Assumptions!$AL$139-Assumptions!$AK$139)*(D252-Assumptions!$G$139)/(Assumptions!$AH$139-Assumptions!$G$139),IF(D252&lt;Assumptions!$P$139,Assumptions!$AL$139+(Assumptions!$AM$139-Assumptions!$AL$139)*(D252-Assumptions!$AH$139)/(Assumptions!$P$139-Assumptions!$AH$139),Assumptions!$AM$139)))</f>
        <v>45312.5</v>
      </c>
      <c r="N252" s="44">
        <f t="shared" si="6"/>
        <v>66.83259587020649</v>
      </c>
      <c r="O252" s="45">
        <f t="shared" si="7"/>
        <v>2958</v>
      </c>
      <c r="P252" s="14" t="str">
        <f>IF(D252&gt;=Assumptions!$P$139,"High",IF(D252&gt;=Assumptions!$AH$139,"Mid",IF(D252&lt;=Assumptions!$G$139,"Low","Loading")))</f>
        <v>Mid</v>
      </c>
      <c r="Q252" s="46">
        <f>MAX(K252,MIN(Assumptions!$S$139,O252),Q253)</f>
        <v>2958</v>
      </c>
      <c r="R252" s="12">
        <f>IF(AND(Q252&lt;=K252,INDEX(Assumptions!$C$26:$C$36,MATCH(G252,Assumptions!$A$26:$A$36,0))&lt;&gt;""),INDEX(Assumptions!$C$26:$C$36,MATCH(G252,Assumptions!$A$26:$A$36,0)),ROUND(G252*Q252,-2))</f>
        <v>2005500</v>
      </c>
      <c r="S252" s="47" t="str">
        <f>TRIM(IF(AND(Assumptions!$L$139&lt;&gt;"",D252&lt;Assumptions!$L$139),"View blocked / roof in front ("&amp;Assumptions!$M$139&amp;"); view premium still loading until L"&amp;Assumptions!$L$139&amp;". ","")&amp;IF(D252=Assumptions!$AH$139,"Mid-floor view premium fully loaded. ","")&amp;IF(D252=Assumptions!$P$139,"High-floor view premium fully loaded. ","")&amp;IF(Q252&lt;=K252,"At developer starting price.",""))</f>
        <v/>
      </c>
      <c r="T252" s="48" t="str">
        <f>Assumptions!$AJ$139</f>
        <v>SSW. Unblocked direct view of landed estate &amp; nature reserve</v>
      </c>
    </row>
    <row r="253" spans="1:20" x14ac:dyDescent="0.2">
      <c r="A253" s="13" t="s">
        <v>381</v>
      </c>
      <c r="B253" s="14">
        <v>3</v>
      </c>
      <c r="C253" s="40">
        <v>13</v>
      </c>
      <c r="D253" s="40">
        <v>13</v>
      </c>
      <c r="E253" s="9" t="s">
        <v>43</v>
      </c>
      <c r="F253" s="14" t="s">
        <v>373</v>
      </c>
      <c r="G253" s="10">
        <v>678</v>
      </c>
      <c r="H253" s="14" t="s">
        <v>62</v>
      </c>
      <c r="I253" s="41" t="str">
        <f>Assumptions!$I$139</f>
        <v>B</v>
      </c>
      <c r="J253" s="14" t="str">
        <f>IF(D253&lt;=Assumptions!$V$139,"Low",IF(D253&lt;=Assumptions!$W$139,"Mid","High"))</f>
        <v>Mid</v>
      </c>
      <c r="K253" s="15">
        <f>Assumptions!$Q$139</f>
        <v>2613</v>
      </c>
      <c r="L253" s="42">
        <f>INDEX(Assumptions!$C$61:$C$90,D253)</f>
        <v>2868.5785714285716</v>
      </c>
      <c r="M253" s="43">
        <f>IF(D253&lt;=Assumptions!$G$139,Assumptions!$AK$139,IF(D253&lt;Assumptions!$AH$139,Assumptions!$AK$139+(Assumptions!$AL$139-Assumptions!$AK$139)*(D253-Assumptions!$G$139)/(Assumptions!$AH$139-Assumptions!$G$139),IF(D253&lt;Assumptions!$P$139,Assumptions!$AL$139+(Assumptions!$AM$139-Assumptions!$AL$139)*(D253-Assumptions!$AH$139)/(Assumptions!$P$139-Assumptions!$AH$139),Assumptions!$AM$139)))</f>
        <v>46093.75</v>
      </c>
      <c r="N253" s="44">
        <f t="shared" si="6"/>
        <v>67.984882005899706</v>
      </c>
      <c r="O253" s="45">
        <f t="shared" si="7"/>
        <v>2937</v>
      </c>
      <c r="P253" s="14" t="str">
        <f>IF(D253&gt;=Assumptions!$P$139,"High",IF(D253&gt;=Assumptions!$AH$139,"Mid",IF(D253&lt;=Assumptions!$G$139,"Low","Loading")))</f>
        <v>Mid</v>
      </c>
      <c r="Q253" s="46">
        <f>MAX(K253,MIN(Assumptions!$S$139,O253),Q254)</f>
        <v>2937</v>
      </c>
      <c r="R253" s="12">
        <f>IF(AND(Q253&lt;=K253,INDEX(Assumptions!$C$26:$C$36,MATCH(G253,Assumptions!$A$26:$A$36,0))&lt;&gt;""),INDEX(Assumptions!$C$26:$C$36,MATCH(G253,Assumptions!$A$26:$A$36,0)),ROUND(G253*Q253,-2))</f>
        <v>1991300</v>
      </c>
      <c r="S253" s="47" t="str">
        <f>TRIM(IF(AND(Assumptions!$L$139&lt;&gt;"",D253&lt;Assumptions!$L$139),"View blocked / roof in front ("&amp;Assumptions!$M$139&amp;"); view premium still loading until L"&amp;Assumptions!$L$139&amp;". ","")&amp;IF(D253=Assumptions!$AH$139,"Mid-floor view premium fully loaded. ","")&amp;IF(D253=Assumptions!$P$139,"High-floor view premium fully loaded. ","")&amp;IF(Q253&lt;=K253,"At developer starting price.",""))</f>
        <v/>
      </c>
      <c r="T253" s="48" t="str">
        <f>Assumptions!$AJ$139</f>
        <v>SSW. Unblocked direct view of landed estate &amp; nature reserve</v>
      </c>
    </row>
    <row r="254" spans="1:20" x14ac:dyDescent="0.2">
      <c r="A254" s="13" t="s">
        <v>382</v>
      </c>
      <c r="B254" s="14">
        <v>3</v>
      </c>
      <c r="C254" s="40">
        <v>13</v>
      </c>
      <c r="D254" s="40">
        <v>12</v>
      </c>
      <c r="E254" s="9" t="s">
        <v>43</v>
      </c>
      <c r="F254" s="14" t="s">
        <v>373</v>
      </c>
      <c r="G254" s="10">
        <v>678</v>
      </c>
      <c r="H254" s="14" t="s">
        <v>62</v>
      </c>
      <c r="I254" s="41" t="str">
        <f>Assumptions!$I$139</f>
        <v>B</v>
      </c>
      <c r="J254" s="14" t="str">
        <f>IF(D254&lt;=Assumptions!$V$139,"Low",IF(D254&lt;=Assumptions!$W$139,"Mid","High"))</f>
        <v>Mid</v>
      </c>
      <c r="K254" s="15">
        <f>Assumptions!$Q$139</f>
        <v>2613</v>
      </c>
      <c r="L254" s="42">
        <f>INDEX(Assumptions!$C$61:$C$90,D254)</f>
        <v>2845.7928571428574</v>
      </c>
      <c r="M254" s="43">
        <f>IF(D254&lt;=Assumptions!$G$139,Assumptions!$AK$139,IF(D254&lt;Assumptions!$AH$139,Assumptions!$AK$139+(Assumptions!$AL$139-Assumptions!$AK$139)*(D254-Assumptions!$G$139)/(Assumptions!$AH$139-Assumptions!$G$139),IF(D254&lt;Assumptions!$P$139,Assumptions!$AL$139+(Assumptions!$AM$139-Assumptions!$AL$139)*(D254-Assumptions!$AH$139)/(Assumptions!$P$139-Assumptions!$AH$139),Assumptions!$AM$139)))</f>
        <v>46875</v>
      </c>
      <c r="N254" s="44">
        <f t="shared" si="6"/>
        <v>69.137168141592923</v>
      </c>
      <c r="O254" s="45">
        <f t="shared" si="7"/>
        <v>2915</v>
      </c>
      <c r="P254" s="14" t="str">
        <f>IF(D254&gt;=Assumptions!$P$139,"High",IF(D254&gt;=Assumptions!$AH$139,"Mid",IF(D254&lt;=Assumptions!$G$139,"Low","Loading")))</f>
        <v>Mid</v>
      </c>
      <c r="Q254" s="46">
        <f>MAX(K254,MIN(Assumptions!$S$139,O254),Q255)</f>
        <v>2915</v>
      </c>
      <c r="R254" s="12">
        <f>IF(AND(Q254&lt;=K254,INDEX(Assumptions!$C$26:$C$36,MATCH(G254,Assumptions!$A$26:$A$36,0))&lt;&gt;""),INDEX(Assumptions!$C$26:$C$36,MATCH(G254,Assumptions!$A$26:$A$36,0)),ROUND(G254*Q254,-2))</f>
        <v>1976400</v>
      </c>
      <c r="S254" s="47" t="str">
        <f>TRIM(IF(AND(Assumptions!$L$139&lt;&gt;"",D254&lt;Assumptions!$L$139),"View blocked / roof in front ("&amp;Assumptions!$M$139&amp;"); view premium still loading until L"&amp;Assumptions!$L$139&amp;". ","")&amp;IF(D254=Assumptions!$AH$139,"Mid-floor view premium fully loaded. ","")&amp;IF(D254=Assumptions!$P$139,"High-floor view premium fully loaded. ","")&amp;IF(Q254&lt;=K254,"At developer starting price.",""))</f>
        <v/>
      </c>
      <c r="T254" s="48" t="str">
        <f>Assumptions!$AJ$139</f>
        <v>SSW. Unblocked direct view of landed estate &amp; nature reserve</v>
      </c>
    </row>
    <row r="255" spans="1:20" x14ac:dyDescent="0.2">
      <c r="A255" s="13" t="s">
        <v>383</v>
      </c>
      <c r="B255" s="14">
        <v>3</v>
      </c>
      <c r="C255" s="40">
        <v>13</v>
      </c>
      <c r="D255" s="40">
        <v>11</v>
      </c>
      <c r="E255" s="9" t="s">
        <v>43</v>
      </c>
      <c r="F255" s="14" t="s">
        <v>373</v>
      </c>
      <c r="G255" s="10">
        <v>678</v>
      </c>
      <c r="H255" s="14" t="s">
        <v>62</v>
      </c>
      <c r="I255" s="41" t="str">
        <f>Assumptions!$I$139</f>
        <v>B</v>
      </c>
      <c r="J255" s="14" t="str">
        <f>IF(D255&lt;=Assumptions!$V$139,"Low",IF(D255&lt;=Assumptions!$W$139,"Mid","High"))</f>
        <v>Mid</v>
      </c>
      <c r="K255" s="15">
        <f>Assumptions!$Q$139</f>
        <v>2613</v>
      </c>
      <c r="L255" s="42">
        <f>INDEX(Assumptions!$C$61:$C$90,D255)</f>
        <v>2826.6287532991773</v>
      </c>
      <c r="M255" s="43">
        <f>IF(D255&lt;=Assumptions!$G$139,Assumptions!$AK$139,IF(D255&lt;Assumptions!$AH$139,Assumptions!$AK$139+(Assumptions!$AL$139-Assumptions!$AK$139)*(D255-Assumptions!$G$139)/(Assumptions!$AH$139-Assumptions!$G$139),IF(D255&lt;Assumptions!$P$139,Assumptions!$AL$139+(Assumptions!$AM$139-Assumptions!$AL$139)*(D255-Assumptions!$AH$139)/(Assumptions!$P$139-Assumptions!$AH$139),Assumptions!$AM$139)))</f>
        <v>47656.25</v>
      </c>
      <c r="N255" s="44">
        <f t="shared" si="6"/>
        <v>70.28945427728614</v>
      </c>
      <c r="O255" s="45">
        <f t="shared" si="7"/>
        <v>2897</v>
      </c>
      <c r="P255" s="14" t="str">
        <f>IF(D255&gt;=Assumptions!$P$139,"High",IF(D255&gt;=Assumptions!$AH$139,"Mid",IF(D255&lt;=Assumptions!$G$139,"Low","Loading")))</f>
        <v>Mid</v>
      </c>
      <c r="Q255" s="46">
        <f>MAX(K255,MIN(Assumptions!$S$139,O255),Q256)</f>
        <v>2897</v>
      </c>
      <c r="R255" s="12">
        <f>IF(AND(Q255&lt;=K255,INDEX(Assumptions!$C$26:$C$36,MATCH(G255,Assumptions!$A$26:$A$36,0))&lt;&gt;""),INDEX(Assumptions!$C$26:$C$36,MATCH(G255,Assumptions!$A$26:$A$36,0)),ROUND(G255*Q255,-2))</f>
        <v>1964200</v>
      </c>
      <c r="S255" s="47" t="str">
        <f>TRIM(IF(AND(Assumptions!$L$139&lt;&gt;"",D255&lt;Assumptions!$L$139),"View blocked / roof in front ("&amp;Assumptions!$M$139&amp;"); view premium still loading until L"&amp;Assumptions!$L$139&amp;". ","")&amp;IF(D255=Assumptions!$AH$139,"Mid-floor view premium fully loaded. ","")&amp;IF(D255=Assumptions!$P$139,"High-floor view premium fully loaded. ","")&amp;IF(Q255&lt;=K255,"At developer starting price.",""))</f>
        <v/>
      </c>
      <c r="T255" s="48" t="str">
        <f>Assumptions!$AJ$139</f>
        <v>SSW. Unblocked direct view of landed estate &amp; nature reserve</v>
      </c>
    </row>
    <row r="256" spans="1:20" x14ac:dyDescent="0.2">
      <c r="A256" s="13" t="s">
        <v>384</v>
      </c>
      <c r="B256" s="14">
        <v>3</v>
      </c>
      <c r="C256" s="40">
        <v>13</v>
      </c>
      <c r="D256" s="40">
        <v>10</v>
      </c>
      <c r="E256" s="9" t="s">
        <v>43</v>
      </c>
      <c r="F256" s="14" t="s">
        <v>373</v>
      </c>
      <c r="G256" s="10">
        <v>678</v>
      </c>
      <c r="H256" s="14" t="s">
        <v>62</v>
      </c>
      <c r="I256" s="41" t="str">
        <f>Assumptions!$I$139</f>
        <v>B</v>
      </c>
      <c r="J256" s="14" t="str">
        <f>IF(D256&lt;=Assumptions!$V$139,"Low",IF(D256&lt;=Assumptions!$W$139,"Mid","High"))</f>
        <v>Mid</v>
      </c>
      <c r="K256" s="15">
        <f>Assumptions!$Q$139</f>
        <v>2613</v>
      </c>
      <c r="L256" s="42">
        <f>INDEX(Assumptions!$C$61:$C$90,D256)</f>
        <v>2811.0862598975314</v>
      </c>
      <c r="M256" s="43">
        <f>IF(D256&lt;=Assumptions!$G$139,Assumptions!$AK$139,IF(D256&lt;Assumptions!$AH$139,Assumptions!$AK$139+(Assumptions!$AL$139-Assumptions!$AK$139)*(D256-Assumptions!$G$139)/(Assumptions!$AH$139-Assumptions!$G$139),IF(D256&lt;Assumptions!$P$139,Assumptions!$AL$139+(Assumptions!$AM$139-Assumptions!$AL$139)*(D256-Assumptions!$AH$139)/(Assumptions!$P$139-Assumptions!$AH$139),Assumptions!$AM$139)))</f>
        <v>48437.5</v>
      </c>
      <c r="N256" s="44">
        <f t="shared" si="6"/>
        <v>71.441740412979357</v>
      </c>
      <c r="O256" s="45">
        <f t="shared" si="7"/>
        <v>2883</v>
      </c>
      <c r="P256" s="14" t="str">
        <f>IF(D256&gt;=Assumptions!$P$139,"High",IF(D256&gt;=Assumptions!$AH$139,"Mid",IF(D256&lt;=Assumptions!$G$139,"Low","Loading")))</f>
        <v>Mid</v>
      </c>
      <c r="Q256" s="46">
        <f>MAX(K256,MIN(Assumptions!$S$139,O256),Q257)</f>
        <v>2883</v>
      </c>
      <c r="R256" s="12">
        <f>IF(AND(Q256&lt;=K256,INDEX(Assumptions!$C$26:$C$36,MATCH(G256,Assumptions!$A$26:$A$36,0))&lt;&gt;""),INDEX(Assumptions!$C$26:$C$36,MATCH(G256,Assumptions!$A$26:$A$36,0)),ROUND(G256*Q256,-2))</f>
        <v>1954700</v>
      </c>
      <c r="S256" s="47" t="str">
        <f>TRIM(IF(AND(Assumptions!$L$139&lt;&gt;"",D256&lt;Assumptions!$L$139),"View blocked / roof in front ("&amp;Assumptions!$M$139&amp;"); view premium still loading until L"&amp;Assumptions!$L$139&amp;". ","")&amp;IF(D256=Assumptions!$AH$139,"Mid-floor view premium fully loaded. ","")&amp;IF(D256=Assumptions!$P$139,"High-floor view premium fully loaded. ","")&amp;IF(Q256&lt;=K256,"At developer starting price.",""))</f>
        <v/>
      </c>
      <c r="T256" s="48" t="str">
        <f>Assumptions!$AJ$139</f>
        <v>SSW. Unblocked direct view of landed estate &amp; nature reserve</v>
      </c>
    </row>
    <row r="257" spans="1:20" x14ac:dyDescent="0.2">
      <c r="A257" s="13" t="s">
        <v>385</v>
      </c>
      <c r="B257" s="14">
        <v>3</v>
      </c>
      <c r="C257" s="40">
        <v>13</v>
      </c>
      <c r="D257" s="40">
        <v>9</v>
      </c>
      <c r="E257" s="9" t="s">
        <v>43</v>
      </c>
      <c r="F257" s="14" t="s">
        <v>373</v>
      </c>
      <c r="G257" s="10">
        <v>678</v>
      </c>
      <c r="H257" s="14" t="s">
        <v>62</v>
      </c>
      <c r="I257" s="41" t="str">
        <f>Assumptions!$I$139</f>
        <v>B</v>
      </c>
      <c r="J257" s="14" t="str">
        <f>IF(D257&lt;=Assumptions!$V$139,"Low",IF(D257&lt;=Assumptions!$W$139,"Mid","High"))</f>
        <v>Mid</v>
      </c>
      <c r="K257" s="15">
        <f>Assumptions!$Q$139</f>
        <v>2613</v>
      </c>
      <c r="L257" s="42">
        <f>INDEX(Assumptions!$C$61:$C$90,D257)</f>
        <v>2795.5437664958858</v>
      </c>
      <c r="M257" s="43">
        <f>IF(D257&lt;=Assumptions!$G$139,Assumptions!$AK$139,IF(D257&lt;Assumptions!$AH$139,Assumptions!$AK$139+(Assumptions!$AL$139-Assumptions!$AK$139)*(D257-Assumptions!$G$139)/(Assumptions!$AH$139-Assumptions!$G$139),IF(D257&lt;Assumptions!$P$139,Assumptions!$AL$139+(Assumptions!$AM$139-Assumptions!$AL$139)*(D257-Assumptions!$AH$139)/(Assumptions!$P$139-Assumptions!$AH$139),Assumptions!$AM$139)))</f>
        <v>49218.75</v>
      </c>
      <c r="N257" s="44">
        <f t="shared" si="6"/>
        <v>72.594026548672559</v>
      </c>
      <c r="O257" s="45">
        <f t="shared" si="7"/>
        <v>2868</v>
      </c>
      <c r="P257" s="14" t="str">
        <f>IF(D257&gt;=Assumptions!$P$139,"High",IF(D257&gt;=Assumptions!$AH$139,"Mid",IF(D257&lt;=Assumptions!$G$139,"Low","Loading")))</f>
        <v>Mid</v>
      </c>
      <c r="Q257" s="46">
        <f>MAX(K257,MIN(Assumptions!$S$139,O257),Q258)</f>
        <v>2868</v>
      </c>
      <c r="R257" s="12">
        <f>IF(AND(Q257&lt;=K257,INDEX(Assumptions!$C$26:$C$36,MATCH(G257,Assumptions!$A$26:$A$36,0))&lt;&gt;""),INDEX(Assumptions!$C$26:$C$36,MATCH(G257,Assumptions!$A$26:$A$36,0)),ROUND(G257*Q257,-2))</f>
        <v>1944500</v>
      </c>
      <c r="S257" s="47" t="str">
        <f>TRIM(IF(AND(Assumptions!$L$139&lt;&gt;"",D257&lt;Assumptions!$L$139),"View blocked / roof in front ("&amp;Assumptions!$M$139&amp;"); view premium still loading until L"&amp;Assumptions!$L$139&amp;". ","")&amp;IF(D257=Assumptions!$AH$139,"Mid-floor view premium fully loaded. ","")&amp;IF(D257=Assumptions!$P$139,"High-floor view premium fully loaded. ","")&amp;IF(Q257&lt;=K257,"At developer starting price.",""))</f>
        <v/>
      </c>
      <c r="T257" s="48" t="str">
        <f>Assumptions!$AJ$139</f>
        <v>SSW. Unblocked direct view of landed estate &amp; nature reserve</v>
      </c>
    </row>
    <row r="258" spans="1:20" x14ac:dyDescent="0.2">
      <c r="A258" s="13" t="s">
        <v>386</v>
      </c>
      <c r="B258" s="14">
        <v>3</v>
      </c>
      <c r="C258" s="40">
        <v>13</v>
      </c>
      <c r="D258" s="40">
        <v>8</v>
      </c>
      <c r="E258" s="9" t="s">
        <v>43</v>
      </c>
      <c r="F258" s="14" t="s">
        <v>373</v>
      </c>
      <c r="G258" s="10">
        <v>678</v>
      </c>
      <c r="H258" s="14" t="s">
        <v>62</v>
      </c>
      <c r="I258" s="41" t="str">
        <f>Assumptions!$I$139</f>
        <v>B</v>
      </c>
      <c r="J258" s="14" t="str">
        <f>IF(D258&lt;=Assumptions!$V$139,"Low",IF(D258&lt;=Assumptions!$W$139,"Mid","High"))</f>
        <v>Mid</v>
      </c>
      <c r="K258" s="15">
        <f>Assumptions!$Q$139</f>
        <v>2613</v>
      </c>
      <c r="L258" s="42">
        <f>INDEX(Assumptions!$C$61:$C$90,D258)</f>
        <v>2780.0012730942403</v>
      </c>
      <c r="M258" s="43">
        <f>IF(D258&lt;=Assumptions!$G$139,Assumptions!$AK$139,IF(D258&lt;Assumptions!$AH$139,Assumptions!$AK$139+(Assumptions!$AL$139-Assumptions!$AK$139)*(D258-Assumptions!$G$139)/(Assumptions!$AH$139-Assumptions!$G$139),IF(D258&lt;Assumptions!$P$139,Assumptions!$AL$139+(Assumptions!$AM$139-Assumptions!$AL$139)*(D258-Assumptions!$AH$139)/(Assumptions!$P$139-Assumptions!$AH$139),Assumptions!$AM$139)))</f>
        <v>50000</v>
      </c>
      <c r="N258" s="44">
        <f t="shared" si="6"/>
        <v>73.746312684365776</v>
      </c>
      <c r="O258" s="45">
        <f t="shared" si="7"/>
        <v>2854</v>
      </c>
      <c r="P258" s="14" t="str">
        <f>IF(D258&gt;=Assumptions!$P$139,"High",IF(D258&gt;=Assumptions!$AH$139,"Mid",IF(D258&lt;=Assumptions!$G$139,"Low","Loading")))</f>
        <v>Mid</v>
      </c>
      <c r="Q258" s="46">
        <f>MAX(K258,MIN(Assumptions!$S$139,O258),Q259)</f>
        <v>2854</v>
      </c>
      <c r="R258" s="12">
        <f>IF(AND(Q258&lt;=K258,INDEX(Assumptions!$C$26:$C$36,MATCH(G258,Assumptions!$A$26:$A$36,0))&lt;&gt;""),INDEX(Assumptions!$C$26:$C$36,MATCH(G258,Assumptions!$A$26:$A$36,0)),ROUND(G258*Q258,-2))</f>
        <v>1935000</v>
      </c>
      <c r="S258" s="47" t="str">
        <f>TRIM(IF(AND(Assumptions!$L$139&lt;&gt;"",D258&lt;Assumptions!$L$139),"View blocked / roof in front ("&amp;Assumptions!$M$139&amp;"); view premium still loading until L"&amp;Assumptions!$L$139&amp;". ","")&amp;IF(D258=Assumptions!$AH$139,"Mid-floor view premium fully loaded. ","")&amp;IF(D258=Assumptions!$P$139,"High-floor view premium fully loaded. ","")&amp;IF(Q258&lt;=K258,"At developer starting price.",""))</f>
        <v>Mid-floor view premium fully loaded.</v>
      </c>
      <c r="T258" s="48" t="str">
        <f>Assumptions!$AJ$139</f>
        <v>SSW. Unblocked direct view of landed estate &amp; nature reserve</v>
      </c>
    </row>
    <row r="259" spans="1:20" x14ac:dyDescent="0.2">
      <c r="A259" s="13" t="s">
        <v>387</v>
      </c>
      <c r="B259" s="14">
        <v>3</v>
      </c>
      <c r="C259" s="40">
        <v>13</v>
      </c>
      <c r="D259" s="40">
        <v>7</v>
      </c>
      <c r="E259" s="9" t="s">
        <v>43</v>
      </c>
      <c r="F259" s="14" t="s">
        <v>373</v>
      </c>
      <c r="G259" s="10">
        <v>678</v>
      </c>
      <c r="H259" s="14" t="s">
        <v>62</v>
      </c>
      <c r="I259" s="41" t="str">
        <f>Assumptions!$I$139</f>
        <v>B</v>
      </c>
      <c r="J259" s="14" t="str">
        <f>IF(D259&lt;=Assumptions!$V$139,"Low",IF(D259&lt;=Assumptions!$W$139,"Mid","High"))</f>
        <v>Low</v>
      </c>
      <c r="K259" s="15">
        <f>Assumptions!$Q$139</f>
        <v>2613</v>
      </c>
      <c r="L259" s="42">
        <f>INDEX(Assumptions!$C$61:$C$90,D259)</f>
        <v>2764.4587796925944</v>
      </c>
      <c r="M259" s="43">
        <f>IF(D259&lt;=Assumptions!$G$139,Assumptions!$AK$139,IF(D259&lt;Assumptions!$AH$139,Assumptions!$AK$139+(Assumptions!$AL$139-Assumptions!$AK$139)*(D259-Assumptions!$G$139)/(Assumptions!$AH$139-Assumptions!$G$139),IF(D259&lt;Assumptions!$P$139,Assumptions!$AL$139+(Assumptions!$AM$139-Assumptions!$AL$139)*(D259-Assumptions!$AH$139)/(Assumptions!$P$139-Assumptions!$AH$139),Assumptions!$AM$139)))</f>
        <v>50000</v>
      </c>
      <c r="N259" s="44">
        <f t="shared" si="6"/>
        <v>73.746312684365776</v>
      </c>
      <c r="O259" s="45">
        <f t="shared" si="7"/>
        <v>2838</v>
      </c>
      <c r="P259" s="14" t="str">
        <f>IF(D259&gt;=Assumptions!$P$139,"High",IF(D259&gt;=Assumptions!$AH$139,"Mid",IF(D259&lt;=Assumptions!$G$139,"Low","Loading")))</f>
        <v>Loading</v>
      </c>
      <c r="Q259" s="46">
        <f>MAX(K259,MIN(Assumptions!$S$139,O259),Q260)</f>
        <v>2838</v>
      </c>
      <c r="R259" s="12">
        <f>IF(AND(Q259&lt;=K259,INDEX(Assumptions!$C$26:$C$36,MATCH(G259,Assumptions!$A$26:$A$36,0))&lt;&gt;""),INDEX(Assumptions!$C$26:$C$36,MATCH(G259,Assumptions!$A$26:$A$36,0)),ROUND(G259*Q259,-2))</f>
        <v>1924200</v>
      </c>
      <c r="S259" s="47" t="str">
        <f>TRIM(IF(AND(Assumptions!$L$139&lt;&gt;"",D259&lt;Assumptions!$L$139),"View blocked / roof in front ("&amp;Assumptions!$M$139&amp;"); view premium still loading until L"&amp;Assumptions!$L$139&amp;". ","")&amp;IF(D259=Assumptions!$AH$139,"Mid-floor view premium fully loaded. ","")&amp;IF(D259=Assumptions!$P$139,"High-floor view premium fully loaded. ","")&amp;IF(Q259&lt;=K259,"At developer starting price.",""))</f>
        <v/>
      </c>
      <c r="T259" s="48" t="str">
        <f>Assumptions!$AJ$139</f>
        <v>SSW. Unblocked direct view of landed estate &amp; nature reserve</v>
      </c>
    </row>
    <row r="260" spans="1:20" x14ac:dyDescent="0.2">
      <c r="A260" s="13" t="s">
        <v>388</v>
      </c>
      <c r="B260" s="14">
        <v>3</v>
      </c>
      <c r="C260" s="40">
        <v>13</v>
      </c>
      <c r="D260" s="40">
        <v>6</v>
      </c>
      <c r="E260" s="9" t="s">
        <v>43</v>
      </c>
      <c r="F260" s="14" t="s">
        <v>373</v>
      </c>
      <c r="G260" s="10">
        <v>678</v>
      </c>
      <c r="H260" s="14" t="s">
        <v>62</v>
      </c>
      <c r="I260" s="41" t="str">
        <f>Assumptions!$I$139</f>
        <v>B</v>
      </c>
      <c r="J260" s="14" t="str">
        <f>IF(D260&lt;=Assumptions!$V$139,"Low",IF(D260&lt;=Assumptions!$W$139,"Mid","High"))</f>
        <v>Low</v>
      </c>
      <c r="K260" s="15">
        <f>Assumptions!$Q$139</f>
        <v>2613</v>
      </c>
      <c r="L260" s="42">
        <f>INDEX(Assumptions!$C$61:$C$90,D260)</f>
        <v>2748.9162862909488</v>
      </c>
      <c r="M260" s="43">
        <f>IF(D260&lt;=Assumptions!$G$139,Assumptions!$AK$139,IF(D260&lt;Assumptions!$AH$139,Assumptions!$AK$139+(Assumptions!$AL$139-Assumptions!$AK$139)*(D260-Assumptions!$G$139)/(Assumptions!$AH$139-Assumptions!$G$139),IF(D260&lt;Assumptions!$P$139,Assumptions!$AL$139+(Assumptions!$AM$139-Assumptions!$AL$139)*(D260-Assumptions!$AH$139)/(Assumptions!$P$139-Assumptions!$AH$139),Assumptions!$AM$139)))</f>
        <v>50000</v>
      </c>
      <c r="N260" s="44">
        <f t="shared" si="6"/>
        <v>73.746312684365776</v>
      </c>
      <c r="O260" s="45">
        <f t="shared" si="7"/>
        <v>2823</v>
      </c>
      <c r="P260" s="14" t="str">
        <f>IF(D260&gt;=Assumptions!$P$139,"High",IF(D260&gt;=Assumptions!$AH$139,"Mid",IF(D260&lt;=Assumptions!$G$139,"Low","Loading")))</f>
        <v>Loading</v>
      </c>
      <c r="Q260" s="46">
        <f>MAX(K260,MIN(Assumptions!$S$139,O260),Q261)</f>
        <v>2823</v>
      </c>
      <c r="R260" s="12">
        <f>IF(AND(Q260&lt;=K260,INDEX(Assumptions!$C$26:$C$36,MATCH(G260,Assumptions!$A$26:$A$36,0))&lt;&gt;""),INDEX(Assumptions!$C$26:$C$36,MATCH(G260,Assumptions!$A$26:$A$36,0)),ROUND(G260*Q260,-2))</f>
        <v>1914000</v>
      </c>
      <c r="S260" s="47" t="str">
        <f>TRIM(IF(AND(Assumptions!$L$139&lt;&gt;"",D260&lt;Assumptions!$L$139),"View blocked / roof in front ("&amp;Assumptions!$M$139&amp;"); view premium still loading until L"&amp;Assumptions!$L$139&amp;". ","")&amp;IF(D260=Assumptions!$AH$139,"Mid-floor view premium fully loaded. ","")&amp;IF(D260=Assumptions!$P$139,"High-floor view premium fully loaded. ","")&amp;IF(Q260&lt;=K260,"At developer starting price.",""))</f>
        <v/>
      </c>
      <c r="T260" s="48" t="str">
        <f>Assumptions!$AJ$139</f>
        <v>SSW. Unblocked direct view of landed estate &amp; nature reserve</v>
      </c>
    </row>
    <row r="261" spans="1:20" x14ac:dyDescent="0.2">
      <c r="A261" s="13" t="s">
        <v>389</v>
      </c>
      <c r="B261" s="14">
        <v>3</v>
      </c>
      <c r="C261" s="40">
        <v>13</v>
      </c>
      <c r="D261" s="40">
        <v>5</v>
      </c>
      <c r="E261" s="9" t="s">
        <v>43</v>
      </c>
      <c r="F261" s="14" t="s">
        <v>373</v>
      </c>
      <c r="G261" s="10">
        <v>678</v>
      </c>
      <c r="H261" s="14" t="s">
        <v>62</v>
      </c>
      <c r="I261" s="41" t="str">
        <f>Assumptions!$I$139</f>
        <v>B</v>
      </c>
      <c r="J261" s="14" t="str">
        <f>IF(D261&lt;=Assumptions!$V$139,"Low",IF(D261&lt;=Assumptions!$W$139,"Mid","High"))</f>
        <v>Low</v>
      </c>
      <c r="K261" s="15">
        <f>Assumptions!$Q$139</f>
        <v>2613</v>
      </c>
      <c r="L261" s="42">
        <f>INDEX(Assumptions!$C$61:$C$90,D261)</f>
        <v>2733.3737928893029</v>
      </c>
      <c r="M261" s="43">
        <f>IF(D261&lt;=Assumptions!$G$139,Assumptions!$AK$139,IF(D261&lt;Assumptions!$AH$139,Assumptions!$AK$139+(Assumptions!$AL$139-Assumptions!$AK$139)*(D261-Assumptions!$G$139)/(Assumptions!$AH$139-Assumptions!$G$139),IF(D261&lt;Assumptions!$P$139,Assumptions!$AL$139+(Assumptions!$AM$139-Assumptions!$AL$139)*(D261-Assumptions!$AH$139)/(Assumptions!$P$139-Assumptions!$AH$139),Assumptions!$AM$139)))</f>
        <v>50000</v>
      </c>
      <c r="N261" s="44">
        <f t="shared" ref="N261:N324" si="8">M261/G261</f>
        <v>73.746312684365776</v>
      </c>
      <c r="O261" s="45">
        <f t="shared" ref="O261:O324" si="9">ROUND(L261+N261,0)</f>
        <v>2807</v>
      </c>
      <c r="P261" s="14" t="str">
        <f>IF(D261&gt;=Assumptions!$P$139,"High",IF(D261&gt;=Assumptions!$AH$139,"Mid",IF(D261&lt;=Assumptions!$G$139,"Low","Loading")))</f>
        <v>Loading</v>
      </c>
      <c r="Q261" s="46">
        <f>MAX(K261,MIN(Assumptions!$S$139,O261),Q262)</f>
        <v>2807</v>
      </c>
      <c r="R261" s="12">
        <f>IF(AND(Q261&lt;=K261,INDEX(Assumptions!$C$26:$C$36,MATCH(G261,Assumptions!$A$26:$A$36,0))&lt;&gt;""),INDEX(Assumptions!$C$26:$C$36,MATCH(G261,Assumptions!$A$26:$A$36,0)),ROUND(G261*Q261,-2))</f>
        <v>1903100</v>
      </c>
      <c r="S261" s="47" t="str">
        <f>TRIM(IF(AND(Assumptions!$L$139&lt;&gt;"",D261&lt;Assumptions!$L$139),"View blocked / roof in front ("&amp;Assumptions!$M$139&amp;"); view premium still loading until L"&amp;Assumptions!$L$139&amp;". ","")&amp;IF(D261=Assumptions!$AH$139,"Mid-floor view premium fully loaded. ","")&amp;IF(D261=Assumptions!$P$139,"High-floor view premium fully loaded. ","")&amp;IF(Q261&lt;=K261,"At developer starting price.",""))</f>
        <v/>
      </c>
      <c r="T261" s="48" t="str">
        <f>Assumptions!$AJ$139</f>
        <v>SSW. Unblocked direct view of landed estate &amp; nature reserve</v>
      </c>
    </row>
    <row r="262" spans="1:20" x14ac:dyDescent="0.2">
      <c r="A262" s="13" t="s">
        <v>390</v>
      </c>
      <c r="B262" s="14">
        <v>3</v>
      </c>
      <c r="C262" s="40">
        <v>13</v>
      </c>
      <c r="D262" s="40">
        <v>4</v>
      </c>
      <c r="E262" s="9" t="s">
        <v>43</v>
      </c>
      <c r="F262" s="14" t="s">
        <v>373</v>
      </c>
      <c r="G262" s="10">
        <v>678</v>
      </c>
      <c r="H262" s="14" t="s">
        <v>62</v>
      </c>
      <c r="I262" s="41" t="str">
        <f>Assumptions!$I$139</f>
        <v>B</v>
      </c>
      <c r="J262" s="14" t="str">
        <f>IF(D262&lt;=Assumptions!$V$139,"Low",IF(D262&lt;=Assumptions!$W$139,"Mid","High"))</f>
        <v>Low</v>
      </c>
      <c r="K262" s="15">
        <f>Assumptions!$Q$139</f>
        <v>2613</v>
      </c>
      <c r="L262" s="42">
        <f>INDEX(Assumptions!$C$61:$C$90,D262)</f>
        <v>2717.8312994876574</v>
      </c>
      <c r="M262" s="43">
        <f>IF(D262&lt;=Assumptions!$G$139,Assumptions!$AK$139,IF(D262&lt;Assumptions!$AH$139,Assumptions!$AK$139+(Assumptions!$AL$139-Assumptions!$AK$139)*(D262-Assumptions!$G$139)/(Assumptions!$AH$139-Assumptions!$G$139),IF(D262&lt;Assumptions!$P$139,Assumptions!$AL$139+(Assumptions!$AM$139-Assumptions!$AL$139)*(D262-Assumptions!$AH$139)/(Assumptions!$P$139-Assumptions!$AH$139),Assumptions!$AM$139)))</f>
        <v>50000</v>
      </c>
      <c r="N262" s="44">
        <f t="shared" si="8"/>
        <v>73.746312684365776</v>
      </c>
      <c r="O262" s="45">
        <f t="shared" si="9"/>
        <v>2792</v>
      </c>
      <c r="P262" s="14" t="str">
        <f>IF(D262&gt;=Assumptions!$P$139,"High",IF(D262&gt;=Assumptions!$AH$139,"Mid",IF(D262&lt;=Assumptions!$G$139,"Low","Loading")))</f>
        <v>Loading</v>
      </c>
      <c r="Q262" s="46">
        <f>MAX(K262,MIN(Assumptions!$S$139,O262),Q263)</f>
        <v>2792</v>
      </c>
      <c r="R262" s="12">
        <f>IF(AND(Q262&lt;=K262,INDEX(Assumptions!$C$26:$C$36,MATCH(G262,Assumptions!$A$26:$A$36,0))&lt;&gt;""),INDEX(Assumptions!$C$26:$C$36,MATCH(G262,Assumptions!$A$26:$A$36,0)),ROUND(G262*Q262,-2))</f>
        <v>1893000</v>
      </c>
      <c r="S262" s="47" t="str">
        <f>TRIM(IF(AND(Assumptions!$L$139&lt;&gt;"",D262&lt;Assumptions!$L$139),"View blocked / roof in front ("&amp;Assumptions!$M$139&amp;"); view premium still loading until L"&amp;Assumptions!$L$139&amp;". ","")&amp;IF(D262=Assumptions!$AH$139,"Mid-floor view premium fully loaded. ","")&amp;IF(D262=Assumptions!$P$139,"High-floor view premium fully loaded. ","")&amp;IF(Q262&lt;=K262,"At developer starting price.",""))</f>
        <v/>
      </c>
      <c r="T262" s="48" t="str">
        <f>Assumptions!$AJ$139</f>
        <v>SSW. Unblocked direct view of landed estate &amp; nature reserve</v>
      </c>
    </row>
    <row r="263" spans="1:20" x14ac:dyDescent="0.2">
      <c r="A263" s="13" t="s">
        <v>391</v>
      </c>
      <c r="B263" s="14">
        <v>3</v>
      </c>
      <c r="C263" s="40">
        <v>13</v>
      </c>
      <c r="D263" s="40">
        <v>3</v>
      </c>
      <c r="E263" s="9" t="s">
        <v>43</v>
      </c>
      <c r="F263" s="14" t="s">
        <v>373</v>
      </c>
      <c r="G263" s="10">
        <v>678</v>
      </c>
      <c r="H263" s="14" t="s">
        <v>62</v>
      </c>
      <c r="I263" s="41" t="str">
        <f>Assumptions!$I$139</f>
        <v>B</v>
      </c>
      <c r="J263" s="14" t="str">
        <f>IF(D263&lt;=Assumptions!$V$139,"Low",IF(D263&lt;=Assumptions!$W$139,"Mid","High"))</f>
        <v>Low</v>
      </c>
      <c r="K263" s="15">
        <f>Assumptions!$Q$139</f>
        <v>2613</v>
      </c>
      <c r="L263" s="42">
        <f>INDEX(Assumptions!$C$61:$C$90,D263)</f>
        <v>2702.2888060860114</v>
      </c>
      <c r="M263" s="43">
        <f>IF(D263&lt;=Assumptions!$G$139,Assumptions!$AK$139,IF(D263&lt;Assumptions!$AH$139,Assumptions!$AK$139+(Assumptions!$AL$139-Assumptions!$AK$139)*(D263-Assumptions!$G$139)/(Assumptions!$AH$139-Assumptions!$G$139),IF(D263&lt;Assumptions!$P$139,Assumptions!$AL$139+(Assumptions!$AM$139-Assumptions!$AL$139)*(D263-Assumptions!$AH$139)/(Assumptions!$P$139-Assumptions!$AH$139),Assumptions!$AM$139)))</f>
        <v>50000</v>
      </c>
      <c r="N263" s="44">
        <f t="shared" si="8"/>
        <v>73.746312684365776</v>
      </c>
      <c r="O263" s="45">
        <f t="shared" si="9"/>
        <v>2776</v>
      </c>
      <c r="P263" s="14" t="str">
        <f>IF(D263&gt;=Assumptions!$P$139,"High",IF(D263&gt;=Assumptions!$AH$139,"Mid",IF(D263&lt;=Assumptions!$G$139,"Low","Loading")))</f>
        <v>Loading</v>
      </c>
      <c r="Q263" s="46">
        <f>MAX(K263,MIN(Assumptions!$S$139,O263),Q264)</f>
        <v>2776</v>
      </c>
      <c r="R263" s="12">
        <f>IF(AND(Q263&lt;=K263,INDEX(Assumptions!$C$26:$C$36,MATCH(G263,Assumptions!$A$26:$A$36,0))&lt;&gt;""),INDEX(Assumptions!$C$26:$C$36,MATCH(G263,Assumptions!$A$26:$A$36,0)),ROUND(G263*Q263,-2))</f>
        <v>1882100</v>
      </c>
      <c r="S263" s="47" t="str">
        <f>TRIM(IF(AND(Assumptions!$L$139&lt;&gt;"",D263&lt;Assumptions!$L$139),"View blocked / roof in front ("&amp;Assumptions!$M$139&amp;"); view premium still loading until L"&amp;Assumptions!$L$139&amp;". ","")&amp;IF(D263=Assumptions!$AH$139,"Mid-floor view premium fully loaded. ","")&amp;IF(D263=Assumptions!$P$139,"High-floor view premium fully loaded. ","")&amp;IF(Q263&lt;=K263,"At developer starting price.",""))</f>
        <v/>
      </c>
      <c r="T263" s="48" t="str">
        <f>Assumptions!$AJ$139</f>
        <v>SSW. Unblocked direct view of landed estate &amp; nature reserve</v>
      </c>
    </row>
    <row r="264" spans="1:20" x14ac:dyDescent="0.2">
      <c r="A264" s="13" t="s">
        <v>392</v>
      </c>
      <c r="B264" s="14">
        <v>3</v>
      </c>
      <c r="C264" s="40">
        <v>13</v>
      </c>
      <c r="D264" s="40">
        <v>2</v>
      </c>
      <c r="E264" s="9" t="s">
        <v>43</v>
      </c>
      <c r="F264" s="14" t="s">
        <v>393</v>
      </c>
      <c r="G264" s="10">
        <v>678</v>
      </c>
      <c r="H264" s="14" t="s">
        <v>62</v>
      </c>
      <c r="I264" s="41" t="str">
        <f>Assumptions!$I$139</f>
        <v>B</v>
      </c>
      <c r="J264" s="14" t="str">
        <f>IF(D264&lt;=Assumptions!$V$139,"Low",IF(D264&lt;=Assumptions!$W$139,"Mid","High"))</f>
        <v>Low</v>
      </c>
      <c r="K264" s="15">
        <f>Assumptions!$Q$139</f>
        <v>2613</v>
      </c>
      <c r="L264" s="42">
        <f>INDEX(Assumptions!$C$61:$C$90,D264)</f>
        <v>2686.7463126843659</v>
      </c>
      <c r="M264" s="43">
        <f>IF(D264&lt;=Assumptions!$G$139,Assumptions!$AK$139,IF(D264&lt;Assumptions!$AH$139,Assumptions!$AK$139+(Assumptions!$AL$139-Assumptions!$AK$139)*(D264-Assumptions!$G$139)/(Assumptions!$AH$139-Assumptions!$G$139),IF(D264&lt;Assumptions!$P$139,Assumptions!$AL$139+(Assumptions!$AM$139-Assumptions!$AL$139)*(D264-Assumptions!$AH$139)/(Assumptions!$P$139-Assumptions!$AH$139),Assumptions!$AM$139)))</f>
        <v>50000</v>
      </c>
      <c r="N264" s="44">
        <f t="shared" si="8"/>
        <v>73.746312684365776</v>
      </c>
      <c r="O264" s="45">
        <f t="shared" si="9"/>
        <v>2760</v>
      </c>
      <c r="P264" s="14" t="str">
        <f>IF(D264&gt;=Assumptions!$P$139,"High",IF(D264&gt;=Assumptions!$AH$139,"Mid",IF(D264&lt;=Assumptions!$G$139,"Low","Loading")))</f>
        <v>Low</v>
      </c>
      <c r="Q264" s="46">
        <f>MAX(K264,MIN(Assumptions!$S$139,O264))</f>
        <v>2760</v>
      </c>
      <c r="R264" s="12">
        <f>IF(AND(Q264&lt;=K264,INDEX(Assumptions!$C$26:$C$36,MATCH(G264,Assumptions!$A$26:$A$36,0))&lt;&gt;""),INDEX(Assumptions!$C$26:$C$36,MATCH(G264,Assumptions!$A$26:$A$36,0)),ROUND(G264*Q264,-2))</f>
        <v>1871300</v>
      </c>
      <c r="S264" s="47" t="str">
        <f>TRIM(IF(AND(Assumptions!$L$139&lt;&gt;"",D264&lt;Assumptions!$L$139),"View blocked / roof in front ("&amp;Assumptions!$M$139&amp;"); view premium still loading until L"&amp;Assumptions!$L$139&amp;". ","")&amp;IF(D264=Assumptions!$AH$139,"Mid-floor view premium fully loaded. ","")&amp;IF(D264=Assumptions!$P$139,"High-floor view premium fully loaded. ","")&amp;IF(Q264&lt;=K264,"At developer starting price.",""))</f>
        <v/>
      </c>
      <c r="T264" s="48" t="str">
        <f>Assumptions!$AJ$139</f>
        <v>SSW. Unblocked direct view of landed estate &amp; nature reserve</v>
      </c>
    </row>
    <row r="265" spans="1:20" x14ac:dyDescent="0.2">
      <c r="A265" s="13" t="s">
        <v>394</v>
      </c>
      <c r="B265" s="14">
        <v>3</v>
      </c>
      <c r="C265" s="40">
        <v>14</v>
      </c>
      <c r="D265" s="40">
        <v>21</v>
      </c>
      <c r="E265" s="9" t="s">
        <v>48</v>
      </c>
      <c r="F265" s="14" t="s">
        <v>395</v>
      </c>
      <c r="G265" s="10">
        <v>1238</v>
      </c>
      <c r="H265" s="14" t="s">
        <v>62</v>
      </c>
      <c r="I265" s="41" t="str">
        <f>Assumptions!$I$140</f>
        <v>C</v>
      </c>
      <c r="J265" s="14" t="str">
        <f>IF(D265&lt;=Assumptions!$V$140,"Low",IF(D265&lt;=Assumptions!$W$140,"Mid","High"))</f>
        <v>High</v>
      </c>
      <c r="K265" s="15">
        <f>Assumptions!$Q$140</f>
        <v>2737</v>
      </c>
      <c r="L265" s="42">
        <f>INDEX(Assumptions!$N$61:$N$90,D265)</f>
        <v>3072.8285714285716</v>
      </c>
      <c r="M265" s="43">
        <f>IF(D265&lt;=Assumptions!$G$140,Assumptions!$AK$140,IF(D265&lt;Assumptions!$AH$140,Assumptions!$AK$140+(Assumptions!$AL$140-Assumptions!$AK$140)*(D265-Assumptions!$G$140)/(Assumptions!$AH$140-Assumptions!$G$140),IF(D265&lt;Assumptions!$P$140,Assumptions!$AL$140+(Assumptions!$AM$140-Assumptions!$AL$140)*(D265-Assumptions!$AH$140)/(Assumptions!$P$140-Assumptions!$AH$140),Assumptions!$AM$140)))</f>
        <v>-50000</v>
      </c>
      <c r="N265" s="44">
        <f t="shared" si="8"/>
        <v>-40.38772213247173</v>
      </c>
      <c r="O265" s="45">
        <f t="shared" si="9"/>
        <v>3032</v>
      </c>
      <c r="P265" s="14" t="str">
        <f>IF(D265&gt;=Assumptions!$P$140,"High",IF(D265&gt;=Assumptions!$AH$140,"Mid",IF(D265&lt;=Assumptions!$G$140,"Low","Loading")))</f>
        <v>High</v>
      </c>
      <c r="Q265" s="46">
        <f>MAX(K265,MIN(Assumptions!$S$140,O265),Q266)</f>
        <v>3032</v>
      </c>
      <c r="R265" s="12">
        <f>IF(AND(Q265&lt;=K265,INDEX(Assumptions!$C$26:$C$36,MATCH(G265,Assumptions!$A$26:$A$36,0))&lt;&gt;""),INDEX(Assumptions!$C$26:$C$36,MATCH(G265,Assumptions!$A$26:$A$36,0)),ROUND(G265*Q265,-2))</f>
        <v>3753600</v>
      </c>
      <c r="S265" s="47" t="str">
        <f>TRIM(IF(AND(Assumptions!$L$140&lt;&gt;"",D265&lt;Assumptions!$L$140),"View blocked / roof in front ("&amp;Assumptions!$M$140&amp;"); view premium still loading until L"&amp;Assumptions!$L$140&amp;". ","")&amp;IF(D265=Assumptions!$AH$140,"Mid-floor view premium fully loaded. ","")&amp;IF(D265=Assumptions!$P$140,"High-floor view premium fully loaded. ","")&amp;IF(Q265&lt;=K265,"At developer starting price.",""))</f>
        <v/>
      </c>
      <c r="T265" s="48" t="str">
        <f>Assumptions!$AJ$140</f>
        <v>WNW: almost direct west sun. 171m pool &amp; facilities view, nature reserve + landed; Pool Cabana in front of low floors</v>
      </c>
    </row>
    <row r="266" spans="1:20" x14ac:dyDescent="0.2">
      <c r="A266" s="13" t="s">
        <v>396</v>
      </c>
      <c r="B266" s="14">
        <v>3</v>
      </c>
      <c r="C266" s="40">
        <v>14</v>
      </c>
      <c r="D266" s="40">
        <v>20</v>
      </c>
      <c r="E266" s="9" t="s">
        <v>48</v>
      </c>
      <c r="F266" s="14" t="s">
        <v>395</v>
      </c>
      <c r="G266" s="10">
        <v>1238</v>
      </c>
      <c r="H266" s="14" t="s">
        <v>62</v>
      </c>
      <c r="I266" s="41" t="str">
        <f>Assumptions!$I$140</f>
        <v>C</v>
      </c>
      <c r="J266" s="14" t="str">
        <f>IF(D266&lt;=Assumptions!$V$140,"Low",IF(D266&lt;=Assumptions!$W$140,"Mid","High"))</f>
        <v>High</v>
      </c>
      <c r="K266" s="15">
        <f>Assumptions!$Q$140</f>
        <v>2737</v>
      </c>
      <c r="L266" s="42">
        <f>INDEX(Assumptions!$N$61:$N$90,D266)</f>
        <v>3049.0571428571429</v>
      </c>
      <c r="M266" s="43">
        <f>IF(D266&lt;=Assumptions!$G$140,Assumptions!$AK$140,IF(D266&lt;Assumptions!$AH$140,Assumptions!$AK$140+(Assumptions!$AL$140-Assumptions!$AK$140)*(D266-Assumptions!$G$140)/(Assumptions!$AH$140-Assumptions!$G$140),IF(D266&lt;Assumptions!$P$140,Assumptions!$AL$140+(Assumptions!$AM$140-Assumptions!$AL$140)*(D266-Assumptions!$AH$140)/(Assumptions!$P$140-Assumptions!$AH$140),Assumptions!$AM$140)))</f>
        <v>-50000</v>
      </c>
      <c r="N266" s="44">
        <f t="shared" si="8"/>
        <v>-40.38772213247173</v>
      </c>
      <c r="O266" s="45">
        <f t="shared" si="9"/>
        <v>3009</v>
      </c>
      <c r="P266" s="14" t="str">
        <f>IF(D266&gt;=Assumptions!$P$140,"High",IF(D266&gt;=Assumptions!$AH$140,"Mid",IF(D266&lt;=Assumptions!$G$140,"Low","Loading")))</f>
        <v>High</v>
      </c>
      <c r="Q266" s="46">
        <f>MAX(K266,MIN(Assumptions!$S$140,O266),Q267)</f>
        <v>3009</v>
      </c>
      <c r="R266" s="12">
        <f>IF(AND(Q266&lt;=K266,INDEX(Assumptions!$C$26:$C$36,MATCH(G266,Assumptions!$A$26:$A$36,0))&lt;&gt;""),INDEX(Assumptions!$C$26:$C$36,MATCH(G266,Assumptions!$A$26:$A$36,0)),ROUND(G266*Q266,-2))</f>
        <v>3725100</v>
      </c>
      <c r="S266" s="47" t="str">
        <f>TRIM(IF(AND(Assumptions!$L$140&lt;&gt;"",D266&lt;Assumptions!$L$140),"View blocked / roof in front ("&amp;Assumptions!$M$140&amp;"); view premium still loading until L"&amp;Assumptions!$L$140&amp;". ","")&amp;IF(D266=Assumptions!$AH$140,"Mid-floor view premium fully loaded. ","")&amp;IF(D266=Assumptions!$P$140,"High-floor view premium fully loaded. ","")&amp;IF(Q266&lt;=K266,"At developer starting price.",""))</f>
        <v/>
      </c>
      <c r="T266" s="48" t="str">
        <f>Assumptions!$AJ$140</f>
        <v>WNW: almost direct west sun. 171m pool &amp; facilities view, nature reserve + landed; Pool Cabana in front of low floors</v>
      </c>
    </row>
    <row r="267" spans="1:20" x14ac:dyDescent="0.2">
      <c r="A267" s="13" t="s">
        <v>397</v>
      </c>
      <c r="B267" s="14">
        <v>3</v>
      </c>
      <c r="C267" s="40">
        <v>14</v>
      </c>
      <c r="D267" s="40">
        <v>19</v>
      </c>
      <c r="E267" s="9" t="s">
        <v>48</v>
      </c>
      <c r="F267" s="14" t="s">
        <v>395</v>
      </c>
      <c r="G267" s="10">
        <v>1238</v>
      </c>
      <c r="H267" s="14" t="s">
        <v>62</v>
      </c>
      <c r="I267" s="41" t="str">
        <f>Assumptions!$I$140</f>
        <v>C</v>
      </c>
      <c r="J267" s="14" t="str">
        <f>IF(D267&lt;=Assumptions!$V$140,"Low",IF(D267&lt;=Assumptions!$W$140,"Mid","High"))</f>
        <v>High</v>
      </c>
      <c r="K267" s="15">
        <f>Assumptions!$Q$140</f>
        <v>2737</v>
      </c>
      <c r="L267" s="42">
        <f>INDEX(Assumptions!$N$61:$N$90,D267)</f>
        <v>3025.2857142857142</v>
      </c>
      <c r="M267" s="43">
        <f>IF(D267&lt;=Assumptions!$G$140,Assumptions!$AK$140,IF(D267&lt;Assumptions!$AH$140,Assumptions!$AK$140+(Assumptions!$AL$140-Assumptions!$AK$140)*(D267-Assumptions!$G$140)/(Assumptions!$AH$140-Assumptions!$G$140),IF(D267&lt;Assumptions!$P$140,Assumptions!$AL$140+(Assumptions!$AM$140-Assumptions!$AL$140)*(D267-Assumptions!$AH$140)/(Assumptions!$P$140-Assumptions!$AH$140),Assumptions!$AM$140)))</f>
        <v>-50000</v>
      </c>
      <c r="N267" s="44">
        <f t="shared" si="8"/>
        <v>-40.38772213247173</v>
      </c>
      <c r="O267" s="45">
        <f t="shared" si="9"/>
        <v>2985</v>
      </c>
      <c r="P267" s="14" t="str">
        <f>IF(D267&gt;=Assumptions!$P$140,"High",IF(D267&gt;=Assumptions!$AH$140,"Mid",IF(D267&lt;=Assumptions!$G$140,"Low","Loading")))</f>
        <v>High</v>
      </c>
      <c r="Q267" s="46">
        <f>MAX(K267,MIN(Assumptions!$S$140,O267),Q268)</f>
        <v>2985</v>
      </c>
      <c r="R267" s="12">
        <f>IF(AND(Q267&lt;=K267,INDEX(Assumptions!$C$26:$C$36,MATCH(G267,Assumptions!$A$26:$A$36,0))&lt;&gt;""),INDEX(Assumptions!$C$26:$C$36,MATCH(G267,Assumptions!$A$26:$A$36,0)),ROUND(G267*Q267,-2))</f>
        <v>3695400</v>
      </c>
      <c r="S267" s="47" t="str">
        <f>TRIM(IF(AND(Assumptions!$L$140&lt;&gt;"",D267&lt;Assumptions!$L$140),"View blocked / roof in front ("&amp;Assumptions!$M$140&amp;"); view premium still loading until L"&amp;Assumptions!$L$140&amp;". ","")&amp;IF(D267=Assumptions!$AH$140,"Mid-floor view premium fully loaded. ","")&amp;IF(D267=Assumptions!$P$140,"High-floor view premium fully loaded. ","")&amp;IF(Q267&lt;=K267,"At developer starting price.",""))</f>
        <v/>
      </c>
      <c r="T267" s="48" t="str">
        <f>Assumptions!$AJ$140</f>
        <v>WNW: almost direct west sun. 171m pool &amp; facilities view, nature reserve + landed; Pool Cabana in front of low floors</v>
      </c>
    </row>
    <row r="268" spans="1:20" x14ac:dyDescent="0.2">
      <c r="A268" s="13" t="s">
        <v>398</v>
      </c>
      <c r="B268" s="14">
        <v>3</v>
      </c>
      <c r="C268" s="40">
        <v>14</v>
      </c>
      <c r="D268" s="40">
        <v>18</v>
      </c>
      <c r="E268" s="9" t="s">
        <v>48</v>
      </c>
      <c r="F268" s="14" t="s">
        <v>395</v>
      </c>
      <c r="G268" s="10">
        <v>1238</v>
      </c>
      <c r="H268" s="14" t="s">
        <v>62</v>
      </c>
      <c r="I268" s="41" t="str">
        <f>Assumptions!$I$140</f>
        <v>C</v>
      </c>
      <c r="J268" s="14" t="str">
        <f>IF(D268&lt;=Assumptions!$V$140,"Low",IF(D268&lt;=Assumptions!$W$140,"Mid","High"))</f>
        <v>High</v>
      </c>
      <c r="K268" s="15">
        <f>Assumptions!$Q$140</f>
        <v>2737</v>
      </c>
      <c r="L268" s="42">
        <f>INDEX(Assumptions!$N$61:$N$90,D268)</f>
        <v>3001.514285714286</v>
      </c>
      <c r="M268" s="43">
        <f>IF(D268&lt;=Assumptions!$G$140,Assumptions!$AK$140,IF(D268&lt;Assumptions!$AH$140,Assumptions!$AK$140+(Assumptions!$AL$140-Assumptions!$AK$140)*(D268-Assumptions!$G$140)/(Assumptions!$AH$140-Assumptions!$G$140),IF(D268&lt;Assumptions!$P$140,Assumptions!$AL$140+(Assumptions!$AM$140-Assumptions!$AL$140)*(D268-Assumptions!$AH$140)/(Assumptions!$P$140-Assumptions!$AH$140),Assumptions!$AM$140)))</f>
        <v>-50000</v>
      </c>
      <c r="N268" s="44">
        <f t="shared" si="8"/>
        <v>-40.38772213247173</v>
      </c>
      <c r="O268" s="45">
        <f t="shared" si="9"/>
        <v>2961</v>
      </c>
      <c r="P268" s="14" t="str">
        <f>IF(D268&gt;=Assumptions!$P$140,"High",IF(D268&gt;=Assumptions!$AH$140,"Mid",IF(D268&lt;=Assumptions!$G$140,"Low","Loading")))</f>
        <v>High</v>
      </c>
      <c r="Q268" s="46">
        <f>MAX(K268,MIN(Assumptions!$S$140,O268),Q269)</f>
        <v>2961</v>
      </c>
      <c r="R268" s="12">
        <f>IF(AND(Q268&lt;=K268,INDEX(Assumptions!$C$26:$C$36,MATCH(G268,Assumptions!$A$26:$A$36,0))&lt;&gt;""),INDEX(Assumptions!$C$26:$C$36,MATCH(G268,Assumptions!$A$26:$A$36,0)),ROUND(G268*Q268,-2))</f>
        <v>3665700</v>
      </c>
      <c r="S268" s="47" t="str">
        <f>TRIM(IF(AND(Assumptions!$L$140&lt;&gt;"",D268&lt;Assumptions!$L$140),"View blocked / roof in front ("&amp;Assumptions!$M$140&amp;"); view premium still loading until L"&amp;Assumptions!$L$140&amp;". ","")&amp;IF(D268=Assumptions!$AH$140,"Mid-floor view premium fully loaded. ","")&amp;IF(D268=Assumptions!$P$140,"High-floor view premium fully loaded. ","")&amp;IF(Q268&lt;=K268,"At developer starting price.",""))</f>
        <v/>
      </c>
      <c r="T268" s="48" t="str">
        <f>Assumptions!$AJ$140</f>
        <v>WNW: almost direct west sun. 171m pool &amp; facilities view, nature reserve + landed; Pool Cabana in front of low floors</v>
      </c>
    </row>
    <row r="269" spans="1:20" x14ac:dyDescent="0.2">
      <c r="A269" s="13" t="s">
        <v>399</v>
      </c>
      <c r="B269" s="14">
        <v>3</v>
      </c>
      <c r="C269" s="40">
        <v>14</v>
      </c>
      <c r="D269" s="40">
        <v>17</v>
      </c>
      <c r="E269" s="9" t="s">
        <v>48</v>
      </c>
      <c r="F269" s="14" t="s">
        <v>395</v>
      </c>
      <c r="G269" s="10">
        <v>1238</v>
      </c>
      <c r="H269" s="14" t="s">
        <v>62</v>
      </c>
      <c r="I269" s="41" t="str">
        <f>Assumptions!$I$140</f>
        <v>C</v>
      </c>
      <c r="J269" s="14" t="str">
        <f>IF(D269&lt;=Assumptions!$V$140,"Low",IF(D269&lt;=Assumptions!$W$140,"Mid","High"))</f>
        <v>High</v>
      </c>
      <c r="K269" s="15">
        <f>Assumptions!$Q$140</f>
        <v>2737</v>
      </c>
      <c r="L269" s="42">
        <f>INDEX(Assumptions!$N$61:$N$90,D269)</f>
        <v>2977.7428571428572</v>
      </c>
      <c r="M269" s="43">
        <f>IF(D269&lt;=Assumptions!$G$140,Assumptions!$AK$140,IF(D269&lt;Assumptions!$AH$140,Assumptions!$AK$140+(Assumptions!$AL$140-Assumptions!$AK$140)*(D269-Assumptions!$G$140)/(Assumptions!$AH$140-Assumptions!$G$140),IF(D269&lt;Assumptions!$P$140,Assumptions!$AL$140+(Assumptions!$AM$140-Assumptions!$AL$140)*(D269-Assumptions!$AH$140)/(Assumptions!$P$140-Assumptions!$AH$140),Assumptions!$AM$140)))</f>
        <v>-50000</v>
      </c>
      <c r="N269" s="44">
        <f t="shared" si="8"/>
        <v>-40.38772213247173</v>
      </c>
      <c r="O269" s="45">
        <f t="shared" si="9"/>
        <v>2937</v>
      </c>
      <c r="P269" s="14" t="str">
        <f>IF(D269&gt;=Assumptions!$P$140,"High",IF(D269&gt;=Assumptions!$AH$140,"Mid",IF(D269&lt;=Assumptions!$G$140,"Low","Loading")))</f>
        <v>High</v>
      </c>
      <c r="Q269" s="46">
        <f>MAX(K269,MIN(Assumptions!$S$140,O269),Q270)</f>
        <v>2937</v>
      </c>
      <c r="R269" s="12">
        <f>IF(AND(Q269&lt;=K269,INDEX(Assumptions!$C$26:$C$36,MATCH(G269,Assumptions!$A$26:$A$36,0))&lt;&gt;""),INDEX(Assumptions!$C$26:$C$36,MATCH(G269,Assumptions!$A$26:$A$36,0)),ROUND(G269*Q269,-2))</f>
        <v>3636000</v>
      </c>
      <c r="S269" s="47" t="str">
        <f>TRIM(IF(AND(Assumptions!$L$140&lt;&gt;"",D269&lt;Assumptions!$L$140),"View blocked / roof in front ("&amp;Assumptions!$M$140&amp;"); view premium still loading until L"&amp;Assumptions!$L$140&amp;". ","")&amp;IF(D269=Assumptions!$AH$140,"Mid-floor view premium fully loaded. ","")&amp;IF(D269=Assumptions!$P$140,"High-floor view premium fully loaded. ","")&amp;IF(Q269&lt;=K269,"At developer starting price.",""))</f>
        <v/>
      </c>
      <c r="T269" s="48" t="str">
        <f>Assumptions!$AJ$140</f>
        <v>WNW: almost direct west sun. 171m pool &amp; facilities view, nature reserve + landed; Pool Cabana in front of low floors</v>
      </c>
    </row>
    <row r="270" spans="1:20" x14ac:dyDescent="0.2">
      <c r="A270" s="13" t="s">
        <v>400</v>
      </c>
      <c r="B270" s="14">
        <v>3</v>
      </c>
      <c r="C270" s="40">
        <v>14</v>
      </c>
      <c r="D270" s="40">
        <v>16</v>
      </c>
      <c r="E270" s="9" t="s">
        <v>48</v>
      </c>
      <c r="F270" s="14" t="s">
        <v>395</v>
      </c>
      <c r="G270" s="10">
        <v>1238</v>
      </c>
      <c r="H270" s="14" t="s">
        <v>62</v>
      </c>
      <c r="I270" s="41" t="str">
        <f>Assumptions!$I$140</f>
        <v>C</v>
      </c>
      <c r="J270" s="14" t="str">
        <f>IF(D270&lt;=Assumptions!$V$140,"Low",IF(D270&lt;=Assumptions!$W$140,"Mid","High"))</f>
        <v>High</v>
      </c>
      <c r="K270" s="15">
        <f>Assumptions!$Q$140</f>
        <v>2737</v>
      </c>
      <c r="L270" s="42">
        <f>INDEX(Assumptions!$N$61:$N$90,D270)</f>
        <v>2953.9714285714285</v>
      </c>
      <c r="M270" s="43">
        <f>IF(D270&lt;=Assumptions!$G$140,Assumptions!$AK$140,IF(D270&lt;Assumptions!$AH$140,Assumptions!$AK$140+(Assumptions!$AL$140-Assumptions!$AK$140)*(D270-Assumptions!$G$140)/(Assumptions!$AH$140-Assumptions!$G$140),IF(D270&lt;Assumptions!$P$140,Assumptions!$AL$140+(Assumptions!$AM$140-Assumptions!$AL$140)*(D270-Assumptions!$AH$140)/(Assumptions!$P$140-Assumptions!$AH$140),Assumptions!$AM$140)))</f>
        <v>-50000</v>
      </c>
      <c r="N270" s="44">
        <f t="shared" si="8"/>
        <v>-40.38772213247173</v>
      </c>
      <c r="O270" s="45">
        <f t="shared" si="9"/>
        <v>2914</v>
      </c>
      <c r="P270" s="14" t="str">
        <f>IF(D270&gt;=Assumptions!$P$140,"High",IF(D270&gt;=Assumptions!$AH$140,"Mid",IF(D270&lt;=Assumptions!$G$140,"Low","Loading")))</f>
        <v>High</v>
      </c>
      <c r="Q270" s="46">
        <f>MAX(K270,MIN(Assumptions!$S$140,O270),Q271)</f>
        <v>2914</v>
      </c>
      <c r="R270" s="12">
        <f>IF(AND(Q270&lt;=K270,INDEX(Assumptions!$C$26:$C$36,MATCH(G270,Assumptions!$A$26:$A$36,0))&lt;&gt;""),INDEX(Assumptions!$C$26:$C$36,MATCH(G270,Assumptions!$A$26:$A$36,0)),ROUND(G270*Q270,-2))</f>
        <v>3607500</v>
      </c>
      <c r="S270" s="47" t="str">
        <f>TRIM(IF(AND(Assumptions!$L$140&lt;&gt;"",D270&lt;Assumptions!$L$140),"View blocked / roof in front ("&amp;Assumptions!$M$140&amp;"); view premium still loading until L"&amp;Assumptions!$L$140&amp;". ","")&amp;IF(D270=Assumptions!$AH$140,"Mid-floor view premium fully loaded. ","")&amp;IF(D270=Assumptions!$P$140,"High-floor view premium fully loaded. ","")&amp;IF(Q270&lt;=K270,"At developer starting price.",""))</f>
        <v>High-floor view premium fully loaded.</v>
      </c>
      <c r="T270" s="48" t="str">
        <f>Assumptions!$AJ$140</f>
        <v>WNW: almost direct west sun. 171m pool &amp; facilities view, nature reserve + landed; Pool Cabana in front of low floors</v>
      </c>
    </row>
    <row r="271" spans="1:20" x14ac:dyDescent="0.2">
      <c r="A271" s="13" t="s">
        <v>401</v>
      </c>
      <c r="B271" s="14">
        <v>3</v>
      </c>
      <c r="C271" s="40">
        <v>14</v>
      </c>
      <c r="D271" s="40">
        <v>15</v>
      </c>
      <c r="E271" s="9" t="s">
        <v>48</v>
      </c>
      <c r="F271" s="14" t="s">
        <v>395</v>
      </c>
      <c r="G271" s="10">
        <v>1238</v>
      </c>
      <c r="H271" s="14" t="s">
        <v>62</v>
      </c>
      <c r="I271" s="41" t="str">
        <f>Assumptions!$I$140</f>
        <v>C</v>
      </c>
      <c r="J271" s="14" t="str">
        <f>IF(D271&lt;=Assumptions!$V$140,"Low",IF(D271&lt;=Assumptions!$W$140,"Mid","High"))</f>
        <v>Mid</v>
      </c>
      <c r="K271" s="15">
        <f>Assumptions!$Q$140</f>
        <v>2737</v>
      </c>
      <c r="L271" s="42">
        <f>INDEX(Assumptions!$N$61:$N$90,D271)</f>
        <v>2930.2</v>
      </c>
      <c r="M271" s="43">
        <f>IF(D271&lt;=Assumptions!$G$140,Assumptions!$AK$140,IF(D271&lt;Assumptions!$AH$140,Assumptions!$AK$140+(Assumptions!$AL$140-Assumptions!$AK$140)*(D271-Assumptions!$G$140)/(Assumptions!$AH$140-Assumptions!$G$140),IF(D271&lt;Assumptions!$P$140,Assumptions!$AL$140+(Assumptions!$AM$140-Assumptions!$AL$140)*(D271-Assumptions!$AH$140)/(Assumptions!$P$140-Assumptions!$AH$140),Assumptions!$AM$140)))</f>
        <v>-50000</v>
      </c>
      <c r="N271" s="44">
        <f t="shared" si="8"/>
        <v>-40.38772213247173</v>
      </c>
      <c r="O271" s="45">
        <f t="shared" si="9"/>
        <v>2890</v>
      </c>
      <c r="P271" s="14" t="str">
        <f>IF(D271&gt;=Assumptions!$P$140,"High",IF(D271&gt;=Assumptions!$AH$140,"Mid",IF(D271&lt;=Assumptions!$G$140,"Low","Loading")))</f>
        <v>Mid</v>
      </c>
      <c r="Q271" s="46">
        <f>MAX(K271,MIN(Assumptions!$S$140,O271),Q272)</f>
        <v>2890</v>
      </c>
      <c r="R271" s="12">
        <f>IF(AND(Q271&lt;=K271,INDEX(Assumptions!$C$26:$C$36,MATCH(G271,Assumptions!$A$26:$A$36,0))&lt;&gt;""),INDEX(Assumptions!$C$26:$C$36,MATCH(G271,Assumptions!$A$26:$A$36,0)),ROUND(G271*Q271,-2))</f>
        <v>3577800</v>
      </c>
      <c r="S271" s="47" t="str">
        <f>TRIM(IF(AND(Assumptions!$L$140&lt;&gt;"",D271&lt;Assumptions!$L$140),"View blocked / roof in front ("&amp;Assumptions!$M$140&amp;"); view premium still loading until L"&amp;Assumptions!$L$140&amp;". ","")&amp;IF(D271=Assumptions!$AH$140,"Mid-floor view premium fully loaded. ","")&amp;IF(D271=Assumptions!$P$140,"High-floor view premium fully loaded. ","")&amp;IF(Q271&lt;=K271,"At developer starting price.",""))</f>
        <v/>
      </c>
      <c r="T271" s="48" t="str">
        <f>Assumptions!$AJ$140</f>
        <v>WNW: almost direct west sun. 171m pool &amp; facilities view, nature reserve + landed; Pool Cabana in front of low floors</v>
      </c>
    </row>
    <row r="272" spans="1:20" x14ac:dyDescent="0.2">
      <c r="A272" s="13" t="s">
        <v>402</v>
      </c>
      <c r="B272" s="14">
        <v>3</v>
      </c>
      <c r="C272" s="40">
        <v>14</v>
      </c>
      <c r="D272" s="40">
        <v>14</v>
      </c>
      <c r="E272" s="9" t="s">
        <v>48</v>
      </c>
      <c r="F272" s="14" t="s">
        <v>395</v>
      </c>
      <c r="G272" s="10">
        <v>1238</v>
      </c>
      <c r="H272" s="14" t="s">
        <v>62</v>
      </c>
      <c r="I272" s="41" t="str">
        <f>Assumptions!$I$140</f>
        <v>C</v>
      </c>
      <c r="J272" s="14" t="str">
        <f>IF(D272&lt;=Assumptions!$V$140,"Low",IF(D272&lt;=Assumptions!$W$140,"Mid","High"))</f>
        <v>Mid</v>
      </c>
      <c r="K272" s="15">
        <f>Assumptions!$Q$140</f>
        <v>2737</v>
      </c>
      <c r="L272" s="42">
        <f>INDEX(Assumptions!$N$61:$N$90,D272)</f>
        <v>2906.4285714285716</v>
      </c>
      <c r="M272" s="43">
        <f>IF(D272&lt;=Assumptions!$G$140,Assumptions!$AK$140,IF(D272&lt;Assumptions!$AH$140,Assumptions!$AK$140+(Assumptions!$AL$140-Assumptions!$AK$140)*(D272-Assumptions!$G$140)/(Assumptions!$AH$140-Assumptions!$G$140),IF(D272&lt;Assumptions!$P$140,Assumptions!$AL$140+(Assumptions!$AM$140-Assumptions!$AL$140)*(D272-Assumptions!$AH$140)/(Assumptions!$P$140-Assumptions!$AH$140),Assumptions!$AM$140)))</f>
        <v>-50000</v>
      </c>
      <c r="N272" s="44">
        <f t="shared" si="8"/>
        <v>-40.38772213247173</v>
      </c>
      <c r="O272" s="45">
        <f t="shared" si="9"/>
        <v>2866</v>
      </c>
      <c r="P272" s="14" t="str">
        <f>IF(D272&gt;=Assumptions!$P$140,"High",IF(D272&gt;=Assumptions!$AH$140,"Mid",IF(D272&lt;=Assumptions!$G$140,"Low","Loading")))</f>
        <v>Mid</v>
      </c>
      <c r="Q272" s="46">
        <f>MAX(K272,MIN(Assumptions!$S$140,O272),Q273)</f>
        <v>2866</v>
      </c>
      <c r="R272" s="12">
        <f>IF(AND(Q272&lt;=K272,INDEX(Assumptions!$C$26:$C$36,MATCH(G272,Assumptions!$A$26:$A$36,0))&lt;&gt;""),INDEX(Assumptions!$C$26:$C$36,MATCH(G272,Assumptions!$A$26:$A$36,0)),ROUND(G272*Q272,-2))</f>
        <v>3548100</v>
      </c>
      <c r="S272" s="47" t="str">
        <f>TRIM(IF(AND(Assumptions!$L$140&lt;&gt;"",D272&lt;Assumptions!$L$140),"View blocked / roof in front ("&amp;Assumptions!$M$140&amp;"); view premium still loading until L"&amp;Assumptions!$L$140&amp;". ","")&amp;IF(D272=Assumptions!$AH$140,"Mid-floor view premium fully loaded. ","")&amp;IF(D272=Assumptions!$P$140,"High-floor view premium fully loaded. ","")&amp;IF(Q272&lt;=K272,"At developer starting price.",""))</f>
        <v/>
      </c>
      <c r="T272" s="48" t="str">
        <f>Assumptions!$AJ$140</f>
        <v>WNW: almost direct west sun. 171m pool &amp; facilities view, nature reserve + landed; Pool Cabana in front of low floors</v>
      </c>
    </row>
    <row r="273" spans="1:20" x14ac:dyDescent="0.2">
      <c r="A273" s="13" t="s">
        <v>403</v>
      </c>
      <c r="B273" s="14">
        <v>3</v>
      </c>
      <c r="C273" s="40">
        <v>14</v>
      </c>
      <c r="D273" s="40">
        <v>13</v>
      </c>
      <c r="E273" s="9" t="s">
        <v>48</v>
      </c>
      <c r="F273" s="14" t="s">
        <v>395</v>
      </c>
      <c r="G273" s="10">
        <v>1238</v>
      </c>
      <c r="H273" s="14" t="s">
        <v>62</v>
      </c>
      <c r="I273" s="41" t="str">
        <f>Assumptions!$I$140</f>
        <v>C</v>
      </c>
      <c r="J273" s="14" t="str">
        <f>IF(D273&lt;=Assumptions!$V$140,"Low",IF(D273&lt;=Assumptions!$W$140,"Mid","High"))</f>
        <v>Mid</v>
      </c>
      <c r="K273" s="15">
        <f>Assumptions!$Q$140</f>
        <v>2737</v>
      </c>
      <c r="L273" s="42">
        <f>INDEX(Assumptions!$N$61:$N$90,D273)</f>
        <v>2882.6571428571428</v>
      </c>
      <c r="M273" s="43">
        <f>IF(D273&lt;=Assumptions!$G$140,Assumptions!$AK$140,IF(D273&lt;Assumptions!$AH$140,Assumptions!$AK$140+(Assumptions!$AL$140-Assumptions!$AK$140)*(D273-Assumptions!$G$140)/(Assumptions!$AH$140-Assumptions!$G$140),IF(D273&lt;Assumptions!$P$140,Assumptions!$AL$140+(Assumptions!$AM$140-Assumptions!$AL$140)*(D273-Assumptions!$AH$140)/(Assumptions!$P$140-Assumptions!$AH$140),Assumptions!$AM$140)))</f>
        <v>-50000</v>
      </c>
      <c r="N273" s="44">
        <f t="shared" si="8"/>
        <v>-40.38772213247173</v>
      </c>
      <c r="O273" s="45">
        <f t="shared" si="9"/>
        <v>2842</v>
      </c>
      <c r="P273" s="14" t="str">
        <f>IF(D273&gt;=Assumptions!$P$140,"High",IF(D273&gt;=Assumptions!$AH$140,"Mid",IF(D273&lt;=Assumptions!$G$140,"Low","Loading")))</f>
        <v>Mid</v>
      </c>
      <c r="Q273" s="46">
        <f>MAX(K273,MIN(Assumptions!$S$140,O273),Q274)</f>
        <v>2842</v>
      </c>
      <c r="R273" s="12">
        <f>IF(AND(Q273&lt;=K273,INDEX(Assumptions!$C$26:$C$36,MATCH(G273,Assumptions!$A$26:$A$36,0))&lt;&gt;""),INDEX(Assumptions!$C$26:$C$36,MATCH(G273,Assumptions!$A$26:$A$36,0)),ROUND(G273*Q273,-2))</f>
        <v>3518400</v>
      </c>
      <c r="S273" s="47" t="str">
        <f>TRIM(IF(AND(Assumptions!$L$140&lt;&gt;"",D273&lt;Assumptions!$L$140),"View blocked / roof in front ("&amp;Assumptions!$M$140&amp;"); view premium still loading until L"&amp;Assumptions!$L$140&amp;". ","")&amp;IF(D273=Assumptions!$AH$140,"Mid-floor view premium fully loaded. ","")&amp;IF(D273=Assumptions!$P$140,"High-floor view premium fully loaded. ","")&amp;IF(Q273&lt;=K273,"At developer starting price.",""))</f>
        <v/>
      </c>
      <c r="T273" s="48" t="str">
        <f>Assumptions!$AJ$140</f>
        <v>WNW: almost direct west sun. 171m pool &amp; facilities view, nature reserve + landed; Pool Cabana in front of low floors</v>
      </c>
    </row>
    <row r="274" spans="1:20" x14ac:dyDescent="0.2">
      <c r="A274" s="13" t="s">
        <v>404</v>
      </c>
      <c r="B274" s="14">
        <v>3</v>
      </c>
      <c r="C274" s="40">
        <v>14</v>
      </c>
      <c r="D274" s="40">
        <v>12</v>
      </c>
      <c r="E274" s="9" t="s">
        <v>48</v>
      </c>
      <c r="F274" s="14" t="s">
        <v>395</v>
      </c>
      <c r="G274" s="10">
        <v>1238</v>
      </c>
      <c r="H274" s="14" t="s">
        <v>62</v>
      </c>
      <c r="I274" s="41" t="str">
        <f>Assumptions!$I$140</f>
        <v>C</v>
      </c>
      <c r="J274" s="14" t="str">
        <f>IF(D274&lt;=Assumptions!$V$140,"Low",IF(D274&lt;=Assumptions!$W$140,"Mid","High"))</f>
        <v>Mid</v>
      </c>
      <c r="K274" s="15">
        <f>Assumptions!$Q$140</f>
        <v>2737</v>
      </c>
      <c r="L274" s="42">
        <f>INDEX(Assumptions!$N$61:$N$90,D274)</f>
        <v>2858.8857142857141</v>
      </c>
      <c r="M274" s="43">
        <f>IF(D274&lt;=Assumptions!$G$140,Assumptions!$AK$140,IF(D274&lt;Assumptions!$AH$140,Assumptions!$AK$140+(Assumptions!$AL$140-Assumptions!$AK$140)*(D274-Assumptions!$G$140)/(Assumptions!$AH$140-Assumptions!$G$140),IF(D274&lt;Assumptions!$P$140,Assumptions!$AL$140+(Assumptions!$AM$140-Assumptions!$AL$140)*(D274-Assumptions!$AH$140)/(Assumptions!$P$140-Assumptions!$AH$140),Assumptions!$AM$140)))</f>
        <v>-50000</v>
      </c>
      <c r="N274" s="44">
        <f t="shared" si="8"/>
        <v>-40.38772213247173</v>
      </c>
      <c r="O274" s="45">
        <f t="shared" si="9"/>
        <v>2818</v>
      </c>
      <c r="P274" s="14" t="str">
        <f>IF(D274&gt;=Assumptions!$P$140,"High",IF(D274&gt;=Assumptions!$AH$140,"Mid",IF(D274&lt;=Assumptions!$G$140,"Low","Loading")))</f>
        <v>Mid</v>
      </c>
      <c r="Q274" s="46">
        <f>MAX(K274,MIN(Assumptions!$S$140,O274),Q275)</f>
        <v>2818</v>
      </c>
      <c r="R274" s="12">
        <f>IF(AND(Q274&lt;=K274,INDEX(Assumptions!$C$26:$C$36,MATCH(G274,Assumptions!$A$26:$A$36,0))&lt;&gt;""),INDEX(Assumptions!$C$26:$C$36,MATCH(G274,Assumptions!$A$26:$A$36,0)),ROUND(G274*Q274,-2))</f>
        <v>3488700</v>
      </c>
      <c r="S274" s="47" t="str">
        <f>TRIM(IF(AND(Assumptions!$L$140&lt;&gt;"",D274&lt;Assumptions!$L$140),"View blocked / roof in front ("&amp;Assumptions!$M$140&amp;"); view premium still loading until L"&amp;Assumptions!$L$140&amp;". ","")&amp;IF(D274=Assumptions!$AH$140,"Mid-floor view premium fully loaded. ","")&amp;IF(D274=Assumptions!$P$140,"High-floor view premium fully loaded. ","")&amp;IF(Q274&lt;=K274,"At developer starting price.",""))</f>
        <v/>
      </c>
      <c r="T274" s="48" t="str">
        <f>Assumptions!$AJ$140</f>
        <v>WNW: almost direct west sun. 171m pool &amp; facilities view, nature reserve + landed; Pool Cabana in front of low floors</v>
      </c>
    </row>
    <row r="275" spans="1:20" x14ac:dyDescent="0.2">
      <c r="A275" s="13" t="s">
        <v>405</v>
      </c>
      <c r="B275" s="14">
        <v>3</v>
      </c>
      <c r="C275" s="40">
        <v>14</v>
      </c>
      <c r="D275" s="40">
        <v>11</v>
      </c>
      <c r="E275" s="9" t="s">
        <v>48</v>
      </c>
      <c r="F275" s="14" t="s">
        <v>395</v>
      </c>
      <c r="G275" s="10">
        <v>1238</v>
      </c>
      <c r="H275" s="14" t="s">
        <v>62</v>
      </c>
      <c r="I275" s="41" t="str">
        <f>Assumptions!$I$140</f>
        <v>C</v>
      </c>
      <c r="J275" s="14" t="str">
        <f>IF(D275&lt;=Assumptions!$V$140,"Low",IF(D275&lt;=Assumptions!$W$140,"Mid","High"))</f>
        <v>Mid</v>
      </c>
      <c r="K275" s="15">
        <f>Assumptions!$Q$140</f>
        <v>2737</v>
      </c>
      <c r="L275" s="42">
        <f>INDEX(Assumptions!$N$61:$N$90,D275)</f>
        <v>2843.3361959017088</v>
      </c>
      <c r="M275" s="43">
        <f>IF(D275&lt;=Assumptions!$G$140,Assumptions!$AK$140,IF(D275&lt;Assumptions!$AH$140,Assumptions!$AK$140+(Assumptions!$AL$140-Assumptions!$AK$140)*(D275-Assumptions!$G$140)/(Assumptions!$AH$140-Assumptions!$G$140),IF(D275&lt;Assumptions!$P$140,Assumptions!$AL$140+(Assumptions!$AM$140-Assumptions!$AL$140)*(D275-Assumptions!$AH$140)/(Assumptions!$P$140-Assumptions!$AH$140),Assumptions!$AM$140)))</f>
        <v>-50000</v>
      </c>
      <c r="N275" s="44">
        <f t="shared" si="8"/>
        <v>-40.38772213247173</v>
      </c>
      <c r="O275" s="45">
        <f t="shared" si="9"/>
        <v>2803</v>
      </c>
      <c r="P275" s="14" t="str">
        <f>IF(D275&gt;=Assumptions!$P$140,"High",IF(D275&gt;=Assumptions!$AH$140,"Mid",IF(D275&lt;=Assumptions!$G$140,"Low","Loading")))</f>
        <v>Mid</v>
      </c>
      <c r="Q275" s="46">
        <f>MAX(K275,MIN(Assumptions!$S$140,O275),Q276)</f>
        <v>2803</v>
      </c>
      <c r="R275" s="12">
        <f>IF(AND(Q275&lt;=K275,INDEX(Assumptions!$C$26:$C$36,MATCH(G275,Assumptions!$A$26:$A$36,0))&lt;&gt;""),INDEX(Assumptions!$C$26:$C$36,MATCH(G275,Assumptions!$A$26:$A$36,0)),ROUND(G275*Q275,-2))</f>
        <v>3470100</v>
      </c>
      <c r="S275" s="47" t="str">
        <f>TRIM(IF(AND(Assumptions!$L$140&lt;&gt;"",D275&lt;Assumptions!$L$140),"View blocked / roof in front ("&amp;Assumptions!$M$140&amp;"); view premium still loading until L"&amp;Assumptions!$L$140&amp;". ","")&amp;IF(D275=Assumptions!$AH$140,"Mid-floor view premium fully loaded. ","")&amp;IF(D275=Assumptions!$P$140,"High-floor view premium fully loaded. ","")&amp;IF(Q275&lt;=K275,"At developer starting price.",""))</f>
        <v/>
      </c>
      <c r="T275" s="48" t="str">
        <f>Assumptions!$AJ$140</f>
        <v>WNW: almost direct west sun. 171m pool &amp; facilities view, nature reserve + landed; Pool Cabana in front of low floors</v>
      </c>
    </row>
    <row r="276" spans="1:20" x14ac:dyDescent="0.2">
      <c r="A276" s="13" t="s">
        <v>406</v>
      </c>
      <c r="B276" s="14">
        <v>3</v>
      </c>
      <c r="C276" s="40">
        <v>14</v>
      </c>
      <c r="D276" s="40">
        <v>10</v>
      </c>
      <c r="E276" s="9" t="s">
        <v>48</v>
      </c>
      <c r="F276" s="14" t="s">
        <v>395</v>
      </c>
      <c r="G276" s="10">
        <v>1238</v>
      </c>
      <c r="H276" s="14" t="s">
        <v>62</v>
      </c>
      <c r="I276" s="41" t="str">
        <f>Assumptions!$I$140</f>
        <v>C</v>
      </c>
      <c r="J276" s="14" t="str">
        <f>IF(D276&lt;=Assumptions!$V$140,"Low",IF(D276&lt;=Assumptions!$W$140,"Mid","High"))</f>
        <v>Mid</v>
      </c>
      <c r="K276" s="15">
        <f>Assumptions!$Q$140</f>
        <v>2737</v>
      </c>
      <c r="L276" s="42">
        <f>INDEX(Assumptions!$N$61:$N$90,D276)</f>
        <v>2836.008587705127</v>
      </c>
      <c r="M276" s="43">
        <f>IF(D276&lt;=Assumptions!$G$140,Assumptions!$AK$140,IF(D276&lt;Assumptions!$AH$140,Assumptions!$AK$140+(Assumptions!$AL$140-Assumptions!$AK$140)*(D276-Assumptions!$G$140)/(Assumptions!$AH$140-Assumptions!$G$140),IF(D276&lt;Assumptions!$P$140,Assumptions!$AL$140+(Assumptions!$AM$140-Assumptions!$AL$140)*(D276-Assumptions!$AH$140)/(Assumptions!$P$140-Assumptions!$AH$140),Assumptions!$AM$140)))</f>
        <v>-50000</v>
      </c>
      <c r="N276" s="44">
        <f t="shared" si="8"/>
        <v>-40.38772213247173</v>
      </c>
      <c r="O276" s="45">
        <f t="shared" si="9"/>
        <v>2796</v>
      </c>
      <c r="P276" s="14" t="str">
        <f>IF(D276&gt;=Assumptions!$P$140,"High",IF(D276&gt;=Assumptions!$AH$140,"Mid",IF(D276&lt;=Assumptions!$G$140,"Low","Loading")))</f>
        <v>Mid</v>
      </c>
      <c r="Q276" s="46">
        <f>MAX(K276,MIN(Assumptions!$S$140,O276),Q277)</f>
        <v>2796</v>
      </c>
      <c r="R276" s="12">
        <f>IF(AND(Q276&lt;=K276,INDEX(Assumptions!$C$26:$C$36,MATCH(G276,Assumptions!$A$26:$A$36,0))&lt;&gt;""),INDEX(Assumptions!$C$26:$C$36,MATCH(G276,Assumptions!$A$26:$A$36,0)),ROUND(G276*Q276,-2))</f>
        <v>3461400</v>
      </c>
      <c r="S276" s="47" t="str">
        <f>TRIM(IF(AND(Assumptions!$L$140&lt;&gt;"",D276&lt;Assumptions!$L$140),"View blocked / roof in front ("&amp;Assumptions!$M$140&amp;"); view premium still loading until L"&amp;Assumptions!$L$140&amp;". ","")&amp;IF(D276=Assumptions!$AH$140,"Mid-floor view premium fully loaded. ","")&amp;IF(D276=Assumptions!$P$140,"High-floor view premium fully loaded. ","")&amp;IF(Q276&lt;=K276,"At developer starting price.",""))</f>
        <v/>
      </c>
      <c r="T276" s="48" t="str">
        <f>Assumptions!$AJ$140</f>
        <v>WNW: almost direct west sun. 171m pool &amp; facilities view, nature reserve + landed; Pool Cabana in front of low floors</v>
      </c>
    </row>
    <row r="277" spans="1:20" x14ac:dyDescent="0.2">
      <c r="A277" s="13" t="s">
        <v>407</v>
      </c>
      <c r="B277" s="14">
        <v>3</v>
      </c>
      <c r="C277" s="40">
        <v>14</v>
      </c>
      <c r="D277" s="40">
        <v>9</v>
      </c>
      <c r="E277" s="9" t="s">
        <v>48</v>
      </c>
      <c r="F277" s="14" t="s">
        <v>395</v>
      </c>
      <c r="G277" s="10">
        <v>1238</v>
      </c>
      <c r="H277" s="14" t="s">
        <v>62</v>
      </c>
      <c r="I277" s="41" t="str">
        <f>Assumptions!$I$140</f>
        <v>C</v>
      </c>
      <c r="J277" s="14" t="str">
        <f>IF(D277&lt;=Assumptions!$V$140,"Low",IF(D277&lt;=Assumptions!$W$140,"Mid","High"))</f>
        <v>Mid</v>
      </c>
      <c r="K277" s="15">
        <f>Assumptions!$Q$140</f>
        <v>2737</v>
      </c>
      <c r="L277" s="42">
        <f>INDEX(Assumptions!$N$61:$N$90,D277)</f>
        <v>2828.6809795085451</v>
      </c>
      <c r="M277" s="43">
        <f>IF(D277&lt;=Assumptions!$G$140,Assumptions!$AK$140,IF(D277&lt;Assumptions!$AH$140,Assumptions!$AK$140+(Assumptions!$AL$140-Assumptions!$AK$140)*(D277-Assumptions!$G$140)/(Assumptions!$AH$140-Assumptions!$G$140),IF(D277&lt;Assumptions!$P$140,Assumptions!$AL$140+(Assumptions!$AM$140-Assumptions!$AL$140)*(D277-Assumptions!$AH$140)/(Assumptions!$P$140-Assumptions!$AH$140),Assumptions!$AM$140)))</f>
        <v>-50000</v>
      </c>
      <c r="N277" s="44">
        <f t="shared" si="8"/>
        <v>-40.38772213247173</v>
      </c>
      <c r="O277" s="45">
        <f t="shared" si="9"/>
        <v>2788</v>
      </c>
      <c r="P277" s="14" t="str">
        <f>IF(D277&gt;=Assumptions!$P$140,"High",IF(D277&gt;=Assumptions!$AH$140,"Mid",IF(D277&lt;=Assumptions!$G$140,"Low","Loading")))</f>
        <v>Mid</v>
      </c>
      <c r="Q277" s="46">
        <f>MAX(K277,MIN(Assumptions!$S$140,O277),Q278)</f>
        <v>2788</v>
      </c>
      <c r="R277" s="12">
        <f>IF(AND(Q277&lt;=K277,INDEX(Assumptions!$C$26:$C$36,MATCH(G277,Assumptions!$A$26:$A$36,0))&lt;&gt;""),INDEX(Assumptions!$C$26:$C$36,MATCH(G277,Assumptions!$A$26:$A$36,0)),ROUND(G277*Q277,-2))</f>
        <v>3451500</v>
      </c>
      <c r="S277" s="47" t="str">
        <f>TRIM(IF(AND(Assumptions!$L$140&lt;&gt;"",D277&lt;Assumptions!$L$140),"View blocked / roof in front ("&amp;Assumptions!$M$140&amp;"); view premium still loading until L"&amp;Assumptions!$L$140&amp;". ","")&amp;IF(D277=Assumptions!$AH$140,"Mid-floor view premium fully loaded. ","")&amp;IF(D277=Assumptions!$P$140,"High-floor view premium fully loaded. ","")&amp;IF(Q277&lt;=K277,"At developer starting price.",""))</f>
        <v/>
      </c>
      <c r="T277" s="48" t="str">
        <f>Assumptions!$AJ$140</f>
        <v>WNW: almost direct west sun. 171m pool &amp; facilities view, nature reserve + landed; Pool Cabana in front of low floors</v>
      </c>
    </row>
    <row r="278" spans="1:20" x14ac:dyDescent="0.2">
      <c r="A278" s="13" t="s">
        <v>408</v>
      </c>
      <c r="B278" s="14">
        <v>3</v>
      </c>
      <c r="C278" s="40">
        <v>14</v>
      </c>
      <c r="D278" s="40">
        <v>8</v>
      </c>
      <c r="E278" s="9" t="s">
        <v>48</v>
      </c>
      <c r="F278" s="14" t="s">
        <v>395</v>
      </c>
      <c r="G278" s="10">
        <v>1238</v>
      </c>
      <c r="H278" s="14" t="s">
        <v>62</v>
      </c>
      <c r="I278" s="41" t="str">
        <f>Assumptions!$I$140</f>
        <v>C</v>
      </c>
      <c r="J278" s="14" t="str">
        <f>IF(D278&lt;=Assumptions!$V$140,"Low",IF(D278&lt;=Assumptions!$W$140,"Mid","High"))</f>
        <v>Mid</v>
      </c>
      <c r="K278" s="15">
        <f>Assumptions!$Q$140</f>
        <v>2737</v>
      </c>
      <c r="L278" s="42">
        <f>INDEX(Assumptions!$N$61:$N$90,D278)</f>
        <v>2821.3533713119632</v>
      </c>
      <c r="M278" s="43">
        <f>IF(D278&lt;=Assumptions!$G$140,Assumptions!$AK$140,IF(D278&lt;Assumptions!$AH$140,Assumptions!$AK$140+(Assumptions!$AL$140-Assumptions!$AK$140)*(D278-Assumptions!$G$140)/(Assumptions!$AH$140-Assumptions!$G$140),IF(D278&lt;Assumptions!$P$140,Assumptions!$AL$140+(Assumptions!$AM$140-Assumptions!$AL$140)*(D278-Assumptions!$AH$140)/(Assumptions!$P$140-Assumptions!$AH$140),Assumptions!$AM$140)))</f>
        <v>-50000</v>
      </c>
      <c r="N278" s="44">
        <f t="shared" si="8"/>
        <v>-40.38772213247173</v>
      </c>
      <c r="O278" s="45">
        <f t="shared" si="9"/>
        <v>2781</v>
      </c>
      <c r="P278" s="14" t="str">
        <f>IF(D278&gt;=Assumptions!$P$140,"High",IF(D278&gt;=Assumptions!$AH$140,"Mid",IF(D278&lt;=Assumptions!$G$140,"Low","Loading")))</f>
        <v>Mid</v>
      </c>
      <c r="Q278" s="46">
        <f>MAX(K278,MIN(Assumptions!$S$140,O278),Q279)</f>
        <v>2781</v>
      </c>
      <c r="R278" s="12">
        <f>IF(AND(Q278&lt;=K278,INDEX(Assumptions!$C$26:$C$36,MATCH(G278,Assumptions!$A$26:$A$36,0))&lt;&gt;""),INDEX(Assumptions!$C$26:$C$36,MATCH(G278,Assumptions!$A$26:$A$36,0)),ROUND(G278*Q278,-2))</f>
        <v>3442900</v>
      </c>
      <c r="S278" s="47" t="str">
        <f>TRIM(IF(AND(Assumptions!$L$140&lt;&gt;"",D278&lt;Assumptions!$L$140),"View blocked / roof in front ("&amp;Assumptions!$M$140&amp;"); view premium still loading until L"&amp;Assumptions!$L$140&amp;". ","")&amp;IF(D278=Assumptions!$AH$140,"Mid-floor view premium fully loaded. ","")&amp;IF(D278=Assumptions!$P$140,"High-floor view premium fully loaded. ","")&amp;IF(Q278&lt;=K278,"At developer starting price.",""))</f>
        <v>Mid-floor view premium fully loaded.</v>
      </c>
      <c r="T278" s="48" t="str">
        <f>Assumptions!$AJ$140</f>
        <v>WNW: almost direct west sun. 171m pool &amp; facilities view, nature reserve + landed; Pool Cabana in front of low floors</v>
      </c>
    </row>
    <row r="279" spans="1:20" x14ac:dyDescent="0.2">
      <c r="A279" s="13" t="s">
        <v>409</v>
      </c>
      <c r="B279" s="14">
        <v>3</v>
      </c>
      <c r="C279" s="40">
        <v>14</v>
      </c>
      <c r="D279" s="40">
        <v>7</v>
      </c>
      <c r="E279" s="9" t="s">
        <v>48</v>
      </c>
      <c r="F279" s="14" t="s">
        <v>395</v>
      </c>
      <c r="G279" s="10">
        <v>1238</v>
      </c>
      <c r="H279" s="14" t="s">
        <v>62</v>
      </c>
      <c r="I279" s="41" t="str">
        <f>Assumptions!$I$140</f>
        <v>C</v>
      </c>
      <c r="J279" s="14" t="str">
        <f>IF(D279&lt;=Assumptions!$V$140,"Low",IF(D279&lt;=Assumptions!$W$140,"Mid","High"))</f>
        <v>Low</v>
      </c>
      <c r="K279" s="15">
        <f>Assumptions!$Q$140</f>
        <v>2737</v>
      </c>
      <c r="L279" s="42">
        <f>INDEX(Assumptions!$N$61:$N$90,D279)</f>
        <v>2814.0257631153813</v>
      </c>
      <c r="M279" s="43">
        <f>IF(D279&lt;=Assumptions!$G$140,Assumptions!$AK$140,IF(D279&lt;Assumptions!$AH$140,Assumptions!$AK$140+(Assumptions!$AL$140-Assumptions!$AK$140)*(D279-Assumptions!$G$140)/(Assumptions!$AH$140-Assumptions!$G$140),IF(D279&lt;Assumptions!$P$140,Assumptions!$AL$140+(Assumptions!$AM$140-Assumptions!$AL$140)*(D279-Assumptions!$AH$140)/(Assumptions!$P$140-Assumptions!$AH$140),Assumptions!$AM$140)))</f>
        <v>-50000</v>
      </c>
      <c r="N279" s="44">
        <f t="shared" si="8"/>
        <v>-40.38772213247173</v>
      </c>
      <c r="O279" s="45">
        <f t="shared" si="9"/>
        <v>2774</v>
      </c>
      <c r="P279" s="14" t="str">
        <f>IF(D279&gt;=Assumptions!$P$140,"High",IF(D279&gt;=Assumptions!$AH$140,"Mid",IF(D279&lt;=Assumptions!$G$140,"Low","Loading")))</f>
        <v>Loading</v>
      </c>
      <c r="Q279" s="46">
        <f>MAX(K279,MIN(Assumptions!$S$140,O279),Q280)</f>
        <v>2774</v>
      </c>
      <c r="R279" s="12">
        <f>IF(AND(Q279&lt;=K279,INDEX(Assumptions!$C$26:$C$36,MATCH(G279,Assumptions!$A$26:$A$36,0))&lt;&gt;""),INDEX(Assumptions!$C$26:$C$36,MATCH(G279,Assumptions!$A$26:$A$36,0)),ROUND(G279*Q279,-2))</f>
        <v>3434200</v>
      </c>
      <c r="S279" s="47" t="str">
        <f>TRIM(IF(AND(Assumptions!$L$140&lt;&gt;"",D279&lt;Assumptions!$L$140),"View blocked / roof in front ("&amp;Assumptions!$M$140&amp;"); view premium still loading until L"&amp;Assumptions!$L$140&amp;". ","")&amp;IF(D279=Assumptions!$AH$140,"Mid-floor view premium fully loaded. ","")&amp;IF(D279=Assumptions!$P$140,"High-floor view premium fully loaded. ","")&amp;IF(Q279&lt;=K279,"At developer starting price.",""))</f>
        <v/>
      </c>
      <c r="T279" s="48" t="str">
        <f>Assumptions!$AJ$140</f>
        <v>WNW: almost direct west sun. 171m pool &amp; facilities view, nature reserve + landed; Pool Cabana in front of low floors</v>
      </c>
    </row>
    <row r="280" spans="1:20" x14ac:dyDescent="0.2">
      <c r="A280" s="13" t="s">
        <v>410</v>
      </c>
      <c r="B280" s="14">
        <v>3</v>
      </c>
      <c r="C280" s="40">
        <v>14</v>
      </c>
      <c r="D280" s="40">
        <v>6</v>
      </c>
      <c r="E280" s="9" t="s">
        <v>48</v>
      </c>
      <c r="F280" s="14" t="s">
        <v>395</v>
      </c>
      <c r="G280" s="10">
        <v>1238</v>
      </c>
      <c r="H280" s="14" t="s">
        <v>62</v>
      </c>
      <c r="I280" s="41" t="str">
        <f>Assumptions!$I$140</f>
        <v>C</v>
      </c>
      <c r="J280" s="14" t="str">
        <f>IF(D280&lt;=Assumptions!$V$140,"Low",IF(D280&lt;=Assumptions!$W$140,"Mid","High"))</f>
        <v>Low</v>
      </c>
      <c r="K280" s="15">
        <f>Assumptions!$Q$140</f>
        <v>2737</v>
      </c>
      <c r="L280" s="42">
        <f>INDEX(Assumptions!$N$61:$N$90,D280)</f>
        <v>2806.6981549187994</v>
      </c>
      <c r="M280" s="43">
        <f>IF(D280&lt;=Assumptions!$G$140,Assumptions!$AK$140,IF(D280&lt;Assumptions!$AH$140,Assumptions!$AK$140+(Assumptions!$AL$140-Assumptions!$AK$140)*(D280-Assumptions!$G$140)/(Assumptions!$AH$140-Assumptions!$G$140),IF(D280&lt;Assumptions!$P$140,Assumptions!$AL$140+(Assumptions!$AM$140-Assumptions!$AL$140)*(D280-Assumptions!$AH$140)/(Assumptions!$P$140-Assumptions!$AH$140),Assumptions!$AM$140)))</f>
        <v>-50000</v>
      </c>
      <c r="N280" s="44">
        <f t="shared" si="8"/>
        <v>-40.38772213247173</v>
      </c>
      <c r="O280" s="45">
        <f t="shared" si="9"/>
        <v>2766</v>
      </c>
      <c r="P280" s="14" t="str">
        <f>IF(D280&gt;=Assumptions!$P$140,"High",IF(D280&gt;=Assumptions!$AH$140,"Mid",IF(D280&lt;=Assumptions!$G$140,"Low","Loading")))</f>
        <v>Loading</v>
      </c>
      <c r="Q280" s="46">
        <f>MAX(K280,MIN(Assumptions!$S$140,O280),Q281)</f>
        <v>2766</v>
      </c>
      <c r="R280" s="12">
        <f>IF(AND(Q280&lt;=K280,INDEX(Assumptions!$C$26:$C$36,MATCH(G280,Assumptions!$A$26:$A$36,0))&lt;&gt;""),INDEX(Assumptions!$C$26:$C$36,MATCH(G280,Assumptions!$A$26:$A$36,0)),ROUND(G280*Q280,-2))</f>
        <v>3424300</v>
      </c>
      <c r="S280" s="47" t="str">
        <f>TRIM(IF(AND(Assumptions!$L$140&lt;&gt;"",D280&lt;Assumptions!$L$140),"View blocked / roof in front ("&amp;Assumptions!$M$140&amp;"); view premium still loading until L"&amp;Assumptions!$L$140&amp;". ","")&amp;IF(D280=Assumptions!$AH$140,"Mid-floor view premium fully loaded. ","")&amp;IF(D280=Assumptions!$P$140,"High-floor view premium fully loaded. ","")&amp;IF(Q280&lt;=K280,"At developer starting price.",""))</f>
        <v/>
      </c>
      <c r="T280" s="48" t="str">
        <f>Assumptions!$AJ$140</f>
        <v>WNW: almost direct west sun. 171m pool &amp; facilities view, nature reserve + landed; Pool Cabana in front of low floors</v>
      </c>
    </row>
    <row r="281" spans="1:20" x14ac:dyDescent="0.2">
      <c r="A281" s="13" t="s">
        <v>411</v>
      </c>
      <c r="B281" s="14">
        <v>3</v>
      </c>
      <c r="C281" s="40">
        <v>14</v>
      </c>
      <c r="D281" s="40">
        <v>5</v>
      </c>
      <c r="E281" s="9" t="s">
        <v>48</v>
      </c>
      <c r="F281" s="14" t="s">
        <v>395</v>
      </c>
      <c r="G281" s="10">
        <v>1238</v>
      </c>
      <c r="H281" s="14" t="s">
        <v>62</v>
      </c>
      <c r="I281" s="41" t="str">
        <f>Assumptions!$I$140</f>
        <v>C</v>
      </c>
      <c r="J281" s="14" t="str">
        <f>IF(D281&lt;=Assumptions!$V$140,"Low",IF(D281&lt;=Assumptions!$W$140,"Mid","High"))</f>
        <v>Low</v>
      </c>
      <c r="K281" s="15">
        <f>Assumptions!$Q$140</f>
        <v>2737</v>
      </c>
      <c r="L281" s="42">
        <f>INDEX(Assumptions!$N$61:$N$90,D281)</f>
        <v>2799.3705467222176</v>
      </c>
      <c r="M281" s="43">
        <f>IF(D281&lt;=Assumptions!$G$140,Assumptions!$AK$140,IF(D281&lt;Assumptions!$AH$140,Assumptions!$AK$140+(Assumptions!$AL$140-Assumptions!$AK$140)*(D281-Assumptions!$G$140)/(Assumptions!$AH$140-Assumptions!$G$140),IF(D281&lt;Assumptions!$P$140,Assumptions!$AL$140+(Assumptions!$AM$140-Assumptions!$AL$140)*(D281-Assumptions!$AH$140)/(Assumptions!$P$140-Assumptions!$AH$140),Assumptions!$AM$140)))</f>
        <v>-50000</v>
      </c>
      <c r="N281" s="44">
        <f t="shared" si="8"/>
        <v>-40.38772213247173</v>
      </c>
      <c r="O281" s="45">
        <f t="shared" si="9"/>
        <v>2759</v>
      </c>
      <c r="P281" s="14" t="str">
        <f>IF(D281&gt;=Assumptions!$P$140,"High",IF(D281&gt;=Assumptions!$AH$140,"Mid",IF(D281&lt;=Assumptions!$G$140,"Low","Loading")))</f>
        <v>Loading</v>
      </c>
      <c r="Q281" s="46">
        <f>MAX(K281,MIN(Assumptions!$S$140,O281),Q282)</f>
        <v>2759</v>
      </c>
      <c r="R281" s="12">
        <f>IF(AND(Q281&lt;=K281,INDEX(Assumptions!$C$26:$C$36,MATCH(G281,Assumptions!$A$26:$A$36,0))&lt;&gt;""),INDEX(Assumptions!$C$26:$C$36,MATCH(G281,Assumptions!$A$26:$A$36,0)),ROUND(G281*Q281,-2))</f>
        <v>3415600</v>
      </c>
      <c r="S281" s="47" t="str">
        <f>TRIM(IF(AND(Assumptions!$L$140&lt;&gt;"",D281&lt;Assumptions!$L$140),"View blocked / roof in front ("&amp;Assumptions!$M$140&amp;"); view premium still loading until L"&amp;Assumptions!$L$140&amp;". ","")&amp;IF(D281=Assumptions!$AH$140,"Mid-floor view premium fully loaded. ","")&amp;IF(D281=Assumptions!$P$140,"High-floor view premium fully loaded. ","")&amp;IF(Q281&lt;=K281,"At developer starting price.",""))</f>
        <v>View blocked / roof in front (Pool Cabana: 16% of view, 28.4 to 34.3m away); view premium still loading until L6.</v>
      </c>
      <c r="T281" s="48" t="str">
        <f>Assumptions!$AJ$140</f>
        <v>WNW: almost direct west sun. 171m pool &amp; facilities view, nature reserve + landed; Pool Cabana in front of low floors</v>
      </c>
    </row>
    <row r="282" spans="1:20" x14ac:dyDescent="0.2">
      <c r="A282" s="13" t="s">
        <v>412</v>
      </c>
      <c r="B282" s="14">
        <v>3</v>
      </c>
      <c r="C282" s="40">
        <v>14</v>
      </c>
      <c r="D282" s="40">
        <v>4</v>
      </c>
      <c r="E282" s="9" t="s">
        <v>48</v>
      </c>
      <c r="F282" s="14" t="s">
        <v>395</v>
      </c>
      <c r="G282" s="10">
        <v>1238</v>
      </c>
      <c r="H282" s="14" t="s">
        <v>62</v>
      </c>
      <c r="I282" s="41" t="str">
        <f>Assumptions!$I$140</f>
        <v>C</v>
      </c>
      <c r="J282" s="14" t="str">
        <f>IF(D282&lt;=Assumptions!$V$140,"Low",IF(D282&lt;=Assumptions!$W$140,"Mid","High"))</f>
        <v>Low</v>
      </c>
      <c r="K282" s="15">
        <f>Assumptions!$Q$140</f>
        <v>2737</v>
      </c>
      <c r="L282" s="42">
        <f>INDEX(Assumptions!$N$61:$N$90,D282)</f>
        <v>2792.0429385256357</v>
      </c>
      <c r="M282" s="43">
        <f>IF(D282&lt;=Assumptions!$G$140,Assumptions!$AK$140,IF(D282&lt;Assumptions!$AH$140,Assumptions!$AK$140+(Assumptions!$AL$140-Assumptions!$AK$140)*(D282-Assumptions!$G$140)/(Assumptions!$AH$140-Assumptions!$G$140),IF(D282&lt;Assumptions!$P$140,Assumptions!$AL$140+(Assumptions!$AM$140-Assumptions!$AL$140)*(D282-Assumptions!$AH$140)/(Assumptions!$P$140-Assumptions!$AH$140),Assumptions!$AM$140)))</f>
        <v>-50000</v>
      </c>
      <c r="N282" s="44">
        <f t="shared" si="8"/>
        <v>-40.38772213247173</v>
      </c>
      <c r="O282" s="45">
        <f t="shared" si="9"/>
        <v>2752</v>
      </c>
      <c r="P282" s="14" t="str">
        <f>IF(D282&gt;=Assumptions!$P$140,"High",IF(D282&gt;=Assumptions!$AH$140,"Mid",IF(D282&lt;=Assumptions!$G$140,"Low","Loading")))</f>
        <v>Loading</v>
      </c>
      <c r="Q282" s="46">
        <f>MAX(K282,MIN(Assumptions!$S$140,O282),Q283)</f>
        <v>2752</v>
      </c>
      <c r="R282" s="12">
        <f>IF(AND(Q282&lt;=K282,INDEX(Assumptions!$C$26:$C$36,MATCH(G282,Assumptions!$A$26:$A$36,0))&lt;&gt;""),INDEX(Assumptions!$C$26:$C$36,MATCH(G282,Assumptions!$A$26:$A$36,0)),ROUND(G282*Q282,-2))</f>
        <v>3407000</v>
      </c>
      <c r="S282" s="47" t="str">
        <f>TRIM(IF(AND(Assumptions!$L$140&lt;&gt;"",D282&lt;Assumptions!$L$140),"View blocked / roof in front ("&amp;Assumptions!$M$140&amp;"); view premium still loading until L"&amp;Assumptions!$L$140&amp;". ","")&amp;IF(D282=Assumptions!$AH$140,"Mid-floor view premium fully loaded. ","")&amp;IF(D282=Assumptions!$P$140,"High-floor view premium fully loaded. ","")&amp;IF(Q282&lt;=K282,"At developer starting price.",""))</f>
        <v>View blocked / roof in front (Pool Cabana: 16% of view, 28.4 to 34.3m away); view premium still loading until L6.</v>
      </c>
      <c r="T282" s="48" t="str">
        <f>Assumptions!$AJ$140</f>
        <v>WNW: almost direct west sun. 171m pool &amp; facilities view, nature reserve + landed; Pool Cabana in front of low floors</v>
      </c>
    </row>
    <row r="283" spans="1:20" x14ac:dyDescent="0.2">
      <c r="A283" s="13" t="s">
        <v>413</v>
      </c>
      <c r="B283" s="14">
        <v>3</v>
      </c>
      <c r="C283" s="40">
        <v>14</v>
      </c>
      <c r="D283" s="40">
        <v>3</v>
      </c>
      <c r="E283" s="9" t="s">
        <v>48</v>
      </c>
      <c r="F283" s="14" t="s">
        <v>395</v>
      </c>
      <c r="G283" s="10">
        <v>1238</v>
      </c>
      <c r="H283" s="14" t="s">
        <v>62</v>
      </c>
      <c r="I283" s="41" t="str">
        <f>Assumptions!$I$140</f>
        <v>C</v>
      </c>
      <c r="J283" s="14" t="str">
        <f>IF(D283&lt;=Assumptions!$V$140,"Low",IF(D283&lt;=Assumptions!$W$140,"Mid","High"))</f>
        <v>Low</v>
      </c>
      <c r="K283" s="15">
        <f>Assumptions!$Q$140</f>
        <v>2737</v>
      </c>
      <c r="L283" s="42">
        <f>INDEX(Assumptions!$N$61:$N$90,D283)</f>
        <v>2784.7153303290538</v>
      </c>
      <c r="M283" s="43">
        <f>IF(D283&lt;=Assumptions!$G$140,Assumptions!$AK$140,IF(D283&lt;Assumptions!$AH$140,Assumptions!$AK$140+(Assumptions!$AL$140-Assumptions!$AK$140)*(D283-Assumptions!$G$140)/(Assumptions!$AH$140-Assumptions!$G$140),IF(D283&lt;Assumptions!$P$140,Assumptions!$AL$140+(Assumptions!$AM$140-Assumptions!$AL$140)*(D283-Assumptions!$AH$140)/(Assumptions!$P$140-Assumptions!$AH$140),Assumptions!$AM$140)))</f>
        <v>-50000</v>
      </c>
      <c r="N283" s="44">
        <f t="shared" si="8"/>
        <v>-40.38772213247173</v>
      </c>
      <c r="O283" s="45">
        <f t="shared" si="9"/>
        <v>2744</v>
      </c>
      <c r="P283" s="14" t="str">
        <f>IF(D283&gt;=Assumptions!$P$140,"High",IF(D283&gt;=Assumptions!$AH$140,"Mid",IF(D283&lt;=Assumptions!$G$140,"Low","Loading")))</f>
        <v>Loading</v>
      </c>
      <c r="Q283" s="46">
        <f>MAX(K283,MIN(Assumptions!$S$140,O283),Q284)</f>
        <v>2744</v>
      </c>
      <c r="R283" s="12">
        <f>IF(AND(Q283&lt;=K283,INDEX(Assumptions!$C$26:$C$36,MATCH(G283,Assumptions!$A$26:$A$36,0))&lt;&gt;""),INDEX(Assumptions!$C$26:$C$36,MATCH(G283,Assumptions!$A$26:$A$36,0)),ROUND(G283*Q283,-2))</f>
        <v>3397100</v>
      </c>
      <c r="S283" s="47" t="str">
        <f>TRIM(IF(AND(Assumptions!$L$140&lt;&gt;"",D283&lt;Assumptions!$L$140),"View blocked / roof in front ("&amp;Assumptions!$M$140&amp;"); view premium still loading until L"&amp;Assumptions!$L$140&amp;". ","")&amp;IF(D283=Assumptions!$AH$140,"Mid-floor view premium fully loaded. ","")&amp;IF(D283=Assumptions!$P$140,"High-floor view premium fully loaded. ","")&amp;IF(Q283&lt;=K283,"At developer starting price.",""))</f>
        <v>View blocked / roof in front (Pool Cabana: 16% of view, 28.4 to 34.3m away); view premium still loading until L6.</v>
      </c>
      <c r="T283" s="48" t="str">
        <f>Assumptions!$AJ$140</f>
        <v>WNW: almost direct west sun. 171m pool &amp; facilities view, nature reserve + landed; Pool Cabana in front of low floors</v>
      </c>
    </row>
    <row r="284" spans="1:20" x14ac:dyDescent="0.2">
      <c r="A284" s="13" t="s">
        <v>414</v>
      </c>
      <c r="B284" s="14">
        <v>3</v>
      </c>
      <c r="C284" s="40">
        <v>14</v>
      </c>
      <c r="D284" s="40">
        <v>2</v>
      </c>
      <c r="E284" s="9" t="s">
        <v>48</v>
      </c>
      <c r="F284" s="14" t="s">
        <v>415</v>
      </c>
      <c r="G284" s="10">
        <v>1238</v>
      </c>
      <c r="H284" s="14" t="s">
        <v>62</v>
      </c>
      <c r="I284" s="41" t="str">
        <f>Assumptions!$I$140</f>
        <v>C</v>
      </c>
      <c r="J284" s="14" t="str">
        <f>IF(D284&lt;=Assumptions!$V$140,"Low",IF(D284&lt;=Assumptions!$W$140,"Mid","High"))</f>
        <v>Low</v>
      </c>
      <c r="K284" s="15">
        <f>Assumptions!$Q$140</f>
        <v>2737</v>
      </c>
      <c r="L284" s="42">
        <f>INDEX(Assumptions!$N$61:$N$90,D284)</f>
        <v>2777.3877221324719</v>
      </c>
      <c r="M284" s="43">
        <f>IF(D284&lt;=Assumptions!$G$140,Assumptions!$AK$140,IF(D284&lt;Assumptions!$AH$140,Assumptions!$AK$140+(Assumptions!$AL$140-Assumptions!$AK$140)*(D284-Assumptions!$G$140)/(Assumptions!$AH$140-Assumptions!$G$140),IF(D284&lt;Assumptions!$P$140,Assumptions!$AL$140+(Assumptions!$AM$140-Assumptions!$AL$140)*(D284-Assumptions!$AH$140)/(Assumptions!$P$140-Assumptions!$AH$140),Assumptions!$AM$140)))</f>
        <v>-50000</v>
      </c>
      <c r="N284" s="44">
        <f t="shared" si="8"/>
        <v>-40.38772213247173</v>
      </c>
      <c r="O284" s="45">
        <f t="shared" si="9"/>
        <v>2737</v>
      </c>
      <c r="P284" s="14" t="str">
        <f>IF(D284&gt;=Assumptions!$P$140,"High",IF(D284&gt;=Assumptions!$AH$140,"Mid",IF(D284&lt;=Assumptions!$G$140,"Low","Loading")))</f>
        <v>Low</v>
      </c>
      <c r="Q284" s="46">
        <f>MAX(K284,MIN(Assumptions!$S$140,O284))</f>
        <v>2737</v>
      </c>
      <c r="R284" s="12">
        <f>IF(AND(Q284&lt;=K284,INDEX(Assumptions!$C$26:$C$36,MATCH(G284,Assumptions!$A$26:$A$36,0))&lt;&gt;""),INDEX(Assumptions!$C$26:$C$36,MATCH(G284,Assumptions!$A$26:$A$36,0)),ROUND(G284*Q284,-2))</f>
        <v>3388000</v>
      </c>
      <c r="S284" s="47" t="str">
        <f>TRIM(IF(AND(Assumptions!$L$140&lt;&gt;"",D284&lt;Assumptions!$L$140),"View blocked / roof in front ("&amp;Assumptions!$M$140&amp;"); view premium still loading until L"&amp;Assumptions!$L$140&amp;". ","")&amp;IF(D284=Assumptions!$AH$140,"Mid-floor view premium fully loaded. ","")&amp;IF(D284=Assumptions!$P$140,"High-floor view premium fully loaded. ","")&amp;IF(Q284&lt;=K284,"At developer starting price.",""))</f>
        <v>View blocked / roof in front (Pool Cabana: 16% of view, 28.4 to 34.3m away); view premium still loading until L6. At developer starting price.</v>
      </c>
      <c r="T284" s="48" t="str">
        <f>Assumptions!$AJ$140</f>
        <v>WNW: almost direct west sun. 171m pool &amp; facilities view, nature reserve + landed; Pool Cabana in front of low floors</v>
      </c>
    </row>
    <row r="285" spans="1:20" x14ac:dyDescent="0.2">
      <c r="A285" s="13" t="s">
        <v>416</v>
      </c>
      <c r="B285" s="14">
        <v>3</v>
      </c>
      <c r="C285" s="40">
        <v>15</v>
      </c>
      <c r="D285" s="40">
        <v>21</v>
      </c>
      <c r="E285" s="9" t="s">
        <v>48</v>
      </c>
      <c r="F285" s="14" t="s">
        <v>417</v>
      </c>
      <c r="G285" s="10">
        <v>1238</v>
      </c>
      <c r="H285" s="14" t="s">
        <v>62</v>
      </c>
      <c r="I285" s="41" t="str">
        <f>Assumptions!$I$141</f>
        <v>C</v>
      </c>
      <c r="J285" s="14" t="str">
        <f>IF(D285&lt;=Assumptions!$V$141,"Low",IF(D285&lt;=Assumptions!$W$141,"Mid","High"))</f>
        <v>High</v>
      </c>
      <c r="K285" s="15">
        <f>Assumptions!$Q$141</f>
        <v>2737</v>
      </c>
      <c r="L285" s="42">
        <f>INDEX(Assumptions!$N$61:$N$90,D285)</f>
        <v>3072.8285714285716</v>
      </c>
      <c r="M285" s="43">
        <f>IF(D285&lt;=Assumptions!$G$141,Assumptions!$AK$141,IF(D285&lt;Assumptions!$AH$141,Assumptions!$AK$141+(Assumptions!$AL$141-Assumptions!$AK$141)*(D285-Assumptions!$G$141)/(Assumptions!$AH$141-Assumptions!$G$141),IF(D285&lt;Assumptions!$P$141,Assumptions!$AL$141+(Assumptions!$AM$141-Assumptions!$AL$141)*(D285-Assumptions!$AH$141)/(Assumptions!$P$141-Assumptions!$AH$141),Assumptions!$AM$141)))</f>
        <v>-50000</v>
      </c>
      <c r="N285" s="44">
        <f t="shared" si="8"/>
        <v>-40.38772213247173</v>
      </c>
      <c r="O285" s="45">
        <f t="shared" si="9"/>
        <v>3032</v>
      </c>
      <c r="P285" s="14" t="str">
        <f>IF(D285&gt;=Assumptions!$P$141,"High",IF(D285&gt;=Assumptions!$AH$141,"Mid",IF(D285&lt;=Assumptions!$G$141,"Low","Loading")))</f>
        <v>High</v>
      </c>
      <c r="Q285" s="46">
        <f>MAX(K285,MIN(Assumptions!$S$141,O285),Q286)</f>
        <v>3032</v>
      </c>
      <c r="R285" s="12">
        <f>IF(AND(Q285&lt;=K285,INDEX(Assumptions!$C$26:$C$36,MATCH(G285,Assumptions!$A$26:$A$36,0))&lt;&gt;""),INDEX(Assumptions!$C$26:$C$36,MATCH(G285,Assumptions!$A$26:$A$36,0)),ROUND(G285*Q285,-2))</f>
        <v>3753600</v>
      </c>
      <c r="S285" s="47" t="str">
        <f>TRIM(IF(AND(Assumptions!$L$141&lt;&gt;"",D285&lt;Assumptions!$L$141),"View blocked / roof in front ("&amp;Assumptions!$M$141&amp;"); view premium still loading until L"&amp;Assumptions!$L$141&amp;". ","")&amp;IF(D285=Assumptions!$AH$141,"Mid-floor view premium fully loaded. ","")&amp;IF(D285=Assumptions!$P$141,"High-floor view premium fully loaded. ","")&amp;IF(Q285&lt;=K285,"At developer starting price.",""))</f>
        <v/>
      </c>
      <c r="T285" s="48" t="str">
        <f>Assumptions!$AJ$141</f>
        <v>WNW: almost direct west sun. 171m pool &amp; facilities view, nature reserve + landed</v>
      </c>
    </row>
    <row r="286" spans="1:20" x14ac:dyDescent="0.2">
      <c r="A286" s="13" t="s">
        <v>418</v>
      </c>
      <c r="B286" s="14">
        <v>3</v>
      </c>
      <c r="C286" s="40">
        <v>15</v>
      </c>
      <c r="D286" s="40">
        <v>20</v>
      </c>
      <c r="E286" s="9" t="s">
        <v>48</v>
      </c>
      <c r="F286" s="14" t="s">
        <v>417</v>
      </c>
      <c r="G286" s="10">
        <v>1238</v>
      </c>
      <c r="H286" s="14" t="s">
        <v>62</v>
      </c>
      <c r="I286" s="41" t="str">
        <f>Assumptions!$I$141</f>
        <v>C</v>
      </c>
      <c r="J286" s="14" t="str">
        <f>IF(D286&lt;=Assumptions!$V$141,"Low",IF(D286&lt;=Assumptions!$W$141,"Mid","High"))</f>
        <v>High</v>
      </c>
      <c r="K286" s="15">
        <f>Assumptions!$Q$141</f>
        <v>2737</v>
      </c>
      <c r="L286" s="42">
        <f>INDEX(Assumptions!$N$61:$N$90,D286)</f>
        <v>3049.0571428571429</v>
      </c>
      <c r="M286" s="43">
        <f>IF(D286&lt;=Assumptions!$G$141,Assumptions!$AK$141,IF(D286&lt;Assumptions!$AH$141,Assumptions!$AK$141+(Assumptions!$AL$141-Assumptions!$AK$141)*(D286-Assumptions!$G$141)/(Assumptions!$AH$141-Assumptions!$G$141),IF(D286&lt;Assumptions!$P$141,Assumptions!$AL$141+(Assumptions!$AM$141-Assumptions!$AL$141)*(D286-Assumptions!$AH$141)/(Assumptions!$P$141-Assumptions!$AH$141),Assumptions!$AM$141)))</f>
        <v>-50000</v>
      </c>
      <c r="N286" s="44">
        <f t="shared" si="8"/>
        <v>-40.38772213247173</v>
      </c>
      <c r="O286" s="45">
        <f t="shared" si="9"/>
        <v>3009</v>
      </c>
      <c r="P286" s="14" t="str">
        <f>IF(D286&gt;=Assumptions!$P$141,"High",IF(D286&gt;=Assumptions!$AH$141,"Mid",IF(D286&lt;=Assumptions!$G$141,"Low","Loading")))</f>
        <v>High</v>
      </c>
      <c r="Q286" s="46">
        <f>MAX(K286,MIN(Assumptions!$S$141,O286),Q287)</f>
        <v>3009</v>
      </c>
      <c r="R286" s="12">
        <f>IF(AND(Q286&lt;=K286,INDEX(Assumptions!$C$26:$C$36,MATCH(G286,Assumptions!$A$26:$A$36,0))&lt;&gt;""),INDEX(Assumptions!$C$26:$C$36,MATCH(G286,Assumptions!$A$26:$A$36,0)),ROUND(G286*Q286,-2))</f>
        <v>3725100</v>
      </c>
      <c r="S286" s="47" t="str">
        <f>TRIM(IF(AND(Assumptions!$L$141&lt;&gt;"",D286&lt;Assumptions!$L$141),"View blocked / roof in front ("&amp;Assumptions!$M$141&amp;"); view premium still loading until L"&amp;Assumptions!$L$141&amp;". ","")&amp;IF(D286=Assumptions!$AH$141,"Mid-floor view premium fully loaded. ","")&amp;IF(D286=Assumptions!$P$141,"High-floor view premium fully loaded. ","")&amp;IF(Q286&lt;=K286,"At developer starting price.",""))</f>
        <v/>
      </c>
      <c r="T286" s="48" t="str">
        <f>Assumptions!$AJ$141</f>
        <v>WNW: almost direct west sun. 171m pool &amp; facilities view, nature reserve + landed</v>
      </c>
    </row>
    <row r="287" spans="1:20" x14ac:dyDescent="0.2">
      <c r="A287" s="13" t="s">
        <v>419</v>
      </c>
      <c r="B287" s="14">
        <v>3</v>
      </c>
      <c r="C287" s="40">
        <v>15</v>
      </c>
      <c r="D287" s="40">
        <v>19</v>
      </c>
      <c r="E287" s="9" t="s">
        <v>48</v>
      </c>
      <c r="F287" s="14" t="s">
        <v>417</v>
      </c>
      <c r="G287" s="10">
        <v>1238</v>
      </c>
      <c r="H287" s="14" t="s">
        <v>62</v>
      </c>
      <c r="I287" s="41" t="str">
        <f>Assumptions!$I$141</f>
        <v>C</v>
      </c>
      <c r="J287" s="14" t="str">
        <f>IF(D287&lt;=Assumptions!$V$141,"Low",IF(D287&lt;=Assumptions!$W$141,"Mid","High"))</f>
        <v>High</v>
      </c>
      <c r="K287" s="15">
        <f>Assumptions!$Q$141</f>
        <v>2737</v>
      </c>
      <c r="L287" s="42">
        <f>INDEX(Assumptions!$N$61:$N$90,D287)</f>
        <v>3025.2857142857142</v>
      </c>
      <c r="M287" s="43">
        <f>IF(D287&lt;=Assumptions!$G$141,Assumptions!$AK$141,IF(D287&lt;Assumptions!$AH$141,Assumptions!$AK$141+(Assumptions!$AL$141-Assumptions!$AK$141)*(D287-Assumptions!$G$141)/(Assumptions!$AH$141-Assumptions!$G$141),IF(D287&lt;Assumptions!$P$141,Assumptions!$AL$141+(Assumptions!$AM$141-Assumptions!$AL$141)*(D287-Assumptions!$AH$141)/(Assumptions!$P$141-Assumptions!$AH$141),Assumptions!$AM$141)))</f>
        <v>-50000</v>
      </c>
      <c r="N287" s="44">
        <f t="shared" si="8"/>
        <v>-40.38772213247173</v>
      </c>
      <c r="O287" s="45">
        <f t="shared" si="9"/>
        <v>2985</v>
      </c>
      <c r="P287" s="14" t="str">
        <f>IF(D287&gt;=Assumptions!$P$141,"High",IF(D287&gt;=Assumptions!$AH$141,"Mid",IF(D287&lt;=Assumptions!$G$141,"Low","Loading")))</f>
        <v>High</v>
      </c>
      <c r="Q287" s="46">
        <f>MAX(K287,MIN(Assumptions!$S$141,O287),Q288)</f>
        <v>2985</v>
      </c>
      <c r="R287" s="12">
        <f>IF(AND(Q287&lt;=K287,INDEX(Assumptions!$C$26:$C$36,MATCH(G287,Assumptions!$A$26:$A$36,0))&lt;&gt;""),INDEX(Assumptions!$C$26:$C$36,MATCH(G287,Assumptions!$A$26:$A$36,0)),ROUND(G287*Q287,-2))</f>
        <v>3695400</v>
      </c>
      <c r="S287" s="47" t="str">
        <f>TRIM(IF(AND(Assumptions!$L$141&lt;&gt;"",D287&lt;Assumptions!$L$141),"View blocked / roof in front ("&amp;Assumptions!$M$141&amp;"); view premium still loading until L"&amp;Assumptions!$L$141&amp;". ","")&amp;IF(D287=Assumptions!$AH$141,"Mid-floor view premium fully loaded. ","")&amp;IF(D287=Assumptions!$P$141,"High-floor view premium fully loaded. ","")&amp;IF(Q287&lt;=K287,"At developer starting price.",""))</f>
        <v/>
      </c>
      <c r="T287" s="48" t="str">
        <f>Assumptions!$AJ$141</f>
        <v>WNW: almost direct west sun. 171m pool &amp; facilities view, nature reserve + landed</v>
      </c>
    </row>
    <row r="288" spans="1:20" x14ac:dyDescent="0.2">
      <c r="A288" s="13" t="s">
        <v>420</v>
      </c>
      <c r="B288" s="14">
        <v>3</v>
      </c>
      <c r="C288" s="40">
        <v>15</v>
      </c>
      <c r="D288" s="40">
        <v>18</v>
      </c>
      <c r="E288" s="9" t="s">
        <v>48</v>
      </c>
      <c r="F288" s="14" t="s">
        <v>417</v>
      </c>
      <c r="G288" s="10">
        <v>1238</v>
      </c>
      <c r="H288" s="14" t="s">
        <v>62</v>
      </c>
      <c r="I288" s="41" t="str">
        <f>Assumptions!$I$141</f>
        <v>C</v>
      </c>
      <c r="J288" s="14" t="str">
        <f>IF(D288&lt;=Assumptions!$V$141,"Low",IF(D288&lt;=Assumptions!$W$141,"Mid","High"))</f>
        <v>High</v>
      </c>
      <c r="K288" s="15">
        <f>Assumptions!$Q$141</f>
        <v>2737</v>
      </c>
      <c r="L288" s="42">
        <f>INDEX(Assumptions!$N$61:$N$90,D288)</f>
        <v>3001.514285714286</v>
      </c>
      <c r="M288" s="43">
        <f>IF(D288&lt;=Assumptions!$G$141,Assumptions!$AK$141,IF(D288&lt;Assumptions!$AH$141,Assumptions!$AK$141+(Assumptions!$AL$141-Assumptions!$AK$141)*(D288-Assumptions!$G$141)/(Assumptions!$AH$141-Assumptions!$G$141),IF(D288&lt;Assumptions!$P$141,Assumptions!$AL$141+(Assumptions!$AM$141-Assumptions!$AL$141)*(D288-Assumptions!$AH$141)/(Assumptions!$P$141-Assumptions!$AH$141),Assumptions!$AM$141)))</f>
        <v>-50000</v>
      </c>
      <c r="N288" s="44">
        <f t="shared" si="8"/>
        <v>-40.38772213247173</v>
      </c>
      <c r="O288" s="45">
        <f t="shared" si="9"/>
        <v>2961</v>
      </c>
      <c r="P288" s="14" t="str">
        <f>IF(D288&gt;=Assumptions!$P$141,"High",IF(D288&gt;=Assumptions!$AH$141,"Mid",IF(D288&lt;=Assumptions!$G$141,"Low","Loading")))</f>
        <v>High</v>
      </c>
      <c r="Q288" s="46">
        <f>MAX(K288,MIN(Assumptions!$S$141,O288),Q289)</f>
        <v>2961</v>
      </c>
      <c r="R288" s="12">
        <f>IF(AND(Q288&lt;=K288,INDEX(Assumptions!$C$26:$C$36,MATCH(G288,Assumptions!$A$26:$A$36,0))&lt;&gt;""),INDEX(Assumptions!$C$26:$C$36,MATCH(G288,Assumptions!$A$26:$A$36,0)),ROUND(G288*Q288,-2))</f>
        <v>3665700</v>
      </c>
      <c r="S288" s="47" t="str">
        <f>TRIM(IF(AND(Assumptions!$L$141&lt;&gt;"",D288&lt;Assumptions!$L$141),"View blocked / roof in front ("&amp;Assumptions!$M$141&amp;"); view premium still loading until L"&amp;Assumptions!$L$141&amp;". ","")&amp;IF(D288=Assumptions!$AH$141,"Mid-floor view premium fully loaded. ","")&amp;IF(D288=Assumptions!$P$141,"High-floor view premium fully loaded. ","")&amp;IF(Q288&lt;=K288,"At developer starting price.",""))</f>
        <v/>
      </c>
      <c r="T288" s="48" t="str">
        <f>Assumptions!$AJ$141</f>
        <v>WNW: almost direct west sun. 171m pool &amp; facilities view, nature reserve + landed</v>
      </c>
    </row>
    <row r="289" spans="1:20" x14ac:dyDescent="0.2">
      <c r="A289" s="13" t="s">
        <v>421</v>
      </c>
      <c r="B289" s="14">
        <v>3</v>
      </c>
      <c r="C289" s="40">
        <v>15</v>
      </c>
      <c r="D289" s="40">
        <v>17</v>
      </c>
      <c r="E289" s="9" t="s">
        <v>48</v>
      </c>
      <c r="F289" s="14" t="s">
        <v>417</v>
      </c>
      <c r="G289" s="10">
        <v>1238</v>
      </c>
      <c r="H289" s="14" t="s">
        <v>62</v>
      </c>
      <c r="I289" s="41" t="str">
        <f>Assumptions!$I$141</f>
        <v>C</v>
      </c>
      <c r="J289" s="14" t="str">
        <f>IF(D289&lt;=Assumptions!$V$141,"Low",IF(D289&lt;=Assumptions!$W$141,"Mid","High"))</f>
        <v>High</v>
      </c>
      <c r="K289" s="15">
        <f>Assumptions!$Q$141</f>
        <v>2737</v>
      </c>
      <c r="L289" s="42">
        <f>INDEX(Assumptions!$N$61:$N$90,D289)</f>
        <v>2977.7428571428572</v>
      </c>
      <c r="M289" s="43">
        <f>IF(D289&lt;=Assumptions!$G$141,Assumptions!$AK$141,IF(D289&lt;Assumptions!$AH$141,Assumptions!$AK$141+(Assumptions!$AL$141-Assumptions!$AK$141)*(D289-Assumptions!$G$141)/(Assumptions!$AH$141-Assumptions!$G$141),IF(D289&lt;Assumptions!$P$141,Assumptions!$AL$141+(Assumptions!$AM$141-Assumptions!$AL$141)*(D289-Assumptions!$AH$141)/(Assumptions!$P$141-Assumptions!$AH$141),Assumptions!$AM$141)))</f>
        <v>-50000</v>
      </c>
      <c r="N289" s="44">
        <f t="shared" si="8"/>
        <v>-40.38772213247173</v>
      </c>
      <c r="O289" s="45">
        <f t="shared" si="9"/>
        <v>2937</v>
      </c>
      <c r="P289" s="14" t="str">
        <f>IF(D289&gt;=Assumptions!$P$141,"High",IF(D289&gt;=Assumptions!$AH$141,"Mid",IF(D289&lt;=Assumptions!$G$141,"Low","Loading")))</f>
        <v>High</v>
      </c>
      <c r="Q289" s="46">
        <f>MAX(K289,MIN(Assumptions!$S$141,O289),Q290)</f>
        <v>2937</v>
      </c>
      <c r="R289" s="12">
        <f>IF(AND(Q289&lt;=K289,INDEX(Assumptions!$C$26:$C$36,MATCH(G289,Assumptions!$A$26:$A$36,0))&lt;&gt;""),INDEX(Assumptions!$C$26:$C$36,MATCH(G289,Assumptions!$A$26:$A$36,0)),ROUND(G289*Q289,-2))</f>
        <v>3636000</v>
      </c>
      <c r="S289" s="47" t="str">
        <f>TRIM(IF(AND(Assumptions!$L$141&lt;&gt;"",D289&lt;Assumptions!$L$141),"View blocked / roof in front ("&amp;Assumptions!$M$141&amp;"); view premium still loading until L"&amp;Assumptions!$L$141&amp;". ","")&amp;IF(D289=Assumptions!$AH$141,"Mid-floor view premium fully loaded. ","")&amp;IF(D289=Assumptions!$P$141,"High-floor view premium fully loaded. ","")&amp;IF(Q289&lt;=K289,"At developer starting price.",""))</f>
        <v/>
      </c>
      <c r="T289" s="48" t="str">
        <f>Assumptions!$AJ$141</f>
        <v>WNW: almost direct west sun. 171m pool &amp; facilities view, nature reserve + landed</v>
      </c>
    </row>
    <row r="290" spans="1:20" x14ac:dyDescent="0.2">
      <c r="A290" s="13" t="s">
        <v>422</v>
      </c>
      <c r="B290" s="14">
        <v>3</v>
      </c>
      <c r="C290" s="40">
        <v>15</v>
      </c>
      <c r="D290" s="40">
        <v>16</v>
      </c>
      <c r="E290" s="9" t="s">
        <v>48</v>
      </c>
      <c r="F290" s="14" t="s">
        <v>417</v>
      </c>
      <c r="G290" s="10">
        <v>1238</v>
      </c>
      <c r="H290" s="14" t="s">
        <v>62</v>
      </c>
      <c r="I290" s="41" t="str">
        <f>Assumptions!$I$141</f>
        <v>C</v>
      </c>
      <c r="J290" s="14" t="str">
        <f>IF(D290&lt;=Assumptions!$V$141,"Low",IF(D290&lt;=Assumptions!$W$141,"Mid","High"))</f>
        <v>High</v>
      </c>
      <c r="K290" s="15">
        <f>Assumptions!$Q$141</f>
        <v>2737</v>
      </c>
      <c r="L290" s="42">
        <f>INDEX(Assumptions!$N$61:$N$90,D290)</f>
        <v>2953.9714285714285</v>
      </c>
      <c r="M290" s="43">
        <f>IF(D290&lt;=Assumptions!$G$141,Assumptions!$AK$141,IF(D290&lt;Assumptions!$AH$141,Assumptions!$AK$141+(Assumptions!$AL$141-Assumptions!$AK$141)*(D290-Assumptions!$G$141)/(Assumptions!$AH$141-Assumptions!$G$141),IF(D290&lt;Assumptions!$P$141,Assumptions!$AL$141+(Assumptions!$AM$141-Assumptions!$AL$141)*(D290-Assumptions!$AH$141)/(Assumptions!$P$141-Assumptions!$AH$141),Assumptions!$AM$141)))</f>
        <v>-50000</v>
      </c>
      <c r="N290" s="44">
        <f t="shared" si="8"/>
        <v>-40.38772213247173</v>
      </c>
      <c r="O290" s="45">
        <f t="shared" si="9"/>
        <v>2914</v>
      </c>
      <c r="P290" s="14" t="str">
        <f>IF(D290&gt;=Assumptions!$P$141,"High",IF(D290&gt;=Assumptions!$AH$141,"Mid",IF(D290&lt;=Assumptions!$G$141,"Low","Loading")))</f>
        <v>High</v>
      </c>
      <c r="Q290" s="46">
        <f>MAX(K290,MIN(Assumptions!$S$141,O290),Q291)</f>
        <v>2914</v>
      </c>
      <c r="R290" s="12">
        <f>IF(AND(Q290&lt;=K290,INDEX(Assumptions!$C$26:$C$36,MATCH(G290,Assumptions!$A$26:$A$36,0))&lt;&gt;""),INDEX(Assumptions!$C$26:$C$36,MATCH(G290,Assumptions!$A$26:$A$36,0)),ROUND(G290*Q290,-2))</f>
        <v>3607500</v>
      </c>
      <c r="S290" s="47" t="str">
        <f>TRIM(IF(AND(Assumptions!$L$141&lt;&gt;"",D290&lt;Assumptions!$L$141),"View blocked / roof in front ("&amp;Assumptions!$M$141&amp;"); view premium still loading until L"&amp;Assumptions!$L$141&amp;". ","")&amp;IF(D290=Assumptions!$AH$141,"Mid-floor view premium fully loaded. ","")&amp;IF(D290=Assumptions!$P$141,"High-floor view premium fully loaded. ","")&amp;IF(Q290&lt;=K290,"At developer starting price.",""))</f>
        <v>High-floor view premium fully loaded.</v>
      </c>
      <c r="T290" s="48" t="str">
        <f>Assumptions!$AJ$141</f>
        <v>WNW: almost direct west sun. 171m pool &amp; facilities view, nature reserve + landed</v>
      </c>
    </row>
    <row r="291" spans="1:20" x14ac:dyDescent="0.2">
      <c r="A291" s="13" t="s">
        <v>423</v>
      </c>
      <c r="B291" s="14">
        <v>3</v>
      </c>
      <c r="C291" s="40">
        <v>15</v>
      </c>
      <c r="D291" s="40">
        <v>15</v>
      </c>
      <c r="E291" s="9" t="s">
        <v>48</v>
      </c>
      <c r="F291" s="14" t="s">
        <v>417</v>
      </c>
      <c r="G291" s="10">
        <v>1238</v>
      </c>
      <c r="H291" s="14" t="s">
        <v>62</v>
      </c>
      <c r="I291" s="41" t="str">
        <f>Assumptions!$I$141</f>
        <v>C</v>
      </c>
      <c r="J291" s="14" t="str">
        <f>IF(D291&lt;=Assumptions!$V$141,"Low",IF(D291&lt;=Assumptions!$W$141,"Mid","High"))</f>
        <v>Mid</v>
      </c>
      <c r="K291" s="15">
        <f>Assumptions!$Q$141</f>
        <v>2737</v>
      </c>
      <c r="L291" s="42">
        <f>INDEX(Assumptions!$N$61:$N$90,D291)</f>
        <v>2930.2</v>
      </c>
      <c r="M291" s="43">
        <f>IF(D291&lt;=Assumptions!$G$141,Assumptions!$AK$141,IF(D291&lt;Assumptions!$AH$141,Assumptions!$AK$141+(Assumptions!$AL$141-Assumptions!$AK$141)*(D291-Assumptions!$G$141)/(Assumptions!$AH$141-Assumptions!$G$141),IF(D291&lt;Assumptions!$P$141,Assumptions!$AL$141+(Assumptions!$AM$141-Assumptions!$AL$141)*(D291-Assumptions!$AH$141)/(Assumptions!$P$141-Assumptions!$AH$141),Assumptions!$AM$141)))</f>
        <v>-50000</v>
      </c>
      <c r="N291" s="44">
        <f t="shared" si="8"/>
        <v>-40.38772213247173</v>
      </c>
      <c r="O291" s="45">
        <f t="shared" si="9"/>
        <v>2890</v>
      </c>
      <c r="P291" s="14" t="str">
        <f>IF(D291&gt;=Assumptions!$P$141,"High",IF(D291&gt;=Assumptions!$AH$141,"Mid",IF(D291&lt;=Assumptions!$G$141,"Low","Loading")))</f>
        <v>Mid</v>
      </c>
      <c r="Q291" s="46">
        <f>MAX(K291,MIN(Assumptions!$S$141,O291),Q292)</f>
        <v>2890</v>
      </c>
      <c r="R291" s="12">
        <f>IF(AND(Q291&lt;=K291,INDEX(Assumptions!$C$26:$C$36,MATCH(G291,Assumptions!$A$26:$A$36,0))&lt;&gt;""),INDEX(Assumptions!$C$26:$C$36,MATCH(G291,Assumptions!$A$26:$A$36,0)),ROUND(G291*Q291,-2))</f>
        <v>3577800</v>
      </c>
      <c r="S291" s="47" t="str">
        <f>TRIM(IF(AND(Assumptions!$L$141&lt;&gt;"",D291&lt;Assumptions!$L$141),"View blocked / roof in front ("&amp;Assumptions!$M$141&amp;"); view premium still loading until L"&amp;Assumptions!$L$141&amp;". ","")&amp;IF(D291=Assumptions!$AH$141,"Mid-floor view premium fully loaded. ","")&amp;IF(D291=Assumptions!$P$141,"High-floor view premium fully loaded. ","")&amp;IF(Q291&lt;=K291,"At developer starting price.",""))</f>
        <v/>
      </c>
      <c r="T291" s="48" t="str">
        <f>Assumptions!$AJ$141</f>
        <v>WNW: almost direct west sun. 171m pool &amp; facilities view, nature reserve + landed</v>
      </c>
    </row>
    <row r="292" spans="1:20" x14ac:dyDescent="0.2">
      <c r="A292" s="13" t="s">
        <v>424</v>
      </c>
      <c r="B292" s="14">
        <v>3</v>
      </c>
      <c r="C292" s="40">
        <v>15</v>
      </c>
      <c r="D292" s="40">
        <v>14</v>
      </c>
      <c r="E292" s="9" t="s">
        <v>48</v>
      </c>
      <c r="F292" s="14" t="s">
        <v>417</v>
      </c>
      <c r="G292" s="10">
        <v>1238</v>
      </c>
      <c r="H292" s="14" t="s">
        <v>62</v>
      </c>
      <c r="I292" s="41" t="str">
        <f>Assumptions!$I$141</f>
        <v>C</v>
      </c>
      <c r="J292" s="14" t="str">
        <f>IF(D292&lt;=Assumptions!$V$141,"Low",IF(D292&lt;=Assumptions!$W$141,"Mid","High"))</f>
        <v>Mid</v>
      </c>
      <c r="K292" s="15">
        <f>Assumptions!$Q$141</f>
        <v>2737</v>
      </c>
      <c r="L292" s="42">
        <f>INDEX(Assumptions!$N$61:$N$90,D292)</f>
        <v>2906.4285714285716</v>
      </c>
      <c r="M292" s="43">
        <f>IF(D292&lt;=Assumptions!$G$141,Assumptions!$AK$141,IF(D292&lt;Assumptions!$AH$141,Assumptions!$AK$141+(Assumptions!$AL$141-Assumptions!$AK$141)*(D292-Assumptions!$G$141)/(Assumptions!$AH$141-Assumptions!$G$141),IF(D292&lt;Assumptions!$P$141,Assumptions!$AL$141+(Assumptions!$AM$141-Assumptions!$AL$141)*(D292-Assumptions!$AH$141)/(Assumptions!$P$141-Assumptions!$AH$141),Assumptions!$AM$141)))</f>
        <v>-50000</v>
      </c>
      <c r="N292" s="44">
        <f t="shared" si="8"/>
        <v>-40.38772213247173</v>
      </c>
      <c r="O292" s="45">
        <f t="shared" si="9"/>
        <v>2866</v>
      </c>
      <c r="P292" s="14" t="str">
        <f>IF(D292&gt;=Assumptions!$P$141,"High",IF(D292&gt;=Assumptions!$AH$141,"Mid",IF(D292&lt;=Assumptions!$G$141,"Low","Loading")))</f>
        <v>Mid</v>
      </c>
      <c r="Q292" s="46">
        <f>MAX(K292,MIN(Assumptions!$S$141,O292),Q293)</f>
        <v>2866</v>
      </c>
      <c r="R292" s="12">
        <f>IF(AND(Q292&lt;=K292,INDEX(Assumptions!$C$26:$C$36,MATCH(G292,Assumptions!$A$26:$A$36,0))&lt;&gt;""),INDEX(Assumptions!$C$26:$C$36,MATCH(G292,Assumptions!$A$26:$A$36,0)),ROUND(G292*Q292,-2))</f>
        <v>3548100</v>
      </c>
      <c r="S292" s="47" t="str">
        <f>TRIM(IF(AND(Assumptions!$L$141&lt;&gt;"",D292&lt;Assumptions!$L$141),"View blocked / roof in front ("&amp;Assumptions!$M$141&amp;"); view premium still loading until L"&amp;Assumptions!$L$141&amp;". ","")&amp;IF(D292=Assumptions!$AH$141,"Mid-floor view premium fully loaded. ","")&amp;IF(D292=Assumptions!$P$141,"High-floor view premium fully loaded. ","")&amp;IF(Q292&lt;=K292,"At developer starting price.",""))</f>
        <v/>
      </c>
      <c r="T292" s="48" t="str">
        <f>Assumptions!$AJ$141</f>
        <v>WNW: almost direct west sun. 171m pool &amp; facilities view, nature reserve + landed</v>
      </c>
    </row>
    <row r="293" spans="1:20" x14ac:dyDescent="0.2">
      <c r="A293" s="13" t="s">
        <v>425</v>
      </c>
      <c r="B293" s="14">
        <v>3</v>
      </c>
      <c r="C293" s="40">
        <v>15</v>
      </c>
      <c r="D293" s="40">
        <v>13</v>
      </c>
      <c r="E293" s="9" t="s">
        <v>48</v>
      </c>
      <c r="F293" s="14" t="s">
        <v>417</v>
      </c>
      <c r="G293" s="10">
        <v>1238</v>
      </c>
      <c r="H293" s="14" t="s">
        <v>62</v>
      </c>
      <c r="I293" s="41" t="str">
        <f>Assumptions!$I$141</f>
        <v>C</v>
      </c>
      <c r="J293" s="14" t="str">
        <f>IF(D293&lt;=Assumptions!$V$141,"Low",IF(D293&lt;=Assumptions!$W$141,"Mid","High"))</f>
        <v>Mid</v>
      </c>
      <c r="K293" s="15">
        <f>Assumptions!$Q$141</f>
        <v>2737</v>
      </c>
      <c r="L293" s="42">
        <f>INDEX(Assumptions!$N$61:$N$90,D293)</f>
        <v>2882.6571428571428</v>
      </c>
      <c r="M293" s="43">
        <f>IF(D293&lt;=Assumptions!$G$141,Assumptions!$AK$141,IF(D293&lt;Assumptions!$AH$141,Assumptions!$AK$141+(Assumptions!$AL$141-Assumptions!$AK$141)*(D293-Assumptions!$G$141)/(Assumptions!$AH$141-Assumptions!$G$141),IF(D293&lt;Assumptions!$P$141,Assumptions!$AL$141+(Assumptions!$AM$141-Assumptions!$AL$141)*(D293-Assumptions!$AH$141)/(Assumptions!$P$141-Assumptions!$AH$141),Assumptions!$AM$141)))</f>
        <v>-50000</v>
      </c>
      <c r="N293" s="44">
        <f t="shared" si="8"/>
        <v>-40.38772213247173</v>
      </c>
      <c r="O293" s="45">
        <f t="shared" si="9"/>
        <v>2842</v>
      </c>
      <c r="P293" s="14" t="str">
        <f>IF(D293&gt;=Assumptions!$P$141,"High",IF(D293&gt;=Assumptions!$AH$141,"Mid",IF(D293&lt;=Assumptions!$G$141,"Low","Loading")))</f>
        <v>Mid</v>
      </c>
      <c r="Q293" s="46">
        <f>MAX(K293,MIN(Assumptions!$S$141,O293),Q294)</f>
        <v>2842</v>
      </c>
      <c r="R293" s="12">
        <f>IF(AND(Q293&lt;=K293,INDEX(Assumptions!$C$26:$C$36,MATCH(G293,Assumptions!$A$26:$A$36,0))&lt;&gt;""),INDEX(Assumptions!$C$26:$C$36,MATCH(G293,Assumptions!$A$26:$A$36,0)),ROUND(G293*Q293,-2))</f>
        <v>3518400</v>
      </c>
      <c r="S293" s="47" t="str">
        <f>TRIM(IF(AND(Assumptions!$L$141&lt;&gt;"",D293&lt;Assumptions!$L$141),"View blocked / roof in front ("&amp;Assumptions!$M$141&amp;"); view premium still loading until L"&amp;Assumptions!$L$141&amp;". ","")&amp;IF(D293=Assumptions!$AH$141,"Mid-floor view premium fully loaded. ","")&amp;IF(D293=Assumptions!$P$141,"High-floor view premium fully loaded. ","")&amp;IF(Q293&lt;=K293,"At developer starting price.",""))</f>
        <v/>
      </c>
      <c r="T293" s="48" t="str">
        <f>Assumptions!$AJ$141</f>
        <v>WNW: almost direct west sun. 171m pool &amp; facilities view, nature reserve + landed</v>
      </c>
    </row>
    <row r="294" spans="1:20" x14ac:dyDescent="0.2">
      <c r="A294" s="13" t="s">
        <v>426</v>
      </c>
      <c r="B294" s="14">
        <v>3</v>
      </c>
      <c r="C294" s="40">
        <v>15</v>
      </c>
      <c r="D294" s="40">
        <v>12</v>
      </c>
      <c r="E294" s="9" t="s">
        <v>48</v>
      </c>
      <c r="F294" s="14" t="s">
        <v>417</v>
      </c>
      <c r="G294" s="10">
        <v>1238</v>
      </c>
      <c r="H294" s="14" t="s">
        <v>62</v>
      </c>
      <c r="I294" s="41" t="str">
        <f>Assumptions!$I$141</f>
        <v>C</v>
      </c>
      <c r="J294" s="14" t="str">
        <f>IF(D294&lt;=Assumptions!$V$141,"Low",IF(D294&lt;=Assumptions!$W$141,"Mid","High"))</f>
        <v>Mid</v>
      </c>
      <c r="K294" s="15">
        <f>Assumptions!$Q$141</f>
        <v>2737</v>
      </c>
      <c r="L294" s="42">
        <f>INDEX(Assumptions!$N$61:$N$90,D294)</f>
        <v>2858.8857142857141</v>
      </c>
      <c r="M294" s="43">
        <f>IF(D294&lt;=Assumptions!$G$141,Assumptions!$AK$141,IF(D294&lt;Assumptions!$AH$141,Assumptions!$AK$141+(Assumptions!$AL$141-Assumptions!$AK$141)*(D294-Assumptions!$G$141)/(Assumptions!$AH$141-Assumptions!$G$141),IF(D294&lt;Assumptions!$P$141,Assumptions!$AL$141+(Assumptions!$AM$141-Assumptions!$AL$141)*(D294-Assumptions!$AH$141)/(Assumptions!$P$141-Assumptions!$AH$141),Assumptions!$AM$141)))</f>
        <v>-50000</v>
      </c>
      <c r="N294" s="44">
        <f t="shared" si="8"/>
        <v>-40.38772213247173</v>
      </c>
      <c r="O294" s="45">
        <f t="shared" si="9"/>
        <v>2818</v>
      </c>
      <c r="P294" s="14" t="str">
        <f>IF(D294&gt;=Assumptions!$P$141,"High",IF(D294&gt;=Assumptions!$AH$141,"Mid",IF(D294&lt;=Assumptions!$G$141,"Low","Loading")))</f>
        <v>Mid</v>
      </c>
      <c r="Q294" s="46">
        <f>MAX(K294,MIN(Assumptions!$S$141,O294),Q295)</f>
        <v>2818</v>
      </c>
      <c r="R294" s="12">
        <f>IF(AND(Q294&lt;=K294,INDEX(Assumptions!$C$26:$C$36,MATCH(G294,Assumptions!$A$26:$A$36,0))&lt;&gt;""),INDEX(Assumptions!$C$26:$C$36,MATCH(G294,Assumptions!$A$26:$A$36,0)),ROUND(G294*Q294,-2))</f>
        <v>3488700</v>
      </c>
      <c r="S294" s="47" t="str">
        <f>TRIM(IF(AND(Assumptions!$L$141&lt;&gt;"",D294&lt;Assumptions!$L$141),"View blocked / roof in front ("&amp;Assumptions!$M$141&amp;"); view premium still loading until L"&amp;Assumptions!$L$141&amp;". ","")&amp;IF(D294=Assumptions!$AH$141,"Mid-floor view premium fully loaded. ","")&amp;IF(D294=Assumptions!$P$141,"High-floor view premium fully loaded. ","")&amp;IF(Q294&lt;=K294,"At developer starting price.",""))</f>
        <v/>
      </c>
      <c r="T294" s="48" t="str">
        <f>Assumptions!$AJ$141</f>
        <v>WNW: almost direct west sun. 171m pool &amp; facilities view, nature reserve + landed</v>
      </c>
    </row>
    <row r="295" spans="1:20" x14ac:dyDescent="0.2">
      <c r="A295" s="13" t="s">
        <v>427</v>
      </c>
      <c r="B295" s="14">
        <v>3</v>
      </c>
      <c r="C295" s="40">
        <v>15</v>
      </c>
      <c r="D295" s="40">
        <v>11</v>
      </c>
      <c r="E295" s="9" t="s">
        <v>48</v>
      </c>
      <c r="F295" s="14" t="s">
        <v>417</v>
      </c>
      <c r="G295" s="10">
        <v>1238</v>
      </c>
      <c r="H295" s="14" t="s">
        <v>62</v>
      </c>
      <c r="I295" s="41" t="str">
        <f>Assumptions!$I$141</f>
        <v>C</v>
      </c>
      <c r="J295" s="14" t="str">
        <f>IF(D295&lt;=Assumptions!$V$141,"Low",IF(D295&lt;=Assumptions!$W$141,"Mid","High"))</f>
        <v>Mid</v>
      </c>
      <c r="K295" s="15">
        <f>Assumptions!$Q$141</f>
        <v>2737</v>
      </c>
      <c r="L295" s="42">
        <f>INDEX(Assumptions!$N$61:$N$90,D295)</f>
        <v>2843.3361959017088</v>
      </c>
      <c r="M295" s="43">
        <f>IF(D295&lt;=Assumptions!$G$141,Assumptions!$AK$141,IF(D295&lt;Assumptions!$AH$141,Assumptions!$AK$141+(Assumptions!$AL$141-Assumptions!$AK$141)*(D295-Assumptions!$G$141)/(Assumptions!$AH$141-Assumptions!$G$141),IF(D295&lt;Assumptions!$P$141,Assumptions!$AL$141+(Assumptions!$AM$141-Assumptions!$AL$141)*(D295-Assumptions!$AH$141)/(Assumptions!$P$141-Assumptions!$AH$141),Assumptions!$AM$141)))</f>
        <v>-50000</v>
      </c>
      <c r="N295" s="44">
        <f t="shared" si="8"/>
        <v>-40.38772213247173</v>
      </c>
      <c r="O295" s="45">
        <f t="shared" si="9"/>
        <v>2803</v>
      </c>
      <c r="P295" s="14" t="str">
        <f>IF(D295&gt;=Assumptions!$P$141,"High",IF(D295&gt;=Assumptions!$AH$141,"Mid",IF(D295&lt;=Assumptions!$G$141,"Low","Loading")))</f>
        <v>Mid</v>
      </c>
      <c r="Q295" s="46">
        <f>MAX(K295,MIN(Assumptions!$S$141,O295),Q296)</f>
        <v>2803</v>
      </c>
      <c r="R295" s="12">
        <f>IF(AND(Q295&lt;=K295,INDEX(Assumptions!$C$26:$C$36,MATCH(G295,Assumptions!$A$26:$A$36,0))&lt;&gt;""),INDEX(Assumptions!$C$26:$C$36,MATCH(G295,Assumptions!$A$26:$A$36,0)),ROUND(G295*Q295,-2))</f>
        <v>3470100</v>
      </c>
      <c r="S295" s="47" t="str">
        <f>TRIM(IF(AND(Assumptions!$L$141&lt;&gt;"",D295&lt;Assumptions!$L$141),"View blocked / roof in front ("&amp;Assumptions!$M$141&amp;"); view premium still loading until L"&amp;Assumptions!$L$141&amp;". ","")&amp;IF(D295=Assumptions!$AH$141,"Mid-floor view premium fully loaded. ","")&amp;IF(D295=Assumptions!$P$141,"High-floor view premium fully loaded. ","")&amp;IF(Q295&lt;=K295,"At developer starting price.",""))</f>
        <v/>
      </c>
      <c r="T295" s="48" t="str">
        <f>Assumptions!$AJ$141</f>
        <v>WNW: almost direct west sun. 171m pool &amp; facilities view, nature reserve + landed</v>
      </c>
    </row>
    <row r="296" spans="1:20" x14ac:dyDescent="0.2">
      <c r="A296" s="13" t="s">
        <v>428</v>
      </c>
      <c r="B296" s="14">
        <v>3</v>
      </c>
      <c r="C296" s="40">
        <v>15</v>
      </c>
      <c r="D296" s="40">
        <v>10</v>
      </c>
      <c r="E296" s="9" t="s">
        <v>48</v>
      </c>
      <c r="F296" s="14" t="s">
        <v>417</v>
      </c>
      <c r="G296" s="10">
        <v>1238</v>
      </c>
      <c r="H296" s="14" t="s">
        <v>62</v>
      </c>
      <c r="I296" s="41" t="str">
        <f>Assumptions!$I$141</f>
        <v>C</v>
      </c>
      <c r="J296" s="14" t="str">
        <f>IF(D296&lt;=Assumptions!$V$141,"Low",IF(D296&lt;=Assumptions!$W$141,"Mid","High"))</f>
        <v>Mid</v>
      </c>
      <c r="K296" s="15">
        <f>Assumptions!$Q$141</f>
        <v>2737</v>
      </c>
      <c r="L296" s="42">
        <f>INDEX(Assumptions!$N$61:$N$90,D296)</f>
        <v>2836.008587705127</v>
      </c>
      <c r="M296" s="43">
        <f>IF(D296&lt;=Assumptions!$G$141,Assumptions!$AK$141,IF(D296&lt;Assumptions!$AH$141,Assumptions!$AK$141+(Assumptions!$AL$141-Assumptions!$AK$141)*(D296-Assumptions!$G$141)/(Assumptions!$AH$141-Assumptions!$G$141),IF(D296&lt;Assumptions!$P$141,Assumptions!$AL$141+(Assumptions!$AM$141-Assumptions!$AL$141)*(D296-Assumptions!$AH$141)/(Assumptions!$P$141-Assumptions!$AH$141),Assumptions!$AM$141)))</f>
        <v>-50000</v>
      </c>
      <c r="N296" s="44">
        <f t="shared" si="8"/>
        <v>-40.38772213247173</v>
      </c>
      <c r="O296" s="45">
        <f t="shared" si="9"/>
        <v>2796</v>
      </c>
      <c r="P296" s="14" t="str">
        <f>IF(D296&gt;=Assumptions!$P$141,"High",IF(D296&gt;=Assumptions!$AH$141,"Mid",IF(D296&lt;=Assumptions!$G$141,"Low","Loading")))</f>
        <v>Mid</v>
      </c>
      <c r="Q296" s="46">
        <f>MAX(K296,MIN(Assumptions!$S$141,O296),Q297)</f>
        <v>2796</v>
      </c>
      <c r="R296" s="12">
        <f>IF(AND(Q296&lt;=K296,INDEX(Assumptions!$C$26:$C$36,MATCH(G296,Assumptions!$A$26:$A$36,0))&lt;&gt;""),INDEX(Assumptions!$C$26:$C$36,MATCH(G296,Assumptions!$A$26:$A$36,0)),ROUND(G296*Q296,-2))</f>
        <v>3461400</v>
      </c>
      <c r="S296" s="47" t="str">
        <f>TRIM(IF(AND(Assumptions!$L$141&lt;&gt;"",D296&lt;Assumptions!$L$141),"View blocked / roof in front ("&amp;Assumptions!$M$141&amp;"); view premium still loading until L"&amp;Assumptions!$L$141&amp;". ","")&amp;IF(D296=Assumptions!$AH$141,"Mid-floor view premium fully loaded. ","")&amp;IF(D296=Assumptions!$P$141,"High-floor view premium fully loaded. ","")&amp;IF(Q296&lt;=K296,"At developer starting price.",""))</f>
        <v/>
      </c>
      <c r="T296" s="48" t="str">
        <f>Assumptions!$AJ$141</f>
        <v>WNW: almost direct west sun. 171m pool &amp; facilities view, nature reserve + landed</v>
      </c>
    </row>
    <row r="297" spans="1:20" x14ac:dyDescent="0.2">
      <c r="A297" s="13" t="s">
        <v>429</v>
      </c>
      <c r="B297" s="14">
        <v>3</v>
      </c>
      <c r="C297" s="40">
        <v>15</v>
      </c>
      <c r="D297" s="40">
        <v>9</v>
      </c>
      <c r="E297" s="9" t="s">
        <v>48</v>
      </c>
      <c r="F297" s="14" t="s">
        <v>417</v>
      </c>
      <c r="G297" s="10">
        <v>1238</v>
      </c>
      <c r="H297" s="14" t="s">
        <v>62</v>
      </c>
      <c r="I297" s="41" t="str">
        <f>Assumptions!$I$141</f>
        <v>C</v>
      </c>
      <c r="J297" s="14" t="str">
        <f>IF(D297&lt;=Assumptions!$V$141,"Low",IF(D297&lt;=Assumptions!$W$141,"Mid","High"))</f>
        <v>Mid</v>
      </c>
      <c r="K297" s="15">
        <f>Assumptions!$Q$141</f>
        <v>2737</v>
      </c>
      <c r="L297" s="42">
        <f>INDEX(Assumptions!$N$61:$N$90,D297)</f>
        <v>2828.6809795085451</v>
      </c>
      <c r="M297" s="43">
        <f>IF(D297&lt;=Assumptions!$G$141,Assumptions!$AK$141,IF(D297&lt;Assumptions!$AH$141,Assumptions!$AK$141+(Assumptions!$AL$141-Assumptions!$AK$141)*(D297-Assumptions!$G$141)/(Assumptions!$AH$141-Assumptions!$G$141),IF(D297&lt;Assumptions!$P$141,Assumptions!$AL$141+(Assumptions!$AM$141-Assumptions!$AL$141)*(D297-Assumptions!$AH$141)/(Assumptions!$P$141-Assumptions!$AH$141),Assumptions!$AM$141)))</f>
        <v>-50000</v>
      </c>
      <c r="N297" s="44">
        <f t="shared" si="8"/>
        <v>-40.38772213247173</v>
      </c>
      <c r="O297" s="45">
        <f t="shared" si="9"/>
        <v>2788</v>
      </c>
      <c r="P297" s="14" t="str">
        <f>IF(D297&gt;=Assumptions!$P$141,"High",IF(D297&gt;=Assumptions!$AH$141,"Mid",IF(D297&lt;=Assumptions!$G$141,"Low","Loading")))</f>
        <v>Mid</v>
      </c>
      <c r="Q297" s="46">
        <f>MAX(K297,MIN(Assumptions!$S$141,O297),Q298)</f>
        <v>2791</v>
      </c>
      <c r="R297" s="12">
        <f>IF(AND(Q297&lt;=K297,INDEX(Assumptions!$C$26:$C$36,MATCH(G297,Assumptions!$A$26:$A$36,0))&lt;&gt;""),INDEX(Assumptions!$C$26:$C$36,MATCH(G297,Assumptions!$A$26:$A$36,0)),ROUND(G297*Q297,-2))</f>
        <v>3455300</v>
      </c>
      <c r="S297" s="47" t="str">
        <f>TRIM(IF(AND(Assumptions!$L$141&lt;&gt;"",D297&lt;Assumptions!$L$141),"View blocked / roof in front ("&amp;Assumptions!$M$141&amp;"); view premium still loading until L"&amp;Assumptions!$L$141&amp;". ","")&amp;IF(D297=Assumptions!$AH$141,"Mid-floor view premium fully loaded. ","")&amp;IF(D297=Assumptions!$P$141,"High-floor view premium fully loaded. ","")&amp;IF(Q297&lt;=K297,"At developer starting price.",""))</f>
        <v/>
      </c>
      <c r="T297" s="48" t="str">
        <f>Assumptions!$AJ$141</f>
        <v>WNW: almost direct west sun. 171m pool &amp; facilities view, nature reserve + landed</v>
      </c>
    </row>
    <row r="298" spans="1:20" x14ac:dyDescent="0.2">
      <c r="A298" s="13" t="s">
        <v>430</v>
      </c>
      <c r="B298" s="14">
        <v>3</v>
      </c>
      <c r="C298" s="40">
        <v>15</v>
      </c>
      <c r="D298" s="40">
        <v>8</v>
      </c>
      <c r="E298" s="9" t="s">
        <v>48</v>
      </c>
      <c r="F298" s="14" t="s">
        <v>417</v>
      </c>
      <c r="G298" s="10">
        <v>1238</v>
      </c>
      <c r="H298" s="14" t="s">
        <v>62</v>
      </c>
      <c r="I298" s="41" t="str">
        <f>Assumptions!$I$141</f>
        <v>C</v>
      </c>
      <c r="J298" s="14" t="str">
        <f>IF(D298&lt;=Assumptions!$V$141,"Low",IF(D298&lt;=Assumptions!$W$141,"Mid","High"))</f>
        <v>Mid</v>
      </c>
      <c r="K298" s="15">
        <f>Assumptions!$Q$141</f>
        <v>2737</v>
      </c>
      <c r="L298" s="42">
        <f>INDEX(Assumptions!$N$61:$N$90,D298)</f>
        <v>2821.3533713119632</v>
      </c>
      <c r="M298" s="43">
        <f>IF(D298&lt;=Assumptions!$G$141,Assumptions!$AK$141,IF(D298&lt;Assumptions!$AH$141,Assumptions!$AK$141+(Assumptions!$AL$141-Assumptions!$AK$141)*(D298-Assumptions!$G$141)/(Assumptions!$AH$141-Assumptions!$G$141),IF(D298&lt;Assumptions!$P$141,Assumptions!$AL$141+(Assumptions!$AM$141-Assumptions!$AL$141)*(D298-Assumptions!$AH$141)/(Assumptions!$P$141-Assumptions!$AH$141),Assumptions!$AM$141)))</f>
        <v>-50000</v>
      </c>
      <c r="N298" s="44">
        <f t="shared" si="8"/>
        <v>-40.38772213247173</v>
      </c>
      <c r="O298" s="45">
        <f t="shared" si="9"/>
        <v>2781</v>
      </c>
      <c r="P298" s="14" t="str">
        <f>IF(D298&gt;=Assumptions!$P$141,"High",IF(D298&gt;=Assumptions!$AH$141,"Mid",IF(D298&lt;=Assumptions!$G$141,"Low","Loading")))</f>
        <v>Mid</v>
      </c>
      <c r="Q298" s="46">
        <f>MAX(K298,MIN(Assumptions!$S$141,O298),Q299)</f>
        <v>2791</v>
      </c>
      <c r="R298" s="12">
        <f>IF(AND(Q298&lt;=K298,INDEX(Assumptions!$C$26:$C$36,MATCH(G298,Assumptions!$A$26:$A$36,0))&lt;&gt;""),INDEX(Assumptions!$C$26:$C$36,MATCH(G298,Assumptions!$A$26:$A$36,0)),ROUND(G298*Q298,-2))</f>
        <v>3455300</v>
      </c>
      <c r="S298" s="47" t="str">
        <f>TRIM(IF(AND(Assumptions!$L$141&lt;&gt;"",D298&lt;Assumptions!$L$141),"View blocked / roof in front ("&amp;Assumptions!$M$141&amp;"); view premium still loading until L"&amp;Assumptions!$L$141&amp;". ","")&amp;IF(D298=Assumptions!$AH$141,"Mid-floor view premium fully loaded. ","")&amp;IF(D298=Assumptions!$P$141,"High-floor view premium fully loaded. ","")&amp;IF(Q298&lt;=K298,"At developer starting price.",""))</f>
        <v>Mid-floor view premium fully loaded.</v>
      </c>
      <c r="T298" s="48" t="str">
        <f>Assumptions!$AJ$141</f>
        <v>WNW: almost direct west sun. 171m pool &amp; facilities view, nature reserve + landed</v>
      </c>
    </row>
    <row r="299" spans="1:20" x14ac:dyDescent="0.2">
      <c r="A299" s="13" t="s">
        <v>431</v>
      </c>
      <c r="B299" s="14">
        <v>3</v>
      </c>
      <c r="C299" s="40">
        <v>15</v>
      </c>
      <c r="D299" s="40">
        <v>7</v>
      </c>
      <c r="E299" s="9" t="s">
        <v>48</v>
      </c>
      <c r="F299" s="14" t="s">
        <v>417</v>
      </c>
      <c r="G299" s="10">
        <v>1238</v>
      </c>
      <c r="H299" s="14" t="s">
        <v>62</v>
      </c>
      <c r="I299" s="41" t="str">
        <f>Assumptions!$I$141</f>
        <v>C</v>
      </c>
      <c r="J299" s="14" t="str">
        <f>IF(D299&lt;=Assumptions!$V$141,"Low",IF(D299&lt;=Assumptions!$W$141,"Mid","High"))</f>
        <v>Low</v>
      </c>
      <c r="K299" s="15">
        <f>Assumptions!$Q$141</f>
        <v>2737</v>
      </c>
      <c r="L299" s="42">
        <f>INDEX(Assumptions!$N$61:$N$90,D299)</f>
        <v>2814.0257631153813</v>
      </c>
      <c r="M299" s="43">
        <f>IF(D299&lt;=Assumptions!$G$141,Assumptions!$AK$141,IF(D299&lt;Assumptions!$AH$141,Assumptions!$AK$141+(Assumptions!$AL$141-Assumptions!$AK$141)*(D299-Assumptions!$G$141)/(Assumptions!$AH$141-Assumptions!$G$141),IF(D299&lt;Assumptions!$P$141,Assumptions!$AL$141+(Assumptions!$AM$141-Assumptions!$AL$141)*(D299-Assumptions!$AH$141)/(Assumptions!$P$141-Assumptions!$AH$141),Assumptions!$AM$141)))</f>
        <v>-38888.888888888891</v>
      </c>
      <c r="N299" s="44">
        <f t="shared" si="8"/>
        <v>-31.412672769700233</v>
      </c>
      <c r="O299" s="45">
        <f t="shared" si="9"/>
        <v>2783</v>
      </c>
      <c r="P299" s="14" t="str">
        <f>IF(D299&gt;=Assumptions!$P$141,"High",IF(D299&gt;=Assumptions!$AH$141,"Mid",IF(D299&lt;=Assumptions!$G$141,"Low","Loading")))</f>
        <v>Loading</v>
      </c>
      <c r="Q299" s="46">
        <f>MAX(K299,MIN(Assumptions!$S$141,O299),Q300)</f>
        <v>2791</v>
      </c>
      <c r="R299" s="12">
        <f>IF(AND(Q299&lt;=K299,INDEX(Assumptions!$C$26:$C$36,MATCH(G299,Assumptions!$A$26:$A$36,0))&lt;&gt;""),INDEX(Assumptions!$C$26:$C$36,MATCH(G299,Assumptions!$A$26:$A$36,0)),ROUND(G299*Q299,-2))</f>
        <v>3455300</v>
      </c>
      <c r="S299" s="47" t="str">
        <f>TRIM(IF(AND(Assumptions!$L$141&lt;&gt;"",D299&lt;Assumptions!$L$141),"View blocked / roof in front ("&amp;Assumptions!$M$141&amp;"); view premium still loading until L"&amp;Assumptions!$L$141&amp;". ","")&amp;IF(D299=Assumptions!$AH$141,"Mid-floor view premium fully loaded. ","")&amp;IF(D299=Assumptions!$P$141,"High-floor view premium fully loaded. ","")&amp;IF(Q299&lt;=K299,"At developer starting price.",""))</f>
        <v/>
      </c>
      <c r="T299" s="48" t="str">
        <f>Assumptions!$AJ$141</f>
        <v>WNW: almost direct west sun. 171m pool &amp; facilities view, nature reserve + landed</v>
      </c>
    </row>
    <row r="300" spans="1:20" x14ac:dyDescent="0.2">
      <c r="A300" s="13" t="s">
        <v>432</v>
      </c>
      <c r="B300" s="14">
        <v>3</v>
      </c>
      <c r="C300" s="40">
        <v>15</v>
      </c>
      <c r="D300" s="40">
        <v>6</v>
      </c>
      <c r="E300" s="9" t="s">
        <v>48</v>
      </c>
      <c r="F300" s="14" t="s">
        <v>417</v>
      </c>
      <c r="G300" s="10">
        <v>1238</v>
      </c>
      <c r="H300" s="14" t="s">
        <v>62</v>
      </c>
      <c r="I300" s="41" t="str">
        <f>Assumptions!$I$141</f>
        <v>C</v>
      </c>
      <c r="J300" s="14" t="str">
        <f>IF(D300&lt;=Assumptions!$V$141,"Low",IF(D300&lt;=Assumptions!$W$141,"Mid","High"))</f>
        <v>Low</v>
      </c>
      <c r="K300" s="15">
        <f>Assumptions!$Q$141</f>
        <v>2737</v>
      </c>
      <c r="L300" s="42">
        <f>INDEX(Assumptions!$N$61:$N$90,D300)</f>
        <v>2806.6981549187994</v>
      </c>
      <c r="M300" s="43">
        <f>IF(D300&lt;=Assumptions!$G$141,Assumptions!$AK$141,IF(D300&lt;Assumptions!$AH$141,Assumptions!$AK$141+(Assumptions!$AL$141-Assumptions!$AK$141)*(D300-Assumptions!$G$141)/(Assumptions!$AH$141-Assumptions!$G$141),IF(D300&lt;Assumptions!$P$141,Assumptions!$AL$141+(Assumptions!$AM$141-Assumptions!$AL$141)*(D300-Assumptions!$AH$141)/(Assumptions!$P$141-Assumptions!$AH$141),Assumptions!$AM$141)))</f>
        <v>-27777.777777777774</v>
      </c>
      <c r="N300" s="44">
        <f t="shared" si="8"/>
        <v>-22.437623406928736</v>
      </c>
      <c r="O300" s="45">
        <f t="shared" si="9"/>
        <v>2784</v>
      </c>
      <c r="P300" s="14" t="str">
        <f>IF(D300&gt;=Assumptions!$P$141,"High",IF(D300&gt;=Assumptions!$AH$141,"Mid",IF(D300&lt;=Assumptions!$G$141,"Low","Loading")))</f>
        <v>Loading</v>
      </c>
      <c r="Q300" s="46">
        <f>MAX(K300,MIN(Assumptions!$S$141,O300),Q301)</f>
        <v>2791</v>
      </c>
      <c r="R300" s="12">
        <f>IF(AND(Q300&lt;=K300,INDEX(Assumptions!$C$26:$C$36,MATCH(G300,Assumptions!$A$26:$A$36,0))&lt;&gt;""),INDEX(Assumptions!$C$26:$C$36,MATCH(G300,Assumptions!$A$26:$A$36,0)),ROUND(G300*Q300,-2))</f>
        <v>3455300</v>
      </c>
      <c r="S300" s="47" t="str">
        <f>TRIM(IF(AND(Assumptions!$L$141&lt;&gt;"",D300&lt;Assumptions!$L$141),"View blocked / roof in front ("&amp;Assumptions!$M$141&amp;"); view premium still loading until L"&amp;Assumptions!$L$141&amp;". ","")&amp;IF(D300=Assumptions!$AH$141,"Mid-floor view premium fully loaded. ","")&amp;IF(D300=Assumptions!$P$141,"High-floor view premium fully loaded. ","")&amp;IF(Q300&lt;=K300,"At developer starting price.",""))</f>
        <v/>
      </c>
      <c r="T300" s="48" t="str">
        <f>Assumptions!$AJ$141</f>
        <v>WNW: almost direct west sun. 171m pool &amp; facilities view, nature reserve + landed</v>
      </c>
    </row>
    <row r="301" spans="1:20" x14ac:dyDescent="0.2">
      <c r="A301" s="13" t="s">
        <v>433</v>
      </c>
      <c r="B301" s="14">
        <v>3</v>
      </c>
      <c r="C301" s="40">
        <v>15</v>
      </c>
      <c r="D301" s="40">
        <v>5</v>
      </c>
      <c r="E301" s="9" t="s">
        <v>48</v>
      </c>
      <c r="F301" s="14" t="s">
        <v>417</v>
      </c>
      <c r="G301" s="10">
        <v>1238</v>
      </c>
      <c r="H301" s="14" t="s">
        <v>62</v>
      </c>
      <c r="I301" s="41" t="str">
        <f>Assumptions!$I$141</f>
        <v>C</v>
      </c>
      <c r="J301" s="14" t="str">
        <f>IF(D301&lt;=Assumptions!$V$141,"Low",IF(D301&lt;=Assumptions!$W$141,"Mid","High"))</f>
        <v>Low</v>
      </c>
      <c r="K301" s="15">
        <f>Assumptions!$Q$141</f>
        <v>2737</v>
      </c>
      <c r="L301" s="42">
        <f>INDEX(Assumptions!$N$61:$N$90,D301)</f>
        <v>2799.3705467222176</v>
      </c>
      <c r="M301" s="43">
        <f>IF(D301&lt;=Assumptions!$G$141,Assumptions!$AK$141,IF(D301&lt;Assumptions!$AH$141,Assumptions!$AK$141+(Assumptions!$AL$141-Assumptions!$AK$141)*(D301-Assumptions!$G$141)/(Assumptions!$AH$141-Assumptions!$G$141),IF(D301&lt;Assumptions!$P$141,Assumptions!$AL$141+(Assumptions!$AM$141-Assumptions!$AL$141)*(D301-Assumptions!$AH$141)/(Assumptions!$P$141-Assumptions!$AH$141),Assumptions!$AM$141)))</f>
        <v>-16666.666666666664</v>
      </c>
      <c r="N301" s="44">
        <f t="shared" si="8"/>
        <v>-13.462574044157241</v>
      </c>
      <c r="O301" s="45">
        <f t="shared" si="9"/>
        <v>2786</v>
      </c>
      <c r="P301" s="14" t="str">
        <f>IF(D301&gt;=Assumptions!$P$141,"High",IF(D301&gt;=Assumptions!$AH$141,"Mid",IF(D301&lt;=Assumptions!$G$141,"Low","Loading")))</f>
        <v>Loading</v>
      </c>
      <c r="Q301" s="46">
        <f>MAX(K301,MIN(Assumptions!$S$141,O301),Q302)</f>
        <v>2791</v>
      </c>
      <c r="R301" s="12">
        <f>IF(AND(Q301&lt;=K301,INDEX(Assumptions!$C$26:$C$36,MATCH(G301,Assumptions!$A$26:$A$36,0))&lt;&gt;""),INDEX(Assumptions!$C$26:$C$36,MATCH(G301,Assumptions!$A$26:$A$36,0)),ROUND(G301*Q301,-2))</f>
        <v>3455300</v>
      </c>
      <c r="S301" s="47" t="str">
        <f>TRIM(IF(AND(Assumptions!$L$141&lt;&gt;"",D301&lt;Assumptions!$L$141),"View blocked / roof in front ("&amp;Assumptions!$M$141&amp;"); view premium still loading until L"&amp;Assumptions!$L$141&amp;". ","")&amp;IF(D301=Assumptions!$AH$141,"Mid-floor view premium fully loaded. ","")&amp;IF(D301=Assumptions!$P$141,"High-floor view premium fully loaded. ","")&amp;IF(Q301&lt;=K301,"At developer starting price.",""))</f>
        <v/>
      </c>
      <c r="T301" s="48" t="str">
        <f>Assumptions!$AJ$141</f>
        <v>WNW: almost direct west sun. 171m pool &amp; facilities view, nature reserve + landed</v>
      </c>
    </row>
    <row r="302" spans="1:20" x14ac:dyDescent="0.2">
      <c r="A302" s="13" t="s">
        <v>434</v>
      </c>
      <c r="B302" s="14">
        <v>3</v>
      </c>
      <c r="C302" s="40">
        <v>15</v>
      </c>
      <c r="D302" s="40">
        <v>4</v>
      </c>
      <c r="E302" s="9" t="s">
        <v>48</v>
      </c>
      <c r="F302" s="14" t="s">
        <v>417</v>
      </c>
      <c r="G302" s="10">
        <v>1238</v>
      </c>
      <c r="H302" s="14" t="s">
        <v>62</v>
      </c>
      <c r="I302" s="41" t="str">
        <f>Assumptions!$I$141</f>
        <v>C</v>
      </c>
      <c r="J302" s="14" t="str">
        <f>IF(D302&lt;=Assumptions!$V$141,"Low",IF(D302&lt;=Assumptions!$W$141,"Mid","High"))</f>
        <v>Low</v>
      </c>
      <c r="K302" s="15">
        <f>Assumptions!$Q$141</f>
        <v>2737</v>
      </c>
      <c r="L302" s="42">
        <f>INDEX(Assumptions!$N$61:$N$90,D302)</f>
        <v>2792.0429385256357</v>
      </c>
      <c r="M302" s="43">
        <f>IF(D302&lt;=Assumptions!$G$141,Assumptions!$AK$141,IF(D302&lt;Assumptions!$AH$141,Assumptions!$AK$141+(Assumptions!$AL$141-Assumptions!$AK$141)*(D302-Assumptions!$G$141)/(Assumptions!$AH$141-Assumptions!$G$141),IF(D302&lt;Assumptions!$P$141,Assumptions!$AL$141+(Assumptions!$AM$141-Assumptions!$AL$141)*(D302-Assumptions!$AH$141)/(Assumptions!$P$141-Assumptions!$AH$141),Assumptions!$AM$141)))</f>
        <v>-5555.5555555555511</v>
      </c>
      <c r="N302" s="44">
        <f t="shared" si="8"/>
        <v>-4.4875246813857439</v>
      </c>
      <c r="O302" s="45">
        <f t="shared" si="9"/>
        <v>2788</v>
      </c>
      <c r="P302" s="14" t="str">
        <f>IF(D302&gt;=Assumptions!$P$141,"High",IF(D302&gt;=Assumptions!$AH$141,"Mid",IF(D302&lt;=Assumptions!$G$141,"Low","Loading")))</f>
        <v>Loading</v>
      </c>
      <c r="Q302" s="46">
        <f>MAX(K302,MIN(Assumptions!$S$141,O302),Q303)</f>
        <v>2791</v>
      </c>
      <c r="R302" s="12">
        <f>IF(AND(Q302&lt;=K302,INDEX(Assumptions!$C$26:$C$36,MATCH(G302,Assumptions!$A$26:$A$36,0))&lt;&gt;""),INDEX(Assumptions!$C$26:$C$36,MATCH(G302,Assumptions!$A$26:$A$36,0)),ROUND(G302*Q302,-2))</f>
        <v>3455300</v>
      </c>
      <c r="S302" s="47" t="str">
        <f>TRIM(IF(AND(Assumptions!$L$141&lt;&gt;"",D302&lt;Assumptions!$L$141),"View blocked / roof in front ("&amp;Assumptions!$M$141&amp;"); view premium still loading until L"&amp;Assumptions!$L$141&amp;". ","")&amp;IF(D302=Assumptions!$AH$141,"Mid-floor view premium fully loaded. ","")&amp;IF(D302=Assumptions!$P$141,"High-floor view premium fully loaded. ","")&amp;IF(Q302&lt;=K302,"At developer starting price.",""))</f>
        <v/>
      </c>
      <c r="T302" s="48" t="str">
        <f>Assumptions!$AJ$141</f>
        <v>WNW: almost direct west sun. 171m pool &amp; facilities view, nature reserve + landed</v>
      </c>
    </row>
    <row r="303" spans="1:20" x14ac:dyDescent="0.2">
      <c r="A303" s="13" t="s">
        <v>435</v>
      </c>
      <c r="B303" s="14">
        <v>3</v>
      </c>
      <c r="C303" s="40">
        <v>15</v>
      </c>
      <c r="D303" s="40">
        <v>3</v>
      </c>
      <c r="E303" s="9" t="s">
        <v>48</v>
      </c>
      <c r="F303" s="14" t="s">
        <v>417</v>
      </c>
      <c r="G303" s="10">
        <v>1238</v>
      </c>
      <c r="H303" s="14" t="s">
        <v>62</v>
      </c>
      <c r="I303" s="41" t="str">
        <f>Assumptions!$I$141</f>
        <v>C</v>
      </c>
      <c r="J303" s="14" t="str">
        <f>IF(D303&lt;=Assumptions!$V$141,"Low",IF(D303&lt;=Assumptions!$W$141,"Mid","High"))</f>
        <v>Low</v>
      </c>
      <c r="K303" s="15">
        <f>Assumptions!$Q$141</f>
        <v>2737</v>
      </c>
      <c r="L303" s="42">
        <f>INDEX(Assumptions!$N$61:$N$90,D303)</f>
        <v>2784.7153303290538</v>
      </c>
      <c r="M303" s="43">
        <f>IF(D303&lt;=Assumptions!$G$141,Assumptions!$AK$141,IF(D303&lt;Assumptions!$AH$141,Assumptions!$AK$141+(Assumptions!$AL$141-Assumptions!$AK$141)*(D303-Assumptions!$G$141)/(Assumptions!$AH$141-Assumptions!$G$141),IF(D303&lt;Assumptions!$P$141,Assumptions!$AL$141+(Assumptions!$AM$141-Assumptions!$AL$141)*(D303-Assumptions!$AH$141)/(Assumptions!$P$141-Assumptions!$AH$141),Assumptions!$AM$141)))</f>
        <v>5555.5555555555602</v>
      </c>
      <c r="N303" s="44">
        <f t="shared" si="8"/>
        <v>4.487524681385751</v>
      </c>
      <c r="O303" s="45">
        <f t="shared" si="9"/>
        <v>2789</v>
      </c>
      <c r="P303" s="14" t="str">
        <f>IF(D303&gt;=Assumptions!$P$141,"High",IF(D303&gt;=Assumptions!$AH$141,"Mid",IF(D303&lt;=Assumptions!$G$141,"Low","Loading")))</f>
        <v>Loading</v>
      </c>
      <c r="Q303" s="46">
        <f>MAX(K303,MIN(Assumptions!$S$141,O303),Q304)</f>
        <v>2791</v>
      </c>
      <c r="R303" s="12">
        <f>IF(AND(Q303&lt;=K303,INDEX(Assumptions!$C$26:$C$36,MATCH(G303,Assumptions!$A$26:$A$36,0))&lt;&gt;""),INDEX(Assumptions!$C$26:$C$36,MATCH(G303,Assumptions!$A$26:$A$36,0)),ROUND(G303*Q303,-2))</f>
        <v>3455300</v>
      </c>
      <c r="S303" s="47" t="str">
        <f>TRIM(IF(AND(Assumptions!$L$141&lt;&gt;"",D303&lt;Assumptions!$L$141),"View blocked / roof in front ("&amp;Assumptions!$M$141&amp;"); view premium still loading until L"&amp;Assumptions!$L$141&amp;". ","")&amp;IF(D303=Assumptions!$AH$141,"Mid-floor view premium fully loaded. ","")&amp;IF(D303=Assumptions!$P$141,"High-floor view premium fully loaded. ","")&amp;IF(Q303&lt;=K303,"At developer starting price.",""))</f>
        <v/>
      </c>
      <c r="T303" s="48" t="str">
        <f>Assumptions!$AJ$141</f>
        <v>WNW: almost direct west sun. 171m pool &amp; facilities view, nature reserve + landed</v>
      </c>
    </row>
    <row r="304" spans="1:20" x14ac:dyDescent="0.2">
      <c r="A304" s="13" t="s">
        <v>436</v>
      </c>
      <c r="B304" s="14">
        <v>3</v>
      </c>
      <c r="C304" s="40">
        <v>15</v>
      </c>
      <c r="D304" s="40">
        <v>2</v>
      </c>
      <c r="E304" s="9" t="s">
        <v>48</v>
      </c>
      <c r="F304" s="14" t="s">
        <v>437</v>
      </c>
      <c r="G304" s="10">
        <v>1238</v>
      </c>
      <c r="H304" s="14" t="s">
        <v>62</v>
      </c>
      <c r="I304" s="41" t="str">
        <f>Assumptions!$I$141</f>
        <v>C</v>
      </c>
      <c r="J304" s="14" t="str">
        <f>IF(D304&lt;=Assumptions!$V$141,"Low",IF(D304&lt;=Assumptions!$W$141,"Mid","High"))</f>
        <v>Low</v>
      </c>
      <c r="K304" s="15">
        <f>Assumptions!$Q$141</f>
        <v>2737</v>
      </c>
      <c r="L304" s="42">
        <f>INDEX(Assumptions!$N$61:$N$90,D304)</f>
        <v>2777.3877221324719</v>
      </c>
      <c r="M304" s="43">
        <f>IF(D304&lt;=Assumptions!$G$141,Assumptions!$AK$141,IF(D304&lt;Assumptions!$AH$141,Assumptions!$AK$141+(Assumptions!$AL$141-Assumptions!$AK$141)*(D304-Assumptions!$G$141)/(Assumptions!$AH$141-Assumptions!$G$141),IF(D304&lt;Assumptions!$P$141,Assumptions!$AL$141+(Assumptions!$AM$141-Assumptions!$AL$141)*(D304-Assumptions!$AH$141)/(Assumptions!$P$141-Assumptions!$AH$141),Assumptions!$AM$141)))</f>
        <v>16666.666666666672</v>
      </c>
      <c r="N304" s="44">
        <f t="shared" si="8"/>
        <v>13.462574044157247</v>
      </c>
      <c r="O304" s="45">
        <f t="shared" si="9"/>
        <v>2791</v>
      </c>
      <c r="P304" s="14" t="str">
        <f>IF(D304&gt;=Assumptions!$P$141,"High",IF(D304&gt;=Assumptions!$AH$141,"Mid",IF(D304&lt;=Assumptions!$G$141,"Low","Loading")))</f>
        <v>Low</v>
      </c>
      <c r="Q304" s="46">
        <f>MAX(K304,MIN(Assumptions!$S$141,O304))</f>
        <v>2791</v>
      </c>
      <c r="R304" s="12">
        <f>IF(AND(Q304&lt;=K304,INDEX(Assumptions!$C$26:$C$36,MATCH(G304,Assumptions!$A$26:$A$36,0))&lt;&gt;""),INDEX(Assumptions!$C$26:$C$36,MATCH(G304,Assumptions!$A$26:$A$36,0)),ROUND(G304*Q304,-2))</f>
        <v>3455300</v>
      </c>
      <c r="S304" s="47" t="str">
        <f>TRIM(IF(AND(Assumptions!$L$141&lt;&gt;"",D304&lt;Assumptions!$L$141),"View blocked / roof in front ("&amp;Assumptions!$M$141&amp;"); view premium still loading until L"&amp;Assumptions!$L$141&amp;". ","")&amp;IF(D304=Assumptions!$AH$141,"Mid-floor view premium fully loaded. ","")&amp;IF(D304=Assumptions!$P$141,"High-floor view premium fully loaded. ","")&amp;IF(Q304&lt;=K304,"At developer starting price.",""))</f>
        <v/>
      </c>
      <c r="T304" s="48" t="str">
        <f>Assumptions!$AJ$141</f>
        <v>WNW: almost direct west sun. 171m pool &amp; facilities view, nature reserve + landed</v>
      </c>
    </row>
    <row r="305" spans="1:20" x14ac:dyDescent="0.2">
      <c r="A305" s="13" t="s">
        <v>438</v>
      </c>
      <c r="B305" s="14">
        <v>3</v>
      </c>
      <c r="C305" s="40">
        <v>16</v>
      </c>
      <c r="D305" s="40">
        <v>21</v>
      </c>
      <c r="E305" s="9" t="s">
        <v>41</v>
      </c>
      <c r="F305" s="14" t="s">
        <v>439</v>
      </c>
      <c r="G305" s="10">
        <v>592</v>
      </c>
      <c r="H305" s="14" t="s">
        <v>62</v>
      </c>
      <c r="I305" s="41" t="str">
        <f>Assumptions!$I$142</f>
        <v>C</v>
      </c>
      <c r="J305" s="14" t="str">
        <f>IF(D305&lt;=Assumptions!$V$142,"Low",IF(D305&lt;=Assumptions!$W$142,"Mid","High"))</f>
        <v>High</v>
      </c>
      <c r="K305" s="15">
        <f>Assumptions!$Q$142</f>
        <v>2608</v>
      </c>
      <c r="L305" s="42">
        <f>INDEX(Assumptions!$B$61:$B$90,D305)</f>
        <v>3086.4428571428575</v>
      </c>
      <c r="M305" s="43">
        <f>IF(D305&lt;=Assumptions!$G$142,Assumptions!$AK$142,IF(D305&lt;Assumptions!$AH$142,Assumptions!$AK$142+(Assumptions!$AL$142-Assumptions!$AK$142)*(D305-Assumptions!$G$142)/(Assumptions!$AH$142-Assumptions!$G$142),IF(D305&lt;Assumptions!$P$142,Assumptions!$AL$142+(Assumptions!$AM$142-Assumptions!$AL$142)*(D305-Assumptions!$AH$142)/(Assumptions!$P$142-Assumptions!$AH$142),Assumptions!$AM$142)))</f>
        <v>-21428.571428571428</v>
      </c>
      <c r="N305" s="44">
        <f t="shared" si="8"/>
        <v>-36.196911196911195</v>
      </c>
      <c r="O305" s="45">
        <f t="shared" si="9"/>
        <v>3050</v>
      </c>
      <c r="P305" s="14" t="str">
        <f>IF(D305&gt;=Assumptions!$P$142,"High",IF(D305&gt;=Assumptions!$AH$142,"Mid",IF(D305&lt;=Assumptions!$G$142,"Low","Loading")))</f>
        <v>High</v>
      </c>
      <c r="Q305" s="46">
        <f>MAX(K305,MIN(Assumptions!$S$142,O305),Q306)</f>
        <v>3050</v>
      </c>
      <c r="R305" s="12">
        <f>IF(AND(Q305&lt;=K305,INDEX(Assumptions!$C$26:$C$36,MATCH(G305,Assumptions!$A$26:$A$36,0))&lt;&gt;""),INDEX(Assumptions!$C$26:$C$36,MATCH(G305,Assumptions!$A$26:$A$36,0)),ROUND(G305*Q305,-2))</f>
        <v>1805600</v>
      </c>
      <c r="S305" s="47" t="str">
        <f>TRIM(IF(AND(Assumptions!$L$142&lt;&gt;"",D305&lt;Assumptions!$L$142),"View blocked / roof in front ("&amp;Assumptions!$M$142&amp;"); view premium still loading until L"&amp;Assumptions!$L$142&amp;". ","")&amp;IF(D305=Assumptions!$AH$142,"Mid-floor view premium fully loaded. ","")&amp;IF(D305=Assumptions!$P$142,"High-floor view premium fully loaded. ","")&amp;IF(Q305&lt;=K305,"At developer starting price.",""))</f>
        <v/>
      </c>
      <c r="T305" s="48" t="str">
        <f>Assumptions!$AJ$142</f>
        <v>NNE. Shorter pool view (~80m to Blk 11), partly limited by side walls</v>
      </c>
    </row>
    <row r="306" spans="1:20" x14ac:dyDescent="0.2">
      <c r="A306" s="13" t="s">
        <v>440</v>
      </c>
      <c r="B306" s="14">
        <v>3</v>
      </c>
      <c r="C306" s="40">
        <v>16</v>
      </c>
      <c r="D306" s="40">
        <v>20</v>
      </c>
      <c r="E306" s="9" t="s">
        <v>41</v>
      </c>
      <c r="F306" s="14" t="s">
        <v>439</v>
      </c>
      <c r="G306" s="10">
        <v>592</v>
      </c>
      <c r="H306" s="14" t="s">
        <v>62</v>
      </c>
      <c r="I306" s="41" t="str">
        <f>Assumptions!$I$142</f>
        <v>C</v>
      </c>
      <c r="J306" s="14" t="str">
        <f>IF(D306&lt;=Assumptions!$V$142,"Low",IF(D306&lt;=Assumptions!$W$142,"Mid","High"))</f>
        <v>High</v>
      </c>
      <c r="K306" s="15">
        <f>Assumptions!$Q$142</f>
        <v>2608</v>
      </c>
      <c r="L306" s="42">
        <f>INDEX(Assumptions!$B$61:$B$90,D306)</f>
        <v>3064.3857142857146</v>
      </c>
      <c r="M306" s="43">
        <f>IF(D306&lt;=Assumptions!$G$142,Assumptions!$AK$142,IF(D306&lt;Assumptions!$AH$142,Assumptions!$AK$142+(Assumptions!$AL$142-Assumptions!$AK$142)*(D306-Assumptions!$G$142)/(Assumptions!$AH$142-Assumptions!$G$142),IF(D306&lt;Assumptions!$P$142,Assumptions!$AL$142+(Assumptions!$AM$142-Assumptions!$AL$142)*(D306-Assumptions!$AH$142)/(Assumptions!$P$142-Assumptions!$AH$142),Assumptions!$AM$142)))</f>
        <v>-21428.571428571428</v>
      </c>
      <c r="N306" s="44">
        <f t="shared" si="8"/>
        <v>-36.196911196911195</v>
      </c>
      <c r="O306" s="45">
        <f t="shared" si="9"/>
        <v>3028</v>
      </c>
      <c r="P306" s="14" t="str">
        <f>IF(D306&gt;=Assumptions!$P$142,"High",IF(D306&gt;=Assumptions!$AH$142,"Mid",IF(D306&lt;=Assumptions!$G$142,"Low","Loading")))</f>
        <v>High</v>
      </c>
      <c r="Q306" s="46">
        <f>MAX(K306,MIN(Assumptions!$S$142,O306),Q307)</f>
        <v>3028</v>
      </c>
      <c r="R306" s="12">
        <f>IF(AND(Q306&lt;=K306,INDEX(Assumptions!$C$26:$C$36,MATCH(G306,Assumptions!$A$26:$A$36,0))&lt;&gt;""),INDEX(Assumptions!$C$26:$C$36,MATCH(G306,Assumptions!$A$26:$A$36,0)),ROUND(G306*Q306,-2))</f>
        <v>1792600</v>
      </c>
      <c r="S306" s="47" t="str">
        <f>TRIM(IF(AND(Assumptions!$L$142&lt;&gt;"",D306&lt;Assumptions!$L$142),"View blocked / roof in front ("&amp;Assumptions!$M$142&amp;"); view premium still loading until L"&amp;Assumptions!$L$142&amp;". ","")&amp;IF(D306=Assumptions!$AH$142,"Mid-floor view premium fully loaded. ","")&amp;IF(D306=Assumptions!$P$142,"High-floor view premium fully loaded. ","")&amp;IF(Q306&lt;=K306,"At developer starting price.",""))</f>
        <v/>
      </c>
      <c r="T306" s="48" t="str">
        <f>Assumptions!$AJ$142</f>
        <v>NNE. Shorter pool view (~80m to Blk 11), partly limited by side walls</v>
      </c>
    </row>
    <row r="307" spans="1:20" x14ac:dyDescent="0.2">
      <c r="A307" s="13" t="s">
        <v>441</v>
      </c>
      <c r="B307" s="14">
        <v>3</v>
      </c>
      <c r="C307" s="40">
        <v>16</v>
      </c>
      <c r="D307" s="40">
        <v>19</v>
      </c>
      <c r="E307" s="9" t="s">
        <v>41</v>
      </c>
      <c r="F307" s="14" t="s">
        <v>439</v>
      </c>
      <c r="G307" s="10">
        <v>592</v>
      </c>
      <c r="H307" s="14" t="s">
        <v>62</v>
      </c>
      <c r="I307" s="41" t="str">
        <f>Assumptions!$I$142</f>
        <v>C</v>
      </c>
      <c r="J307" s="14" t="str">
        <f>IF(D307&lt;=Assumptions!$V$142,"Low",IF(D307&lt;=Assumptions!$W$142,"Mid","High"))</f>
        <v>High</v>
      </c>
      <c r="K307" s="15">
        <f>Assumptions!$Q$142</f>
        <v>2608</v>
      </c>
      <c r="L307" s="42">
        <f>INDEX(Assumptions!$B$61:$B$90,D307)</f>
        <v>3042.3285714285716</v>
      </c>
      <c r="M307" s="43">
        <f>IF(D307&lt;=Assumptions!$G$142,Assumptions!$AK$142,IF(D307&lt;Assumptions!$AH$142,Assumptions!$AK$142+(Assumptions!$AL$142-Assumptions!$AK$142)*(D307-Assumptions!$G$142)/(Assumptions!$AH$142-Assumptions!$G$142),IF(D307&lt;Assumptions!$P$142,Assumptions!$AL$142+(Assumptions!$AM$142-Assumptions!$AL$142)*(D307-Assumptions!$AH$142)/(Assumptions!$P$142-Assumptions!$AH$142),Assumptions!$AM$142)))</f>
        <v>-21428.571428571428</v>
      </c>
      <c r="N307" s="44">
        <f t="shared" si="8"/>
        <v>-36.196911196911195</v>
      </c>
      <c r="O307" s="45">
        <f t="shared" si="9"/>
        <v>3006</v>
      </c>
      <c r="P307" s="14" t="str">
        <f>IF(D307&gt;=Assumptions!$P$142,"High",IF(D307&gt;=Assumptions!$AH$142,"Mid",IF(D307&lt;=Assumptions!$G$142,"Low","Loading")))</f>
        <v>High</v>
      </c>
      <c r="Q307" s="46">
        <f>MAX(K307,MIN(Assumptions!$S$142,O307),Q308)</f>
        <v>3006</v>
      </c>
      <c r="R307" s="12">
        <f>IF(AND(Q307&lt;=K307,INDEX(Assumptions!$C$26:$C$36,MATCH(G307,Assumptions!$A$26:$A$36,0))&lt;&gt;""),INDEX(Assumptions!$C$26:$C$36,MATCH(G307,Assumptions!$A$26:$A$36,0)),ROUND(G307*Q307,-2))</f>
        <v>1779600</v>
      </c>
      <c r="S307" s="47" t="str">
        <f>TRIM(IF(AND(Assumptions!$L$142&lt;&gt;"",D307&lt;Assumptions!$L$142),"View blocked / roof in front ("&amp;Assumptions!$M$142&amp;"); view premium still loading until L"&amp;Assumptions!$L$142&amp;". ","")&amp;IF(D307=Assumptions!$AH$142,"Mid-floor view premium fully loaded. ","")&amp;IF(D307=Assumptions!$P$142,"High-floor view premium fully loaded. ","")&amp;IF(Q307&lt;=K307,"At developer starting price.",""))</f>
        <v/>
      </c>
      <c r="T307" s="48" t="str">
        <f>Assumptions!$AJ$142</f>
        <v>NNE. Shorter pool view (~80m to Blk 11), partly limited by side walls</v>
      </c>
    </row>
    <row r="308" spans="1:20" x14ac:dyDescent="0.2">
      <c r="A308" s="13" t="s">
        <v>442</v>
      </c>
      <c r="B308" s="14">
        <v>3</v>
      </c>
      <c r="C308" s="40">
        <v>16</v>
      </c>
      <c r="D308" s="40">
        <v>18</v>
      </c>
      <c r="E308" s="9" t="s">
        <v>41</v>
      </c>
      <c r="F308" s="14" t="s">
        <v>439</v>
      </c>
      <c r="G308" s="10">
        <v>592</v>
      </c>
      <c r="H308" s="14" t="s">
        <v>62</v>
      </c>
      <c r="I308" s="41" t="str">
        <f>Assumptions!$I$142</f>
        <v>C</v>
      </c>
      <c r="J308" s="14" t="str">
        <f>IF(D308&lt;=Assumptions!$V$142,"Low",IF(D308&lt;=Assumptions!$W$142,"Mid","High"))</f>
        <v>High</v>
      </c>
      <c r="K308" s="15">
        <f>Assumptions!$Q$142</f>
        <v>2608</v>
      </c>
      <c r="L308" s="42">
        <f>INDEX(Assumptions!$B$61:$B$90,D308)</f>
        <v>3020.2714285714287</v>
      </c>
      <c r="M308" s="43">
        <f>IF(D308&lt;=Assumptions!$G$142,Assumptions!$AK$142,IF(D308&lt;Assumptions!$AH$142,Assumptions!$AK$142+(Assumptions!$AL$142-Assumptions!$AK$142)*(D308-Assumptions!$G$142)/(Assumptions!$AH$142-Assumptions!$G$142),IF(D308&lt;Assumptions!$P$142,Assumptions!$AL$142+(Assumptions!$AM$142-Assumptions!$AL$142)*(D308-Assumptions!$AH$142)/(Assumptions!$P$142-Assumptions!$AH$142),Assumptions!$AM$142)))</f>
        <v>-21428.571428571428</v>
      </c>
      <c r="N308" s="44">
        <f t="shared" si="8"/>
        <v>-36.196911196911195</v>
      </c>
      <c r="O308" s="45">
        <f t="shared" si="9"/>
        <v>2984</v>
      </c>
      <c r="P308" s="14" t="str">
        <f>IF(D308&gt;=Assumptions!$P$142,"High",IF(D308&gt;=Assumptions!$AH$142,"Mid",IF(D308&lt;=Assumptions!$G$142,"Low","Loading")))</f>
        <v>High</v>
      </c>
      <c r="Q308" s="46">
        <f>MAX(K308,MIN(Assumptions!$S$142,O308),Q309)</f>
        <v>2984</v>
      </c>
      <c r="R308" s="12">
        <f>IF(AND(Q308&lt;=K308,INDEX(Assumptions!$C$26:$C$36,MATCH(G308,Assumptions!$A$26:$A$36,0))&lt;&gt;""),INDEX(Assumptions!$C$26:$C$36,MATCH(G308,Assumptions!$A$26:$A$36,0)),ROUND(G308*Q308,-2))</f>
        <v>1766500</v>
      </c>
      <c r="S308" s="47" t="str">
        <f>TRIM(IF(AND(Assumptions!$L$142&lt;&gt;"",D308&lt;Assumptions!$L$142),"View blocked / roof in front ("&amp;Assumptions!$M$142&amp;"); view premium still loading until L"&amp;Assumptions!$L$142&amp;". ","")&amp;IF(D308=Assumptions!$AH$142,"Mid-floor view premium fully loaded. ","")&amp;IF(D308=Assumptions!$P$142,"High-floor view premium fully loaded. ","")&amp;IF(Q308&lt;=K308,"At developer starting price.",""))</f>
        <v/>
      </c>
      <c r="T308" s="48" t="str">
        <f>Assumptions!$AJ$142</f>
        <v>NNE. Shorter pool view (~80m to Blk 11), partly limited by side walls</v>
      </c>
    </row>
    <row r="309" spans="1:20" x14ac:dyDescent="0.2">
      <c r="A309" s="13" t="s">
        <v>443</v>
      </c>
      <c r="B309" s="14">
        <v>3</v>
      </c>
      <c r="C309" s="40">
        <v>16</v>
      </c>
      <c r="D309" s="40">
        <v>17</v>
      </c>
      <c r="E309" s="9" t="s">
        <v>41</v>
      </c>
      <c r="F309" s="14" t="s">
        <v>439</v>
      </c>
      <c r="G309" s="10">
        <v>592</v>
      </c>
      <c r="H309" s="14" t="s">
        <v>62</v>
      </c>
      <c r="I309" s="41" t="str">
        <f>Assumptions!$I$142</f>
        <v>C</v>
      </c>
      <c r="J309" s="14" t="str">
        <f>IF(D309&lt;=Assumptions!$V$142,"Low",IF(D309&lt;=Assumptions!$W$142,"Mid","High"))</f>
        <v>High</v>
      </c>
      <c r="K309" s="15">
        <f>Assumptions!$Q$142</f>
        <v>2608</v>
      </c>
      <c r="L309" s="42">
        <f>INDEX(Assumptions!$B$61:$B$90,D309)</f>
        <v>2998.2142857142858</v>
      </c>
      <c r="M309" s="43">
        <f>IF(D309&lt;=Assumptions!$G$142,Assumptions!$AK$142,IF(D309&lt;Assumptions!$AH$142,Assumptions!$AK$142+(Assumptions!$AL$142-Assumptions!$AK$142)*(D309-Assumptions!$G$142)/(Assumptions!$AH$142-Assumptions!$G$142),IF(D309&lt;Assumptions!$P$142,Assumptions!$AL$142+(Assumptions!$AM$142-Assumptions!$AL$142)*(D309-Assumptions!$AH$142)/(Assumptions!$P$142-Assumptions!$AH$142),Assumptions!$AM$142)))</f>
        <v>-21428.571428571428</v>
      </c>
      <c r="N309" s="44">
        <f t="shared" si="8"/>
        <v>-36.196911196911195</v>
      </c>
      <c r="O309" s="45">
        <f t="shared" si="9"/>
        <v>2962</v>
      </c>
      <c r="P309" s="14" t="str">
        <f>IF(D309&gt;=Assumptions!$P$142,"High",IF(D309&gt;=Assumptions!$AH$142,"Mid",IF(D309&lt;=Assumptions!$G$142,"Low","Loading")))</f>
        <v>High</v>
      </c>
      <c r="Q309" s="46">
        <f>MAX(K309,MIN(Assumptions!$S$142,O309),Q310)</f>
        <v>2962</v>
      </c>
      <c r="R309" s="12">
        <f>IF(AND(Q309&lt;=K309,INDEX(Assumptions!$C$26:$C$36,MATCH(G309,Assumptions!$A$26:$A$36,0))&lt;&gt;""),INDEX(Assumptions!$C$26:$C$36,MATCH(G309,Assumptions!$A$26:$A$36,0)),ROUND(G309*Q309,-2))</f>
        <v>1753500</v>
      </c>
      <c r="S309" s="47" t="str">
        <f>TRIM(IF(AND(Assumptions!$L$142&lt;&gt;"",D309&lt;Assumptions!$L$142),"View blocked / roof in front ("&amp;Assumptions!$M$142&amp;"); view premium still loading until L"&amp;Assumptions!$L$142&amp;". ","")&amp;IF(D309=Assumptions!$AH$142,"Mid-floor view premium fully loaded. ","")&amp;IF(D309=Assumptions!$P$142,"High-floor view premium fully loaded. ","")&amp;IF(Q309&lt;=K309,"At developer starting price.",""))</f>
        <v/>
      </c>
      <c r="T309" s="48" t="str">
        <f>Assumptions!$AJ$142</f>
        <v>NNE. Shorter pool view (~80m to Blk 11), partly limited by side walls</v>
      </c>
    </row>
    <row r="310" spans="1:20" x14ac:dyDescent="0.2">
      <c r="A310" s="13" t="s">
        <v>444</v>
      </c>
      <c r="B310" s="14">
        <v>3</v>
      </c>
      <c r="C310" s="40">
        <v>16</v>
      </c>
      <c r="D310" s="40">
        <v>16</v>
      </c>
      <c r="E310" s="9" t="s">
        <v>41</v>
      </c>
      <c r="F310" s="14" t="s">
        <v>439</v>
      </c>
      <c r="G310" s="10">
        <v>592</v>
      </c>
      <c r="H310" s="14" t="s">
        <v>62</v>
      </c>
      <c r="I310" s="41" t="str">
        <f>Assumptions!$I$142</f>
        <v>C</v>
      </c>
      <c r="J310" s="14" t="str">
        <f>IF(D310&lt;=Assumptions!$V$142,"Low",IF(D310&lt;=Assumptions!$W$142,"Mid","High"))</f>
        <v>High</v>
      </c>
      <c r="K310" s="15">
        <f>Assumptions!$Q$142</f>
        <v>2608</v>
      </c>
      <c r="L310" s="42">
        <f>INDEX(Assumptions!$B$61:$B$90,D310)</f>
        <v>2976.1571428571428</v>
      </c>
      <c r="M310" s="43">
        <f>IF(D310&lt;=Assumptions!$G$142,Assumptions!$AK$142,IF(D310&lt;Assumptions!$AH$142,Assumptions!$AK$142+(Assumptions!$AL$142-Assumptions!$AK$142)*(D310-Assumptions!$G$142)/(Assumptions!$AH$142-Assumptions!$G$142),IF(D310&lt;Assumptions!$P$142,Assumptions!$AL$142+(Assumptions!$AM$142-Assumptions!$AL$142)*(D310-Assumptions!$AH$142)/(Assumptions!$P$142-Assumptions!$AH$142),Assumptions!$AM$142)))</f>
        <v>-21428.571428571428</v>
      </c>
      <c r="N310" s="44">
        <f t="shared" si="8"/>
        <v>-36.196911196911195</v>
      </c>
      <c r="O310" s="45">
        <f t="shared" si="9"/>
        <v>2940</v>
      </c>
      <c r="P310" s="14" t="str">
        <f>IF(D310&gt;=Assumptions!$P$142,"High",IF(D310&gt;=Assumptions!$AH$142,"Mid",IF(D310&lt;=Assumptions!$G$142,"Low","Loading")))</f>
        <v>High</v>
      </c>
      <c r="Q310" s="46">
        <f>MAX(K310,MIN(Assumptions!$S$142,O310),Q311)</f>
        <v>2940</v>
      </c>
      <c r="R310" s="12">
        <f>IF(AND(Q310&lt;=K310,INDEX(Assumptions!$C$26:$C$36,MATCH(G310,Assumptions!$A$26:$A$36,0))&lt;&gt;""),INDEX(Assumptions!$C$26:$C$36,MATCH(G310,Assumptions!$A$26:$A$36,0)),ROUND(G310*Q310,-2))</f>
        <v>1740500</v>
      </c>
      <c r="S310" s="47" t="str">
        <f>TRIM(IF(AND(Assumptions!$L$142&lt;&gt;"",D310&lt;Assumptions!$L$142),"View blocked / roof in front ("&amp;Assumptions!$M$142&amp;"); view premium still loading until L"&amp;Assumptions!$L$142&amp;". ","")&amp;IF(D310=Assumptions!$AH$142,"Mid-floor view premium fully loaded. ","")&amp;IF(D310=Assumptions!$P$142,"High-floor view premium fully loaded. ","")&amp;IF(Q310&lt;=K310,"At developer starting price.",""))</f>
        <v>High-floor view premium fully loaded.</v>
      </c>
      <c r="T310" s="48" t="str">
        <f>Assumptions!$AJ$142</f>
        <v>NNE. Shorter pool view (~80m to Blk 11), partly limited by side walls</v>
      </c>
    </row>
    <row r="311" spans="1:20" x14ac:dyDescent="0.2">
      <c r="A311" s="13" t="s">
        <v>445</v>
      </c>
      <c r="B311" s="14">
        <v>3</v>
      </c>
      <c r="C311" s="40">
        <v>16</v>
      </c>
      <c r="D311" s="40">
        <v>15</v>
      </c>
      <c r="E311" s="9" t="s">
        <v>41</v>
      </c>
      <c r="F311" s="14" t="s">
        <v>439</v>
      </c>
      <c r="G311" s="10">
        <v>592</v>
      </c>
      <c r="H311" s="14" t="s">
        <v>62</v>
      </c>
      <c r="I311" s="41" t="str">
        <f>Assumptions!$I$142</f>
        <v>C</v>
      </c>
      <c r="J311" s="14" t="str">
        <f>IF(D311&lt;=Assumptions!$V$142,"Low",IF(D311&lt;=Assumptions!$W$142,"Mid","High"))</f>
        <v>Mid</v>
      </c>
      <c r="K311" s="15">
        <f>Assumptions!$Q$142</f>
        <v>2608</v>
      </c>
      <c r="L311" s="42">
        <f>INDEX(Assumptions!$B$61:$B$90,D311)</f>
        <v>2954.1000000000004</v>
      </c>
      <c r="M311" s="43">
        <f>IF(D311&lt;=Assumptions!$G$142,Assumptions!$AK$142,IF(D311&lt;Assumptions!$AH$142,Assumptions!$AK$142+(Assumptions!$AL$142-Assumptions!$AK$142)*(D311-Assumptions!$G$142)/(Assumptions!$AH$142-Assumptions!$G$142),IF(D311&lt;Assumptions!$P$142,Assumptions!$AL$142+(Assumptions!$AM$142-Assumptions!$AL$142)*(D311-Assumptions!$AH$142)/(Assumptions!$P$142-Assumptions!$AH$142),Assumptions!$AM$142)))</f>
        <v>-20833.333333333332</v>
      </c>
      <c r="N311" s="44">
        <f t="shared" si="8"/>
        <v>-35.191441441441441</v>
      </c>
      <c r="O311" s="45">
        <f t="shared" si="9"/>
        <v>2919</v>
      </c>
      <c r="P311" s="14" t="str">
        <f>IF(D311&gt;=Assumptions!$P$142,"High",IF(D311&gt;=Assumptions!$AH$142,"Mid",IF(D311&lt;=Assumptions!$G$142,"Low","Loading")))</f>
        <v>Mid</v>
      </c>
      <c r="Q311" s="46">
        <f>MAX(K311,MIN(Assumptions!$S$142,O311),Q312)</f>
        <v>2919</v>
      </c>
      <c r="R311" s="12">
        <f>IF(AND(Q311&lt;=K311,INDEX(Assumptions!$C$26:$C$36,MATCH(G311,Assumptions!$A$26:$A$36,0))&lt;&gt;""),INDEX(Assumptions!$C$26:$C$36,MATCH(G311,Assumptions!$A$26:$A$36,0)),ROUND(G311*Q311,-2))</f>
        <v>1728000</v>
      </c>
      <c r="S311" s="47" t="str">
        <f>TRIM(IF(AND(Assumptions!$L$142&lt;&gt;"",D311&lt;Assumptions!$L$142),"View blocked / roof in front ("&amp;Assumptions!$M$142&amp;"); view premium still loading until L"&amp;Assumptions!$L$142&amp;". ","")&amp;IF(D311=Assumptions!$AH$142,"Mid-floor view premium fully loaded. ","")&amp;IF(D311=Assumptions!$P$142,"High-floor view premium fully loaded. ","")&amp;IF(Q311&lt;=K311,"At developer starting price.",""))</f>
        <v/>
      </c>
      <c r="T311" s="48" t="str">
        <f>Assumptions!$AJ$142</f>
        <v>NNE. Shorter pool view (~80m to Blk 11), partly limited by side walls</v>
      </c>
    </row>
    <row r="312" spans="1:20" x14ac:dyDescent="0.2">
      <c r="A312" s="13" t="s">
        <v>446</v>
      </c>
      <c r="B312" s="14">
        <v>3</v>
      </c>
      <c r="C312" s="40">
        <v>16</v>
      </c>
      <c r="D312" s="40">
        <v>14</v>
      </c>
      <c r="E312" s="9" t="s">
        <v>41</v>
      </c>
      <c r="F312" s="14" t="s">
        <v>439</v>
      </c>
      <c r="G312" s="10">
        <v>592</v>
      </c>
      <c r="H312" s="14" t="s">
        <v>62</v>
      </c>
      <c r="I312" s="41" t="str">
        <f>Assumptions!$I$142</f>
        <v>C</v>
      </c>
      <c r="J312" s="14" t="str">
        <f>IF(D312&lt;=Assumptions!$V$142,"Low",IF(D312&lt;=Assumptions!$W$142,"Mid","High"))</f>
        <v>Mid</v>
      </c>
      <c r="K312" s="15">
        <f>Assumptions!$Q$142</f>
        <v>2608</v>
      </c>
      <c r="L312" s="42">
        <f>INDEX(Assumptions!$B$61:$B$90,D312)</f>
        <v>2932.0428571428574</v>
      </c>
      <c r="M312" s="43">
        <f>IF(D312&lt;=Assumptions!$G$142,Assumptions!$AK$142,IF(D312&lt;Assumptions!$AH$142,Assumptions!$AK$142+(Assumptions!$AL$142-Assumptions!$AK$142)*(D312-Assumptions!$G$142)/(Assumptions!$AH$142-Assumptions!$G$142),IF(D312&lt;Assumptions!$P$142,Assumptions!$AL$142+(Assumptions!$AM$142-Assumptions!$AL$142)*(D312-Assumptions!$AH$142)/(Assumptions!$P$142-Assumptions!$AH$142),Assumptions!$AM$142)))</f>
        <v>-20238.095238095237</v>
      </c>
      <c r="N312" s="44">
        <f t="shared" si="8"/>
        <v>-34.185971685971687</v>
      </c>
      <c r="O312" s="45">
        <f t="shared" si="9"/>
        <v>2898</v>
      </c>
      <c r="P312" s="14" t="str">
        <f>IF(D312&gt;=Assumptions!$P$142,"High",IF(D312&gt;=Assumptions!$AH$142,"Mid",IF(D312&lt;=Assumptions!$G$142,"Low","Loading")))</f>
        <v>Mid</v>
      </c>
      <c r="Q312" s="46">
        <f>MAX(K312,MIN(Assumptions!$S$142,O312),Q313)</f>
        <v>2898</v>
      </c>
      <c r="R312" s="12">
        <f>IF(AND(Q312&lt;=K312,INDEX(Assumptions!$C$26:$C$36,MATCH(G312,Assumptions!$A$26:$A$36,0))&lt;&gt;""),INDEX(Assumptions!$C$26:$C$36,MATCH(G312,Assumptions!$A$26:$A$36,0)),ROUND(G312*Q312,-2))</f>
        <v>1715600</v>
      </c>
      <c r="S312" s="47" t="str">
        <f>TRIM(IF(AND(Assumptions!$L$142&lt;&gt;"",D312&lt;Assumptions!$L$142),"View blocked / roof in front ("&amp;Assumptions!$M$142&amp;"); view premium still loading until L"&amp;Assumptions!$L$142&amp;". ","")&amp;IF(D312=Assumptions!$AH$142,"Mid-floor view premium fully loaded. ","")&amp;IF(D312=Assumptions!$P$142,"High-floor view premium fully loaded. ","")&amp;IF(Q312&lt;=K312,"At developer starting price.",""))</f>
        <v/>
      </c>
      <c r="T312" s="48" t="str">
        <f>Assumptions!$AJ$142</f>
        <v>NNE. Shorter pool view (~80m to Blk 11), partly limited by side walls</v>
      </c>
    </row>
    <row r="313" spans="1:20" x14ac:dyDescent="0.2">
      <c r="A313" s="13" t="s">
        <v>447</v>
      </c>
      <c r="B313" s="14">
        <v>3</v>
      </c>
      <c r="C313" s="40">
        <v>16</v>
      </c>
      <c r="D313" s="40">
        <v>13</v>
      </c>
      <c r="E313" s="9" t="s">
        <v>41</v>
      </c>
      <c r="F313" s="14" t="s">
        <v>439</v>
      </c>
      <c r="G313" s="10">
        <v>592</v>
      </c>
      <c r="H313" s="14" t="s">
        <v>62</v>
      </c>
      <c r="I313" s="41" t="str">
        <f>Assumptions!$I$142</f>
        <v>C</v>
      </c>
      <c r="J313" s="14" t="str">
        <f>IF(D313&lt;=Assumptions!$V$142,"Low",IF(D313&lt;=Assumptions!$W$142,"Mid","High"))</f>
        <v>Mid</v>
      </c>
      <c r="K313" s="15">
        <f>Assumptions!$Q$142</f>
        <v>2608</v>
      </c>
      <c r="L313" s="42">
        <f>INDEX(Assumptions!$B$61:$B$90,D313)</f>
        <v>2909.9857142857145</v>
      </c>
      <c r="M313" s="43">
        <f>IF(D313&lt;=Assumptions!$G$142,Assumptions!$AK$142,IF(D313&lt;Assumptions!$AH$142,Assumptions!$AK$142+(Assumptions!$AL$142-Assumptions!$AK$142)*(D313-Assumptions!$G$142)/(Assumptions!$AH$142-Assumptions!$G$142),IF(D313&lt;Assumptions!$P$142,Assumptions!$AL$142+(Assumptions!$AM$142-Assumptions!$AL$142)*(D313-Assumptions!$AH$142)/(Assumptions!$P$142-Assumptions!$AH$142),Assumptions!$AM$142)))</f>
        <v>-19642.857142857141</v>
      </c>
      <c r="N313" s="44">
        <f t="shared" si="8"/>
        <v>-33.180501930501926</v>
      </c>
      <c r="O313" s="45">
        <f t="shared" si="9"/>
        <v>2877</v>
      </c>
      <c r="P313" s="14" t="str">
        <f>IF(D313&gt;=Assumptions!$P$142,"High",IF(D313&gt;=Assumptions!$AH$142,"Mid",IF(D313&lt;=Assumptions!$G$142,"Low","Loading")))</f>
        <v>Mid</v>
      </c>
      <c r="Q313" s="46">
        <f>MAX(K313,MIN(Assumptions!$S$142,O313),Q314)</f>
        <v>2877</v>
      </c>
      <c r="R313" s="12">
        <f>IF(AND(Q313&lt;=K313,INDEX(Assumptions!$C$26:$C$36,MATCH(G313,Assumptions!$A$26:$A$36,0))&lt;&gt;""),INDEX(Assumptions!$C$26:$C$36,MATCH(G313,Assumptions!$A$26:$A$36,0)),ROUND(G313*Q313,-2))</f>
        <v>1703200</v>
      </c>
      <c r="S313" s="47" t="str">
        <f>TRIM(IF(AND(Assumptions!$L$142&lt;&gt;"",D313&lt;Assumptions!$L$142),"View blocked / roof in front ("&amp;Assumptions!$M$142&amp;"); view premium still loading until L"&amp;Assumptions!$L$142&amp;". ","")&amp;IF(D313=Assumptions!$AH$142,"Mid-floor view premium fully loaded. ","")&amp;IF(D313=Assumptions!$P$142,"High-floor view premium fully loaded. ","")&amp;IF(Q313&lt;=K313,"At developer starting price.",""))</f>
        <v/>
      </c>
      <c r="T313" s="48" t="str">
        <f>Assumptions!$AJ$142</f>
        <v>NNE. Shorter pool view (~80m to Blk 11), partly limited by side walls</v>
      </c>
    </row>
    <row r="314" spans="1:20" x14ac:dyDescent="0.2">
      <c r="A314" s="13" t="s">
        <v>448</v>
      </c>
      <c r="B314" s="14">
        <v>3</v>
      </c>
      <c r="C314" s="40">
        <v>16</v>
      </c>
      <c r="D314" s="40">
        <v>12</v>
      </c>
      <c r="E314" s="9" t="s">
        <v>41</v>
      </c>
      <c r="F314" s="14" t="s">
        <v>439</v>
      </c>
      <c r="G314" s="10">
        <v>592</v>
      </c>
      <c r="H314" s="14" t="s">
        <v>62</v>
      </c>
      <c r="I314" s="41" t="str">
        <f>Assumptions!$I$142</f>
        <v>C</v>
      </c>
      <c r="J314" s="14" t="str">
        <f>IF(D314&lt;=Assumptions!$V$142,"Low",IF(D314&lt;=Assumptions!$W$142,"Mid","High"))</f>
        <v>Mid</v>
      </c>
      <c r="K314" s="15">
        <f>Assumptions!$Q$142</f>
        <v>2608</v>
      </c>
      <c r="L314" s="42">
        <f>INDEX(Assumptions!$B$61:$B$90,D314)</f>
        <v>2887.9285714285716</v>
      </c>
      <c r="M314" s="43">
        <f>IF(D314&lt;=Assumptions!$G$142,Assumptions!$AK$142,IF(D314&lt;Assumptions!$AH$142,Assumptions!$AK$142+(Assumptions!$AL$142-Assumptions!$AK$142)*(D314-Assumptions!$G$142)/(Assumptions!$AH$142-Assumptions!$G$142),IF(D314&lt;Assumptions!$P$142,Assumptions!$AL$142+(Assumptions!$AM$142-Assumptions!$AL$142)*(D314-Assumptions!$AH$142)/(Assumptions!$P$142-Assumptions!$AH$142),Assumptions!$AM$142)))</f>
        <v>-19047.619047619046</v>
      </c>
      <c r="N314" s="44">
        <f t="shared" si="8"/>
        <v>-32.175032175032172</v>
      </c>
      <c r="O314" s="45">
        <f t="shared" si="9"/>
        <v>2856</v>
      </c>
      <c r="P314" s="14" t="str">
        <f>IF(D314&gt;=Assumptions!$P$142,"High",IF(D314&gt;=Assumptions!$AH$142,"Mid",IF(D314&lt;=Assumptions!$G$142,"Low","Loading")))</f>
        <v>Mid</v>
      </c>
      <c r="Q314" s="46">
        <f>MAX(K314,MIN(Assumptions!$S$142,O314),Q315)</f>
        <v>2856</v>
      </c>
      <c r="R314" s="12">
        <f>IF(AND(Q314&lt;=K314,INDEX(Assumptions!$C$26:$C$36,MATCH(G314,Assumptions!$A$26:$A$36,0))&lt;&gt;""),INDEX(Assumptions!$C$26:$C$36,MATCH(G314,Assumptions!$A$26:$A$36,0)),ROUND(G314*Q314,-2))</f>
        <v>1690800</v>
      </c>
      <c r="S314" s="47" t="str">
        <f>TRIM(IF(AND(Assumptions!$L$142&lt;&gt;"",D314&lt;Assumptions!$L$142),"View blocked / roof in front ("&amp;Assumptions!$M$142&amp;"); view premium still loading until L"&amp;Assumptions!$L$142&amp;". ","")&amp;IF(D314=Assumptions!$AH$142,"Mid-floor view premium fully loaded. ","")&amp;IF(D314=Assumptions!$P$142,"High-floor view premium fully loaded. ","")&amp;IF(Q314&lt;=K314,"At developer starting price.",""))</f>
        <v/>
      </c>
      <c r="T314" s="48" t="str">
        <f>Assumptions!$AJ$142</f>
        <v>NNE. Shorter pool view (~80m to Blk 11), partly limited by side walls</v>
      </c>
    </row>
    <row r="315" spans="1:20" x14ac:dyDescent="0.2">
      <c r="A315" s="13" t="s">
        <v>449</v>
      </c>
      <c r="B315" s="14">
        <v>3</v>
      </c>
      <c r="C315" s="40">
        <v>16</v>
      </c>
      <c r="D315" s="40">
        <v>11</v>
      </c>
      <c r="E315" s="9" t="s">
        <v>41</v>
      </c>
      <c r="F315" s="14" t="s">
        <v>439</v>
      </c>
      <c r="G315" s="10">
        <v>592</v>
      </c>
      <c r="H315" s="14" t="s">
        <v>62</v>
      </c>
      <c r="I315" s="41" t="str">
        <f>Assumptions!$I$142</f>
        <v>C</v>
      </c>
      <c r="J315" s="14" t="str">
        <f>IF(D315&lt;=Assumptions!$V$142,"Low",IF(D315&lt;=Assumptions!$W$142,"Mid","High"))</f>
        <v>Mid</v>
      </c>
      <c r="K315" s="15">
        <f>Assumptions!$Q$142</f>
        <v>2608</v>
      </c>
      <c r="L315" s="42">
        <f>INDEX(Assumptions!$B$61:$B$90,D315)</f>
        <v>2867.1926031294452</v>
      </c>
      <c r="M315" s="43">
        <f>IF(D315&lt;=Assumptions!$G$142,Assumptions!$AK$142,IF(D315&lt;Assumptions!$AH$142,Assumptions!$AK$142+(Assumptions!$AL$142-Assumptions!$AK$142)*(D315-Assumptions!$G$142)/(Assumptions!$AH$142-Assumptions!$G$142),IF(D315&lt;Assumptions!$P$142,Assumptions!$AL$142+(Assumptions!$AM$142-Assumptions!$AL$142)*(D315-Assumptions!$AH$142)/(Assumptions!$P$142-Assumptions!$AH$142),Assumptions!$AM$142)))</f>
        <v>-18452.38095238095</v>
      </c>
      <c r="N315" s="44">
        <f t="shared" si="8"/>
        <v>-31.169562419562418</v>
      </c>
      <c r="O315" s="45">
        <f t="shared" si="9"/>
        <v>2836</v>
      </c>
      <c r="P315" s="14" t="str">
        <f>IF(D315&gt;=Assumptions!$P$142,"High",IF(D315&gt;=Assumptions!$AH$142,"Mid",IF(D315&lt;=Assumptions!$G$142,"Low","Loading")))</f>
        <v>Mid</v>
      </c>
      <c r="Q315" s="46">
        <f>MAX(K315,MIN(Assumptions!$S$142,O315),Q316)</f>
        <v>2836</v>
      </c>
      <c r="R315" s="12">
        <f>IF(AND(Q315&lt;=K315,INDEX(Assumptions!$C$26:$C$36,MATCH(G315,Assumptions!$A$26:$A$36,0))&lt;&gt;""),INDEX(Assumptions!$C$26:$C$36,MATCH(G315,Assumptions!$A$26:$A$36,0)),ROUND(G315*Q315,-2))</f>
        <v>1678900</v>
      </c>
      <c r="S315" s="47" t="str">
        <f>TRIM(IF(AND(Assumptions!$L$142&lt;&gt;"",D315&lt;Assumptions!$L$142),"View blocked / roof in front ("&amp;Assumptions!$M$142&amp;"); view premium still loading until L"&amp;Assumptions!$L$142&amp;". ","")&amp;IF(D315=Assumptions!$AH$142,"Mid-floor view premium fully loaded. ","")&amp;IF(D315=Assumptions!$P$142,"High-floor view premium fully loaded. ","")&amp;IF(Q315&lt;=K315,"At developer starting price.",""))</f>
        <v/>
      </c>
      <c r="T315" s="48" t="str">
        <f>Assumptions!$AJ$142</f>
        <v>NNE. Shorter pool view (~80m to Blk 11), partly limited by side walls</v>
      </c>
    </row>
    <row r="316" spans="1:20" x14ac:dyDescent="0.2">
      <c r="A316" s="13" t="s">
        <v>450</v>
      </c>
      <c r="B316" s="14">
        <v>3</v>
      </c>
      <c r="C316" s="40">
        <v>16</v>
      </c>
      <c r="D316" s="40">
        <v>10</v>
      </c>
      <c r="E316" s="9" t="s">
        <v>41</v>
      </c>
      <c r="F316" s="14" t="s">
        <v>439</v>
      </c>
      <c r="G316" s="10">
        <v>592</v>
      </c>
      <c r="H316" s="14" t="s">
        <v>62</v>
      </c>
      <c r="I316" s="41" t="str">
        <f>Assumptions!$I$142</f>
        <v>C</v>
      </c>
      <c r="J316" s="14" t="str">
        <f>IF(D316&lt;=Assumptions!$V$142,"Low",IF(D316&lt;=Assumptions!$W$142,"Mid","High"))</f>
        <v>Mid</v>
      </c>
      <c r="K316" s="15">
        <f>Assumptions!$Q$142</f>
        <v>2608</v>
      </c>
      <c r="L316" s="42">
        <f>INDEX(Assumptions!$B$61:$B$90,D316)</f>
        <v>2847.7778093883358</v>
      </c>
      <c r="M316" s="43">
        <f>IF(D316&lt;=Assumptions!$G$142,Assumptions!$AK$142,IF(D316&lt;Assumptions!$AH$142,Assumptions!$AK$142+(Assumptions!$AL$142-Assumptions!$AK$142)*(D316-Assumptions!$G$142)/(Assumptions!$AH$142-Assumptions!$G$142),IF(D316&lt;Assumptions!$P$142,Assumptions!$AL$142+(Assumptions!$AM$142-Assumptions!$AL$142)*(D316-Assumptions!$AH$142)/(Assumptions!$P$142-Assumptions!$AH$142),Assumptions!$AM$142)))</f>
        <v>-17857.142857142855</v>
      </c>
      <c r="N316" s="44">
        <f t="shared" si="8"/>
        <v>-30.16409266409266</v>
      </c>
      <c r="O316" s="45">
        <f t="shared" si="9"/>
        <v>2818</v>
      </c>
      <c r="P316" s="14" t="str">
        <f>IF(D316&gt;=Assumptions!$P$142,"High",IF(D316&gt;=Assumptions!$AH$142,"Mid",IF(D316&lt;=Assumptions!$G$142,"Low","Loading")))</f>
        <v>Mid</v>
      </c>
      <c r="Q316" s="46">
        <f>MAX(K316,MIN(Assumptions!$S$142,O316),Q317)</f>
        <v>2818</v>
      </c>
      <c r="R316" s="12">
        <f>IF(AND(Q316&lt;=K316,INDEX(Assumptions!$C$26:$C$36,MATCH(G316,Assumptions!$A$26:$A$36,0))&lt;&gt;""),INDEX(Assumptions!$C$26:$C$36,MATCH(G316,Assumptions!$A$26:$A$36,0)),ROUND(G316*Q316,-2))</f>
        <v>1668300</v>
      </c>
      <c r="S316" s="47" t="str">
        <f>TRIM(IF(AND(Assumptions!$L$142&lt;&gt;"",D316&lt;Assumptions!$L$142),"View blocked / roof in front ("&amp;Assumptions!$M$142&amp;"); view premium still loading until L"&amp;Assumptions!$L$142&amp;". ","")&amp;IF(D316=Assumptions!$AH$142,"Mid-floor view premium fully loaded. ","")&amp;IF(D316=Assumptions!$P$142,"High-floor view premium fully loaded. ","")&amp;IF(Q316&lt;=K316,"At developer starting price.",""))</f>
        <v/>
      </c>
      <c r="T316" s="48" t="str">
        <f>Assumptions!$AJ$142</f>
        <v>NNE. Shorter pool view (~80m to Blk 11), partly limited by side walls</v>
      </c>
    </row>
    <row r="317" spans="1:20" x14ac:dyDescent="0.2">
      <c r="A317" s="13" t="s">
        <v>451</v>
      </c>
      <c r="B317" s="14">
        <v>3</v>
      </c>
      <c r="C317" s="40">
        <v>16</v>
      </c>
      <c r="D317" s="40">
        <v>9</v>
      </c>
      <c r="E317" s="9" t="s">
        <v>41</v>
      </c>
      <c r="F317" s="14" t="s">
        <v>439</v>
      </c>
      <c r="G317" s="10">
        <v>592</v>
      </c>
      <c r="H317" s="14" t="s">
        <v>62</v>
      </c>
      <c r="I317" s="41" t="str">
        <f>Assumptions!$I$142</f>
        <v>C</v>
      </c>
      <c r="J317" s="14" t="str">
        <f>IF(D317&lt;=Assumptions!$V$142,"Low",IF(D317&lt;=Assumptions!$W$142,"Mid","High"))</f>
        <v>Mid</v>
      </c>
      <c r="K317" s="15">
        <f>Assumptions!$Q$142</f>
        <v>2608</v>
      </c>
      <c r="L317" s="42">
        <f>INDEX(Assumptions!$B$61:$B$90,D317)</f>
        <v>2828.3630156472263</v>
      </c>
      <c r="M317" s="43">
        <f>IF(D317&lt;=Assumptions!$G$142,Assumptions!$AK$142,IF(D317&lt;Assumptions!$AH$142,Assumptions!$AK$142+(Assumptions!$AL$142-Assumptions!$AK$142)*(D317-Assumptions!$G$142)/(Assumptions!$AH$142-Assumptions!$G$142),IF(D317&lt;Assumptions!$P$142,Assumptions!$AL$142+(Assumptions!$AM$142-Assumptions!$AL$142)*(D317-Assumptions!$AH$142)/(Assumptions!$P$142-Assumptions!$AH$142),Assumptions!$AM$142)))</f>
        <v>-17261.90476190476</v>
      </c>
      <c r="N317" s="44">
        <f t="shared" si="8"/>
        <v>-29.158622908622906</v>
      </c>
      <c r="O317" s="45">
        <f t="shared" si="9"/>
        <v>2799</v>
      </c>
      <c r="P317" s="14" t="str">
        <f>IF(D317&gt;=Assumptions!$P$142,"High",IF(D317&gt;=Assumptions!$AH$142,"Mid",IF(D317&lt;=Assumptions!$G$142,"Low","Loading")))</f>
        <v>Mid</v>
      </c>
      <c r="Q317" s="46">
        <f>MAX(K317,MIN(Assumptions!$S$142,O317),Q318)</f>
        <v>2799</v>
      </c>
      <c r="R317" s="12">
        <f>IF(AND(Q317&lt;=K317,INDEX(Assumptions!$C$26:$C$36,MATCH(G317,Assumptions!$A$26:$A$36,0))&lt;&gt;""),INDEX(Assumptions!$C$26:$C$36,MATCH(G317,Assumptions!$A$26:$A$36,0)),ROUND(G317*Q317,-2))</f>
        <v>1657000</v>
      </c>
      <c r="S317" s="47" t="str">
        <f>TRIM(IF(AND(Assumptions!$L$142&lt;&gt;"",D317&lt;Assumptions!$L$142),"View blocked / roof in front ("&amp;Assumptions!$M$142&amp;"); view premium still loading until L"&amp;Assumptions!$L$142&amp;". ","")&amp;IF(D317=Assumptions!$AH$142,"Mid-floor view premium fully loaded. ","")&amp;IF(D317=Assumptions!$P$142,"High-floor view premium fully loaded. ","")&amp;IF(Q317&lt;=K317,"At developer starting price.",""))</f>
        <v/>
      </c>
      <c r="T317" s="48" t="str">
        <f>Assumptions!$AJ$142</f>
        <v>NNE. Shorter pool view (~80m to Blk 11), partly limited by side walls</v>
      </c>
    </row>
    <row r="318" spans="1:20" x14ac:dyDescent="0.2">
      <c r="A318" s="13" t="s">
        <v>452</v>
      </c>
      <c r="B318" s="14">
        <v>3</v>
      </c>
      <c r="C318" s="40">
        <v>16</v>
      </c>
      <c r="D318" s="40">
        <v>8</v>
      </c>
      <c r="E318" s="9" t="s">
        <v>41</v>
      </c>
      <c r="F318" s="14" t="s">
        <v>439</v>
      </c>
      <c r="G318" s="10">
        <v>592</v>
      </c>
      <c r="H318" s="14" t="s">
        <v>62</v>
      </c>
      <c r="I318" s="41" t="str">
        <f>Assumptions!$I$142</f>
        <v>C</v>
      </c>
      <c r="J318" s="14" t="str">
        <f>IF(D318&lt;=Assumptions!$V$142,"Low",IF(D318&lt;=Assumptions!$W$142,"Mid","High"))</f>
        <v>Mid</v>
      </c>
      <c r="K318" s="15">
        <f>Assumptions!$Q$142</f>
        <v>2608</v>
      </c>
      <c r="L318" s="42">
        <f>INDEX(Assumptions!$B$61:$B$90,D318)</f>
        <v>2808.9482219061169</v>
      </c>
      <c r="M318" s="43">
        <f>IF(D318&lt;=Assumptions!$G$142,Assumptions!$AK$142,IF(D318&lt;Assumptions!$AH$142,Assumptions!$AK$142+(Assumptions!$AL$142-Assumptions!$AK$142)*(D318-Assumptions!$G$142)/(Assumptions!$AH$142-Assumptions!$G$142),IF(D318&lt;Assumptions!$P$142,Assumptions!$AL$142+(Assumptions!$AM$142-Assumptions!$AL$142)*(D318-Assumptions!$AH$142)/(Assumptions!$P$142-Assumptions!$AH$142),Assumptions!$AM$142)))</f>
        <v>-16666.666666666664</v>
      </c>
      <c r="N318" s="44">
        <f t="shared" si="8"/>
        <v>-28.153153153153148</v>
      </c>
      <c r="O318" s="45">
        <f t="shared" si="9"/>
        <v>2781</v>
      </c>
      <c r="P318" s="14" t="str">
        <f>IF(D318&gt;=Assumptions!$P$142,"High",IF(D318&gt;=Assumptions!$AH$142,"Mid",IF(D318&lt;=Assumptions!$G$142,"Low","Loading")))</f>
        <v>Mid</v>
      </c>
      <c r="Q318" s="46">
        <f>MAX(K318,MIN(Assumptions!$S$142,O318),Q319)</f>
        <v>2781</v>
      </c>
      <c r="R318" s="12">
        <f>IF(AND(Q318&lt;=K318,INDEX(Assumptions!$C$26:$C$36,MATCH(G318,Assumptions!$A$26:$A$36,0))&lt;&gt;""),INDEX(Assumptions!$C$26:$C$36,MATCH(G318,Assumptions!$A$26:$A$36,0)),ROUND(G318*Q318,-2))</f>
        <v>1646400</v>
      </c>
      <c r="S318" s="47" t="str">
        <f>TRIM(IF(AND(Assumptions!$L$142&lt;&gt;"",D318&lt;Assumptions!$L$142),"View blocked / roof in front ("&amp;Assumptions!$M$142&amp;"); view premium still loading until L"&amp;Assumptions!$L$142&amp;". ","")&amp;IF(D318=Assumptions!$AH$142,"Mid-floor view premium fully loaded. ","")&amp;IF(D318=Assumptions!$P$142,"High-floor view premium fully loaded. ","")&amp;IF(Q318&lt;=K318,"At developer starting price.",""))</f>
        <v>Mid-floor view premium fully loaded.</v>
      </c>
      <c r="T318" s="48" t="str">
        <f>Assumptions!$AJ$142</f>
        <v>NNE. Shorter pool view (~80m to Blk 11), partly limited by side walls</v>
      </c>
    </row>
    <row r="319" spans="1:20" x14ac:dyDescent="0.2">
      <c r="A319" s="13" t="s">
        <v>453</v>
      </c>
      <c r="B319" s="14">
        <v>3</v>
      </c>
      <c r="C319" s="40">
        <v>16</v>
      </c>
      <c r="D319" s="40">
        <v>7</v>
      </c>
      <c r="E319" s="9" t="s">
        <v>41</v>
      </c>
      <c r="F319" s="14" t="s">
        <v>439</v>
      </c>
      <c r="G319" s="10">
        <v>592</v>
      </c>
      <c r="H319" s="14" t="s">
        <v>62</v>
      </c>
      <c r="I319" s="41" t="str">
        <f>Assumptions!$I$142</f>
        <v>C</v>
      </c>
      <c r="J319" s="14" t="str">
        <f>IF(D319&lt;=Assumptions!$V$142,"Low",IF(D319&lt;=Assumptions!$W$142,"Mid","High"))</f>
        <v>Low</v>
      </c>
      <c r="K319" s="15">
        <f>Assumptions!$Q$142</f>
        <v>2608</v>
      </c>
      <c r="L319" s="42">
        <f>INDEX(Assumptions!$B$61:$B$90,D319)</f>
        <v>2789.5334281650071</v>
      </c>
      <c r="M319" s="43">
        <f>IF(D319&lt;=Assumptions!$G$142,Assumptions!$AK$142,IF(D319&lt;Assumptions!$AH$142,Assumptions!$AK$142+(Assumptions!$AL$142-Assumptions!$AK$142)*(D319-Assumptions!$G$142)/(Assumptions!$AH$142-Assumptions!$G$142),IF(D319&lt;Assumptions!$P$142,Assumptions!$AL$142+(Assumptions!$AM$142-Assumptions!$AL$142)*(D319-Assumptions!$AH$142)/(Assumptions!$P$142-Assumptions!$AH$142),Assumptions!$AM$142)))</f>
        <v>-5555.5555555555402</v>
      </c>
      <c r="N319" s="44">
        <f t="shared" si="8"/>
        <v>-9.384384384384358</v>
      </c>
      <c r="O319" s="45">
        <f t="shared" si="9"/>
        <v>2780</v>
      </c>
      <c r="P319" s="14" t="str">
        <f>IF(D319&gt;=Assumptions!$P$142,"High",IF(D319&gt;=Assumptions!$AH$142,"Mid",IF(D319&lt;=Assumptions!$G$142,"Low","Loading")))</f>
        <v>Loading</v>
      </c>
      <c r="Q319" s="46">
        <f>MAX(K319,MIN(Assumptions!$S$142,O319),Q320)</f>
        <v>2780</v>
      </c>
      <c r="R319" s="12">
        <f>IF(AND(Q319&lt;=K319,INDEX(Assumptions!$C$26:$C$36,MATCH(G319,Assumptions!$A$26:$A$36,0))&lt;&gt;""),INDEX(Assumptions!$C$26:$C$36,MATCH(G319,Assumptions!$A$26:$A$36,0)),ROUND(G319*Q319,-2))</f>
        <v>1645800</v>
      </c>
      <c r="S319" s="47" t="str">
        <f>TRIM(IF(AND(Assumptions!$L$142&lt;&gt;"",D319&lt;Assumptions!$L$142),"View blocked / roof in front ("&amp;Assumptions!$M$142&amp;"); view premium still loading until L"&amp;Assumptions!$L$142&amp;". ","")&amp;IF(D319=Assumptions!$AH$142,"Mid-floor view premium fully loaded. ","")&amp;IF(D319=Assumptions!$P$142,"High-floor view premium fully loaded. ","")&amp;IF(Q319&lt;=K319,"At developer starting price.",""))</f>
        <v/>
      </c>
      <c r="T319" s="48" t="str">
        <f>Assumptions!$AJ$142</f>
        <v>NNE. Shorter pool view (~80m to Blk 11), partly limited by side walls</v>
      </c>
    </row>
    <row r="320" spans="1:20" x14ac:dyDescent="0.2">
      <c r="A320" s="13" t="s">
        <v>454</v>
      </c>
      <c r="B320" s="14">
        <v>3</v>
      </c>
      <c r="C320" s="40">
        <v>16</v>
      </c>
      <c r="D320" s="40">
        <v>6</v>
      </c>
      <c r="E320" s="9" t="s">
        <v>41</v>
      </c>
      <c r="F320" s="14" t="s">
        <v>439</v>
      </c>
      <c r="G320" s="10">
        <v>592</v>
      </c>
      <c r="H320" s="14" t="s">
        <v>62</v>
      </c>
      <c r="I320" s="41" t="str">
        <f>Assumptions!$I$142</f>
        <v>C</v>
      </c>
      <c r="J320" s="14" t="str">
        <f>IF(D320&lt;=Assumptions!$V$142,"Low",IF(D320&lt;=Assumptions!$W$142,"Mid","High"))</f>
        <v>Low</v>
      </c>
      <c r="K320" s="15">
        <f>Assumptions!$Q$142</f>
        <v>2608</v>
      </c>
      <c r="L320" s="42">
        <f>INDEX(Assumptions!$B$61:$B$90,D320)</f>
        <v>2770.1186344238977</v>
      </c>
      <c r="M320" s="43">
        <f>IF(D320&lt;=Assumptions!$G$142,Assumptions!$AK$142,IF(D320&lt;Assumptions!$AH$142,Assumptions!$AK$142+(Assumptions!$AL$142-Assumptions!$AK$142)*(D320-Assumptions!$G$142)/(Assumptions!$AH$142-Assumptions!$G$142),IF(D320&lt;Assumptions!$P$142,Assumptions!$AL$142+(Assumptions!$AM$142-Assumptions!$AL$142)*(D320-Assumptions!$AH$142)/(Assumptions!$P$142-Assumptions!$AH$142),Assumptions!$AM$142)))</f>
        <v>5555.555555555562</v>
      </c>
      <c r="N320" s="44">
        <f t="shared" si="8"/>
        <v>9.3843843843843953</v>
      </c>
      <c r="O320" s="45">
        <f t="shared" si="9"/>
        <v>2780</v>
      </c>
      <c r="P320" s="14" t="str">
        <f>IF(D320&gt;=Assumptions!$P$142,"High",IF(D320&gt;=Assumptions!$AH$142,"Mid",IF(D320&lt;=Assumptions!$G$142,"Low","Loading")))</f>
        <v>Loading</v>
      </c>
      <c r="Q320" s="46">
        <f>MAX(K320,MIN(Assumptions!$S$142,O320),Q321)</f>
        <v>2780</v>
      </c>
      <c r="R320" s="12">
        <f>IF(AND(Q320&lt;=K320,INDEX(Assumptions!$C$26:$C$36,MATCH(G320,Assumptions!$A$26:$A$36,0))&lt;&gt;""),INDEX(Assumptions!$C$26:$C$36,MATCH(G320,Assumptions!$A$26:$A$36,0)),ROUND(G320*Q320,-2))</f>
        <v>1645800</v>
      </c>
      <c r="S320" s="47" t="str">
        <f>TRIM(IF(AND(Assumptions!$L$142&lt;&gt;"",D320&lt;Assumptions!$L$142),"View blocked / roof in front ("&amp;Assumptions!$M$142&amp;"); view premium still loading until L"&amp;Assumptions!$L$142&amp;". ","")&amp;IF(D320=Assumptions!$AH$142,"Mid-floor view premium fully loaded. ","")&amp;IF(D320=Assumptions!$P$142,"High-floor view premium fully loaded. ","")&amp;IF(Q320&lt;=K320,"At developer starting price.",""))</f>
        <v/>
      </c>
      <c r="T320" s="48" t="str">
        <f>Assumptions!$AJ$142</f>
        <v>NNE. Shorter pool view (~80m to Blk 11), partly limited by side walls</v>
      </c>
    </row>
    <row r="321" spans="1:20" x14ac:dyDescent="0.2">
      <c r="A321" s="13" t="s">
        <v>455</v>
      </c>
      <c r="B321" s="14">
        <v>3</v>
      </c>
      <c r="C321" s="40">
        <v>16</v>
      </c>
      <c r="D321" s="40">
        <v>5</v>
      </c>
      <c r="E321" s="9" t="s">
        <v>41</v>
      </c>
      <c r="F321" s="14" t="s">
        <v>439</v>
      </c>
      <c r="G321" s="10">
        <v>592</v>
      </c>
      <c r="H321" s="14" t="s">
        <v>62</v>
      </c>
      <c r="I321" s="41" t="str">
        <f>Assumptions!$I$142</f>
        <v>C</v>
      </c>
      <c r="J321" s="14" t="str">
        <f>IF(D321&lt;=Assumptions!$V$142,"Low",IF(D321&lt;=Assumptions!$W$142,"Mid","High"))</f>
        <v>Low</v>
      </c>
      <c r="K321" s="15">
        <f>Assumptions!$Q$142</f>
        <v>2608</v>
      </c>
      <c r="L321" s="42">
        <f>INDEX(Assumptions!$B$61:$B$90,D321)</f>
        <v>2750.7038406827883</v>
      </c>
      <c r="M321" s="43">
        <f>IF(D321&lt;=Assumptions!$G$142,Assumptions!$AK$142,IF(D321&lt;Assumptions!$AH$142,Assumptions!$AK$142+(Assumptions!$AL$142-Assumptions!$AK$142)*(D321-Assumptions!$G$142)/(Assumptions!$AH$142-Assumptions!$G$142),IF(D321&lt;Assumptions!$P$142,Assumptions!$AL$142+(Assumptions!$AM$142-Assumptions!$AL$142)*(D321-Assumptions!$AH$142)/(Assumptions!$P$142-Assumptions!$AH$142),Assumptions!$AM$142)))</f>
        <v>16666.666666666672</v>
      </c>
      <c r="N321" s="44">
        <f t="shared" si="8"/>
        <v>28.153153153153163</v>
      </c>
      <c r="O321" s="45">
        <f t="shared" si="9"/>
        <v>2779</v>
      </c>
      <c r="P321" s="14" t="str">
        <f>IF(D321&gt;=Assumptions!$P$142,"High",IF(D321&gt;=Assumptions!$AH$142,"Mid",IF(D321&lt;=Assumptions!$G$142,"Low","Loading")))</f>
        <v>Loading</v>
      </c>
      <c r="Q321" s="46">
        <f>MAX(K321,MIN(Assumptions!$S$142,O321),Q322)</f>
        <v>2779</v>
      </c>
      <c r="R321" s="12">
        <f>IF(AND(Q321&lt;=K321,INDEX(Assumptions!$C$26:$C$36,MATCH(G321,Assumptions!$A$26:$A$36,0))&lt;&gt;""),INDEX(Assumptions!$C$26:$C$36,MATCH(G321,Assumptions!$A$26:$A$36,0)),ROUND(G321*Q321,-2))</f>
        <v>1645200</v>
      </c>
      <c r="S321" s="47" t="str">
        <f>TRIM(IF(AND(Assumptions!$L$142&lt;&gt;"",D321&lt;Assumptions!$L$142),"View blocked / roof in front ("&amp;Assumptions!$M$142&amp;"); view premium still loading until L"&amp;Assumptions!$L$142&amp;". ","")&amp;IF(D321=Assumptions!$AH$142,"Mid-floor view premium fully loaded. ","")&amp;IF(D321=Assumptions!$P$142,"High-floor view premium fully loaded. ","")&amp;IF(Q321&lt;=K321,"At developer starting price.",""))</f>
        <v/>
      </c>
      <c r="T321" s="48" t="str">
        <f>Assumptions!$AJ$142</f>
        <v>NNE. Shorter pool view (~80m to Blk 11), partly limited by side walls</v>
      </c>
    </row>
    <row r="322" spans="1:20" x14ac:dyDescent="0.2">
      <c r="A322" s="13" t="s">
        <v>456</v>
      </c>
      <c r="B322" s="14">
        <v>3</v>
      </c>
      <c r="C322" s="40">
        <v>16</v>
      </c>
      <c r="D322" s="40">
        <v>4</v>
      </c>
      <c r="E322" s="9" t="s">
        <v>41</v>
      </c>
      <c r="F322" s="14" t="s">
        <v>439</v>
      </c>
      <c r="G322" s="10">
        <v>592</v>
      </c>
      <c r="H322" s="14" t="s">
        <v>62</v>
      </c>
      <c r="I322" s="41" t="str">
        <f>Assumptions!$I$142</f>
        <v>C</v>
      </c>
      <c r="J322" s="14" t="str">
        <f>IF(D322&lt;=Assumptions!$V$142,"Low",IF(D322&lt;=Assumptions!$W$142,"Mid","High"))</f>
        <v>Low</v>
      </c>
      <c r="K322" s="15">
        <f>Assumptions!$Q$142</f>
        <v>2608</v>
      </c>
      <c r="L322" s="42">
        <f>INDEX(Assumptions!$B$61:$B$90,D322)</f>
        <v>2731.2890469416789</v>
      </c>
      <c r="M322" s="43">
        <f>IF(D322&lt;=Assumptions!$G$142,Assumptions!$AK$142,IF(D322&lt;Assumptions!$AH$142,Assumptions!$AK$142+(Assumptions!$AL$142-Assumptions!$AK$142)*(D322-Assumptions!$G$142)/(Assumptions!$AH$142-Assumptions!$G$142),IF(D322&lt;Assumptions!$P$142,Assumptions!$AL$142+(Assumptions!$AM$142-Assumptions!$AL$142)*(D322-Assumptions!$AH$142)/(Assumptions!$P$142-Assumptions!$AH$142),Assumptions!$AM$142)))</f>
        <v>27777.777777777781</v>
      </c>
      <c r="N322" s="44">
        <f t="shared" si="8"/>
        <v>46.921921921921928</v>
      </c>
      <c r="O322" s="45">
        <f t="shared" si="9"/>
        <v>2778</v>
      </c>
      <c r="P322" s="14" t="str">
        <f>IF(D322&gt;=Assumptions!$P$142,"High",IF(D322&gt;=Assumptions!$AH$142,"Mid",IF(D322&lt;=Assumptions!$G$142,"Low","Loading")))</f>
        <v>Loading</v>
      </c>
      <c r="Q322" s="46">
        <f>MAX(K322,MIN(Assumptions!$S$142,O322),Q323)</f>
        <v>2778</v>
      </c>
      <c r="R322" s="12">
        <f>IF(AND(Q322&lt;=K322,INDEX(Assumptions!$C$26:$C$36,MATCH(G322,Assumptions!$A$26:$A$36,0))&lt;&gt;""),INDEX(Assumptions!$C$26:$C$36,MATCH(G322,Assumptions!$A$26:$A$36,0)),ROUND(G322*Q322,-2))</f>
        <v>1644600</v>
      </c>
      <c r="S322" s="47" t="str">
        <f>TRIM(IF(AND(Assumptions!$L$142&lt;&gt;"",D322&lt;Assumptions!$L$142),"View blocked / roof in front ("&amp;Assumptions!$M$142&amp;"); view premium still loading until L"&amp;Assumptions!$L$142&amp;". ","")&amp;IF(D322=Assumptions!$AH$142,"Mid-floor view premium fully loaded. ","")&amp;IF(D322=Assumptions!$P$142,"High-floor view premium fully loaded. ","")&amp;IF(Q322&lt;=K322,"At developer starting price.",""))</f>
        <v/>
      </c>
      <c r="T322" s="48" t="str">
        <f>Assumptions!$AJ$142</f>
        <v>NNE. Shorter pool view (~80m to Blk 11), partly limited by side walls</v>
      </c>
    </row>
    <row r="323" spans="1:20" x14ac:dyDescent="0.2">
      <c r="A323" s="13" t="s">
        <v>457</v>
      </c>
      <c r="B323" s="14">
        <v>3</v>
      </c>
      <c r="C323" s="40">
        <v>16</v>
      </c>
      <c r="D323" s="40">
        <v>3</v>
      </c>
      <c r="E323" s="9" t="s">
        <v>41</v>
      </c>
      <c r="F323" s="14" t="s">
        <v>439</v>
      </c>
      <c r="G323" s="10">
        <v>592</v>
      </c>
      <c r="H323" s="14" t="s">
        <v>62</v>
      </c>
      <c r="I323" s="41" t="str">
        <f>Assumptions!$I$142</f>
        <v>C</v>
      </c>
      <c r="J323" s="14" t="str">
        <f>IF(D323&lt;=Assumptions!$V$142,"Low",IF(D323&lt;=Assumptions!$W$142,"Mid","High"))</f>
        <v>Low</v>
      </c>
      <c r="K323" s="15">
        <f>Assumptions!$Q$142</f>
        <v>2608</v>
      </c>
      <c r="L323" s="42">
        <f>INDEX(Assumptions!$B$61:$B$90,D323)</f>
        <v>2711.874253200569</v>
      </c>
      <c r="M323" s="43">
        <f>IF(D323&lt;=Assumptions!$G$142,Assumptions!$AK$142,IF(D323&lt;Assumptions!$AH$142,Assumptions!$AK$142+(Assumptions!$AL$142-Assumptions!$AK$142)*(D323-Assumptions!$G$142)/(Assumptions!$AH$142-Assumptions!$G$142),IF(D323&lt;Assumptions!$P$142,Assumptions!$AL$142+(Assumptions!$AM$142-Assumptions!$AL$142)*(D323-Assumptions!$AH$142)/(Assumptions!$P$142-Assumptions!$AH$142),Assumptions!$AM$142)))</f>
        <v>38888.888888888891</v>
      </c>
      <c r="N323" s="44">
        <f t="shared" si="8"/>
        <v>65.690690690690687</v>
      </c>
      <c r="O323" s="45">
        <f t="shared" si="9"/>
        <v>2778</v>
      </c>
      <c r="P323" s="14" t="str">
        <f>IF(D323&gt;=Assumptions!$P$142,"High",IF(D323&gt;=Assumptions!$AH$142,"Mid",IF(D323&lt;=Assumptions!$G$142,"Low","Loading")))</f>
        <v>Loading</v>
      </c>
      <c r="Q323" s="46">
        <f>MAX(K323,MIN(Assumptions!$S$142,O323),Q324)</f>
        <v>2778</v>
      </c>
      <c r="R323" s="12">
        <f>IF(AND(Q323&lt;=K323,INDEX(Assumptions!$C$26:$C$36,MATCH(G323,Assumptions!$A$26:$A$36,0))&lt;&gt;""),INDEX(Assumptions!$C$26:$C$36,MATCH(G323,Assumptions!$A$26:$A$36,0)),ROUND(G323*Q323,-2))</f>
        <v>1644600</v>
      </c>
      <c r="S323" s="47" t="str">
        <f>TRIM(IF(AND(Assumptions!$L$142&lt;&gt;"",D323&lt;Assumptions!$L$142),"View blocked / roof in front ("&amp;Assumptions!$M$142&amp;"); view premium still loading until L"&amp;Assumptions!$L$142&amp;". ","")&amp;IF(D323=Assumptions!$AH$142,"Mid-floor view premium fully loaded. ","")&amp;IF(D323=Assumptions!$P$142,"High-floor view premium fully loaded. ","")&amp;IF(Q323&lt;=K323,"At developer starting price.",""))</f>
        <v/>
      </c>
      <c r="T323" s="48" t="str">
        <f>Assumptions!$AJ$142</f>
        <v>NNE. Shorter pool view (~80m to Blk 11), partly limited by side walls</v>
      </c>
    </row>
    <row r="324" spans="1:20" x14ac:dyDescent="0.2">
      <c r="A324" s="13" t="s">
        <v>458</v>
      </c>
      <c r="B324" s="14">
        <v>3</v>
      </c>
      <c r="C324" s="40">
        <v>16</v>
      </c>
      <c r="D324" s="40">
        <v>2</v>
      </c>
      <c r="E324" s="9" t="s">
        <v>41</v>
      </c>
      <c r="F324" s="14" t="s">
        <v>459</v>
      </c>
      <c r="G324" s="10">
        <v>592</v>
      </c>
      <c r="H324" s="14" t="s">
        <v>62</v>
      </c>
      <c r="I324" s="41" t="str">
        <f>Assumptions!$I$142</f>
        <v>C</v>
      </c>
      <c r="J324" s="14" t="str">
        <f>IF(D324&lt;=Assumptions!$V$142,"Low",IF(D324&lt;=Assumptions!$W$142,"Mid","High"))</f>
        <v>Low</v>
      </c>
      <c r="K324" s="15">
        <f>Assumptions!$Q$142</f>
        <v>2608</v>
      </c>
      <c r="L324" s="42">
        <f>INDEX(Assumptions!$B$61:$B$90,D324)</f>
        <v>2692.4594594594596</v>
      </c>
      <c r="M324" s="43">
        <f>IF(D324&lt;=Assumptions!$G$142,Assumptions!$AK$142,IF(D324&lt;Assumptions!$AH$142,Assumptions!$AK$142+(Assumptions!$AL$142-Assumptions!$AK$142)*(D324-Assumptions!$G$142)/(Assumptions!$AH$142-Assumptions!$G$142),IF(D324&lt;Assumptions!$P$142,Assumptions!$AL$142+(Assumptions!$AM$142-Assumptions!$AL$142)*(D324-Assumptions!$AH$142)/(Assumptions!$P$142-Assumptions!$AH$142),Assumptions!$AM$142)))</f>
        <v>50000</v>
      </c>
      <c r="N324" s="44">
        <f t="shared" si="8"/>
        <v>84.459459459459453</v>
      </c>
      <c r="O324" s="45">
        <f t="shared" si="9"/>
        <v>2777</v>
      </c>
      <c r="P324" s="14" t="str">
        <f>IF(D324&gt;=Assumptions!$P$142,"High",IF(D324&gt;=Assumptions!$AH$142,"Mid",IF(D324&lt;=Assumptions!$G$142,"Low","Loading")))</f>
        <v>Low</v>
      </c>
      <c r="Q324" s="46">
        <f>MAX(K324,MIN(Assumptions!$S$142,O324))</f>
        <v>2777</v>
      </c>
      <c r="R324" s="12">
        <f>IF(AND(Q324&lt;=K324,INDEX(Assumptions!$C$26:$C$36,MATCH(G324,Assumptions!$A$26:$A$36,0))&lt;&gt;""),INDEX(Assumptions!$C$26:$C$36,MATCH(G324,Assumptions!$A$26:$A$36,0)),ROUND(G324*Q324,-2))</f>
        <v>1644000</v>
      </c>
      <c r="S324" s="47" t="str">
        <f>TRIM(IF(AND(Assumptions!$L$142&lt;&gt;"",D324&lt;Assumptions!$L$142),"View blocked / roof in front ("&amp;Assumptions!$M$142&amp;"); view premium still loading until L"&amp;Assumptions!$L$142&amp;". ","")&amp;IF(D324=Assumptions!$AH$142,"Mid-floor view premium fully loaded. ","")&amp;IF(D324=Assumptions!$P$142,"High-floor view premium fully loaded. ","")&amp;IF(Q324&lt;=K324,"At developer starting price.",""))</f>
        <v/>
      </c>
      <c r="T324" s="48" t="str">
        <f>Assumptions!$AJ$142</f>
        <v>NNE. Shorter pool view (~80m to Blk 11), partly limited by side walls</v>
      </c>
    </row>
    <row r="325" spans="1:20" x14ac:dyDescent="0.2">
      <c r="A325" s="13" t="s">
        <v>460</v>
      </c>
      <c r="B325" s="14">
        <v>3</v>
      </c>
      <c r="C325" s="40">
        <v>17</v>
      </c>
      <c r="D325" s="40">
        <v>21</v>
      </c>
      <c r="E325" s="9" t="s">
        <v>41</v>
      </c>
      <c r="F325" s="14" t="s">
        <v>247</v>
      </c>
      <c r="G325" s="10">
        <v>592</v>
      </c>
      <c r="H325" s="14" t="s">
        <v>62</v>
      </c>
      <c r="I325" s="41" t="str">
        <f>Assumptions!$I$143</f>
        <v>C</v>
      </c>
      <c r="J325" s="14" t="str">
        <f>IF(D325&lt;=Assumptions!$V$143,"Low",IF(D325&lt;=Assumptions!$W$143,"Mid","High"))</f>
        <v>High</v>
      </c>
      <c r="K325" s="15">
        <f>Assumptions!$Q$143</f>
        <v>2608</v>
      </c>
      <c r="L325" s="42">
        <f>INDEX(Assumptions!$B$61:$B$90,D325)</f>
        <v>3086.4428571428575</v>
      </c>
      <c r="M325" s="43">
        <f>IF(D325&lt;=Assumptions!$G$143,Assumptions!$AK$143,IF(D325&lt;Assumptions!$AH$143,Assumptions!$AK$143+(Assumptions!$AL$143-Assumptions!$AK$143)*(D325-Assumptions!$G$143)/(Assumptions!$AH$143-Assumptions!$G$143),IF(D325&lt;Assumptions!$P$143,Assumptions!$AL$143+(Assumptions!$AM$143-Assumptions!$AL$143)*(D325-Assumptions!$AH$143)/(Assumptions!$P$143-Assumptions!$AH$143),Assumptions!$AM$143)))</f>
        <v>-21428.571428571428</v>
      </c>
      <c r="N325" s="44">
        <f t="shared" ref="N325:N388" si="10">M325/G325</f>
        <v>-36.196911196911195</v>
      </c>
      <c r="O325" s="45">
        <f t="shared" ref="O325:O388" si="11">ROUND(L325+N325,0)</f>
        <v>3050</v>
      </c>
      <c r="P325" s="14" t="str">
        <f>IF(D325&gt;=Assumptions!$P$143,"High",IF(D325&gt;=Assumptions!$AH$143,"Mid",IF(D325&lt;=Assumptions!$G$143,"Low","Loading")))</f>
        <v>High</v>
      </c>
      <c r="Q325" s="46">
        <f>MAX(K325,MIN(Assumptions!$S$143,O325),Q326)</f>
        <v>3050</v>
      </c>
      <c r="R325" s="12">
        <f>IF(AND(Q325&lt;=K325,INDEX(Assumptions!$C$26:$C$36,MATCH(G325,Assumptions!$A$26:$A$36,0))&lt;&gt;""),INDEX(Assumptions!$C$26:$C$36,MATCH(G325,Assumptions!$A$26:$A$36,0)),ROUND(G325*Q325,-2))</f>
        <v>1805600</v>
      </c>
      <c r="S325" s="47" t="str">
        <f>TRIM(IF(AND(Assumptions!$L$143&lt;&gt;"",D325&lt;Assumptions!$L$143),"View blocked / roof in front ("&amp;Assumptions!$M$143&amp;"); view premium still loading until L"&amp;Assumptions!$L$143&amp;". ","")&amp;IF(D325=Assumptions!$AH$143,"Mid-floor view premium fully loaded. ","")&amp;IF(D325=Assumptions!$P$143,"High-floor view premium fully loaded. ","")&amp;IF(Q325&lt;=K325,"At developer starting price.",""))</f>
        <v/>
      </c>
      <c r="T325" s="48" t="str">
        <f>Assumptions!$AJ$143</f>
        <v>NNE. Shorter pool view (~80m to Blk 11), partly limited by side walls</v>
      </c>
    </row>
    <row r="326" spans="1:20" x14ac:dyDescent="0.2">
      <c r="A326" s="13" t="s">
        <v>461</v>
      </c>
      <c r="B326" s="14">
        <v>3</v>
      </c>
      <c r="C326" s="40">
        <v>17</v>
      </c>
      <c r="D326" s="40">
        <v>20</v>
      </c>
      <c r="E326" s="9" t="s">
        <v>41</v>
      </c>
      <c r="F326" s="14" t="s">
        <v>247</v>
      </c>
      <c r="G326" s="10">
        <v>592</v>
      </c>
      <c r="H326" s="14" t="s">
        <v>62</v>
      </c>
      <c r="I326" s="41" t="str">
        <f>Assumptions!$I$143</f>
        <v>C</v>
      </c>
      <c r="J326" s="14" t="str">
        <f>IF(D326&lt;=Assumptions!$V$143,"Low",IF(D326&lt;=Assumptions!$W$143,"Mid","High"))</f>
        <v>High</v>
      </c>
      <c r="K326" s="15">
        <f>Assumptions!$Q$143</f>
        <v>2608</v>
      </c>
      <c r="L326" s="42">
        <f>INDEX(Assumptions!$B$61:$B$90,D326)</f>
        <v>3064.3857142857146</v>
      </c>
      <c r="M326" s="43">
        <f>IF(D326&lt;=Assumptions!$G$143,Assumptions!$AK$143,IF(D326&lt;Assumptions!$AH$143,Assumptions!$AK$143+(Assumptions!$AL$143-Assumptions!$AK$143)*(D326-Assumptions!$G$143)/(Assumptions!$AH$143-Assumptions!$G$143),IF(D326&lt;Assumptions!$P$143,Assumptions!$AL$143+(Assumptions!$AM$143-Assumptions!$AL$143)*(D326-Assumptions!$AH$143)/(Assumptions!$P$143-Assumptions!$AH$143),Assumptions!$AM$143)))</f>
        <v>-21428.571428571428</v>
      </c>
      <c r="N326" s="44">
        <f t="shared" si="10"/>
        <v>-36.196911196911195</v>
      </c>
      <c r="O326" s="45">
        <f t="shared" si="11"/>
        <v>3028</v>
      </c>
      <c r="P326" s="14" t="str">
        <f>IF(D326&gt;=Assumptions!$P$143,"High",IF(D326&gt;=Assumptions!$AH$143,"Mid",IF(D326&lt;=Assumptions!$G$143,"Low","Loading")))</f>
        <v>High</v>
      </c>
      <c r="Q326" s="46">
        <f>MAX(K326,MIN(Assumptions!$S$143,O326),Q327)</f>
        <v>3028</v>
      </c>
      <c r="R326" s="12">
        <f>IF(AND(Q326&lt;=K326,INDEX(Assumptions!$C$26:$C$36,MATCH(G326,Assumptions!$A$26:$A$36,0))&lt;&gt;""),INDEX(Assumptions!$C$26:$C$36,MATCH(G326,Assumptions!$A$26:$A$36,0)),ROUND(G326*Q326,-2))</f>
        <v>1792600</v>
      </c>
      <c r="S326" s="47" t="str">
        <f>TRIM(IF(AND(Assumptions!$L$143&lt;&gt;"",D326&lt;Assumptions!$L$143),"View blocked / roof in front ("&amp;Assumptions!$M$143&amp;"); view premium still loading until L"&amp;Assumptions!$L$143&amp;". ","")&amp;IF(D326=Assumptions!$AH$143,"Mid-floor view premium fully loaded. ","")&amp;IF(D326=Assumptions!$P$143,"High-floor view premium fully loaded. ","")&amp;IF(Q326&lt;=K326,"At developer starting price.",""))</f>
        <v/>
      </c>
      <c r="T326" s="48" t="str">
        <f>Assumptions!$AJ$143</f>
        <v>NNE. Shorter pool view (~80m to Blk 11), partly limited by side walls</v>
      </c>
    </row>
    <row r="327" spans="1:20" x14ac:dyDescent="0.2">
      <c r="A327" s="13" t="s">
        <v>462</v>
      </c>
      <c r="B327" s="14">
        <v>3</v>
      </c>
      <c r="C327" s="40">
        <v>17</v>
      </c>
      <c r="D327" s="40">
        <v>19</v>
      </c>
      <c r="E327" s="9" t="s">
        <v>41</v>
      </c>
      <c r="F327" s="14" t="s">
        <v>247</v>
      </c>
      <c r="G327" s="10">
        <v>592</v>
      </c>
      <c r="H327" s="14" t="s">
        <v>62</v>
      </c>
      <c r="I327" s="41" t="str">
        <f>Assumptions!$I$143</f>
        <v>C</v>
      </c>
      <c r="J327" s="14" t="str">
        <f>IF(D327&lt;=Assumptions!$V$143,"Low",IF(D327&lt;=Assumptions!$W$143,"Mid","High"))</f>
        <v>High</v>
      </c>
      <c r="K327" s="15">
        <f>Assumptions!$Q$143</f>
        <v>2608</v>
      </c>
      <c r="L327" s="42">
        <f>INDEX(Assumptions!$B$61:$B$90,D327)</f>
        <v>3042.3285714285716</v>
      </c>
      <c r="M327" s="43">
        <f>IF(D327&lt;=Assumptions!$G$143,Assumptions!$AK$143,IF(D327&lt;Assumptions!$AH$143,Assumptions!$AK$143+(Assumptions!$AL$143-Assumptions!$AK$143)*(D327-Assumptions!$G$143)/(Assumptions!$AH$143-Assumptions!$G$143),IF(D327&lt;Assumptions!$P$143,Assumptions!$AL$143+(Assumptions!$AM$143-Assumptions!$AL$143)*(D327-Assumptions!$AH$143)/(Assumptions!$P$143-Assumptions!$AH$143),Assumptions!$AM$143)))</f>
        <v>-21428.571428571428</v>
      </c>
      <c r="N327" s="44">
        <f t="shared" si="10"/>
        <v>-36.196911196911195</v>
      </c>
      <c r="O327" s="45">
        <f t="shared" si="11"/>
        <v>3006</v>
      </c>
      <c r="P327" s="14" t="str">
        <f>IF(D327&gt;=Assumptions!$P$143,"High",IF(D327&gt;=Assumptions!$AH$143,"Mid",IF(D327&lt;=Assumptions!$G$143,"Low","Loading")))</f>
        <v>High</v>
      </c>
      <c r="Q327" s="46">
        <f>MAX(K327,MIN(Assumptions!$S$143,O327),Q328)</f>
        <v>3006</v>
      </c>
      <c r="R327" s="12">
        <f>IF(AND(Q327&lt;=K327,INDEX(Assumptions!$C$26:$C$36,MATCH(G327,Assumptions!$A$26:$A$36,0))&lt;&gt;""),INDEX(Assumptions!$C$26:$C$36,MATCH(G327,Assumptions!$A$26:$A$36,0)),ROUND(G327*Q327,-2))</f>
        <v>1779600</v>
      </c>
      <c r="S327" s="47" t="str">
        <f>TRIM(IF(AND(Assumptions!$L$143&lt;&gt;"",D327&lt;Assumptions!$L$143),"View blocked / roof in front ("&amp;Assumptions!$M$143&amp;"); view premium still loading until L"&amp;Assumptions!$L$143&amp;". ","")&amp;IF(D327=Assumptions!$AH$143,"Mid-floor view premium fully loaded. ","")&amp;IF(D327=Assumptions!$P$143,"High-floor view premium fully loaded. ","")&amp;IF(Q327&lt;=K327,"At developer starting price.",""))</f>
        <v/>
      </c>
      <c r="T327" s="48" t="str">
        <f>Assumptions!$AJ$143</f>
        <v>NNE. Shorter pool view (~80m to Blk 11), partly limited by side walls</v>
      </c>
    </row>
    <row r="328" spans="1:20" x14ac:dyDescent="0.2">
      <c r="A328" s="13" t="s">
        <v>463</v>
      </c>
      <c r="B328" s="14">
        <v>3</v>
      </c>
      <c r="C328" s="40">
        <v>17</v>
      </c>
      <c r="D328" s="40">
        <v>18</v>
      </c>
      <c r="E328" s="9" t="s">
        <v>41</v>
      </c>
      <c r="F328" s="14" t="s">
        <v>247</v>
      </c>
      <c r="G328" s="10">
        <v>592</v>
      </c>
      <c r="H328" s="14" t="s">
        <v>62</v>
      </c>
      <c r="I328" s="41" t="str">
        <f>Assumptions!$I$143</f>
        <v>C</v>
      </c>
      <c r="J328" s="14" t="str">
        <f>IF(D328&lt;=Assumptions!$V$143,"Low",IF(D328&lt;=Assumptions!$W$143,"Mid","High"))</f>
        <v>High</v>
      </c>
      <c r="K328" s="15">
        <f>Assumptions!$Q$143</f>
        <v>2608</v>
      </c>
      <c r="L328" s="42">
        <f>INDEX(Assumptions!$B$61:$B$90,D328)</f>
        <v>3020.2714285714287</v>
      </c>
      <c r="M328" s="43">
        <f>IF(D328&lt;=Assumptions!$G$143,Assumptions!$AK$143,IF(D328&lt;Assumptions!$AH$143,Assumptions!$AK$143+(Assumptions!$AL$143-Assumptions!$AK$143)*(D328-Assumptions!$G$143)/(Assumptions!$AH$143-Assumptions!$G$143),IF(D328&lt;Assumptions!$P$143,Assumptions!$AL$143+(Assumptions!$AM$143-Assumptions!$AL$143)*(D328-Assumptions!$AH$143)/(Assumptions!$P$143-Assumptions!$AH$143),Assumptions!$AM$143)))</f>
        <v>-21428.571428571428</v>
      </c>
      <c r="N328" s="44">
        <f t="shared" si="10"/>
        <v>-36.196911196911195</v>
      </c>
      <c r="O328" s="45">
        <f t="shared" si="11"/>
        <v>2984</v>
      </c>
      <c r="P328" s="14" t="str">
        <f>IF(D328&gt;=Assumptions!$P$143,"High",IF(D328&gt;=Assumptions!$AH$143,"Mid",IF(D328&lt;=Assumptions!$G$143,"Low","Loading")))</f>
        <v>High</v>
      </c>
      <c r="Q328" s="46">
        <f>MAX(K328,MIN(Assumptions!$S$143,O328),Q329)</f>
        <v>2984</v>
      </c>
      <c r="R328" s="12">
        <f>IF(AND(Q328&lt;=K328,INDEX(Assumptions!$C$26:$C$36,MATCH(G328,Assumptions!$A$26:$A$36,0))&lt;&gt;""),INDEX(Assumptions!$C$26:$C$36,MATCH(G328,Assumptions!$A$26:$A$36,0)),ROUND(G328*Q328,-2))</f>
        <v>1766500</v>
      </c>
      <c r="S328" s="47" t="str">
        <f>TRIM(IF(AND(Assumptions!$L$143&lt;&gt;"",D328&lt;Assumptions!$L$143),"View blocked / roof in front ("&amp;Assumptions!$M$143&amp;"); view premium still loading until L"&amp;Assumptions!$L$143&amp;". ","")&amp;IF(D328=Assumptions!$AH$143,"Mid-floor view premium fully loaded. ","")&amp;IF(D328=Assumptions!$P$143,"High-floor view premium fully loaded. ","")&amp;IF(Q328&lt;=K328,"At developer starting price.",""))</f>
        <v/>
      </c>
      <c r="T328" s="48" t="str">
        <f>Assumptions!$AJ$143</f>
        <v>NNE. Shorter pool view (~80m to Blk 11), partly limited by side walls</v>
      </c>
    </row>
    <row r="329" spans="1:20" x14ac:dyDescent="0.2">
      <c r="A329" s="13" t="s">
        <v>464</v>
      </c>
      <c r="B329" s="14">
        <v>3</v>
      </c>
      <c r="C329" s="40">
        <v>17</v>
      </c>
      <c r="D329" s="40">
        <v>17</v>
      </c>
      <c r="E329" s="9" t="s">
        <v>41</v>
      </c>
      <c r="F329" s="14" t="s">
        <v>247</v>
      </c>
      <c r="G329" s="10">
        <v>592</v>
      </c>
      <c r="H329" s="14" t="s">
        <v>62</v>
      </c>
      <c r="I329" s="41" t="str">
        <f>Assumptions!$I$143</f>
        <v>C</v>
      </c>
      <c r="J329" s="14" t="str">
        <f>IF(D329&lt;=Assumptions!$V$143,"Low",IF(D329&lt;=Assumptions!$W$143,"Mid","High"))</f>
        <v>High</v>
      </c>
      <c r="K329" s="15">
        <f>Assumptions!$Q$143</f>
        <v>2608</v>
      </c>
      <c r="L329" s="42">
        <f>INDEX(Assumptions!$B$61:$B$90,D329)</f>
        <v>2998.2142857142858</v>
      </c>
      <c r="M329" s="43">
        <f>IF(D329&lt;=Assumptions!$G$143,Assumptions!$AK$143,IF(D329&lt;Assumptions!$AH$143,Assumptions!$AK$143+(Assumptions!$AL$143-Assumptions!$AK$143)*(D329-Assumptions!$G$143)/(Assumptions!$AH$143-Assumptions!$G$143),IF(D329&lt;Assumptions!$P$143,Assumptions!$AL$143+(Assumptions!$AM$143-Assumptions!$AL$143)*(D329-Assumptions!$AH$143)/(Assumptions!$P$143-Assumptions!$AH$143),Assumptions!$AM$143)))</f>
        <v>-21428.571428571428</v>
      </c>
      <c r="N329" s="44">
        <f t="shared" si="10"/>
        <v>-36.196911196911195</v>
      </c>
      <c r="O329" s="45">
        <f t="shared" si="11"/>
        <v>2962</v>
      </c>
      <c r="P329" s="14" t="str">
        <f>IF(D329&gt;=Assumptions!$P$143,"High",IF(D329&gt;=Assumptions!$AH$143,"Mid",IF(D329&lt;=Assumptions!$G$143,"Low","Loading")))</f>
        <v>High</v>
      </c>
      <c r="Q329" s="46">
        <f>MAX(K329,MIN(Assumptions!$S$143,O329),Q330)</f>
        <v>2962</v>
      </c>
      <c r="R329" s="12">
        <f>IF(AND(Q329&lt;=K329,INDEX(Assumptions!$C$26:$C$36,MATCH(G329,Assumptions!$A$26:$A$36,0))&lt;&gt;""),INDEX(Assumptions!$C$26:$C$36,MATCH(G329,Assumptions!$A$26:$A$36,0)),ROUND(G329*Q329,-2))</f>
        <v>1753500</v>
      </c>
      <c r="S329" s="47" t="str">
        <f>TRIM(IF(AND(Assumptions!$L$143&lt;&gt;"",D329&lt;Assumptions!$L$143),"View blocked / roof in front ("&amp;Assumptions!$M$143&amp;"); view premium still loading until L"&amp;Assumptions!$L$143&amp;". ","")&amp;IF(D329=Assumptions!$AH$143,"Mid-floor view premium fully loaded. ","")&amp;IF(D329=Assumptions!$P$143,"High-floor view premium fully loaded. ","")&amp;IF(Q329&lt;=K329,"At developer starting price.",""))</f>
        <v/>
      </c>
      <c r="T329" s="48" t="str">
        <f>Assumptions!$AJ$143</f>
        <v>NNE. Shorter pool view (~80m to Blk 11), partly limited by side walls</v>
      </c>
    </row>
    <row r="330" spans="1:20" x14ac:dyDescent="0.2">
      <c r="A330" s="13" t="s">
        <v>465</v>
      </c>
      <c r="B330" s="14">
        <v>3</v>
      </c>
      <c r="C330" s="40">
        <v>17</v>
      </c>
      <c r="D330" s="40">
        <v>16</v>
      </c>
      <c r="E330" s="9" t="s">
        <v>41</v>
      </c>
      <c r="F330" s="14" t="s">
        <v>247</v>
      </c>
      <c r="G330" s="10">
        <v>592</v>
      </c>
      <c r="H330" s="14" t="s">
        <v>62</v>
      </c>
      <c r="I330" s="41" t="str">
        <f>Assumptions!$I$143</f>
        <v>C</v>
      </c>
      <c r="J330" s="14" t="str">
        <f>IF(D330&lt;=Assumptions!$V$143,"Low",IF(D330&lt;=Assumptions!$W$143,"Mid","High"))</f>
        <v>High</v>
      </c>
      <c r="K330" s="15">
        <f>Assumptions!$Q$143</f>
        <v>2608</v>
      </c>
      <c r="L330" s="42">
        <f>INDEX(Assumptions!$B$61:$B$90,D330)</f>
        <v>2976.1571428571428</v>
      </c>
      <c r="M330" s="43">
        <f>IF(D330&lt;=Assumptions!$G$143,Assumptions!$AK$143,IF(D330&lt;Assumptions!$AH$143,Assumptions!$AK$143+(Assumptions!$AL$143-Assumptions!$AK$143)*(D330-Assumptions!$G$143)/(Assumptions!$AH$143-Assumptions!$G$143),IF(D330&lt;Assumptions!$P$143,Assumptions!$AL$143+(Assumptions!$AM$143-Assumptions!$AL$143)*(D330-Assumptions!$AH$143)/(Assumptions!$P$143-Assumptions!$AH$143),Assumptions!$AM$143)))</f>
        <v>-21428.571428571428</v>
      </c>
      <c r="N330" s="44">
        <f t="shared" si="10"/>
        <v>-36.196911196911195</v>
      </c>
      <c r="O330" s="45">
        <f t="shared" si="11"/>
        <v>2940</v>
      </c>
      <c r="P330" s="14" t="str">
        <f>IF(D330&gt;=Assumptions!$P$143,"High",IF(D330&gt;=Assumptions!$AH$143,"Mid",IF(D330&lt;=Assumptions!$G$143,"Low","Loading")))</f>
        <v>High</v>
      </c>
      <c r="Q330" s="46">
        <f>MAX(K330,MIN(Assumptions!$S$143,O330),Q331)</f>
        <v>2940</v>
      </c>
      <c r="R330" s="12">
        <f>IF(AND(Q330&lt;=K330,INDEX(Assumptions!$C$26:$C$36,MATCH(G330,Assumptions!$A$26:$A$36,0))&lt;&gt;""),INDEX(Assumptions!$C$26:$C$36,MATCH(G330,Assumptions!$A$26:$A$36,0)),ROUND(G330*Q330,-2))</f>
        <v>1740500</v>
      </c>
      <c r="S330" s="47" t="str">
        <f>TRIM(IF(AND(Assumptions!$L$143&lt;&gt;"",D330&lt;Assumptions!$L$143),"View blocked / roof in front ("&amp;Assumptions!$M$143&amp;"); view premium still loading until L"&amp;Assumptions!$L$143&amp;". ","")&amp;IF(D330=Assumptions!$AH$143,"Mid-floor view premium fully loaded. ","")&amp;IF(D330=Assumptions!$P$143,"High-floor view premium fully loaded. ","")&amp;IF(Q330&lt;=K330,"At developer starting price.",""))</f>
        <v>High-floor view premium fully loaded.</v>
      </c>
      <c r="T330" s="48" t="str">
        <f>Assumptions!$AJ$143</f>
        <v>NNE. Shorter pool view (~80m to Blk 11), partly limited by side walls</v>
      </c>
    </row>
    <row r="331" spans="1:20" x14ac:dyDescent="0.2">
      <c r="A331" s="13" t="s">
        <v>466</v>
      </c>
      <c r="B331" s="14">
        <v>3</v>
      </c>
      <c r="C331" s="40">
        <v>17</v>
      </c>
      <c r="D331" s="40">
        <v>15</v>
      </c>
      <c r="E331" s="9" t="s">
        <v>41</v>
      </c>
      <c r="F331" s="14" t="s">
        <v>247</v>
      </c>
      <c r="G331" s="10">
        <v>592</v>
      </c>
      <c r="H331" s="14" t="s">
        <v>62</v>
      </c>
      <c r="I331" s="41" t="str">
        <f>Assumptions!$I$143</f>
        <v>C</v>
      </c>
      <c r="J331" s="14" t="str">
        <f>IF(D331&lt;=Assumptions!$V$143,"Low",IF(D331&lt;=Assumptions!$W$143,"Mid","High"))</f>
        <v>Mid</v>
      </c>
      <c r="K331" s="15">
        <f>Assumptions!$Q$143</f>
        <v>2608</v>
      </c>
      <c r="L331" s="42">
        <f>INDEX(Assumptions!$B$61:$B$90,D331)</f>
        <v>2954.1000000000004</v>
      </c>
      <c r="M331" s="43">
        <f>IF(D331&lt;=Assumptions!$G$143,Assumptions!$AK$143,IF(D331&lt;Assumptions!$AH$143,Assumptions!$AK$143+(Assumptions!$AL$143-Assumptions!$AK$143)*(D331-Assumptions!$G$143)/(Assumptions!$AH$143-Assumptions!$G$143),IF(D331&lt;Assumptions!$P$143,Assumptions!$AL$143+(Assumptions!$AM$143-Assumptions!$AL$143)*(D331-Assumptions!$AH$143)/(Assumptions!$P$143-Assumptions!$AH$143),Assumptions!$AM$143)))</f>
        <v>-20833.333333333332</v>
      </c>
      <c r="N331" s="44">
        <f t="shared" si="10"/>
        <v>-35.191441441441441</v>
      </c>
      <c r="O331" s="45">
        <f t="shared" si="11"/>
        <v>2919</v>
      </c>
      <c r="P331" s="14" t="str">
        <f>IF(D331&gt;=Assumptions!$P$143,"High",IF(D331&gt;=Assumptions!$AH$143,"Mid",IF(D331&lt;=Assumptions!$G$143,"Low","Loading")))</f>
        <v>Mid</v>
      </c>
      <c r="Q331" s="46">
        <f>MAX(K331,MIN(Assumptions!$S$143,O331),Q332)</f>
        <v>2919</v>
      </c>
      <c r="R331" s="12">
        <f>IF(AND(Q331&lt;=K331,INDEX(Assumptions!$C$26:$C$36,MATCH(G331,Assumptions!$A$26:$A$36,0))&lt;&gt;""),INDEX(Assumptions!$C$26:$C$36,MATCH(G331,Assumptions!$A$26:$A$36,0)),ROUND(G331*Q331,-2))</f>
        <v>1728000</v>
      </c>
      <c r="S331" s="47" t="str">
        <f>TRIM(IF(AND(Assumptions!$L$143&lt;&gt;"",D331&lt;Assumptions!$L$143),"View blocked / roof in front ("&amp;Assumptions!$M$143&amp;"); view premium still loading until L"&amp;Assumptions!$L$143&amp;". ","")&amp;IF(D331=Assumptions!$AH$143,"Mid-floor view premium fully loaded. ","")&amp;IF(D331=Assumptions!$P$143,"High-floor view premium fully loaded. ","")&amp;IF(Q331&lt;=K331,"At developer starting price.",""))</f>
        <v/>
      </c>
      <c r="T331" s="48" t="str">
        <f>Assumptions!$AJ$143</f>
        <v>NNE. Shorter pool view (~80m to Blk 11), partly limited by side walls</v>
      </c>
    </row>
    <row r="332" spans="1:20" x14ac:dyDescent="0.2">
      <c r="A332" s="13" t="s">
        <v>467</v>
      </c>
      <c r="B332" s="14">
        <v>3</v>
      </c>
      <c r="C332" s="40">
        <v>17</v>
      </c>
      <c r="D332" s="40">
        <v>14</v>
      </c>
      <c r="E332" s="9" t="s">
        <v>41</v>
      </c>
      <c r="F332" s="14" t="s">
        <v>247</v>
      </c>
      <c r="G332" s="10">
        <v>592</v>
      </c>
      <c r="H332" s="14" t="s">
        <v>62</v>
      </c>
      <c r="I332" s="41" t="str">
        <f>Assumptions!$I$143</f>
        <v>C</v>
      </c>
      <c r="J332" s="14" t="str">
        <f>IF(D332&lt;=Assumptions!$V$143,"Low",IF(D332&lt;=Assumptions!$W$143,"Mid","High"))</f>
        <v>Mid</v>
      </c>
      <c r="K332" s="15">
        <f>Assumptions!$Q$143</f>
        <v>2608</v>
      </c>
      <c r="L332" s="42">
        <f>INDEX(Assumptions!$B$61:$B$90,D332)</f>
        <v>2932.0428571428574</v>
      </c>
      <c r="M332" s="43">
        <f>IF(D332&lt;=Assumptions!$G$143,Assumptions!$AK$143,IF(D332&lt;Assumptions!$AH$143,Assumptions!$AK$143+(Assumptions!$AL$143-Assumptions!$AK$143)*(D332-Assumptions!$G$143)/(Assumptions!$AH$143-Assumptions!$G$143),IF(D332&lt;Assumptions!$P$143,Assumptions!$AL$143+(Assumptions!$AM$143-Assumptions!$AL$143)*(D332-Assumptions!$AH$143)/(Assumptions!$P$143-Assumptions!$AH$143),Assumptions!$AM$143)))</f>
        <v>-20238.095238095237</v>
      </c>
      <c r="N332" s="44">
        <f t="shared" si="10"/>
        <v>-34.185971685971687</v>
      </c>
      <c r="O332" s="45">
        <f t="shared" si="11"/>
        <v>2898</v>
      </c>
      <c r="P332" s="14" t="str">
        <f>IF(D332&gt;=Assumptions!$P$143,"High",IF(D332&gt;=Assumptions!$AH$143,"Mid",IF(D332&lt;=Assumptions!$G$143,"Low","Loading")))</f>
        <v>Mid</v>
      </c>
      <c r="Q332" s="46">
        <f>MAX(K332,MIN(Assumptions!$S$143,O332),Q333)</f>
        <v>2898</v>
      </c>
      <c r="R332" s="12">
        <f>IF(AND(Q332&lt;=K332,INDEX(Assumptions!$C$26:$C$36,MATCH(G332,Assumptions!$A$26:$A$36,0))&lt;&gt;""),INDEX(Assumptions!$C$26:$C$36,MATCH(G332,Assumptions!$A$26:$A$36,0)),ROUND(G332*Q332,-2))</f>
        <v>1715600</v>
      </c>
      <c r="S332" s="47" t="str">
        <f>TRIM(IF(AND(Assumptions!$L$143&lt;&gt;"",D332&lt;Assumptions!$L$143),"View blocked / roof in front ("&amp;Assumptions!$M$143&amp;"); view premium still loading until L"&amp;Assumptions!$L$143&amp;". ","")&amp;IF(D332=Assumptions!$AH$143,"Mid-floor view premium fully loaded. ","")&amp;IF(D332=Assumptions!$P$143,"High-floor view premium fully loaded. ","")&amp;IF(Q332&lt;=K332,"At developer starting price.",""))</f>
        <v/>
      </c>
      <c r="T332" s="48" t="str">
        <f>Assumptions!$AJ$143</f>
        <v>NNE. Shorter pool view (~80m to Blk 11), partly limited by side walls</v>
      </c>
    </row>
    <row r="333" spans="1:20" x14ac:dyDescent="0.2">
      <c r="A333" s="13" t="s">
        <v>468</v>
      </c>
      <c r="B333" s="14">
        <v>3</v>
      </c>
      <c r="C333" s="40">
        <v>17</v>
      </c>
      <c r="D333" s="40">
        <v>13</v>
      </c>
      <c r="E333" s="9" t="s">
        <v>41</v>
      </c>
      <c r="F333" s="14" t="s">
        <v>247</v>
      </c>
      <c r="G333" s="10">
        <v>592</v>
      </c>
      <c r="H333" s="14" t="s">
        <v>62</v>
      </c>
      <c r="I333" s="41" t="str">
        <f>Assumptions!$I$143</f>
        <v>C</v>
      </c>
      <c r="J333" s="14" t="str">
        <f>IF(D333&lt;=Assumptions!$V$143,"Low",IF(D333&lt;=Assumptions!$W$143,"Mid","High"))</f>
        <v>Mid</v>
      </c>
      <c r="K333" s="15">
        <f>Assumptions!$Q$143</f>
        <v>2608</v>
      </c>
      <c r="L333" s="42">
        <f>INDEX(Assumptions!$B$61:$B$90,D333)</f>
        <v>2909.9857142857145</v>
      </c>
      <c r="M333" s="43">
        <f>IF(D333&lt;=Assumptions!$G$143,Assumptions!$AK$143,IF(D333&lt;Assumptions!$AH$143,Assumptions!$AK$143+(Assumptions!$AL$143-Assumptions!$AK$143)*(D333-Assumptions!$G$143)/(Assumptions!$AH$143-Assumptions!$G$143),IF(D333&lt;Assumptions!$P$143,Assumptions!$AL$143+(Assumptions!$AM$143-Assumptions!$AL$143)*(D333-Assumptions!$AH$143)/(Assumptions!$P$143-Assumptions!$AH$143),Assumptions!$AM$143)))</f>
        <v>-19642.857142857141</v>
      </c>
      <c r="N333" s="44">
        <f t="shared" si="10"/>
        <v>-33.180501930501926</v>
      </c>
      <c r="O333" s="45">
        <f t="shared" si="11"/>
        <v>2877</v>
      </c>
      <c r="P333" s="14" t="str">
        <f>IF(D333&gt;=Assumptions!$P$143,"High",IF(D333&gt;=Assumptions!$AH$143,"Mid",IF(D333&lt;=Assumptions!$G$143,"Low","Loading")))</f>
        <v>Mid</v>
      </c>
      <c r="Q333" s="46">
        <f>MAX(K333,MIN(Assumptions!$S$143,O333),Q334)</f>
        <v>2877</v>
      </c>
      <c r="R333" s="12">
        <f>IF(AND(Q333&lt;=K333,INDEX(Assumptions!$C$26:$C$36,MATCH(G333,Assumptions!$A$26:$A$36,0))&lt;&gt;""),INDEX(Assumptions!$C$26:$C$36,MATCH(G333,Assumptions!$A$26:$A$36,0)),ROUND(G333*Q333,-2))</f>
        <v>1703200</v>
      </c>
      <c r="S333" s="47" t="str">
        <f>TRIM(IF(AND(Assumptions!$L$143&lt;&gt;"",D333&lt;Assumptions!$L$143),"View blocked / roof in front ("&amp;Assumptions!$M$143&amp;"); view premium still loading until L"&amp;Assumptions!$L$143&amp;". ","")&amp;IF(D333=Assumptions!$AH$143,"Mid-floor view premium fully loaded. ","")&amp;IF(D333=Assumptions!$P$143,"High-floor view premium fully loaded. ","")&amp;IF(Q333&lt;=K333,"At developer starting price.",""))</f>
        <v/>
      </c>
      <c r="T333" s="48" t="str">
        <f>Assumptions!$AJ$143</f>
        <v>NNE. Shorter pool view (~80m to Blk 11), partly limited by side walls</v>
      </c>
    </row>
    <row r="334" spans="1:20" x14ac:dyDescent="0.2">
      <c r="A334" s="13" t="s">
        <v>469</v>
      </c>
      <c r="B334" s="14">
        <v>3</v>
      </c>
      <c r="C334" s="40">
        <v>17</v>
      </c>
      <c r="D334" s="40">
        <v>12</v>
      </c>
      <c r="E334" s="9" t="s">
        <v>41</v>
      </c>
      <c r="F334" s="14" t="s">
        <v>247</v>
      </c>
      <c r="G334" s="10">
        <v>592</v>
      </c>
      <c r="H334" s="14" t="s">
        <v>62</v>
      </c>
      <c r="I334" s="41" t="str">
        <f>Assumptions!$I$143</f>
        <v>C</v>
      </c>
      <c r="J334" s="14" t="str">
        <f>IF(D334&lt;=Assumptions!$V$143,"Low",IF(D334&lt;=Assumptions!$W$143,"Mid","High"))</f>
        <v>Mid</v>
      </c>
      <c r="K334" s="15">
        <f>Assumptions!$Q$143</f>
        <v>2608</v>
      </c>
      <c r="L334" s="42">
        <f>INDEX(Assumptions!$B$61:$B$90,D334)</f>
        <v>2887.9285714285716</v>
      </c>
      <c r="M334" s="43">
        <f>IF(D334&lt;=Assumptions!$G$143,Assumptions!$AK$143,IF(D334&lt;Assumptions!$AH$143,Assumptions!$AK$143+(Assumptions!$AL$143-Assumptions!$AK$143)*(D334-Assumptions!$G$143)/(Assumptions!$AH$143-Assumptions!$G$143),IF(D334&lt;Assumptions!$P$143,Assumptions!$AL$143+(Assumptions!$AM$143-Assumptions!$AL$143)*(D334-Assumptions!$AH$143)/(Assumptions!$P$143-Assumptions!$AH$143),Assumptions!$AM$143)))</f>
        <v>-19047.619047619046</v>
      </c>
      <c r="N334" s="44">
        <f t="shared" si="10"/>
        <v>-32.175032175032172</v>
      </c>
      <c r="O334" s="45">
        <f t="shared" si="11"/>
        <v>2856</v>
      </c>
      <c r="P334" s="14" t="str">
        <f>IF(D334&gt;=Assumptions!$P$143,"High",IF(D334&gt;=Assumptions!$AH$143,"Mid",IF(D334&lt;=Assumptions!$G$143,"Low","Loading")))</f>
        <v>Mid</v>
      </c>
      <c r="Q334" s="46">
        <f>MAX(K334,MIN(Assumptions!$S$143,O334),Q335)</f>
        <v>2856</v>
      </c>
      <c r="R334" s="12">
        <f>IF(AND(Q334&lt;=K334,INDEX(Assumptions!$C$26:$C$36,MATCH(G334,Assumptions!$A$26:$A$36,0))&lt;&gt;""),INDEX(Assumptions!$C$26:$C$36,MATCH(G334,Assumptions!$A$26:$A$36,0)),ROUND(G334*Q334,-2))</f>
        <v>1690800</v>
      </c>
      <c r="S334" s="47" t="str">
        <f>TRIM(IF(AND(Assumptions!$L$143&lt;&gt;"",D334&lt;Assumptions!$L$143),"View blocked / roof in front ("&amp;Assumptions!$M$143&amp;"); view premium still loading until L"&amp;Assumptions!$L$143&amp;". ","")&amp;IF(D334=Assumptions!$AH$143,"Mid-floor view premium fully loaded. ","")&amp;IF(D334=Assumptions!$P$143,"High-floor view premium fully loaded. ","")&amp;IF(Q334&lt;=K334,"At developer starting price.",""))</f>
        <v/>
      </c>
      <c r="T334" s="48" t="str">
        <f>Assumptions!$AJ$143</f>
        <v>NNE. Shorter pool view (~80m to Blk 11), partly limited by side walls</v>
      </c>
    </row>
    <row r="335" spans="1:20" x14ac:dyDescent="0.2">
      <c r="A335" s="13" t="s">
        <v>470</v>
      </c>
      <c r="B335" s="14">
        <v>3</v>
      </c>
      <c r="C335" s="40">
        <v>17</v>
      </c>
      <c r="D335" s="40">
        <v>11</v>
      </c>
      <c r="E335" s="9" t="s">
        <v>41</v>
      </c>
      <c r="F335" s="14" t="s">
        <v>247</v>
      </c>
      <c r="G335" s="10">
        <v>592</v>
      </c>
      <c r="H335" s="14" t="s">
        <v>62</v>
      </c>
      <c r="I335" s="41" t="str">
        <f>Assumptions!$I$143</f>
        <v>C</v>
      </c>
      <c r="J335" s="14" t="str">
        <f>IF(D335&lt;=Assumptions!$V$143,"Low",IF(D335&lt;=Assumptions!$W$143,"Mid","High"))</f>
        <v>Mid</v>
      </c>
      <c r="K335" s="15">
        <f>Assumptions!$Q$143</f>
        <v>2608</v>
      </c>
      <c r="L335" s="42">
        <f>INDEX(Assumptions!$B$61:$B$90,D335)</f>
        <v>2867.1926031294452</v>
      </c>
      <c r="M335" s="43">
        <f>IF(D335&lt;=Assumptions!$G$143,Assumptions!$AK$143,IF(D335&lt;Assumptions!$AH$143,Assumptions!$AK$143+(Assumptions!$AL$143-Assumptions!$AK$143)*(D335-Assumptions!$G$143)/(Assumptions!$AH$143-Assumptions!$G$143),IF(D335&lt;Assumptions!$P$143,Assumptions!$AL$143+(Assumptions!$AM$143-Assumptions!$AL$143)*(D335-Assumptions!$AH$143)/(Assumptions!$P$143-Assumptions!$AH$143),Assumptions!$AM$143)))</f>
        <v>-18452.38095238095</v>
      </c>
      <c r="N335" s="44">
        <f t="shared" si="10"/>
        <v>-31.169562419562418</v>
      </c>
      <c r="O335" s="45">
        <f t="shared" si="11"/>
        <v>2836</v>
      </c>
      <c r="P335" s="14" t="str">
        <f>IF(D335&gt;=Assumptions!$P$143,"High",IF(D335&gt;=Assumptions!$AH$143,"Mid",IF(D335&lt;=Assumptions!$G$143,"Low","Loading")))</f>
        <v>Mid</v>
      </c>
      <c r="Q335" s="46">
        <f>MAX(K335,MIN(Assumptions!$S$143,O335),Q336)</f>
        <v>2836</v>
      </c>
      <c r="R335" s="12">
        <f>IF(AND(Q335&lt;=K335,INDEX(Assumptions!$C$26:$C$36,MATCH(G335,Assumptions!$A$26:$A$36,0))&lt;&gt;""),INDEX(Assumptions!$C$26:$C$36,MATCH(G335,Assumptions!$A$26:$A$36,0)),ROUND(G335*Q335,-2))</f>
        <v>1678900</v>
      </c>
      <c r="S335" s="47" t="str">
        <f>TRIM(IF(AND(Assumptions!$L$143&lt;&gt;"",D335&lt;Assumptions!$L$143),"View blocked / roof in front ("&amp;Assumptions!$M$143&amp;"); view premium still loading until L"&amp;Assumptions!$L$143&amp;". ","")&amp;IF(D335=Assumptions!$AH$143,"Mid-floor view premium fully loaded. ","")&amp;IF(D335=Assumptions!$P$143,"High-floor view premium fully loaded. ","")&amp;IF(Q335&lt;=K335,"At developer starting price.",""))</f>
        <v/>
      </c>
      <c r="T335" s="48" t="str">
        <f>Assumptions!$AJ$143</f>
        <v>NNE. Shorter pool view (~80m to Blk 11), partly limited by side walls</v>
      </c>
    </row>
    <row r="336" spans="1:20" x14ac:dyDescent="0.2">
      <c r="A336" s="13" t="s">
        <v>471</v>
      </c>
      <c r="B336" s="14">
        <v>3</v>
      </c>
      <c r="C336" s="40">
        <v>17</v>
      </c>
      <c r="D336" s="40">
        <v>10</v>
      </c>
      <c r="E336" s="9" t="s">
        <v>41</v>
      </c>
      <c r="F336" s="14" t="s">
        <v>247</v>
      </c>
      <c r="G336" s="10">
        <v>592</v>
      </c>
      <c r="H336" s="14" t="s">
        <v>62</v>
      </c>
      <c r="I336" s="41" t="str">
        <f>Assumptions!$I$143</f>
        <v>C</v>
      </c>
      <c r="J336" s="14" t="str">
        <f>IF(D336&lt;=Assumptions!$V$143,"Low",IF(D336&lt;=Assumptions!$W$143,"Mid","High"))</f>
        <v>Mid</v>
      </c>
      <c r="K336" s="15">
        <f>Assumptions!$Q$143</f>
        <v>2608</v>
      </c>
      <c r="L336" s="42">
        <f>INDEX(Assumptions!$B$61:$B$90,D336)</f>
        <v>2847.7778093883358</v>
      </c>
      <c r="M336" s="43">
        <f>IF(D336&lt;=Assumptions!$G$143,Assumptions!$AK$143,IF(D336&lt;Assumptions!$AH$143,Assumptions!$AK$143+(Assumptions!$AL$143-Assumptions!$AK$143)*(D336-Assumptions!$G$143)/(Assumptions!$AH$143-Assumptions!$G$143),IF(D336&lt;Assumptions!$P$143,Assumptions!$AL$143+(Assumptions!$AM$143-Assumptions!$AL$143)*(D336-Assumptions!$AH$143)/(Assumptions!$P$143-Assumptions!$AH$143),Assumptions!$AM$143)))</f>
        <v>-17857.142857142855</v>
      </c>
      <c r="N336" s="44">
        <f t="shared" si="10"/>
        <v>-30.16409266409266</v>
      </c>
      <c r="O336" s="45">
        <f t="shared" si="11"/>
        <v>2818</v>
      </c>
      <c r="P336" s="14" t="str">
        <f>IF(D336&gt;=Assumptions!$P$143,"High",IF(D336&gt;=Assumptions!$AH$143,"Mid",IF(D336&lt;=Assumptions!$G$143,"Low","Loading")))</f>
        <v>Mid</v>
      </c>
      <c r="Q336" s="46">
        <f>MAX(K336,MIN(Assumptions!$S$143,O336),Q337)</f>
        <v>2818</v>
      </c>
      <c r="R336" s="12">
        <f>IF(AND(Q336&lt;=K336,INDEX(Assumptions!$C$26:$C$36,MATCH(G336,Assumptions!$A$26:$A$36,0))&lt;&gt;""),INDEX(Assumptions!$C$26:$C$36,MATCH(G336,Assumptions!$A$26:$A$36,0)),ROUND(G336*Q336,-2))</f>
        <v>1668300</v>
      </c>
      <c r="S336" s="47" t="str">
        <f>TRIM(IF(AND(Assumptions!$L$143&lt;&gt;"",D336&lt;Assumptions!$L$143),"View blocked / roof in front ("&amp;Assumptions!$M$143&amp;"); view premium still loading until L"&amp;Assumptions!$L$143&amp;". ","")&amp;IF(D336=Assumptions!$AH$143,"Mid-floor view premium fully loaded. ","")&amp;IF(D336=Assumptions!$P$143,"High-floor view premium fully loaded. ","")&amp;IF(Q336&lt;=K336,"At developer starting price.",""))</f>
        <v/>
      </c>
      <c r="T336" s="48" t="str">
        <f>Assumptions!$AJ$143</f>
        <v>NNE. Shorter pool view (~80m to Blk 11), partly limited by side walls</v>
      </c>
    </row>
    <row r="337" spans="1:20" x14ac:dyDescent="0.2">
      <c r="A337" s="13" t="s">
        <v>472</v>
      </c>
      <c r="B337" s="14">
        <v>3</v>
      </c>
      <c r="C337" s="40">
        <v>17</v>
      </c>
      <c r="D337" s="40">
        <v>9</v>
      </c>
      <c r="E337" s="9" t="s">
        <v>41</v>
      </c>
      <c r="F337" s="14" t="s">
        <v>247</v>
      </c>
      <c r="G337" s="10">
        <v>592</v>
      </c>
      <c r="H337" s="14" t="s">
        <v>62</v>
      </c>
      <c r="I337" s="41" t="str">
        <f>Assumptions!$I$143</f>
        <v>C</v>
      </c>
      <c r="J337" s="14" t="str">
        <f>IF(D337&lt;=Assumptions!$V$143,"Low",IF(D337&lt;=Assumptions!$W$143,"Mid","High"))</f>
        <v>Mid</v>
      </c>
      <c r="K337" s="15">
        <f>Assumptions!$Q$143</f>
        <v>2608</v>
      </c>
      <c r="L337" s="42">
        <f>INDEX(Assumptions!$B$61:$B$90,D337)</f>
        <v>2828.3630156472263</v>
      </c>
      <c r="M337" s="43">
        <f>IF(D337&lt;=Assumptions!$G$143,Assumptions!$AK$143,IF(D337&lt;Assumptions!$AH$143,Assumptions!$AK$143+(Assumptions!$AL$143-Assumptions!$AK$143)*(D337-Assumptions!$G$143)/(Assumptions!$AH$143-Assumptions!$G$143),IF(D337&lt;Assumptions!$P$143,Assumptions!$AL$143+(Assumptions!$AM$143-Assumptions!$AL$143)*(D337-Assumptions!$AH$143)/(Assumptions!$P$143-Assumptions!$AH$143),Assumptions!$AM$143)))</f>
        <v>-17261.90476190476</v>
      </c>
      <c r="N337" s="44">
        <f t="shared" si="10"/>
        <v>-29.158622908622906</v>
      </c>
      <c r="O337" s="45">
        <f t="shared" si="11"/>
        <v>2799</v>
      </c>
      <c r="P337" s="14" t="str">
        <f>IF(D337&gt;=Assumptions!$P$143,"High",IF(D337&gt;=Assumptions!$AH$143,"Mid",IF(D337&lt;=Assumptions!$G$143,"Low","Loading")))</f>
        <v>Mid</v>
      </c>
      <c r="Q337" s="46">
        <f>MAX(K337,MIN(Assumptions!$S$143,O337),Q338)</f>
        <v>2799</v>
      </c>
      <c r="R337" s="12">
        <f>IF(AND(Q337&lt;=K337,INDEX(Assumptions!$C$26:$C$36,MATCH(G337,Assumptions!$A$26:$A$36,0))&lt;&gt;""),INDEX(Assumptions!$C$26:$C$36,MATCH(G337,Assumptions!$A$26:$A$36,0)),ROUND(G337*Q337,-2))</f>
        <v>1657000</v>
      </c>
      <c r="S337" s="47" t="str">
        <f>TRIM(IF(AND(Assumptions!$L$143&lt;&gt;"",D337&lt;Assumptions!$L$143),"View blocked / roof in front ("&amp;Assumptions!$M$143&amp;"); view premium still loading until L"&amp;Assumptions!$L$143&amp;". ","")&amp;IF(D337=Assumptions!$AH$143,"Mid-floor view premium fully loaded. ","")&amp;IF(D337=Assumptions!$P$143,"High-floor view premium fully loaded. ","")&amp;IF(Q337&lt;=K337,"At developer starting price.",""))</f>
        <v/>
      </c>
      <c r="T337" s="48" t="str">
        <f>Assumptions!$AJ$143</f>
        <v>NNE. Shorter pool view (~80m to Blk 11), partly limited by side walls</v>
      </c>
    </row>
    <row r="338" spans="1:20" x14ac:dyDescent="0.2">
      <c r="A338" s="13" t="s">
        <v>473</v>
      </c>
      <c r="B338" s="14">
        <v>3</v>
      </c>
      <c r="C338" s="40">
        <v>17</v>
      </c>
      <c r="D338" s="40">
        <v>8</v>
      </c>
      <c r="E338" s="9" t="s">
        <v>41</v>
      </c>
      <c r="F338" s="14" t="s">
        <v>247</v>
      </c>
      <c r="G338" s="10">
        <v>592</v>
      </c>
      <c r="H338" s="14" t="s">
        <v>62</v>
      </c>
      <c r="I338" s="41" t="str">
        <f>Assumptions!$I$143</f>
        <v>C</v>
      </c>
      <c r="J338" s="14" t="str">
        <f>IF(D338&lt;=Assumptions!$V$143,"Low",IF(D338&lt;=Assumptions!$W$143,"Mid","High"))</f>
        <v>Mid</v>
      </c>
      <c r="K338" s="15">
        <f>Assumptions!$Q$143</f>
        <v>2608</v>
      </c>
      <c r="L338" s="42">
        <f>INDEX(Assumptions!$B$61:$B$90,D338)</f>
        <v>2808.9482219061169</v>
      </c>
      <c r="M338" s="43">
        <f>IF(D338&lt;=Assumptions!$G$143,Assumptions!$AK$143,IF(D338&lt;Assumptions!$AH$143,Assumptions!$AK$143+(Assumptions!$AL$143-Assumptions!$AK$143)*(D338-Assumptions!$G$143)/(Assumptions!$AH$143-Assumptions!$G$143),IF(D338&lt;Assumptions!$P$143,Assumptions!$AL$143+(Assumptions!$AM$143-Assumptions!$AL$143)*(D338-Assumptions!$AH$143)/(Assumptions!$P$143-Assumptions!$AH$143),Assumptions!$AM$143)))</f>
        <v>-16666.666666666664</v>
      </c>
      <c r="N338" s="44">
        <f t="shared" si="10"/>
        <v>-28.153153153153148</v>
      </c>
      <c r="O338" s="45">
        <f t="shared" si="11"/>
        <v>2781</v>
      </c>
      <c r="P338" s="14" t="str">
        <f>IF(D338&gt;=Assumptions!$P$143,"High",IF(D338&gt;=Assumptions!$AH$143,"Mid",IF(D338&lt;=Assumptions!$G$143,"Low","Loading")))</f>
        <v>Mid</v>
      </c>
      <c r="Q338" s="46">
        <f>MAX(K338,MIN(Assumptions!$S$143,O338),Q339)</f>
        <v>2781</v>
      </c>
      <c r="R338" s="12">
        <f>IF(AND(Q338&lt;=K338,INDEX(Assumptions!$C$26:$C$36,MATCH(G338,Assumptions!$A$26:$A$36,0))&lt;&gt;""),INDEX(Assumptions!$C$26:$C$36,MATCH(G338,Assumptions!$A$26:$A$36,0)),ROUND(G338*Q338,-2))</f>
        <v>1646400</v>
      </c>
      <c r="S338" s="47" t="str">
        <f>TRIM(IF(AND(Assumptions!$L$143&lt;&gt;"",D338&lt;Assumptions!$L$143),"View blocked / roof in front ("&amp;Assumptions!$M$143&amp;"); view premium still loading until L"&amp;Assumptions!$L$143&amp;". ","")&amp;IF(D338=Assumptions!$AH$143,"Mid-floor view premium fully loaded. ","")&amp;IF(D338=Assumptions!$P$143,"High-floor view premium fully loaded. ","")&amp;IF(Q338&lt;=K338,"At developer starting price.",""))</f>
        <v>Mid-floor view premium fully loaded.</v>
      </c>
      <c r="T338" s="48" t="str">
        <f>Assumptions!$AJ$143</f>
        <v>NNE. Shorter pool view (~80m to Blk 11), partly limited by side walls</v>
      </c>
    </row>
    <row r="339" spans="1:20" x14ac:dyDescent="0.2">
      <c r="A339" s="13" t="s">
        <v>474</v>
      </c>
      <c r="B339" s="14">
        <v>3</v>
      </c>
      <c r="C339" s="40">
        <v>17</v>
      </c>
      <c r="D339" s="40">
        <v>7</v>
      </c>
      <c r="E339" s="9" t="s">
        <v>41</v>
      </c>
      <c r="F339" s="14" t="s">
        <v>247</v>
      </c>
      <c r="G339" s="10">
        <v>592</v>
      </c>
      <c r="H339" s="14" t="s">
        <v>62</v>
      </c>
      <c r="I339" s="41" t="str">
        <f>Assumptions!$I$143</f>
        <v>C</v>
      </c>
      <c r="J339" s="14" t="str">
        <f>IF(D339&lt;=Assumptions!$V$143,"Low",IF(D339&lt;=Assumptions!$W$143,"Mid","High"))</f>
        <v>Low</v>
      </c>
      <c r="K339" s="15">
        <f>Assumptions!$Q$143</f>
        <v>2608</v>
      </c>
      <c r="L339" s="42">
        <f>INDEX(Assumptions!$B$61:$B$90,D339)</f>
        <v>2789.5334281650071</v>
      </c>
      <c r="M339" s="43">
        <f>IF(D339&lt;=Assumptions!$G$143,Assumptions!$AK$143,IF(D339&lt;Assumptions!$AH$143,Assumptions!$AK$143+(Assumptions!$AL$143-Assumptions!$AK$143)*(D339-Assumptions!$G$143)/(Assumptions!$AH$143-Assumptions!$G$143),IF(D339&lt;Assumptions!$P$143,Assumptions!$AL$143+(Assumptions!$AM$143-Assumptions!$AL$143)*(D339-Assumptions!$AH$143)/(Assumptions!$P$143-Assumptions!$AH$143),Assumptions!$AM$143)))</f>
        <v>-5555.5555555555402</v>
      </c>
      <c r="N339" s="44">
        <f t="shared" si="10"/>
        <v>-9.384384384384358</v>
      </c>
      <c r="O339" s="45">
        <f t="shared" si="11"/>
        <v>2780</v>
      </c>
      <c r="P339" s="14" t="str">
        <f>IF(D339&gt;=Assumptions!$P$143,"High",IF(D339&gt;=Assumptions!$AH$143,"Mid",IF(D339&lt;=Assumptions!$G$143,"Low","Loading")))</f>
        <v>Loading</v>
      </c>
      <c r="Q339" s="46">
        <f>MAX(K339,MIN(Assumptions!$S$143,O339),Q340)</f>
        <v>2780</v>
      </c>
      <c r="R339" s="12">
        <f>IF(AND(Q339&lt;=K339,INDEX(Assumptions!$C$26:$C$36,MATCH(G339,Assumptions!$A$26:$A$36,0))&lt;&gt;""),INDEX(Assumptions!$C$26:$C$36,MATCH(G339,Assumptions!$A$26:$A$36,0)),ROUND(G339*Q339,-2))</f>
        <v>1645800</v>
      </c>
      <c r="S339" s="47" t="str">
        <f>TRIM(IF(AND(Assumptions!$L$143&lt;&gt;"",D339&lt;Assumptions!$L$143),"View blocked / roof in front ("&amp;Assumptions!$M$143&amp;"); view premium still loading until L"&amp;Assumptions!$L$143&amp;". ","")&amp;IF(D339=Assumptions!$AH$143,"Mid-floor view premium fully loaded. ","")&amp;IF(D339=Assumptions!$P$143,"High-floor view premium fully loaded. ","")&amp;IF(Q339&lt;=K339,"At developer starting price.",""))</f>
        <v/>
      </c>
      <c r="T339" s="48" t="str">
        <f>Assumptions!$AJ$143</f>
        <v>NNE. Shorter pool view (~80m to Blk 11), partly limited by side walls</v>
      </c>
    </row>
    <row r="340" spans="1:20" x14ac:dyDescent="0.2">
      <c r="A340" s="13" t="s">
        <v>475</v>
      </c>
      <c r="B340" s="14">
        <v>3</v>
      </c>
      <c r="C340" s="40">
        <v>17</v>
      </c>
      <c r="D340" s="40">
        <v>6</v>
      </c>
      <c r="E340" s="9" t="s">
        <v>41</v>
      </c>
      <c r="F340" s="14" t="s">
        <v>247</v>
      </c>
      <c r="G340" s="10">
        <v>592</v>
      </c>
      <c r="H340" s="14" t="s">
        <v>62</v>
      </c>
      <c r="I340" s="41" t="str">
        <f>Assumptions!$I$143</f>
        <v>C</v>
      </c>
      <c r="J340" s="14" t="str">
        <f>IF(D340&lt;=Assumptions!$V$143,"Low",IF(D340&lt;=Assumptions!$W$143,"Mid","High"))</f>
        <v>Low</v>
      </c>
      <c r="K340" s="15">
        <f>Assumptions!$Q$143</f>
        <v>2608</v>
      </c>
      <c r="L340" s="42">
        <f>INDEX(Assumptions!$B$61:$B$90,D340)</f>
        <v>2770.1186344238977</v>
      </c>
      <c r="M340" s="43">
        <f>IF(D340&lt;=Assumptions!$G$143,Assumptions!$AK$143,IF(D340&lt;Assumptions!$AH$143,Assumptions!$AK$143+(Assumptions!$AL$143-Assumptions!$AK$143)*(D340-Assumptions!$G$143)/(Assumptions!$AH$143-Assumptions!$G$143),IF(D340&lt;Assumptions!$P$143,Assumptions!$AL$143+(Assumptions!$AM$143-Assumptions!$AL$143)*(D340-Assumptions!$AH$143)/(Assumptions!$P$143-Assumptions!$AH$143),Assumptions!$AM$143)))</f>
        <v>5555.555555555562</v>
      </c>
      <c r="N340" s="44">
        <f t="shared" si="10"/>
        <v>9.3843843843843953</v>
      </c>
      <c r="O340" s="45">
        <f t="shared" si="11"/>
        <v>2780</v>
      </c>
      <c r="P340" s="14" t="str">
        <f>IF(D340&gt;=Assumptions!$P$143,"High",IF(D340&gt;=Assumptions!$AH$143,"Mid",IF(D340&lt;=Assumptions!$G$143,"Low","Loading")))</f>
        <v>Loading</v>
      </c>
      <c r="Q340" s="46">
        <f>MAX(K340,MIN(Assumptions!$S$143,O340),Q341)</f>
        <v>2780</v>
      </c>
      <c r="R340" s="12">
        <f>IF(AND(Q340&lt;=K340,INDEX(Assumptions!$C$26:$C$36,MATCH(G340,Assumptions!$A$26:$A$36,0))&lt;&gt;""),INDEX(Assumptions!$C$26:$C$36,MATCH(G340,Assumptions!$A$26:$A$36,0)),ROUND(G340*Q340,-2))</f>
        <v>1645800</v>
      </c>
      <c r="S340" s="47" t="str">
        <f>TRIM(IF(AND(Assumptions!$L$143&lt;&gt;"",D340&lt;Assumptions!$L$143),"View blocked / roof in front ("&amp;Assumptions!$M$143&amp;"); view premium still loading until L"&amp;Assumptions!$L$143&amp;". ","")&amp;IF(D340=Assumptions!$AH$143,"Mid-floor view premium fully loaded. ","")&amp;IF(D340=Assumptions!$P$143,"High-floor view premium fully loaded. ","")&amp;IF(Q340&lt;=K340,"At developer starting price.",""))</f>
        <v/>
      </c>
      <c r="T340" s="48" t="str">
        <f>Assumptions!$AJ$143</f>
        <v>NNE. Shorter pool view (~80m to Blk 11), partly limited by side walls</v>
      </c>
    </row>
    <row r="341" spans="1:20" x14ac:dyDescent="0.2">
      <c r="A341" s="13" t="s">
        <v>476</v>
      </c>
      <c r="B341" s="14">
        <v>3</v>
      </c>
      <c r="C341" s="40">
        <v>17</v>
      </c>
      <c r="D341" s="40">
        <v>5</v>
      </c>
      <c r="E341" s="9" t="s">
        <v>41</v>
      </c>
      <c r="F341" s="14" t="s">
        <v>247</v>
      </c>
      <c r="G341" s="10">
        <v>592</v>
      </c>
      <c r="H341" s="14" t="s">
        <v>62</v>
      </c>
      <c r="I341" s="41" t="str">
        <f>Assumptions!$I$143</f>
        <v>C</v>
      </c>
      <c r="J341" s="14" t="str">
        <f>IF(D341&lt;=Assumptions!$V$143,"Low",IF(D341&lt;=Assumptions!$W$143,"Mid","High"))</f>
        <v>Low</v>
      </c>
      <c r="K341" s="15">
        <f>Assumptions!$Q$143</f>
        <v>2608</v>
      </c>
      <c r="L341" s="42">
        <f>INDEX(Assumptions!$B$61:$B$90,D341)</f>
        <v>2750.7038406827883</v>
      </c>
      <c r="M341" s="43">
        <f>IF(D341&lt;=Assumptions!$G$143,Assumptions!$AK$143,IF(D341&lt;Assumptions!$AH$143,Assumptions!$AK$143+(Assumptions!$AL$143-Assumptions!$AK$143)*(D341-Assumptions!$G$143)/(Assumptions!$AH$143-Assumptions!$G$143),IF(D341&lt;Assumptions!$P$143,Assumptions!$AL$143+(Assumptions!$AM$143-Assumptions!$AL$143)*(D341-Assumptions!$AH$143)/(Assumptions!$P$143-Assumptions!$AH$143),Assumptions!$AM$143)))</f>
        <v>16666.666666666672</v>
      </c>
      <c r="N341" s="44">
        <f t="shared" si="10"/>
        <v>28.153153153153163</v>
      </c>
      <c r="O341" s="45">
        <f t="shared" si="11"/>
        <v>2779</v>
      </c>
      <c r="P341" s="14" t="str">
        <f>IF(D341&gt;=Assumptions!$P$143,"High",IF(D341&gt;=Assumptions!$AH$143,"Mid",IF(D341&lt;=Assumptions!$G$143,"Low","Loading")))</f>
        <v>Loading</v>
      </c>
      <c r="Q341" s="46">
        <f>MAX(K341,MIN(Assumptions!$S$143,O341),Q342)</f>
        <v>2779</v>
      </c>
      <c r="R341" s="12">
        <f>IF(AND(Q341&lt;=K341,INDEX(Assumptions!$C$26:$C$36,MATCH(G341,Assumptions!$A$26:$A$36,0))&lt;&gt;""),INDEX(Assumptions!$C$26:$C$36,MATCH(G341,Assumptions!$A$26:$A$36,0)),ROUND(G341*Q341,-2))</f>
        <v>1645200</v>
      </c>
      <c r="S341" s="47" t="str">
        <f>TRIM(IF(AND(Assumptions!$L$143&lt;&gt;"",D341&lt;Assumptions!$L$143),"View blocked / roof in front ("&amp;Assumptions!$M$143&amp;"); view premium still loading until L"&amp;Assumptions!$L$143&amp;". ","")&amp;IF(D341=Assumptions!$AH$143,"Mid-floor view premium fully loaded. ","")&amp;IF(D341=Assumptions!$P$143,"High-floor view premium fully loaded. ","")&amp;IF(Q341&lt;=K341,"At developer starting price.",""))</f>
        <v/>
      </c>
      <c r="T341" s="48" t="str">
        <f>Assumptions!$AJ$143</f>
        <v>NNE. Shorter pool view (~80m to Blk 11), partly limited by side walls</v>
      </c>
    </row>
    <row r="342" spans="1:20" x14ac:dyDescent="0.2">
      <c r="A342" s="13" t="s">
        <v>477</v>
      </c>
      <c r="B342" s="14">
        <v>3</v>
      </c>
      <c r="C342" s="40">
        <v>17</v>
      </c>
      <c r="D342" s="40">
        <v>4</v>
      </c>
      <c r="E342" s="9" t="s">
        <v>41</v>
      </c>
      <c r="F342" s="14" t="s">
        <v>247</v>
      </c>
      <c r="G342" s="10">
        <v>592</v>
      </c>
      <c r="H342" s="14" t="s">
        <v>62</v>
      </c>
      <c r="I342" s="41" t="str">
        <f>Assumptions!$I$143</f>
        <v>C</v>
      </c>
      <c r="J342" s="14" t="str">
        <f>IF(D342&lt;=Assumptions!$V$143,"Low",IF(D342&lt;=Assumptions!$W$143,"Mid","High"))</f>
        <v>Low</v>
      </c>
      <c r="K342" s="15">
        <f>Assumptions!$Q$143</f>
        <v>2608</v>
      </c>
      <c r="L342" s="42">
        <f>INDEX(Assumptions!$B$61:$B$90,D342)</f>
        <v>2731.2890469416789</v>
      </c>
      <c r="M342" s="43">
        <f>IF(D342&lt;=Assumptions!$G$143,Assumptions!$AK$143,IF(D342&lt;Assumptions!$AH$143,Assumptions!$AK$143+(Assumptions!$AL$143-Assumptions!$AK$143)*(D342-Assumptions!$G$143)/(Assumptions!$AH$143-Assumptions!$G$143),IF(D342&lt;Assumptions!$P$143,Assumptions!$AL$143+(Assumptions!$AM$143-Assumptions!$AL$143)*(D342-Assumptions!$AH$143)/(Assumptions!$P$143-Assumptions!$AH$143),Assumptions!$AM$143)))</f>
        <v>27777.777777777781</v>
      </c>
      <c r="N342" s="44">
        <f t="shared" si="10"/>
        <v>46.921921921921928</v>
      </c>
      <c r="O342" s="45">
        <f t="shared" si="11"/>
        <v>2778</v>
      </c>
      <c r="P342" s="14" t="str">
        <f>IF(D342&gt;=Assumptions!$P$143,"High",IF(D342&gt;=Assumptions!$AH$143,"Mid",IF(D342&lt;=Assumptions!$G$143,"Low","Loading")))</f>
        <v>Loading</v>
      </c>
      <c r="Q342" s="46">
        <f>MAX(K342,MIN(Assumptions!$S$143,O342),Q343)</f>
        <v>2778</v>
      </c>
      <c r="R342" s="12">
        <f>IF(AND(Q342&lt;=K342,INDEX(Assumptions!$C$26:$C$36,MATCH(G342,Assumptions!$A$26:$A$36,0))&lt;&gt;""),INDEX(Assumptions!$C$26:$C$36,MATCH(G342,Assumptions!$A$26:$A$36,0)),ROUND(G342*Q342,-2))</f>
        <v>1644600</v>
      </c>
      <c r="S342" s="47" t="str">
        <f>TRIM(IF(AND(Assumptions!$L$143&lt;&gt;"",D342&lt;Assumptions!$L$143),"View blocked / roof in front ("&amp;Assumptions!$M$143&amp;"); view premium still loading until L"&amp;Assumptions!$L$143&amp;". ","")&amp;IF(D342=Assumptions!$AH$143,"Mid-floor view premium fully loaded. ","")&amp;IF(D342=Assumptions!$P$143,"High-floor view premium fully loaded. ","")&amp;IF(Q342&lt;=K342,"At developer starting price.",""))</f>
        <v/>
      </c>
      <c r="T342" s="48" t="str">
        <f>Assumptions!$AJ$143</f>
        <v>NNE. Shorter pool view (~80m to Blk 11), partly limited by side walls</v>
      </c>
    </row>
    <row r="343" spans="1:20" x14ac:dyDescent="0.2">
      <c r="A343" s="13" t="s">
        <v>478</v>
      </c>
      <c r="B343" s="14">
        <v>3</v>
      </c>
      <c r="C343" s="40">
        <v>17</v>
      </c>
      <c r="D343" s="40">
        <v>3</v>
      </c>
      <c r="E343" s="9" t="s">
        <v>41</v>
      </c>
      <c r="F343" s="14" t="s">
        <v>247</v>
      </c>
      <c r="G343" s="10">
        <v>592</v>
      </c>
      <c r="H343" s="14" t="s">
        <v>62</v>
      </c>
      <c r="I343" s="41" t="str">
        <f>Assumptions!$I$143</f>
        <v>C</v>
      </c>
      <c r="J343" s="14" t="str">
        <f>IF(D343&lt;=Assumptions!$V$143,"Low",IF(D343&lt;=Assumptions!$W$143,"Mid","High"))</f>
        <v>Low</v>
      </c>
      <c r="K343" s="15">
        <f>Assumptions!$Q$143</f>
        <v>2608</v>
      </c>
      <c r="L343" s="42">
        <f>INDEX(Assumptions!$B$61:$B$90,D343)</f>
        <v>2711.874253200569</v>
      </c>
      <c r="M343" s="43">
        <f>IF(D343&lt;=Assumptions!$G$143,Assumptions!$AK$143,IF(D343&lt;Assumptions!$AH$143,Assumptions!$AK$143+(Assumptions!$AL$143-Assumptions!$AK$143)*(D343-Assumptions!$G$143)/(Assumptions!$AH$143-Assumptions!$G$143),IF(D343&lt;Assumptions!$P$143,Assumptions!$AL$143+(Assumptions!$AM$143-Assumptions!$AL$143)*(D343-Assumptions!$AH$143)/(Assumptions!$P$143-Assumptions!$AH$143),Assumptions!$AM$143)))</f>
        <v>38888.888888888891</v>
      </c>
      <c r="N343" s="44">
        <f t="shared" si="10"/>
        <v>65.690690690690687</v>
      </c>
      <c r="O343" s="45">
        <f t="shared" si="11"/>
        <v>2778</v>
      </c>
      <c r="P343" s="14" t="str">
        <f>IF(D343&gt;=Assumptions!$P$143,"High",IF(D343&gt;=Assumptions!$AH$143,"Mid",IF(D343&lt;=Assumptions!$G$143,"Low","Loading")))</f>
        <v>Loading</v>
      </c>
      <c r="Q343" s="46">
        <f>MAX(K343,MIN(Assumptions!$S$143,O343),Q344)</f>
        <v>2778</v>
      </c>
      <c r="R343" s="12">
        <f>IF(AND(Q343&lt;=K343,INDEX(Assumptions!$C$26:$C$36,MATCH(G343,Assumptions!$A$26:$A$36,0))&lt;&gt;""),INDEX(Assumptions!$C$26:$C$36,MATCH(G343,Assumptions!$A$26:$A$36,0)),ROUND(G343*Q343,-2))</f>
        <v>1644600</v>
      </c>
      <c r="S343" s="47" t="str">
        <f>TRIM(IF(AND(Assumptions!$L$143&lt;&gt;"",D343&lt;Assumptions!$L$143),"View blocked / roof in front ("&amp;Assumptions!$M$143&amp;"); view premium still loading until L"&amp;Assumptions!$L$143&amp;". ","")&amp;IF(D343=Assumptions!$AH$143,"Mid-floor view premium fully loaded. ","")&amp;IF(D343=Assumptions!$P$143,"High-floor view premium fully loaded. ","")&amp;IF(Q343&lt;=K343,"At developer starting price.",""))</f>
        <v/>
      </c>
      <c r="T343" s="48" t="str">
        <f>Assumptions!$AJ$143</f>
        <v>NNE. Shorter pool view (~80m to Blk 11), partly limited by side walls</v>
      </c>
    </row>
    <row r="344" spans="1:20" x14ac:dyDescent="0.2">
      <c r="A344" s="13" t="s">
        <v>479</v>
      </c>
      <c r="B344" s="14">
        <v>3</v>
      </c>
      <c r="C344" s="40">
        <v>17</v>
      </c>
      <c r="D344" s="40">
        <v>2</v>
      </c>
      <c r="E344" s="9" t="s">
        <v>41</v>
      </c>
      <c r="F344" s="14" t="s">
        <v>267</v>
      </c>
      <c r="G344" s="10">
        <v>592</v>
      </c>
      <c r="H344" s="14" t="s">
        <v>62</v>
      </c>
      <c r="I344" s="41" t="str">
        <f>Assumptions!$I$143</f>
        <v>C</v>
      </c>
      <c r="J344" s="14" t="str">
        <f>IF(D344&lt;=Assumptions!$V$143,"Low",IF(D344&lt;=Assumptions!$W$143,"Mid","High"))</f>
        <v>Low</v>
      </c>
      <c r="K344" s="15">
        <f>Assumptions!$Q$143</f>
        <v>2608</v>
      </c>
      <c r="L344" s="42">
        <f>INDEX(Assumptions!$B$61:$B$90,D344)</f>
        <v>2692.4594594594596</v>
      </c>
      <c r="M344" s="43">
        <f>IF(D344&lt;=Assumptions!$G$143,Assumptions!$AK$143,IF(D344&lt;Assumptions!$AH$143,Assumptions!$AK$143+(Assumptions!$AL$143-Assumptions!$AK$143)*(D344-Assumptions!$G$143)/(Assumptions!$AH$143-Assumptions!$G$143),IF(D344&lt;Assumptions!$P$143,Assumptions!$AL$143+(Assumptions!$AM$143-Assumptions!$AL$143)*(D344-Assumptions!$AH$143)/(Assumptions!$P$143-Assumptions!$AH$143),Assumptions!$AM$143)))</f>
        <v>50000</v>
      </c>
      <c r="N344" s="44">
        <f t="shared" si="10"/>
        <v>84.459459459459453</v>
      </c>
      <c r="O344" s="45">
        <f t="shared" si="11"/>
        <v>2777</v>
      </c>
      <c r="P344" s="14" t="str">
        <f>IF(D344&gt;=Assumptions!$P$143,"High",IF(D344&gt;=Assumptions!$AH$143,"Mid",IF(D344&lt;=Assumptions!$G$143,"Low","Loading")))</f>
        <v>Low</v>
      </c>
      <c r="Q344" s="46">
        <f>MAX(K344,MIN(Assumptions!$S$143,O344))</f>
        <v>2777</v>
      </c>
      <c r="R344" s="12">
        <f>IF(AND(Q344&lt;=K344,INDEX(Assumptions!$C$26:$C$36,MATCH(G344,Assumptions!$A$26:$A$36,0))&lt;&gt;""),INDEX(Assumptions!$C$26:$C$36,MATCH(G344,Assumptions!$A$26:$A$36,0)),ROUND(G344*Q344,-2))</f>
        <v>1644000</v>
      </c>
      <c r="S344" s="47" t="str">
        <f>TRIM(IF(AND(Assumptions!$L$143&lt;&gt;"",D344&lt;Assumptions!$L$143),"View blocked / roof in front ("&amp;Assumptions!$M$143&amp;"); view premium still loading until L"&amp;Assumptions!$L$143&amp;". ","")&amp;IF(D344=Assumptions!$AH$143,"Mid-floor view premium fully loaded. ","")&amp;IF(D344=Assumptions!$P$143,"High-floor view premium fully loaded. ","")&amp;IF(Q344&lt;=K344,"At developer starting price.",""))</f>
        <v/>
      </c>
      <c r="T344" s="48" t="str">
        <f>Assumptions!$AJ$143</f>
        <v>NNE. Shorter pool view (~80m to Blk 11), partly limited by side walls</v>
      </c>
    </row>
    <row r="345" spans="1:20" x14ac:dyDescent="0.2">
      <c r="A345" s="13" t="s">
        <v>480</v>
      </c>
      <c r="B345" s="14">
        <v>3</v>
      </c>
      <c r="C345" s="40">
        <v>18</v>
      </c>
      <c r="D345" s="40">
        <v>21</v>
      </c>
      <c r="E345" s="9" t="s">
        <v>46</v>
      </c>
      <c r="F345" s="14" t="s">
        <v>225</v>
      </c>
      <c r="G345" s="10">
        <v>1055</v>
      </c>
      <c r="H345" s="14" t="s">
        <v>62</v>
      </c>
      <c r="I345" s="41" t="str">
        <f>Assumptions!$I$144</f>
        <v>B</v>
      </c>
      <c r="J345" s="14" t="str">
        <f>IF(D345&lt;=Assumptions!$V$144,"Low",IF(D345&lt;=Assumptions!$W$144,"Mid","High"))</f>
        <v>High</v>
      </c>
      <c r="K345" s="15">
        <f>Assumptions!$Q$144</f>
        <v>2633</v>
      </c>
      <c r="L345" s="42">
        <f>INDEX(Assumptions!$K$61:$K$90,D345)</f>
        <v>3042.1538461538462</v>
      </c>
      <c r="M345" s="43">
        <f>IF(D345&lt;=Assumptions!$G$144,Assumptions!$AK$144,IF(D345&lt;Assumptions!$AH$144,Assumptions!$AK$144+(Assumptions!$AL$144-Assumptions!$AK$144)*(D345-Assumptions!$G$144)/(Assumptions!$AH$144-Assumptions!$G$144),IF(D345&lt;Assumptions!$P$144,Assumptions!$AL$144+(Assumptions!$AM$144-Assumptions!$AL$144)*(D345-Assumptions!$AH$144)/(Assumptions!$P$144-Assumptions!$AH$144),Assumptions!$AM$144)))</f>
        <v>16666.666666666672</v>
      </c>
      <c r="N345" s="44">
        <f t="shared" si="10"/>
        <v>15.797788309636655</v>
      </c>
      <c r="O345" s="45">
        <f t="shared" si="11"/>
        <v>3058</v>
      </c>
      <c r="P345" s="14" t="str">
        <f>IF(D345&gt;=Assumptions!$P$144,"High",IF(D345&gt;=Assumptions!$AH$144,"Mid",IF(D345&lt;=Assumptions!$G$144,"Low","Loading")))</f>
        <v>High</v>
      </c>
      <c r="Q345" s="46">
        <f>MAX(K345,MIN(Assumptions!$S$144,O345),Q346)</f>
        <v>3058</v>
      </c>
      <c r="R345" s="12">
        <f>IF(AND(Q345&lt;=K345,INDEX(Assumptions!$C$26:$C$36,MATCH(G345,Assumptions!$A$26:$A$36,0))&lt;&gt;""),INDEX(Assumptions!$C$26:$C$36,MATCH(G345,Assumptions!$A$26:$A$36,0)),ROUND(G345*Q345,-2))</f>
        <v>3226200</v>
      </c>
      <c r="S345" s="47" t="str">
        <f>TRIM(IF(AND(Assumptions!$L$144&lt;&gt;"",D345&lt;Assumptions!$L$144),"View blocked / roof in front ("&amp;Assumptions!$M$144&amp;"); view premium still loading until L"&amp;Assumptions!$L$144&amp;". ","")&amp;IF(D345=Assumptions!$AH$144,"Mid-floor view premium fully loaded. ","")&amp;IF(D345=Assumptions!$P$144,"High-floor view premium fully loaded. ","")&amp;IF(Q345&lt;=K345,"At developer starting price.",""))</f>
        <v/>
      </c>
      <c r="T345" s="48" t="str">
        <f>Assumptions!$AJ$144</f>
        <v>NNE. Inner pool facing: Island Pool in front, Island Club behind it</v>
      </c>
    </row>
    <row r="346" spans="1:20" x14ac:dyDescent="0.2">
      <c r="A346" s="13" t="s">
        <v>481</v>
      </c>
      <c r="B346" s="14">
        <v>3</v>
      </c>
      <c r="C346" s="40">
        <v>18</v>
      </c>
      <c r="D346" s="40">
        <v>20</v>
      </c>
      <c r="E346" s="9" t="s">
        <v>46</v>
      </c>
      <c r="F346" s="14" t="s">
        <v>225</v>
      </c>
      <c r="G346" s="10">
        <v>1055</v>
      </c>
      <c r="H346" s="14" t="s">
        <v>62</v>
      </c>
      <c r="I346" s="41" t="str">
        <f>Assumptions!$I$144</f>
        <v>B</v>
      </c>
      <c r="J346" s="14" t="str">
        <f>IF(D346&lt;=Assumptions!$V$144,"Low",IF(D346&lt;=Assumptions!$W$144,"Mid","High"))</f>
        <v>High</v>
      </c>
      <c r="K346" s="15">
        <f>Assumptions!$Q$144</f>
        <v>2633</v>
      </c>
      <c r="L346" s="42">
        <f>INDEX(Assumptions!$K$61:$K$90,D346)</f>
        <v>3015.876923076923</v>
      </c>
      <c r="M346" s="43">
        <f>IF(D346&lt;=Assumptions!$G$144,Assumptions!$AK$144,IF(D346&lt;Assumptions!$AH$144,Assumptions!$AK$144+(Assumptions!$AL$144-Assumptions!$AK$144)*(D346-Assumptions!$G$144)/(Assumptions!$AH$144-Assumptions!$G$144),IF(D346&lt;Assumptions!$P$144,Assumptions!$AL$144+(Assumptions!$AM$144-Assumptions!$AL$144)*(D346-Assumptions!$AH$144)/(Assumptions!$P$144-Assumptions!$AH$144),Assumptions!$AM$144)))</f>
        <v>16666.666666666672</v>
      </c>
      <c r="N346" s="44">
        <f t="shared" si="10"/>
        <v>15.797788309636655</v>
      </c>
      <c r="O346" s="45">
        <f t="shared" si="11"/>
        <v>3032</v>
      </c>
      <c r="P346" s="14" t="str">
        <f>IF(D346&gt;=Assumptions!$P$144,"High",IF(D346&gt;=Assumptions!$AH$144,"Mid",IF(D346&lt;=Assumptions!$G$144,"Low","Loading")))</f>
        <v>High</v>
      </c>
      <c r="Q346" s="46">
        <f>MAX(K346,MIN(Assumptions!$S$144,O346),Q347)</f>
        <v>3032</v>
      </c>
      <c r="R346" s="12">
        <f>IF(AND(Q346&lt;=K346,INDEX(Assumptions!$C$26:$C$36,MATCH(G346,Assumptions!$A$26:$A$36,0))&lt;&gt;""),INDEX(Assumptions!$C$26:$C$36,MATCH(G346,Assumptions!$A$26:$A$36,0)),ROUND(G346*Q346,-2))</f>
        <v>3198800</v>
      </c>
      <c r="S346" s="47" t="str">
        <f>TRIM(IF(AND(Assumptions!$L$144&lt;&gt;"",D346&lt;Assumptions!$L$144),"View blocked / roof in front ("&amp;Assumptions!$M$144&amp;"); view premium still loading until L"&amp;Assumptions!$L$144&amp;". ","")&amp;IF(D346=Assumptions!$AH$144,"Mid-floor view premium fully loaded. ","")&amp;IF(D346=Assumptions!$P$144,"High-floor view premium fully loaded. ","")&amp;IF(Q346&lt;=K346,"At developer starting price.",""))</f>
        <v/>
      </c>
      <c r="T346" s="48" t="str">
        <f>Assumptions!$AJ$144</f>
        <v>NNE. Inner pool facing: Island Pool in front, Island Club behind it</v>
      </c>
    </row>
    <row r="347" spans="1:20" x14ac:dyDescent="0.2">
      <c r="A347" s="13" t="s">
        <v>482</v>
      </c>
      <c r="B347" s="14">
        <v>3</v>
      </c>
      <c r="C347" s="40">
        <v>18</v>
      </c>
      <c r="D347" s="40">
        <v>19</v>
      </c>
      <c r="E347" s="9" t="s">
        <v>46</v>
      </c>
      <c r="F347" s="14" t="s">
        <v>225</v>
      </c>
      <c r="G347" s="10">
        <v>1055</v>
      </c>
      <c r="H347" s="14" t="s">
        <v>62</v>
      </c>
      <c r="I347" s="41" t="str">
        <f>Assumptions!$I$144</f>
        <v>B</v>
      </c>
      <c r="J347" s="14" t="str">
        <f>IF(D347&lt;=Assumptions!$V$144,"Low",IF(D347&lt;=Assumptions!$W$144,"Mid","High"))</f>
        <v>High</v>
      </c>
      <c r="K347" s="15">
        <f>Assumptions!$Q$144</f>
        <v>2633</v>
      </c>
      <c r="L347" s="42">
        <f>INDEX(Assumptions!$K$61:$K$90,D347)</f>
        <v>2989.6</v>
      </c>
      <c r="M347" s="43">
        <f>IF(D347&lt;=Assumptions!$G$144,Assumptions!$AK$144,IF(D347&lt;Assumptions!$AH$144,Assumptions!$AK$144+(Assumptions!$AL$144-Assumptions!$AK$144)*(D347-Assumptions!$G$144)/(Assumptions!$AH$144-Assumptions!$G$144),IF(D347&lt;Assumptions!$P$144,Assumptions!$AL$144+(Assumptions!$AM$144-Assumptions!$AL$144)*(D347-Assumptions!$AH$144)/(Assumptions!$P$144-Assumptions!$AH$144),Assumptions!$AM$144)))</f>
        <v>16666.666666666672</v>
      </c>
      <c r="N347" s="44">
        <f t="shared" si="10"/>
        <v>15.797788309636655</v>
      </c>
      <c r="O347" s="45">
        <f t="shared" si="11"/>
        <v>3005</v>
      </c>
      <c r="P347" s="14" t="str">
        <f>IF(D347&gt;=Assumptions!$P$144,"High",IF(D347&gt;=Assumptions!$AH$144,"Mid",IF(D347&lt;=Assumptions!$G$144,"Low","Loading")))</f>
        <v>High</v>
      </c>
      <c r="Q347" s="46">
        <f>MAX(K347,MIN(Assumptions!$S$144,O347),Q348)</f>
        <v>3005</v>
      </c>
      <c r="R347" s="12">
        <f>IF(AND(Q347&lt;=K347,INDEX(Assumptions!$C$26:$C$36,MATCH(G347,Assumptions!$A$26:$A$36,0))&lt;&gt;""),INDEX(Assumptions!$C$26:$C$36,MATCH(G347,Assumptions!$A$26:$A$36,0)),ROUND(G347*Q347,-2))</f>
        <v>3170300</v>
      </c>
      <c r="S347" s="47" t="str">
        <f>TRIM(IF(AND(Assumptions!$L$144&lt;&gt;"",D347&lt;Assumptions!$L$144),"View blocked / roof in front ("&amp;Assumptions!$M$144&amp;"); view premium still loading until L"&amp;Assumptions!$L$144&amp;". ","")&amp;IF(D347=Assumptions!$AH$144,"Mid-floor view premium fully loaded. ","")&amp;IF(D347=Assumptions!$P$144,"High-floor view premium fully loaded. ","")&amp;IF(Q347&lt;=K347,"At developer starting price.",""))</f>
        <v/>
      </c>
      <c r="T347" s="48" t="str">
        <f>Assumptions!$AJ$144</f>
        <v>NNE. Inner pool facing: Island Pool in front, Island Club behind it</v>
      </c>
    </row>
    <row r="348" spans="1:20" x14ac:dyDescent="0.2">
      <c r="A348" s="13" t="s">
        <v>483</v>
      </c>
      <c r="B348" s="14">
        <v>3</v>
      </c>
      <c r="C348" s="40">
        <v>18</v>
      </c>
      <c r="D348" s="40">
        <v>18</v>
      </c>
      <c r="E348" s="9" t="s">
        <v>46</v>
      </c>
      <c r="F348" s="14" t="s">
        <v>225</v>
      </c>
      <c r="G348" s="10">
        <v>1055</v>
      </c>
      <c r="H348" s="14" t="s">
        <v>62</v>
      </c>
      <c r="I348" s="41" t="str">
        <f>Assumptions!$I$144</f>
        <v>B</v>
      </c>
      <c r="J348" s="14" t="str">
        <f>IF(D348&lt;=Assumptions!$V$144,"Low",IF(D348&lt;=Assumptions!$W$144,"Mid","High"))</f>
        <v>High</v>
      </c>
      <c r="K348" s="15">
        <f>Assumptions!$Q$144</f>
        <v>2633</v>
      </c>
      <c r="L348" s="42">
        <f>INDEX(Assumptions!$K$61:$K$90,D348)</f>
        <v>2963.3230769230768</v>
      </c>
      <c r="M348" s="43">
        <f>IF(D348&lt;=Assumptions!$G$144,Assumptions!$AK$144,IF(D348&lt;Assumptions!$AH$144,Assumptions!$AK$144+(Assumptions!$AL$144-Assumptions!$AK$144)*(D348-Assumptions!$G$144)/(Assumptions!$AH$144-Assumptions!$G$144),IF(D348&lt;Assumptions!$P$144,Assumptions!$AL$144+(Assumptions!$AM$144-Assumptions!$AL$144)*(D348-Assumptions!$AH$144)/(Assumptions!$P$144-Assumptions!$AH$144),Assumptions!$AM$144)))</f>
        <v>16666.666666666672</v>
      </c>
      <c r="N348" s="44">
        <f t="shared" si="10"/>
        <v>15.797788309636655</v>
      </c>
      <c r="O348" s="45">
        <f t="shared" si="11"/>
        <v>2979</v>
      </c>
      <c r="P348" s="14" t="str">
        <f>IF(D348&gt;=Assumptions!$P$144,"High",IF(D348&gt;=Assumptions!$AH$144,"Mid",IF(D348&lt;=Assumptions!$G$144,"Low","Loading")))</f>
        <v>High</v>
      </c>
      <c r="Q348" s="46">
        <f>MAX(K348,MIN(Assumptions!$S$144,O348),Q349)</f>
        <v>2979</v>
      </c>
      <c r="R348" s="12">
        <f>IF(AND(Q348&lt;=K348,INDEX(Assumptions!$C$26:$C$36,MATCH(G348,Assumptions!$A$26:$A$36,0))&lt;&gt;""),INDEX(Assumptions!$C$26:$C$36,MATCH(G348,Assumptions!$A$26:$A$36,0)),ROUND(G348*Q348,-2))</f>
        <v>3142800</v>
      </c>
      <c r="S348" s="47" t="str">
        <f>TRIM(IF(AND(Assumptions!$L$144&lt;&gt;"",D348&lt;Assumptions!$L$144),"View blocked / roof in front ("&amp;Assumptions!$M$144&amp;"); view premium still loading until L"&amp;Assumptions!$L$144&amp;". ","")&amp;IF(D348=Assumptions!$AH$144,"Mid-floor view premium fully loaded. ","")&amp;IF(D348=Assumptions!$P$144,"High-floor view premium fully loaded. ","")&amp;IF(Q348&lt;=K348,"At developer starting price.",""))</f>
        <v/>
      </c>
      <c r="T348" s="48" t="str">
        <f>Assumptions!$AJ$144</f>
        <v>NNE. Inner pool facing: Island Pool in front, Island Club behind it</v>
      </c>
    </row>
    <row r="349" spans="1:20" x14ac:dyDescent="0.2">
      <c r="A349" s="13" t="s">
        <v>484</v>
      </c>
      <c r="B349" s="14">
        <v>3</v>
      </c>
      <c r="C349" s="40">
        <v>18</v>
      </c>
      <c r="D349" s="40">
        <v>17</v>
      </c>
      <c r="E349" s="9" t="s">
        <v>46</v>
      </c>
      <c r="F349" s="14" t="s">
        <v>225</v>
      </c>
      <c r="G349" s="10">
        <v>1055</v>
      </c>
      <c r="H349" s="14" t="s">
        <v>62</v>
      </c>
      <c r="I349" s="41" t="str">
        <f>Assumptions!$I$144</f>
        <v>B</v>
      </c>
      <c r="J349" s="14" t="str">
        <f>IF(D349&lt;=Assumptions!$V$144,"Low",IF(D349&lt;=Assumptions!$W$144,"Mid","High"))</f>
        <v>High</v>
      </c>
      <c r="K349" s="15">
        <f>Assumptions!$Q$144</f>
        <v>2633</v>
      </c>
      <c r="L349" s="42">
        <f>INDEX(Assumptions!$K$61:$K$90,D349)</f>
        <v>2937.0461538461536</v>
      </c>
      <c r="M349" s="43">
        <f>IF(D349&lt;=Assumptions!$G$144,Assumptions!$AK$144,IF(D349&lt;Assumptions!$AH$144,Assumptions!$AK$144+(Assumptions!$AL$144-Assumptions!$AK$144)*(D349-Assumptions!$G$144)/(Assumptions!$AH$144-Assumptions!$G$144),IF(D349&lt;Assumptions!$P$144,Assumptions!$AL$144+(Assumptions!$AM$144-Assumptions!$AL$144)*(D349-Assumptions!$AH$144)/(Assumptions!$P$144-Assumptions!$AH$144),Assumptions!$AM$144)))</f>
        <v>16666.666666666672</v>
      </c>
      <c r="N349" s="44">
        <f t="shared" si="10"/>
        <v>15.797788309636655</v>
      </c>
      <c r="O349" s="45">
        <f t="shared" si="11"/>
        <v>2953</v>
      </c>
      <c r="P349" s="14" t="str">
        <f>IF(D349&gt;=Assumptions!$P$144,"High",IF(D349&gt;=Assumptions!$AH$144,"Mid",IF(D349&lt;=Assumptions!$G$144,"Low","Loading")))</f>
        <v>High</v>
      </c>
      <c r="Q349" s="46">
        <f>MAX(K349,MIN(Assumptions!$S$144,O349),Q350)</f>
        <v>2953</v>
      </c>
      <c r="R349" s="12">
        <f>IF(AND(Q349&lt;=K349,INDEX(Assumptions!$C$26:$C$36,MATCH(G349,Assumptions!$A$26:$A$36,0))&lt;&gt;""),INDEX(Assumptions!$C$26:$C$36,MATCH(G349,Assumptions!$A$26:$A$36,0)),ROUND(G349*Q349,-2))</f>
        <v>3115400</v>
      </c>
      <c r="S349" s="47" t="str">
        <f>TRIM(IF(AND(Assumptions!$L$144&lt;&gt;"",D349&lt;Assumptions!$L$144),"View blocked / roof in front ("&amp;Assumptions!$M$144&amp;"); view premium still loading until L"&amp;Assumptions!$L$144&amp;". ","")&amp;IF(D349=Assumptions!$AH$144,"Mid-floor view premium fully loaded. ","")&amp;IF(D349=Assumptions!$P$144,"High-floor view premium fully loaded. ","")&amp;IF(Q349&lt;=K349,"At developer starting price.",""))</f>
        <v>High-floor view premium fully loaded.</v>
      </c>
      <c r="T349" s="48" t="str">
        <f>Assumptions!$AJ$144</f>
        <v>NNE. Inner pool facing: Island Pool in front, Island Club behind it</v>
      </c>
    </row>
    <row r="350" spans="1:20" x14ac:dyDescent="0.2">
      <c r="A350" s="13" t="s">
        <v>485</v>
      </c>
      <c r="B350" s="14">
        <v>3</v>
      </c>
      <c r="C350" s="40">
        <v>18</v>
      </c>
      <c r="D350" s="40">
        <v>16</v>
      </c>
      <c r="E350" s="9" t="s">
        <v>46</v>
      </c>
      <c r="F350" s="14" t="s">
        <v>225</v>
      </c>
      <c r="G350" s="10">
        <v>1055</v>
      </c>
      <c r="H350" s="14" t="s">
        <v>62</v>
      </c>
      <c r="I350" s="41" t="str">
        <f>Assumptions!$I$144</f>
        <v>B</v>
      </c>
      <c r="J350" s="14" t="str">
        <f>IF(D350&lt;=Assumptions!$V$144,"Low",IF(D350&lt;=Assumptions!$W$144,"Mid","High"))</f>
        <v>Mid</v>
      </c>
      <c r="K350" s="15">
        <f>Assumptions!$Q$144</f>
        <v>2633</v>
      </c>
      <c r="L350" s="42">
        <f>INDEX(Assumptions!$K$61:$K$90,D350)</f>
        <v>2910.7692307692309</v>
      </c>
      <c r="M350" s="43">
        <f>IF(D350&lt;=Assumptions!$G$144,Assumptions!$AK$144,IF(D350&lt;Assumptions!$AH$144,Assumptions!$AK$144+(Assumptions!$AL$144-Assumptions!$AK$144)*(D350-Assumptions!$G$144)/(Assumptions!$AH$144-Assumptions!$G$144),IF(D350&lt;Assumptions!$P$144,Assumptions!$AL$144+(Assumptions!$AM$144-Assumptions!$AL$144)*(D350-Assumptions!$AH$144)/(Assumptions!$P$144-Assumptions!$AH$144),Assumptions!$AM$144)))</f>
        <v>19696.969696969703</v>
      </c>
      <c r="N350" s="44">
        <f t="shared" si="10"/>
        <v>18.670113456843321</v>
      </c>
      <c r="O350" s="45">
        <f t="shared" si="11"/>
        <v>2929</v>
      </c>
      <c r="P350" s="14" t="str">
        <f>IF(D350&gt;=Assumptions!$P$144,"High",IF(D350&gt;=Assumptions!$AH$144,"Mid",IF(D350&lt;=Assumptions!$G$144,"Low","Loading")))</f>
        <v>Mid</v>
      </c>
      <c r="Q350" s="46">
        <f>MAX(K350,MIN(Assumptions!$S$144,O350),Q351)</f>
        <v>2929</v>
      </c>
      <c r="R350" s="12">
        <f>IF(AND(Q350&lt;=K350,INDEX(Assumptions!$C$26:$C$36,MATCH(G350,Assumptions!$A$26:$A$36,0))&lt;&gt;""),INDEX(Assumptions!$C$26:$C$36,MATCH(G350,Assumptions!$A$26:$A$36,0)),ROUND(G350*Q350,-2))</f>
        <v>3090100</v>
      </c>
      <c r="S350" s="47" t="str">
        <f>TRIM(IF(AND(Assumptions!$L$144&lt;&gt;"",D350&lt;Assumptions!$L$144),"View blocked / roof in front ("&amp;Assumptions!$M$144&amp;"); view premium still loading until L"&amp;Assumptions!$L$144&amp;". ","")&amp;IF(D350=Assumptions!$AH$144,"Mid-floor view premium fully loaded. ","")&amp;IF(D350=Assumptions!$P$144,"High-floor view premium fully loaded. ","")&amp;IF(Q350&lt;=K350,"At developer starting price.",""))</f>
        <v/>
      </c>
      <c r="T350" s="48" t="str">
        <f>Assumptions!$AJ$144</f>
        <v>NNE. Inner pool facing: Island Pool in front, Island Club behind it</v>
      </c>
    </row>
    <row r="351" spans="1:20" x14ac:dyDescent="0.2">
      <c r="A351" s="13" t="s">
        <v>486</v>
      </c>
      <c r="B351" s="14">
        <v>3</v>
      </c>
      <c r="C351" s="40">
        <v>18</v>
      </c>
      <c r="D351" s="40">
        <v>15</v>
      </c>
      <c r="E351" s="9" t="s">
        <v>46</v>
      </c>
      <c r="F351" s="14" t="s">
        <v>225</v>
      </c>
      <c r="G351" s="10">
        <v>1055</v>
      </c>
      <c r="H351" s="14" t="s">
        <v>62</v>
      </c>
      <c r="I351" s="41" t="str">
        <f>Assumptions!$I$144</f>
        <v>B</v>
      </c>
      <c r="J351" s="14" t="str">
        <f>IF(D351&lt;=Assumptions!$V$144,"Low",IF(D351&lt;=Assumptions!$W$144,"Mid","High"))</f>
        <v>Mid</v>
      </c>
      <c r="K351" s="15">
        <f>Assumptions!$Q$144</f>
        <v>2633</v>
      </c>
      <c r="L351" s="42">
        <f>INDEX(Assumptions!$K$61:$K$90,D351)</f>
        <v>2884.4923076923078</v>
      </c>
      <c r="M351" s="43">
        <f>IF(D351&lt;=Assumptions!$G$144,Assumptions!$AK$144,IF(D351&lt;Assumptions!$AH$144,Assumptions!$AK$144+(Assumptions!$AL$144-Assumptions!$AK$144)*(D351-Assumptions!$G$144)/(Assumptions!$AH$144-Assumptions!$G$144),IF(D351&lt;Assumptions!$P$144,Assumptions!$AL$144+(Assumptions!$AM$144-Assumptions!$AL$144)*(D351-Assumptions!$AH$144)/(Assumptions!$P$144-Assumptions!$AH$144),Assumptions!$AM$144)))</f>
        <v>22727.272727272732</v>
      </c>
      <c r="N351" s="44">
        <f t="shared" si="10"/>
        <v>21.542438604049984</v>
      </c>
      <c r="O351" s="45">
        <f t="shared" si="11"/>
        <v>2906</v>
      </c>
      <c r="P351" s="14" t="str">
        <f>IF(D351&gt;=Assumptions!$P$144,"High",IF(D351&gt;=Assumptions!$AH$144,"Mid",IF(D351&lt;=Assumptions!$G$144,"Low","Loading")))</f>
        <v>Mid</v>
      </c>
      <c r="Q351" s="46">
        <f>MAX(K351,MIN(Assumptions!$S$144,O351),Q352)</f>
        <v>2906</v>
      </c>
      <c r="R351" s="12">
        <f>IF(AND(Q351&lt;=K351,INDEX(Assumptions!$C$26:$C$36,MATCH(G351,Assumptions!$A$26:$A$36,0))&lt;&gt;""),INDEX(Assumptions!$C$26:$C$36,MATCH(G351,Assumptions!$A$26:$A$36,0)),ROUND(G351*Q351,-2))</f>
        <v>3065800</v>
      </c>
      <c r="S351" s="47" t="str">
        <f>TRIM(IF(AND(Assumptions!$L$144&lt;&gt;"",D351&lt;Assumptions!$L$144),"View blocked / roof in front ("&amp;Assumptions!$M$144&amp;"); view premium still loading until L"&amp;Assumptions!$L$144&amp;". ","")&amp;IF(D351=Assumptions!$AH$144,"Mid-floor view premium fully loaded. ","")&amp;IF(D351=Assumptions!$P$144,"High-floor view premium fully loaded. ","")&amp;IF(Q351&lt;=K351,"At developer starting price.",""))</f>
        <v/>
      </c>
      <c r="T351" s="48" t="str">
        <f>Assumptions!$AJ$144</f>
        <v>NNE. Inner pool facing: Island Pool in front, Island Club behind it</v>
      </c>
    </row>
    <row r="352" spans="1:20" x14ac:dyDescent="0.2">
      <c r="A352" s="13" t="s">
        <v>487</v>
      </c>
      <c r="B352" s="14">
        <v>3</v>
      </c>
      <c r="C352" s="40">
        <v>18</v>
      </c>
      <c r="D352" s="40">
        <v>14</v>
      </c>
      <c r="E352" s="9" t="s">
        <v>46</v>
      </c>
      <c r="F352" s="14" t="s">
        <v>225</v>
      </c>
      <c r="G352" s="10">
        <v>1055</v>
      </c>
      <c r="H352" s="14" t="s">
        <v>62</v>
      </c>
      <c r="I352" s="41" t="str">
        <f>Assumptions!$I$144</f>
        <v>B</v>
      </c>
      <c r="J352" s="14" t="str">
        <f>IF(D352&lt;=Assumptions!$V$144,"Low",IF(D352&lt;=Assumptions!$W$144,"Mid","High"))</f>
        <v>Mid</v>
      </c>
      <c r="K352" s="15">
        <f>Assumptions!$Q$144</f>
        <v>2633</v>
      </c>
      <c r="L352" s="42">
        <f>INDEX(Assumptions!$K$61:$K$90,D352)</f>
        <v>2858.2153846153847</v>
      </c>
      <c r="M352" s="43">
        <f>IF(D352&lt;=Assumptions!$G$144,Assumptions!$AK$144,IF(D352&lt;Assumptions!$AH$144,Assumptions!$AK$144+(Assumptions!$AL$144-Assumptions!$AK$144)*(D352-Assumptions!$G$144)/(Assumptions!$AH$144-Assumptions!$G$144),IF(D352&lt;Assumptions!$P$144,Assumptions!$AL$144+(Assumptions!$AM$144-Assumptions!$AL$144)*(D352-Assumptions!$AH$144)/(Assumptions!$P$144-Assumptions!$AH$144),Assumptions!$AM$144)))</f>
        <v>25757.57575757576</v>
      </c>
      <c r="N352" s="44">
        <f t="shared" si="10"/>
        <v>24.414763751256643</v>
      </c>
      <c r="O352" s="45">
        <f t="shared" si="11"/>
        <v>2883</v>
      </c>
      <c r="P352" s="14" t="str">
        <f>IF(D352&gt;=Assumptions!$P$144,"High",IF(D352&gt;=Assumptions!$AH$144,"Mid",IF(D352&lt;=Assumptions!$G$144,"Low","Loading")))</f>
        <v>Mid</v>
      </c>
      <c r="Q352" s="46">
        <f>MAX(K352,MIN(Assumptions!$S$144,O352),Q353)</f>
        <v>2883</v>
      </c>
      <c r="R352" s="12">
        <f>IF(AND(Q352&lt;=K352,INDEX(Assumptions!$C$26:$C$36,MATCH(G352,Assumptions!$A$26:$A$36,0))&lt;&gt;""),INDEX(Assumptions!$C$26:$C$36,MATCH(G352,Assumptions!$A$26:$A$36,0)),ROUND(G352*Q352,-2))</f>
        <v>3041600</v>
      </c>
      <c r="S352" s="47" t="str">
        <f>TRIM(IF(AND(Assumptions!$L$144&lt;&gt;"",D352&lt;Assumptions!$L$144),"View blocked / roof in front ("&amp;Assumptions!$M$144&amp;"); view premium still loading until L"&amp;Assumptions!$L$144&amp;". ","")&amp;IF(D352=Assumptions!$AH$144,"Mid-floor view premium fully loaded. ","")&amp;IF(D352=Assumptions!$P$144,"High-floor view premium fully loaded. ","")&amp;IF(Q352&lt;=K352,"At developer starting price.",""))</f>
        <v/>
      </c>
      <c r="T352" s="48" t="str">
        <f>Assumptions!$AJ$144</f>
        <v>NNE. Inner pool facing: Island Pool in front, Island Club behind it</v>
      </c>
    </row>
    <row r="353" spans="1:20" x14ac:dyDescent="0.2">
      <c r="A353" s="13" t="s">
        <v>488</v>
      </c>
      <c r="B353" s="14">
        <v>3</v>
      </c>
      <c r="C353" s="40">
        <v>18</v>
      </c>
      <c r="D353" s="40">
        <v>13</v>
      </c>
      <c r="E353" s="9" t="s">
        <v>46</v>
      </c>
      <c r="F353" s="14" t="s">
        <v>225</v>
      </c>
      <c r="G353" s="10">
        <v>1055</v>
      </c>
      <c r="H353" s="14" t="s">
        <v>62</v>
      </c>
      <c r="I353" s="41" t="str">
        <f>Assumptions!$I$144</f>
        <v>B</v>
      </c>
      <c r="J353" s="14" t="str">
        <f>IF(D353&lt;=Assumptions!$V$144,"Low",IF(D353&lt;=Assumptions!$W$144,"Mid","High"))</f>
        <v>Mid</v>
      </c>
      <c r="K353" s="15">
        <f>Assumptions!$Q$144</f>
        <v>2633</v>
      </c>
      <c r="L353" s="42">
        <f>INDEX(Assumptions!$K$61:$K$90,D353)</f>
        <v>2831.9384615384615</v>
      </c>
      <c r="M353" s="43">
        <f>IF(D353&lt;=Assumptions!$G$144,Assumptions!$AK$144,IF(D353&lt;Assumptions!$AH$144,Assumptions!$AK$144+(Assumptions!$AL$144-Assumptions!$AK$144)*(D353-Assumptions!$G$144)/(Assumptions!$AH$144-Assumptions!$G$144),IF(D353&lt;Assumptions!$P$144,Assumptions!$AL$144+(Assumptions!$AM$144-Assumptions!$AL$144)*(D353-Assumptions!$AH$144)/(Assumptions!$P$144-Assumptions!$AH$144),Assumptions!$AM$144)))</f>
        <v>28787.878787878792</v>
      </c>
      <c r="N353" s="44">
        <f t="shared" si="10"/>
        <v>27.28708889846331</v>
      </c>
      <c r="O353" s="45">
        <f t="shared" si="11"/>
        <v>2859</v>
      </c>
      <c r="P353" s="14" t="str">
        <f>IF(D353&gt;=Assumptions!$P$144,"High",IF(D353&gt;=Assumptions!$AH$144,"Mid",IF(D353&lt;=Assumptions!$G$144,"Low","Loading")))</f>
        <v>Mid</v>
      </c>
      <c r="Q353" s="46">
        <f>MAX(K353,MIN(Assumptions!$S$144,O353),Q354)</f>
        <v>2859</v>
      </c>
      <c r="R353" s="12">
        <f>IF(AND(Q353&lt;=K353,INDEX(Assumptions!$C$26:$C$36,MATCH(G353,Assumptions!$A$26:$A$36,0))&lt;&gt;""),INDEX(Assumptions!$C$26:$C$36,MATCH(G353,Assumptions!$A$26:$A$36,0)),ROUND(G353*Q353,-2))</f>
        <v>3016200</v>
      </c>
      <c r="S353" s="47" t="str">
        <f>TRIM(IF(AND(Assumptions!$L$144&lt;&gt;"",D353&lt;Assumptions!$L$144),"View blocked / roof in front ("&amp;Assumptions!$M$144&amp;"); view premium still loading until L"&amp;Assumptions!$L$144&amp;". ","")&amp;IF(D353=Assumptions!$AH$144,"Mid-floor view premium fully loaded. ","")&amp;IF(D353=Assumptions!$P$144,"High-floor view premium fully loaded. ","")&amp;IF(Q353&lt;=K353,"At developer starting price.",""))</f>
        <v/>
      </c>
      <c r="T353" s="48" t="str">
        <f>Assumptions!$AJ$144</f>
        <v>NNE. Inner pool facing: Island Pool in front, Island Club behind it</v>
      </c>
    </row>
    <row r="354" spans="1:20" x14ac:dyDescent="0.2">
      <c r="A354" s="13" t="s">
        <v>489</v>
      </c>
      <c r="B354" s="14">
        <v>3</v>
      </c>
      <c r="C354" s="40">
        <v>18</v>
      </c>
      <c r="D354" s="40">
        <v>12</v>
      </c>
      <c r="E354" s="9" t="s">
        <v>46</v>
      </c>
      <c r="F354" s="14" t="s">
        <v>225</v>
      </c>
      <c r="G354" s="10">
        <v>1055</v>
      </c>
      <c r="H354" s="14" t="s">
        <v>62</v>
      </c>
      <c r="I354" s="41" t="str">
        <f>Assumptions!$I$144</f>
        <v>B</v>
      </c>
      <c r="J354" s="14" t="str">
        <f>IF(D354&lt;=Assumptions!$V$144,"Low",IF(D354&lt;=Assumptions!$W$144,"Mid","High"))</f>
        <v>Mid</v>
      </c>
      <c r="K354" s="15">
        <f>Assumptions!$Q$144</f>
        <v>2633</v>
      </c>
      <c r="L354" s="42">
        <f>INDEX(Assumptions!$K$61:$K$90,D354)</f>
        <v>2812.209207853758</v>
      </c>
      <c r="M354" s="43">
        <f>IF(D354&lt;=Assumptions!$G$144,Assumptions!$AK$144,IF(D354&lt;Assumptions!$AH$144,Assumptions!$AK$144+(Assumptions!$AL$144-Assumptions!$AK$144)*(D354-Assumptions!$G$144)/(Assumptions!$AH$144-Assumptions!$G$144),IF(D354&lt;Assumptions!$P$144,Assumptions!$AL$144+(Assumptions!$AM$144-Assumptions!$AL$144)*(D354-Assumptions!$AH$144)/(Assumptions!$P$144-Assumptions!$AH$144),Assumptions!$AM$144)))</f>
        <v>31818.181818181823</v>
      </c>
      <c r="N354" s="44">
        <f t="shared" si="10"/>
        <v>30.159414045669976</v>
      </c>
      <c r="O354" s="45">
        <f t="shared" si="11"/>
        <v>2842</v>
      </c>
      <c r="P354" s="14" t="str">
        <f>IF(D354&gt;=Assumptions!$P$144,"High",IF(D354&gt;=Assumptions!$AH$144,"Mid",IF(D354&lt;=Assumptions!$G$144,"Low","Loading")))</f>
        <v>Mid</v>
      </c>
      <c r="Q354" s="46">
        <f>MAX(K354,MIN(Assumptions!$S$144,O354),Q355)</f>
        <v>2842</v>
      </c>
      <c r="R354" s="12">
        <f>IF(AND(Q354&lt;=K354,INDEX(Assumptions!$C$26:$C$36,MATCH(G354,Assumptions!$A$26:$A$36,0))&lt;&gt;""),INDEX(Assumptions!$C$26:$C$36,MATCH(G354,Assumptions!$A$26:$A$36,0)),ROUND(G354*Q354,-2))</f>
        <v>2998300</v>
      </c>
      <c r="S354" s="47" t="str">
        <f>TRIM(IF(AND(Assumptions!$L$144&lt;&gt;"",D354&lt;Assumptions!$L$144),"View blocked / roof in front ("&amp;Assumptions!$M$144&amp;"); view premium still loading until L"&amp;Assumptions!$L$144&amp;". ","")&amp;IF(D354=Assumptions!$AH$144,"Mid-floor view premium fully loaded. ","")&amp;IF(D354=Assumptions!$P$144,"High-floor view premium fully loaded. ","")&amp;IF(Q354&lt;=K354,"At developer starting price.",""))</f>
        <v/>
      </c>
      <c r="T354" s="48" t="str">
        <f>Assumptions!$AJ$144</f>
        <v>NNE. Inner pool facing: Island Pool in front, Island Club behind it</v>
      </c>
    </row>
    <row r="355" spans="1:20" x14ac:dyDescent="0.2">
      <c r="A355" s="13" t="s">
        <v>490</v>
      </c>
      <c r="B355" s="14">
        <v>3</v>
      </c>
      <c r="C355" s="40">
        <v>18</v>
      </c>
      <c r="D355" s="40">
        <v>11</v>
      </c>
      <c r="E355" s="9" t="s">
        <v>46</v>
      </c>
      <c r="F355" s="14" t="s">
        <v>225</v>
      </c>
      <c r="G355" s="10">
        <v>1055</v>
      </c>
      <c r="H355" s="14" t="s">
        <v>62</v>
      </c>
      <c r="I355" s="41" t="str">
        <f>Assumptions!$I$144</f>
        <v>B</v>
      </c>
      <c r="J355" s="14" t="str">
        <f>IF(D355&lt;=Assumptions!$V$144,"Low",IF(D355&lt;=Assumptions!$W$144,"Mid","High"))</f>
        <v>Mid</v>
      </c>
      <c r="K355" s="15">
        <f>Assumptions!$Q$144</f>
        <v>2633</v>
      </c>
      <c r="L355" s="42">
        <f>INDEX(Assumptions!$K$61:$K$90,D355)</f>
        <v>2799.0276235612732</v>
      </c>
      <c r="M355" s="43">
        <f>IF(D355&lt;=Assumptions!$G$144,Assumptions!$AK$144,IF(D355&lt;Assumptions!$AH$144,Assumptions!$AK$144+(Assumptions!$AL$144-Assumptions!$AK$144)*(D355-Assumptions!$G$144)/(Assumptions!$AH$144-Assumptions!$G$144),IF(D355&lt;Assumptions!$P$144,Assumptions!$AL$144+(Assumptions!$AM$144-Assumptions!$AL$144)*(D355-Assumptions!$AH$144)/(Assumptions!$P$144-Assumptions!$AH$144),Assumptions!$AM$144)))</f>
        <v>34848.484848484848</v>
      </c>
      <c r="N355" s="44">
        <f t="shared" si="10"/>
        <v>33.031739192876636</v>
      </c>
      <c r="O355" s="45">
        <f t="shared" si="11"/>
        <v>2832</v>
      </c>
      <c r="P355" s="14" t="str">
        <f>IF(D355&gt;=Assumptions!$P$144,"High",IF(D355&gt;=Assumptions!$AH$144,"Mid",IF(D355&lt;=Assumptions!$G$144,"Low","Loading")))</f>
        <v>Mid</v>
      </c>
      <c r="Q355" s="46">
        <f>MAX(K355,MIN(Assumptions!$S$144,O355),Q356)</f>
        <v>2832</v>
      </c>
      <c r="R355" s="12">
        <f>IF(AND(Q355&lt;=K355,INDEX(Assumptions!$C$26:$C$36,MATCH(G355,Assumptions!$A$26:$A$36,0))&lt;&gt;""),INDEX(Assumptions!$C$26:$C$36,MATCH(G355,Assumptions!$A$26:$A$36,0)),ROUND(G355*Q355,-2))</f>
        <v>2987800</v>
      </c>
      <c r="S355" s="47" t="str">
        <f>TRIM(IF(AND(Assumptions!$L$144&lt;&gt;"",D355&lt;Assumptions!$L$144),"View blocked / roof in front ("&amp;Assumptions!$M$144&amp;"); view premium still loading until L"&amp;Assumptions!$L$144&amp;". ","")&amp;IF(D355=Assumptions!$AH$144,"Mid-floor view premium fully loaded. ","")&amp;IF(D355=Assumptions!$P$144,"High-floor view premium fully loaded. ","")&amp;IF(Q355&lt;=K355,"At developer starting price.",""))</f>
        <v/>
      </c>
      <c r="T355" s="48" t="str">
        <f>Assumptions!$AJ$144</f>
        <v>NNE. Inner pool facing: Island Pool in front, Island Club behind it</v>
      </c>
    </row>
    <row r="356" spans="1:20" x14ac:dyDescent="0.2">
      <c r="A356" s="13" t="s">
        <v>491</v>
      </c>
      <c r="B356" s="14">
        <v>3</v>
      </c>
      <c r="C356" s="40">
        <v>18</v>
      </c>
      <c r="D356" s="40">
        <v>10</v>
      </c>
      <c r="E356" s="9" t="s">
        <v>46</v>
      </c>
      <c r="F356" s="14" t="s">
        <v>225</v>
      </c>
      <c r="G356" s="10">
        <v>1055</v>
      </c>
      <c r="H356" s="14" t="s">
        <v>62</v>
      </c>
      <c r="I356" s="41" t="str">
        <f>Assumptions!$I$144</f>
        <v>B</v>
      </c>
      <c r="J356" s="14" t="str">
        <f>IF(D356&lt;=Assumptions!$V$144,"Low",IF(D356&lt;=Assumptions!$W$144,"Mid","High"))</f>
        <v>Mid</v>
      </c>
      <c r="K356" s="15">
        <f>Assumptions!$Q$144</f>
        <v>2633</v>
      </c>
      <c r="L356" s="42">
        <f>INDEX(Assumptions!$K$61:$K$90,D356)</f>
        <v>2785.8460392687884</v>
      </c>
      <c r="M356" s="43">
        <f>IF(D356&lt;=Assumptions!$G$144,Assumptions!$AK$144,IF(D356&lt;Assumptions!$AH$144,Assumptions!$AK$144+(Assumptions!$AL$144-Assumptions!$AK$144)*(D356-Assumptions!$G$144)/(Assumptions!$AH$144-Assumptions!$G$144),IF(D356&lt;Assumptions!$P$144,Assumptions!$AL$144+(Assumptions!$AM$144-Assumptions!$AL$144)*(D356-Assumptions!$AH$144)/(Assumptions!$P$144-Assumptions!$AH$144),Assumptions!$AM$144)))</f>
        <v>37878.78787878788</v>
      </c>
      <c r="N356" s="44">
        <f t="shared" si="10"/>
        <v>35.904064340083302</v>
      </c>
      <c r="O356" s="45">
        <f t="shared" si="11"/>
        <v>2822</v>
      </c>
      <c r="P356" s="14" t="str">
        <f>IF(D356&gt;=Assumptions!$P$144,"High",IF(D356&gt;=Assumptions!$AH$144,"Mid",IF(D356&lt;=Assumptions!$G$144,"Low","Loading")))</f>
        <v>Mid</v>
      </c>
      <c r="Q356" s="46">
        <f>MAX(K356,MIN(Assumptions!$S$144,O356),Q357)</f>
        <v>2822</v>
      </c>
      <c r="R356" s="12">
        <f>IF(AND(Q356&lt;=K356,INDEX(Assumptions!$C$26:$C$36,MATCH(G356,Assumptions!$A$26:$A$36,0))&lt;&gt;""),INDEX(Assumptions!$C$26:$C$36,MATCH(G356,Assumptions!$A$26:$A$36,0)),ROUND(G356*Q356,-2))</f>
        <v>2977200</v>
      </c>
      <c r="S356" s="47" t="str">
        <f>TRIM(IF(AND(Assumptions!$L$144&lt;&gt;"",D356&lt;Assumptions!$L$144),"View blocked / roof in front ("&amp;Assumptions!$M$144&amp;"); view premium still loading until L"&amp;Assumptions!$L$144&amp;". ","")&amp;IF(D356=Assumptions!$AH$144,"Mid-floor view premium fully loaded. ","")&amp;IF(D356=Assumptions!$P$144,"High-floor view premium fully loaded. ","")&amp;IF(Q356&lt;=K356,"At developer starting price.",""))</f>
        <v/>
      </c>
      <c r="T356" s="48" t="str">
        <f>Assumptions!$AJ$144</f>
        <v>NNE. Inner pool facing: Island Pool in front, Island Club behind it</v>
      </c>
    </row>
    <row r="357" spans="1:20" x14ac:dyDescent="0.2">
      <c r="A357" s="13" t="s">
        <v>492</v>
      </c>
      <c r="B357" s="14">
        <v>3</v>
      </c>
      <c r="C357" s="40">
        <v>18</v>
      </c>
      <c r="D357" s="40">
        <v>9</v>
      </c>
      <c r="E357" s="9" t="s">
        <v>46</v>
      </c>
      <c r="F357" s="14" t="s">
        <v>225</v>
      </c>
      <c r="G357" s="10">
        <v>1055</v>
      </c>
      <c r="H357" s="14" t="s">
        <v>62</v>
      </c>
      <c r="I357" s="41" t="str">
        <f>Assumptions!$I$144</f>
        <v>B</v>
      </c>
      <c r="J357" s="14" t="str">
        <f>IF(D357&lt;=Assumptions!$V$144,"Low",IF(D357&lt;=Assumptions!$W$144,"Mid","High"))</f>
        <v>Mid</v>
      </c>
      <c r="K357" s="15">
        <f>Assumptions!$Q$144</f>
        <v>2633</v>
      </c>
      <c r="L357" s="42">
        <f>INDEX(Assumptions!$K$61:$K$90,D357)</f>
        <v>2772.6644549763037</v>
      </c>
      <c r="M357" s="43">
        <f>IF(D357&lt;=Assumptions!$G$144,Assumptions!$AK$144,IF(D357&lt;Assumptions!$AH$144,Assumptions!$AK$144+(Assumptions!$AL$144-Assumptions!$AK$144)*(D357-Assumptions!$G$144)/(Assumptions!$AH$144-Assumptions!$G$144),IF(D357&lt;Assumptions!$P$144,Assumptions!$AL$144+(Assumptions!$AM$144-Assumptions!$AL$144)*(D357-Assumptions!$AH$144)/(Assumptions!$P$144-Assumptions!$AH$144),Assumptions!$AM$144)))</f>
        <v>40909.090909090912</v>
      </c>
      <c r="N357" s="44">
        <f t="shared" si="10"/>
        <v>38.776389487289961</v>
      </c>
      <c r="O357" s="45">
        <f t="shared" si="11"/>
        <v>2811</v>
      </c>
      <c r="P357" s="14" t="str">
        <f>IF(D357&gt;=Assumptions!$P$144,"High",IF(D357&gt;=Assumptions!$AH$144,"Mid",IF(D357&lt;=Assumptions!$G$144,"Low","Loading")))</f>
        <v>Mid</v>
      </c>
      <c r="Q357" s="46">
        <f>MAX(K357,MIN(Assumptions!$S$144,O357),Q358)</f>
        <v>2811</v>
      </c>
      <c r="R357" s="12">
        <f>IF(AND(Q357&lt;=K357,INDEX(Assumptions!$C$26:$C$36,MATCH(G357,Assumptions!$A$26:$A$36,0))&lt;&gt;""),INDEX(Assumptions!$C$26:$C$36,MATCH(G357,Assumptions!$A$26:$A$36,0)),ROUND(G357*Q357,-2))</f>
        <v>2965600</v>
      </c>
      <c r="S357" s="47" t="str">
        <f>TRIM(IF(AND(Assumptions!$L$144&lt;&gt;"",D357&lt;Assumptions!$L$144),"View blocked / roof in front ("&amp;Assumptions!$M$144&amp;"); view premium still loading until L"&amp;Assumptions!$L$144&amp;". ","")&amp;IF(D357=Assumptions!$AH$144,"Mid-floor view premium fully loaded. ","")&amp;IF(D357=Assumptions!$P$144,"High-floor view premium fully loaded. ","")&amp;IF(Q357&lt;=K357,"At developer starting price.",""))</f>
        <v>Mid-floor view premium fully loaded.</v>
      </c>
      <c r="T357" s="48" t="str">
        <f>Assumptions!$AJ$144</f>
        <v>NNE. Inner pool facing: Island Pool in front, Island Club behind it</v>
      </c>
    </row>
    <row r="358" spans="1:20" x14ac:dyDescent="0.2">
      <c r="A358" s="13" t="s">
        <v>493</v>
      </c>
      <c r="B358" s="14">
        <v>3</v>
      </c>
      <c r="C358" s="40">
        <v>18</v>
      </c>
      <c r="D358" s="40">
        <v>8</v>
      </c>
      <c r="E358" s="9" t="s">
        <v>46</v>
      </c>
      <c r="F358" s="14" t="s">
        <v>225</v>
      </c>
      <c r="G358" s="10">
        <v>1055</v>
      </c>
      <c r="H358" s="14" t="s">
        <v>62</v>
      </c>
      <c r="I358" s="41" t="str">
        <f>Assumptions!$I$144</f>
        <v>B</v>
      </c>
      <c r="J358" s="14" t="str">
        <f>IF(D358&lt;=Assumptions!$V$144,"Low",IF(D358&lt;=Assumptions!$W$144,"Mid","High"))</f>
        <v>Low</v>
      </c>
      <c r="K358" s="15">
        <f>Assumptions!$Q$144</f>
        <v>2633</v>
      </c>
      <c r="L358" s="42">
        <f>INDEX(Assumptions!$K$61:$K$90,D358)</f>
        <v>2759.4828706838189</v>
      </c>
      <c r="M358" s="43">
        <f>IF(D358&lt;=Assumptions!$G$144,Assumptions!$AK$144,IF(D358&lt;Assumptions!$AH$144,Assumptions!$AK$144+(Assumptions!$AL$144-Assumptions!$AK$144)*(D358-Assumptions!$G$144)/(Assumptions!$AH$144-Assumptions!$G$144),IF(D358&lt;Assumptions!$P$144,Assumptions!$AL$144+(Assumptions!$AM$144-Assumptions!$AL$144)*(D358-Assumptions!$AH$144)/(Assumptions!$P$144-Assumptions!$AH$144),Assumptions!$AM$144)))</f>
        <v>42207.792207792212</v>
      </c>
      <c r="N358" s="44">
        <f t="shared" si="10"/>
        <v>40.007385978949962</v>
      </c>
      <c r="O358" s="45">
        <f t="shared" si="11"/>
        <v>2799</v>
      </c>
      <c r="P358" s="14" t="str">
        <f>IF(D358&gt;=Assumptions!$P$144,"High",IF(D358&gt;=Assumptions!$AH$144,"Mid",IF(D358&lt;=Assumptions!$G$144,"Low","Loading")))</f>
        <v>Loading</v>
      </c>
      <c r="Q358" s="46">
        <f>MAX(K358,MIN(Assumptions!$S$144,O358),Q359)</f>
        <v>2799</v>
      </c>
      <c r="R358" s="12">
        <f>IF(AND(Q358&lt;=K358,INDEX(Assumptions!$C$26:$C$36,MATCH(G358,Assumptions!$A$26:$A$36,0))&lt;&gt;""),INDEX(Assumptions!$C$26:$C$36,MATCH(G358,Assumptions!$A$26:$A$36,0)),ROUND(G358*Q358,-2))</f>
        <v>2952900</v>
      </c>
      <c r="S358" s="47" t="str">
        <f>TRIM(IF(AND(Assumptions!$L$144&lt;&gt;"",D358&lt;Assumptions!$L$144),"View blocked / roof in front ("&amp;Assumptions!$M$144&amp;"); view premium still loading until L"&amp;Assumptions!$L$144&amp;". ","")&amp;IF(D358=Assumptions!$AH$144,"Mid-floor view premium fully loaded. ","")&amp;IF(D358=Assumptions!$P$144,"High-floor view premium fully loaded. ","")&amp;IF(Q358&lt;=K358,"At developer starting price.",""))</f>
        <v/>
      </c>
      <c r="T358" s="48" t="str">
        <f>Assumptions!$AJ$144</f>
        <v>NNE. Inner pool facing: Island Pool in front, Island Club behind it</v>
      </c>
    </row>
    <row r="359" spans="1:20" x14ac:dyDescent="0.2">
      <c r="A359" s="13" t="s">
        <v>494</v>
      </c>
      <c r="B359" s="14">
        <v>3</v>
      </c>
      <c r="C359" s="40">
        <v>18</v>
      </c>
      <c r="D359" s="40">
        <v>7</v>
      </c>
      <c r="E359" s="9" t="s">
        <v>46</v>
      </c>
      <c r="F359" s="14" t="s">
        <v>225</v>
      </c>
      <c r="G359" s="10">
        <v>1055</v>
      </c>
      <c r="H359" s="14" t="s">
        <v>62</v>
      </c>
      <c r="I359" s="41" t="str">
        <f>Assumptions!$I$144</f>
        <v>B</v>
      </c>
      <c r="J359" s="14" t="str">
        <f>IF(D359&lt;=Assumptions!$V$144,"Low",IF(D359&lt;=Assumptions!$W$144,"Mid","High"))</f>
        <v>Low</v>
      </c>
      <c r="K359" s="15">
        <f>Assumptions!$Q$144</f>
        <v>2633</v>
      </c>
      <c r="L359" s="42">
        <f>INDEX(Assumptions!$K$61:$K$90,D359)</f>
        <v>2746.3012863913341</v>
      </c>
      <c r="M359" s="43">
        <f>IF(D359&lt;=Assumptions!$G$144,Assumptions!$AK$144,IF(D359&lt;Assumptions!$AH$144,Assumptions!$AK$144+(Assumptions!$AL$144-Assumptions!$AK$144)*(D359-Assumptions!$G$144)/(Assumptions!$AH$144-Assumptions!$G$144),IF(D359&lt;Assumptions!$P$144,Assumptions!$AL$144+(Assumptions!$AM$144-Assumptions!$AL$144)*(D359-Assumptions!$AH$144)/(Assumptions!$P$144-Assumptions!$AH$144),Assumptions!$AM$144)))</f>
        <v>43506.493506493505</v>
      </c>
      <c r="N359" s="44">
        <f t="shared" si="10"/>
        <v>41.238382470609956</v>
      </c>
      <c r="O359" s="45">
        <f t="shared" si="11"/>
        <v>2788</v>
      </c>
      <c r="P359" s="14" t="str">
        <f>IF(D359&gt;=Assumptions!$P$144,"High",IF(D359&gt;=Assumptions!$AH$144,"Mid",IF(D359&lt;=Assumptions!$G$144,"Low","Loading")))</f>
        <v>Loading</v>
      </c>
      <c r="Q359" s="46">
        <f>MAX(K359,MIN(Assumptions!$S$144,O359),Q360)</f>
        <v>2788</v>
      </c>
      <c r="R359" s="12">
        <f>IF(AND(Q359&lt;=K359,INDEX(Assumptions!$C$26:$C$36,MATCH(G359,Assumptions!$A$26:$A$36,0))&lt;&gt;""),INDEX(Assumptions!$C$26:$C$36,MATCH(G359,Assumptions!$A$26:$A$36,0)),ROUND(G359*Q359,-2))</f>
        <v>2941300</v>
      </c>
      <c r="S359" s="47" t="str">
        <f>TRIM(IF(AND(Assumptions!$L$144&lt;&gt;"",D359&lt;Assumptions!$L$144),"View blocked / roof in front ("&amp;Assumptions!$M$144&amp;"); view premium still loading until L"&amp;Assumptions!$L$144&amp;". ","")&amp;IF(D359=Assumptions!$AH$144,"Mid-floor view premium fully loaded. ","")&amp;IF(D359=Assumptions!$P$144,"High-floor view premium fully loaded. ","")&amp;IF(Q359&lt;=K359,"At developer starting price.",""))</f>
        <v/>
      </c>
      <c r="T359" s="48" t="str">
        <f>Assumptions!$AJ$144</f>
        <v>NNE. Inner pool facing: Island Pool in front, Island Club behind it</v>
      </c>
    </row>
    <row r="360" spans="1:20" x14ac:dyDescent="0.2">
      <c r="A360" s="13" t="s">
        <v>495</v>
      </c>
      <c r="B360" s="14">
        <v>3</v>
      </c>
      <c r="C360" s="40">
        <v>18</v>
      </c>
      <c r="D360" s="40">
        <v>6</v>
      </c>
      <c r="E360" s="9" t="s">
        <v>46</v>
      </c>
      <c r="F360" s="14" t="s">
        <v>225</v>
      </c>
      <c r="G360" s="10">
        <v>1055</v>
      </c>
      <c r="H360" s="14" t="s">
        <v>62</v>
      </c>
      <c r="I360" s="41" t="str">
        <f>Assumptions!$I$144</f>
        <v>B</v>
      </c>
      <c r="J360" s="14" t="str">
        <f>IF(D360&lt;=Assumptions!$V$144,"Low",IF(D360&lt;=Assumptions!$W$144,"Mid","High"))</f>
        <v>Low</v>
      </c>
      <c r="K360" s="15">
        <f>Assumptions!$Q$144</f>
        <v>2633</v>
      </c>
      <c r="L360" s="42">
        <f>INDEX(Assumptions!$K$61:$K$90,D360)</f>
        <v>2733.1197020988493</v>
      </c>
      <c r="M360" s="43">
        <f>IF(D360&lt;=Assumptions!$G$144,Assumptions!$AK$144,IF(D360&lt;Assumptions!$AH$144,Assumptions!$AK$144+(Assumptions!$AL$144-Assumptions!$AK$144)*(D360-Assumptions!$G$144)/(Assumptions!$AH$144-Assumptions!$G$144),IF(D360&lt;Assumptions!$P$144,Assumptions!$AL$144+(Assumptions!$AM$144-Assumptions!$AL$144)*(D360-Assumptions!$AH$144)/(Assumptions!$P$144-Assumptions!$AH$144),Assumptions!$AM$144)))</f>
        <v>44805.194805194806</v>
      </c>
      <c r="N360" s="44">
        <f t="shared" si="10"/>
        <v>42.469378962269957</v>
      </c>
      <c r="O360" s="45">
        <f t="shared" si="11"/>
        <v>2776</v>
      </c>
      <c r="P360" s="14" t="str">
        <f>IF(D360&gt;=Assumptions!$P$144,"High",IF(D360&gt;=Assumptions!$AH$144,"Mid",IF(D360&lt;=Assumptions!$G$144,"Low","Loading")))</f>
        <v>Loading</v>
      </c>
      <c r="Q360" s="46">
        <f>MAX(K360,MIN(Assumptions!$S$144,O360),Q361)</f>
        <v>2776</v>
      </c>
      <c r="R360" s="12">
        <f>IF(AND(Q360&lt;=K360,INDEX(Assumptions!$C$26:$C$36,MATCH(G360,Assumptions!$A$26:$A$36,0))&lt;&gt;""),INDEX(Assumptions!$C$26:$C$36,MATCH(G360,Assumptions!$A$26:$A$36,0)),ROUND(G360*Q360,-2))</f>
        <v>2928700</v>
      </c>
      <c r="S360" s="47" t="str">
        <f>TRIM(IF(AND(Assumptions!$L$144&lt;&gt;"",D360&lt;Assumptions!$L$144),"View blocked / roof in front ("&amp;Assumptions!$M$144&amp;"); view premium still loading until L"&amp;Assumptions!$L$144&amp;". ","")&amp;IF(D360=Assumptions!$AH$144,"Mid-floor view premium fully loaded. ","")&amp;IF(D360=Assumptions!$P$144,"High-floor view premium fully loaded. ","")&amp;IF(Q360&lt;=K360,"At developer starting price.",""))</f>
        <v/>
      </c>
      <c r="T360" s="48" t="str">
        <f>Assumptions!$AJ$144</f>
        <v>NNE. Inner pool facing: Island Pool in front, Island Club behind it</v>
      </c>
    </row>
    <row r="361" spans="1:20" x14ac:dyDescent="0.2">
      <c r="A361" s="13" t="s">
        <v>496</v>
      </c>
      <c r="B361" s="14">
        <v>3</v>
      </c>
      <c r="C361" s="40">
        <v>18</v>
      </c>
      <c r="D361" s="40">
        <v>5</v>
      </c>
      <c r="E361" s="9" t="s">
        <v>46</v>
      </c>
      <c r="F361" s="14" t="s">
        <v>225</v>
      </c>
      <c r="G361" s="10">
        <v>1055</v>
      </c>
      <c r="H361" s="14" t="s">
        <v>62</v>
      </c>
      <c r="I361" s="41" t="str">
        <f>Assumptions!$I$144</f>
        <v>B</v>
      </c>
      <c r="J361" s="14" t="str">
        <f>IF(D361&lt;=Assumptions!$V$144,"Low",IF(D361&lt;=Assumptions!$W$144,"Mid","High"))</f>
        <v>Low</v>
      </c>
      <c r="K361" s="15">
        <f>Assumptions!$Q$144</f>
        <v>2633</v>
      </c>
      <c r="L361" s="42">
        <f>INDEX(Assumptions!$K$61:$K$90,D361)</f>
        <v>2719.9381178063645</v>
      </c>
      <c r="M361" s="43">
        <f>IF(D361&lt;=Assumptions!$G$144,Assumptions!$AK$144,IF(D361&lt;Assumptions!$AH$144,Assumptions!$AK$144+(Assumptions!$AL$144-Assumptions!$AK$144)*(D361-Assumptions!$G$144)/(Assumptions!$AH$144-Assumptions!$G$144),IF(D361&lt;Assumptions!$P$144,Assumptions!$AL$144+(Assumptions!$AM$144-Assumptions!$AL$144)*(D361-Assumptions!$AH$144)/(Assumptions!$P$144-Assumptions!$AH$144),Assumptions!$AM$144)))</f>
        <v>46103.896103896106</v>
      </c>
      <c r="N361" s="44">
        <f t="shared" si="10"/>
        <v>43.700375453929958</v>
      </c>
      <c r="O361" s="45">
        <f t="shared" si="11"/>
        <v>2764</v>
      </c>
      <c r="P361" s="14" t="str">
        <f>IF(D361&gt;=Assumptions!$P$144,"High",IF(D361&gt;=Assumptions!$AH$144,"Mid",IF(D361&lt;=Assumptions!$G$144,"Low","Loading")))</f>
        <v>Loading</v>
      </c>
      <c r="Q361" s="46">
        <f>MAX(K361,MIN(Assumptions!$S$144,O361),Q362)</f>
        <v>2764</v>
      </c>
      <c r="R361" s="12">
        <f>IF(AND(Q361&lt;=K361,INDEX(Assumptions!$C$26:$C$36,MATCH(G361,Assumptions!$A$26:$A$36,0))&lt;&gt;""),INDEX(Assumptions!$C$26:$C$36,MATCH(G361,Assumptions!$A$26:$A$36,0)),ROUND(G361*Q361,-2))</f>
        <v>2916000</v>
      </c>
      <c r="S361" s="47" t="str">
        <f>TRIM(IF(AND(Assumptions!$L$144&lt;&gt;"",D361&lt;Assumptions!$L$144),"View blocked / roof in front ("&amp;Assumptions!$M$144&amp;"); view premium still loading until L"&amp;Assumptions!$L$144&amp;". ","")&amp;IF(D361=Assumptions!$AH$144,"Mid-floor view premium fully loaded. ","")&amp;IF(D361=Assumptions!$P$144,"High-floor view premium fully loaded. ","")&amp;IF(Q361&lt;=K361,"At developer starting price.",""))</f>
        <v/>
      </c>
      <c r="T361" s="48" t="str">
        <f>Assumptions!$AJ$144</f>
        <v>NNE. Inner pool facing: Island Pool in front, Island Club behind it</v>
      </c>
    </row>
    <row r="362" spans="1:20" x14ac:dyDescent="0.2">
      <c r="A362" s="13" t="s">
        <v>497</v>
      </c>
      <c r="B362" s="14">
        <v>3</v>
      </c>
      <c r="C362" s="40">
        <v>18</v>
      </c>
      <c r="D362" s="40">
        <v>4</v>
      </c>
      <c r="E362" s="9" t="s">
        <v>46</v>
      </c>
      <c r="F362" s="14" t="s">
        <v>225</v>
      </c>
      <c r="G362" s="10">
        <v>1055</v>
      </c>
      <c r="H362" s="14" t="s">
        <v>62</v>
      </c>
      <c r="I362" s="41" t="str">
        <f>Assumptions!$I$144</f>
        <v>B</v>
      </c>
      <c r="J362" s="14" t="str">
        <f>IF(D362&lt;=Assumptions!$V$144,"Low",IF(D362&lt;=Assumptions!$W$144,"Mid","High"))</f>
        <v>Low</v>
      </c>
      <c r="K362" s="15">
        <f>Assumptions!$Q$144</f>
        <v>2633</v>
      </c>
      <c r="L362" s="42">
        <f>INDEX(Assumptions!$K$61:$K$90,D362)</f>
        <v>2706.7565335138797</v>
      </c>
      <c r="M362" s="43">
        <f>IF(D362&lt;=Assumptions!$G$144,Assumptions!$AK$144,IF(D362&lt;Assumptions!$AH$144,Assumptions!$AK$144+(Assumptions!$AL$144-Assumptions!$AK$144)*(D362-Assumptions!$G$144)/(Assumptions!$AH$144-Assumptions!$G$144),IF(D362&lt;Assumptions!$P$144,Assumptions!$AL$144+(Assumptions!$AM$144-Assumptions!$AL$144)*(D362-Assumptions!$AH$144)/(Assumptions!$P$144-Assumptions!$AH$144),Assumptions!$AM$144)))</f>
        <v>47402.597402597406</v>
      </c>
      <c r="N362" s="44">
        <f t="shared" si="10"/>
        <v>44.931371945589959</v>
      </c>
      <c r="O362" s="45">
        <f t="shared" si="11"/>
        <v>2752</v>
      </c>
      <c r="P362" s="14" t="str">
        <f>IF(D362&gt;=Assumptions!$P$144,"High",IF(D362&gt;=Assumptions!$AH$144,"Mid",IF(D362&lt;=Assumptions!$G$144,"Low","Loading")))</f>
        <v>Loading</v>
      </c>
      <c r="Q362" s="46">
        <f>MAX(K362,MIN(Assumptions!$S$144,O362),Q363)</f>
        <v>2752</v>
      </c>
      <c r="R362" s="12">
        <f>IF(AND(Q362&lt;=K362,INDEX(Assumptions!$C$26:$C$36,MATCH(G362,Assumptions!$A$26:$A$36,0))&lt;&gt;""),INDEX(Assumptions!$C$26:$C$36,MATCH(G362,Assumptions!$A$26:$A$36,0)),ROUND(G362*Q362,-2))</f>
        <v>2903400</v>
      </c>
      <c r="S362" s="47" t="str">
        <f>TRIM(IF(AND(Assumptions!$L$144&lt;&gt;"",D362&lt;Assumptions!$L$144),"View blocked / roof in front ("&amp;Assumptions!$M$144&amp;"); view premium still loading until L"&amp;Assumptions!$L$144&amp;". ","")&amp;IF(D362=Assumptions!$AH$144,"Mid-floor view premium fully loaded. ","")&amp;IF(D362=Assumptions!$P$144,"High-floor view premium fully loaded. ","")&amp;IF(Q362&lt;=K362,"At developer starting price.",""))</f>
        <v/>
      </c>
      <c r="T362" s="48" t="str">
        <f>Assumptions!$AJ$144</f>
        <v>NNE. Inner pool facing: Island Pool in front, Island Club behind it</v>
      </c>
    </row>
    <row r="363" spans="1:20" x14ac:dyDescent="0.2">
      <c r="A363" s="13" t="s">
        <v>498</v>
      </c>
      <c r="B363" s="14">
        <v>3</v>
      </c>
      <c r="C363" s="40">
        <v>18</v>
      </c>
      <c r="D363" s="40">
        <v>3</v>
      </c>
      <c r="E363" s="9" t="s">
        <v>46</v>
      </c>
      <c r="F363" s="14" t="s">
        <v>225</v>
      </c>
      <c r="G363" s="10">
        <v>1055</v>
      </c>
      <c r="H363" s="14" t="s">
        <v>62</v>
      </c>
      <c r="I363" s="41" t="str">
        <f>Assumptions!$I$144</f>
        <v>B</v>
      </c>
      <c r="J363" s="14" t="str">
        <f>IF(D363&lt;=Assumptions!$V$144,"Low",IF(D363&lt;=Assumptions!$W$144,"Mid","High"))</f>
        <v>Low</v>
      </c>
      <c r="K363" s="15">
        <f>Assumptions!$Q$144</f>
        <v>2633</v>
      </c>
      <c r="L363" s="42">
        <f>INDEX(Assumptions!$K$61:$K$90,D363)</f>
        <v>2693.5749492213949</v>
      </c>
      <c r="M363" s="43">
        <f>IF(D363&lt;=Assumptions!$G$144,Assumptions!$AK$144,IF(D363&lt;Assumptions!$AH$144,Assumptions!$AK$144+(Assumptions!$AL$144-Assumptions!$AK$144)*(D363-Assumptions!$G$144)/(Assumptions!$AH$144-Assumptions!$G$144),IF(D363&lt;Assumptions!$P$144,Assumptions!$AL$144+(Assumptions!$AM$144-Assumptions!$AL$144)*(D363-Assumptions!$AH$144)/(Assumptions!$P$144-Assumptions!$AH$144),Assumptions!$AM$144)))</f>
        <v>48701.2987012987</v>
      </c>
      <c r="N363" s="44">
        <f t="shared" si="10"/>
        <v>46.162368437249953</v>
      </c>
      <c r="O363" s="45">
        <f t="shared" si="11"/>
        <v>2740</v>
      </c>
      <c r="P363" s="14" t="str">
        <f>IF(D363&gt;=Assumptions!$P$144,"High",IF(D363&gt;=Assumptions!$AH$144,"Mid",IF(D363&lt;=Assumptions!$G$144,"Low","Loading")))</f>
        <v>Loading</v>
      </c>
      <c r="Q363" s="46">
        <f>MAX(K363,MIN(Assumptions!$S$144,O363),Q364)</f>
        <v>2740</v>
      </c>
      <c r="R363" s="12">
        <f>IF(AND(Q363&lt;=K363,INDEX(Assumptions!$C$26:$C$36,MATCH(G363,Assumptions!$A$26:$A$36,0))&lt;&gt;""),INDEX(Assumptions!$C$26:$C$36,MATCH(G363,Assumptions!$A$26:$A$36,0)),ROUND(G363*Q363,-2))</f>
        <v>2890700</v>
      </c>
      <c r="S363" s="47" t="str">
        <f>TRIM(IF(AND(Assumptions!$L$144&lt;&gt;"",D363&lt;Assumptions!$L$144),"View blocked / roof in front ("&amp;Assumptions!$M$144&amp;"); view premium still loading until L"&amp;Assumptions!$L$144&amp;". ","")&amp;IF(D363=Assumptions!$AH$144,"Mid-floor view premium fully loaded. ","")&amp;IF(D363=Assumptions!$P$144,"High-floor view premium fully loaded. ","")&amp;IF(Q363&lt;=K363,"At developer starting price.",""))</f>
        <v/>
      </c>
      <c r="T363" s="48" t="str">
        <f>Assumptions!$AJ$144</f>
        <v>NNE. Inner pool facing: Island Pool in front, Island Club behind it</v>
      </c>
    </row>
    <row r="364" spans="1:20" x14ac:dyDescent="0.2">
      <c r="A364" s="13" t="s">
        <v>499</v>
      </c>
      <c r="B364" s="14">
        <v>3</v>
      </c>
      <c r="C364" s="40">
        <v>18</v>
      </c>
      <c r="D364" s="40">
        <v>2</v>
      </c>
      <c r="E364" s="9" t="s">
        <v>46</v>
      </c>
      <c r="F364" s="14" t="s">
        <v>245</v>
      </c>
      <c r="G364" s="10">
        <v>1055</v>
      </c>
      <c r="H364" s="14" t="s">
        <v>62</v>
      </c>
      <c r="I364" s="41" t="str">
        <f>Assumptions!$I$144</f>
        <v>B</v>
      </c>
      <c r="J364" s="14" t="str">
        <f>IF(D364&lt;=Assumptions!$V$144,"Low",IF(D364&lt;=Assumptions!$W$144,"Mid","High"))</f>
        <v>Low</v>
      </c>
      <c r="K364" s="15">
        <f>Assumptions!$Q$144</f>
        <v>2633</v>
      </c>
      <c r="L364" s="42">
        <f>INDEX(Assumptions!$K$61:$K$90,D364)</f>
        <v>2680.3933649289102</v>
      </c>
      <c r="M364" s="43">
        <f>IF(D364&lt;=Assumptions!$G$144,Assumptions!$AK$144,IF(D364&lt;Assumptions!$AH$144,Assumptions!$AK$144+(Assumptions!$AL$144-Assumptions!$AK$144)*(D364-Assumptions!$G$144)/(Assumptions!$AH$144-Assumptions!$G$144),IF(D364&lt;Assumptions!$P$144,Assumptions!$AL$144+(Assumptions!$AM$144-Assumptions!$AL$144)*(D364-Assumptions!$AH$144)/(Assumptions!$P$144-Assumptions!$AH$144),Assumptions!$AM$144)))</f>
        <v>50000</v>
      </c>
      <c r="N364" s="44">
        <f t="shared" si="10"/>
        <v>47.393364928909953</v>
      </c>
      <c r="O364" s="45">
        <f t="shared" si="11"/>
        <v>2728</v>
      </c>
      <c r="P364" s="14" t="str">
        <f>IF(D364&gt;=Assumptions!$P$144,"High",IF(D364&gt;=Assumptions!$AH$144,"Mid",IF(D364&lt;=Assumptions!$G$144,"Low","Loading")))</f>
        <v>Low</v>
      </c>
      <c r="Q364" s="46">
        <f>MAX(K364,MIN(Assumptions!$S$144,O364))</f>
        <v>2728</v>
      </c>
      <c r="R364" s="12">
        <f>IF(AND(Q364&lt;=K364,INDEX(Assumptions!$C$26:$C$36,MATCH(G364,Assumptions!$A$26:$A$36,0))&lt;&gt;""),INDEX(Assumptions!$C$26:$C$36,MATCH(G364,Assumptions!$A$26:$A$36,0)),ROUND(G364*Q364,-2))</f>
        <v>2878000</v>
      </c>
      <c r="S364" s="47" t="str">
        <f>TRIM(IF(AND(Assumptions!$L$144&lt;&gt;"",D364&lt;Assumptions!$L$144),"View blocked / roof in front ("&amp;Assumptions!$M$144&amp;"); view premium still loading until L"&amp;Assumptions!$L$144&amp;". ","")&amp;IF(D364=Assumptions!$AH$144,"Mid-floor view premium fully loaded. ","")&amp;IF(D364=Assumptions!$P$144,"High-floor view premium fully loaded. ","")&amp;IF(Q364&lt;=K364,"At developer starting price.",""))</f>
        <v/>
      </c>
      <c r="T364" s="48" t="str">
        <f>Assumptions!$AJ$144</f>
        <v>NNE. Inner pool facing: Island Pool in front, Island Club behind it</v>
      </c>
    </row>
    <row r="365" spans="1:20" x14ac:dyDescent="0.2">
      <c r="A365" s="49" t="s">
        <v>500</v>
      </c>
      <c r="B365" s="29">
        <v>5</v>
      </c>
      <c r="C365" s="50">
        <v>19</v>
      </c>
      <c r="D365" s="50">
        <v>30</v>
      </c>
      <c r="E365" s="27" t="s">
        <v>51</v>
      </c>
      <c r="F365" s="29" t="s">
        <v>501</v>
      </c>
      <c r="G365" s="28">
        <v>1808</v>
      </c>
      <c r="H365" s="29" t="s">
        <v>65</v>
      </c>
      <c r="I365" s="38" t="str">
        <f>Assumptions!$I$145</f>
        <v>A</v>
      </c>
      <c r="J365" s="29" t="str">
        <f>IF(D365&lt;=Assumptions!$V$145,"Low",IF(D365&lt;=Assumptions!$W$145,"Mid","High"))</f>
        <v>High</v>
      </c>
      <c r="K365" s="51">
        <f>Assumptions!$Q$145</f>
        <v>2800</v>
      </c>
      <c r="L365" s="52">
        <f>INDEX(Assumptions!$R$61:$R$90,D365)</f>
        <v>3328.2263157894736</v>
      </c>
      <c r="M365" s="53">
        <f>IF(D365&lt;=Assumptions!$G$145,Assumptions!$AK$145,IF(D365&lt;Assumptions!$AH$145,Assumptions!$AK$145+(Assumptions!$AL$145-Assumptions!$AK$145)*(D365-Assumptions!$G$145)/(Assumptions!$AH$145-Assumptions!$G$145),IF(D365&lt;Assumptions!$P$145,Assumptions!$AL$145+(Assumptions!$AM$145-Assumptions!$AL$145)*(D365-Assumptions!$AH$145)/(Assumptions!$P$145-Assumptions!$AH$145),Assumptions!$AM$145)))</f>
        <v>0</v>
      </c>
      <c r="N365" s="54">
        <f t="shared" si="10"/>
        <v>0</v>
      </c>
      <c r="O365" s="55">
        <f t="shared" si="11"/>
        <v>3328</v>
      </c>
      <c r="P365" s="29" t="str">
        <f>IF(D365&gt;=Assumptions!$P$145,"High",IF(D365&gt;=Assumptions!$AH$145,"Mid",IF(D365&lt;=Assumptions!$G$145,"Low","Loading")))</f>
        <v>High</v>
      </c>
      <c r="Q365" s="39">
        <f>MAX(K365,MIN(Assumptions!$S$145,O365),Q366)</f>
        <v>3328</v>
      </c>
      <c r="R365" s="30">
        <f>IF(AND(Q365&lt;=K365,INDEX(Assumptions!$C$26:$C$36,MATCH(G365,Assumptions!$A$26:$A$36,0))&lt;&gt;""),INDEX(Assumptions!$C$26:$C$36,MATCH(G365,Assumptions!$A$26:$A$36,0)),ROUND(G365*Q365,-2))</f>
        <v>6017000</v>
      </c>
      <c r="S365" s="56" t="str">
        <f>TRIM(IF(AND(Assumptions!$L$145&lt;&gt;"",D365&lt;Assumptions!$L$145),"View blocked / roof in front ("&amp;Assumptions!$M$145&amp;"); view premium still loading until L"&amp;Assumptions!$L$145&amp;". ","")&amp;IF(D365=Assumptions!$AH$145,"Mid-floor view premium fully loaded. ","")&amp;IF(D365=Assumptions!$P$145,"High-floor view premium fully loaded. ","")&amp;IF(Q365&lt;=K365,"At developer starting price.",""))</f>
        <v/>
      </c>
      <c r="T365" s="57" t="str">
        <f>Assumptions!$AJ$145</f>
        <v>SW. The only 5BR: direct landed + nature reserve, 171m pool; possible MacRitchie Reservoir on top floors</v>
      </c>
    </row>
    <row r="366" spans="1:20" x14ac:dyDescent="0.2">
      <c r="A366" s="49" t="s">
        <v>502</v>
      </c>
      <c r="B366" s="29">
        <v>5</v>
      </c>
      <c r="C366" s="50">
        <v>19</v>
      </c>
      <c r="D366" s="50">
        <v>29</v>
      </c>
      <c r="E366" s="27" t="s">
        <v>51</v>
      </c>
      <c r="F366" s="29" t="s">
        <v>501</v>
      </c>
      <c r="G366" s="28">
        <v>1808</v>
      </c>
      <c r="H366" s="29" t="s">
        <v>65</v>
      </c>
      <c r="I366" s="38" t="str">
        <f>Assumptions!$I$145</f>
        <v>A</v>
      </c>
      <c r="J366" s="29" t="str">
        <f>IF(D366&lt;=Assumptions!$V$145,"Low",IF(D366&lt;=Assumptions!$W$145,"Mid","High"))</f>
        <v>High</v>
      </c>
      <c r="K366" s="51">
        <f>Assumptions!$Q$145</f>
        <v>2800</v>
      </c>
      <c r="L366" s="52">
        <f>INDEX(Assumptions!$R$61:$R$90,D366)</f>
        <v>3299.7315789473682</v>
      </c>
      <c r="M366" s="53">
        <f>IF(D366&lt;=Assumptions!$G$145,Assumptions!$AK$145,IF(D366&lt;Assumptions!$AH$145,Assumptions!$AK$145+(Assumptions!$AL$145-Assumptions!$AK$145)*(D366-Assumptions!$G$145)/(Assumptions!$AH$145-Assumptions!$G$145),IF(D366&lt;Assumptions!$P$145,Assumptions!$AL$145+(Assumptions!$AM$145-Assumptions!$AL$145)*(D366-Assumptions!$AH$145)/(Assumptions!$P$145-Assumptions!$AH$145),Assumptions!$AM$145)))</f>
        <v>0</v>
      </c>
      <c r="N366" s="54">
        <f t="shared" si="10"/>
        <v>0</v>
      </c>
      <c r="O366" s="55">
        <f t="shared" si="11"/>
        <v>3300</v>
      </c>
      <c r="P366" s="29" t="str">
        <f>IF(D366&gt;=Assumptions!$P$145,"High",IF(D366&gt;=Assumptions!$AH$145,"Mid",IF(D366&lt;=Assumptions!$G$145,"Low","Loading")))</f>
        <v>High</v>
      </c>
      <c r="Q366" s="39">
        <f>MAX(K366,MIN(Assumptions!$S$145,O366),Q367)</f>
        <v>3300</v>
      </c>
      <c r="R366" s="30">
        <f>IF(AND(Q366&lt;=K366,INDEX(Assumptions!$C$26:$C$36,MATCH(G366,Assumptions!$A$26:$A$36,0))&lt;&gt;""),INDEX(Assumptions!$C$26:$C$36,MATCH(G366,Assumptions!$A$26:$A$36,0)),ROUND(G366*Q366,-2))</f>
        <v>5966400</v>
      </c>
      <c r="S366" s="56" t="str">
        <f>TRIM(IF(AND(Assumptions!$L$145&lt;&gt;"",D366&lt;Assumptions!$L$145),"View blocked / roof in front ("&amp;Assumptions!$M$145&amp;"); view premium still loading until L"&amp;Assumptions!$L$145&amp;". ","")&amp;IF(D366=Assumptions!$AH$145,"Mid-floor view premium fully loaded. ","")&amp;IF(D366=Assumptions!$P$145,"High-floor view premium fully loaded. ","")&amp;IF(Q366&lt;=K366,"At developer starting price.",""))</f>
        <v/>
      </c>
      <c r="T366" s="57" t="str">
        <f>Assumptions!$AJ$145</f>
        <v>SW. The only 5BR: direct landed + nature reserve, 171m pool; possible MacRitchie Reservoir on top floors</v>
      </c>
    </row>
    <row r="367" spans="1:20" x14ac:dyDescent="0.2">
      <c r="A367" s="49" t="s">
        <v>503</v>
      </c>
      <c r="B367" s="29">
        <v>5</v>
      </c>
      <c r="C367" s="50">
        <v>19</v>
      </c>
      <c r="D367" s="50">
        <v>28</v>
      </c>
      <c r="E367" s="27" t="s">
        <v>51</v>
      </c>
      <c r="F367" s="29" t="s">
        <v>501</v>
      </c>
      <c r="G367" s="28">
        <v>1808</v>
      </c>
      <c r="H367" s="29" t="s">
        <v>65</v>
      </c>
      <c r="I367" s="38" t="str">
        <f>Assumptions!$I$145</f>
        <v>A</v>
      </c>
      <c r="J367" s="29" t="str">
        <f>IF(D367&lt;=Assumptions!$V$145,"Low",IF(D367&lt;=Assumptions!$W$145,"Mid","High"))</f>
        <v>High</v>
      </c>
      <c r="K367" s="51">
        <f>Assumptions!$Q$145</f>
        <v>2800</v>
      </c>
      <c r="L367" s="52">
        <f>INDEX(Assumptions!$R$61:$R$90,D367)</f>
        <v>3271.2368421052633</v>
      </c>
      <c r="M367" s="53">
        <f>IF(D367&lt;=Assumptions!$G$145,Assumptions!$AK$145,IF(D367&lt;Assumptions!$AH$145,Assumptions!$AK$145+(Assumptions!$AL$145-Assumptions!$AK$145)*(D367-Assumptions!$G$145)/(Assumptions!$AH$145-Assumptions!$G$145),IF(D367&lt;Assumptions!$P$145,Assumptions!$AL$145+(Assumptions!$AM$145-Assumptions!$AL$145)*(D367-Assumptions!$AH$145)/(Assumptions!$P$145-Assumptions!$AH$145),Assumptions!$AM$145)))</f>
        <v>0</v>
      </c>
      <c r="N367" s="54">
        <f t="shared" si="10"/>
        <v>0</v>
      </c>
      <c r="O367" s="55">
        <f t="shared" si="11"/>
        <v>3271</v>
      </c>
      <c r="P367" s="29" t="str">
        <f>IF(D367&gt;=Assumptions!$P$145,"High",IF(D367&gt;=Assumptions!$AH$145,"Mid",IF(D367&lt;=Assumptions!$G$145,"Low","Loading")))</f>
        <v>High</v>
      </c>
      <c r="Q367" s="39">
        <f>MAX(K367,MIN(Assumptions!$S$145,O367),Q368)</f>
        <v>3271</v>
      </c>
      <c r="R367" s="30">
        <f>IF(AND(Q367&lt;=K367,INDEX(Assumptions!$C$26:$C$36,MATCH(G367,Assumptions!$A$26:$A$36,0))&lt;&gt;""),INDEX(Assumptions!$C$26:$C$36,MATCH(G367,Assumptions!$A$26:$A$36,0)),ROUND(G367*Q367,-2))</f>
        <v>5914000</v>
      </c>
      <c r="S367" s="56" t="str">
        <f>TRIM(IF(AND(Assumptions!$L$145&lt;&gt;"",D367&lt;Assumptions!$L$145),"View blocked / roof in front ("&amp;Assumptions!$M$145&amp;"); view premium still loading until L"&amp;Assumptions!$L$145&amp;". ","")&amp;IF(D367=Assumptions!$AH$145,"Mid-floor view premium fully loaded. ","")&amp;IF(D367=Assumptions!$P$145,"High-floor view premium fully loaded. ","")&amp;IF(Q367&lt;=K367,"At developer starting price.",""))</f>
        <v/>
      </c>
      <c r="T367" s="57" t="str">
        <f>Assumptions!$AJ$145</f>
        <v>SW. The only 5BR: direct landed + nature reserve, 171m pool; possible MacRitchie Reservoir on top floors</v>
      </c>
    </row>
    <row r="368" spans="1:20" x14ac:dyDescent="0.2">
      <c r="A368" s="49" t="s">
        <v>504</v>
      </c>
      <c r="B368" s="29">
        <v>5</v>
      </c>
      <c r="C368" s="50">
        <v>19</v>
      </c>
      <c r="D368" s="50">
        <v>27</v>
      </c>
      <c r="E368" s="27" t="s">
        <v>51</v>
      </c>
      <c r="F368" s="29" t="s">
        <v>501</v>
      </c>
      <c r="G368" s="28">
        <v>1808</v>
      </c>
      <c r="H368" s="29" t="s">
        <v>65</v>
      </c>
      <c r="I368" s="38" t="str">
        <f>Assumptions!$I$145</f>
        <v>A</v>
      </c>
      <c r="J368" s="29" t="str">
        <f>IF(D368&lt;=Assumptions!$V$145,"Low",IF(D368&lt;=Assumptions!$W$145,"Mid","High"))</f>
        <v>High</v>
      </c>
      <c r="K368" s="51">
        <f>Assumptions!$Q$145</f>
        <v>2800</v>
      </c>
      <c r="L368" s="52">
        <f>INDEX(Assumptions!$R$61:$R$90,D368)</f>
        <v>3242.742105263158</v>
      </c>
      <c r="M368" s="53">
        <f>IF(D368&lt;=Assumptions!$G$145,Assumptions!$AK$145,IF(D368&lt;Assumptions!$AH$145,Assumptions!$AK$145+(Assumptions!$AL$145-Assumptions!$AK$145)*(D368-Assumptions!$G$145)/(Assumptions!$AH$145-Assumptions!$G$145),IF(D368&lt;Assumptions!$P$145,Assumptions!$AL$145+(Assumptions!$AM$145-Assumptions!$AL$145)*(D368-Assumptions!$AH$145)/(Assumptions!$P$145-Assumptions!$AH$145),Assumptions!$AM$145)))</f>
        <v>0</v>
      </c>
      <c r="N368" s="54">
        <f t="shared" si="10"/>
        <v>0</v>
      </c>
      <c r="O368" s="55">
        <f t="shared" si="11"/>
        <v>3243</v>
      </c>
      <c r="P368" s="29" t="str">
        <f>IF(D368&gt;=Assumptions!$P$145,"High",IF(D368&gt;=Assumptions!$AH$145,"Mid",IF(D368&lt;=Assumptions!$G$145,"Low","Loading")))</f>
        <v>High</v>
      </c>
      <c r="Q368" s="39">
        <f>MAX(K368,MIN(Assumptions!$S$145,O368),Q369)</f>
        <v>3243</v>
      </c>
      <c r="R368" s="30">
        <f>IF(AND(Q368&lt;=K368,INDEX(Assumptions!$C$26:$C$36,MATCH(G368,Assumptions!$A$26:$A$36,0))&lt;&gt;""),INDEX(Assumptions!$C$26:$C$36,MATCH(G368,Assumptions!$A$26:$A$36,0)),ROUND(G368*Q368,-2))</f>
        <v>5863300</v>
      </c>
      <c r="S368" s="56" t="str">
        <f>TRIM(IF(AND(Assumptions!$L$145&lt;&gt;"",D368&lt;Assumptions!$L$145),"View blocked / roof in front ("&amp;Assumptions!$M$145&amp;"); view premium still loading until L"&amp;Assumptions!$L$145&amp;". ","")&amp;IF(D368=Assumptions!$AH$145,"Mid-floor view premium fully loaded. ","")&amp;IF(D368=Assumptions!$P$145,"High-floor view premium fully loaded. ","")&amp;IF(Q368&lt;=K368,"At developer starting price.",""))</f>
        <v/>
      </c>
      <c r="T368" s="57" t="str">
        <f>Assumptions!$AJ$145</f>
        <v>SW. The only 5BR: direct landed + nature reserve, 171m pool; possible MacRitchie Reservoir on top floors</v>
      </c>
    </row>
    <row r="369" spans="1:20" x14ac:dyDescent="0.2">
      <c r="A369" s="49" t="s">
        <v>505</v>
      </c>
      <c r="B369" s="29">
        <v>5</v>
      </c>
      <c r="C369" s="50">
        <v>19</v>
      </c>
      <c r="D369" s="50">
        <v>26</v>
      </c>
      <c r="E369" s="27" t="s">
        <v>51</v>
      </c>
      <c r="F369" s="29" t="s">
        <v>501</v>
      </c>
      <c r="G369" s="28">
        <v>1808</v>
      </c>
      <c r="H369" s="29" t="s">
        <v>65</v>
      </c>
      <c r="I369" s="38" t="str">
        <f>Assumptions!$I$145</f>
        <v>A</v>
      </c>
      <c r="J369" s="29" t="str">
        <f>IF(D369&lt;=Assumptions!$V$145,"Low",IF(D369&lt;=Assumptions!$W$145,"Mid","High"))</f>
        <v>High</v>
      </c>
      <c r="K369" s="51">
        <f>Assumptions!$Q$145</f>
        <v>2800</v>
      </c>
      <c r="L369" s="52">
        <f>INDEX(Assumptions!$R$61:$R$90,D369)</f>
        <v>3214.2473684210527</v>
      </c>
      <c r="M369" s="53">
        <f>IF(D369&lt;=Assumptions!$G$145,Assumptions!$AK$145,IF(D369&lt;Assumptions!$AH$145,Assumptions!$AK$145+(Assumptions!$AL$145-Assumptions!$AK$145)*(D369-Assumptions!$G$145)/(Assumptions!$AH$145-Assumptions!$G$145),IF(D369&lt;Assumptions!$P$145,Assumptions!$AL$145+(Assumptions!$AM$145-Assumptions!$AL$145)*(D369-Assumptions!$AH$145)/(Assumptions!$P$145-Assumptions!$AH$145),Assumptions!$AM$145)))</f>
        <v>0</v>
      </c>
      <c r="N369" s="54">
        <f t="shared" si="10"/>
        <v>0</v>
      </c>
      <c r="O369" s="55">
        <f t="shared" si="11"/>
        <v>3214</v>
      </c>
      <c r="P369" s="29" t="str">
        <f>IF(D369&gt;=Assumptions!$P$145,"High",IF(D369&gt;=Assumptions!$AH$145,"Mid",IF(D369&lt;=Assumptions!$G$145,"Low","Loading")))</f>
        <v>High</v>
      </c>
      <c r="Q369" s="39">
        <f>MAX(K369,MIN(Assumptions!$S$145,O369),Q370)</f>
        <v>3214</v>
      </c>
      <c r="R369" s="30">
        <f>IF(AND(Q369&lt;=K369,INDEX(Assumptions!$C$26:$C$36,MATCH(G369,Assumptions!$A$26:$A$36,0))&lt;&gt;""),INDEX(Assumptions!$C$26:$C$36,MATCH(G369,Assumptions!$A$26:$A$36,0)),ROUND(G369*Q369,-2))</f>
        <v>5810900</v>
      </c>
      <c r="S369" s="56" t="str">
        <f>TRIM(IF(AND(Assumptions!$L$145&lt;&gt;"",D369&lt;Assumptions!$L$145),"View blocked / roof in front ("&amp;Assumptions!$M$145&amp;"); view premium still loading until L"&amp;Assumptions!$L$145&amp;". ","")&amp;IF(D369=Assumptions!$AH$145,"Mid-floor view premium fully loaded. ","")&amp;IF(D369=Assumptions!$P$145,"High-floor view premium fully loaded. ","")&amp;IF(Q369&lt;=K369,"At developer starting price.",""))</f>
        <v/>
      </c>
      <c r="T369" s="57" t="str">
        <f>Assumptions!$AJ$145</f>
        <v>SW. The only 5BR: direct landed + nature reserve, 171m pool; possible MacRitchie Reservoir on top floors</v>
      </c>
    </row>
    <row r="370" spans="1:20" x14ac:dyDescent="0.2">
      <c r="A370" s="49" t="s">
        <v>506</v>
      </c>
      <c r="B370" s="29">
        <v>5</v>
      </c>
      <c r="C370" s="50">
        <v>19</v>
      </c>
      <c r="D370" s="50">
        <v>25</v>
      </c>
      <c r="E370" s="27" t="s">
        <v>51</v>
      </c>
      <c r="F370" s="29" t="s">
        <v>501</v>
      </c>
      <c r="G370" s="28">
        <v>1808</v>
      </c>
      <c r="H370" s="29" t="s">
        <v>65</v>
      </c>
      <c r="I370" s="38" t="str">
        <f>Assumptions!$I$145</f>
        <v>A</v>
      </c>
      <c r="J370" s="29" t="str">
        <f>IF(D370&lt;=Assumptions!$V$145,"Low",IF(D370&lt;=Assumptions!$W$145,"Mid","High"))</f>
        <v>High</v>
      </c>
      <c r="K370" s="51">
        <f>Assumptions!$Q$145</f>
        <v>2800</v>
      </c>
      <c r="L370" s="52">
        <f>INDEX(Assumptions!$R$61:$R$90,D370)</f>
        <v>3185.7526315789473</v>
      </c>
      <c r="M370" s="53">
        <f>IF(D370&lt;=Assumptions!$G$145,Assumptions!$AK$145,IF(D370&lt;Assumptions!$AH$145,Assumptions!$AK$145+(Assumptions!$AL$145-Assumptions!$AK$145)*(D370-Assumptions!$G$145)/(Assumptions!$AH$145-Assumptions!$G$145),IF(D370&lt;Assumptions!$P$145,Assumptions!$AL$145+(Assumptions!$AM$145-Assumptions!$AL$145)*(D370-Assumptions!$AH$145)/(Assumptions!$P$145-Assumptions!$AH$145),Assumptions!$AM$145)))</f>
        <v>0</v>
      </c>
      <c r="N370" s="54">
        <f t="shared" si="10"/>
        <v>0</v>
      </c>
      <c r="O370" s="55">
        <f t="shared" si="11"/>
        <v>3186</v>
      </c>
      <c r="P370" s="29" t="str">
        <f>IF(D370&gt;=Assumptions!$P$145,"High",IF(D370&gt;=Assumptions!$AH$145,"Mid",IF(D370&lt;=Assumptions!$G$145,"Low","Loading")))</f>
        <v>High</v>
      </c>
      <c r="Q370" s="39">
        <f>MAX(K370,MIN(Assumptions!$S$145,O370),Q371)</f>
        <v>3186</v>
      </c>
      <c r="R370" s="30">
        <f>IF(AND(Q370&lt;=K370,INDEX(Assumptions!$C$26:$C$36,MATCH(G370,Assumptions!$A$26:$A$36,0))&lt;&gt;""),INDEX(Assumptions!$C$26:$C$36,MATCH(G370,Assumptions!$A$26:$A$36,0)),ROUND(G370*Q370,-2))</f>
        <v>5760300</v>
      </c>
      <c r="S370" s="56" t="str">
        <f>TRIM(IF(AND(Assumptions!$L$145&lt;&gt;"",D370&lt;Assumptions!$L$145),"View blocked / roof in front ("&amp;Assumptions!$M$145&amp;"); view premium still loading until L"&amp;Assumptions!$L$145&amp;". ","")&amp;IF(D370=Assumptions!$AH$145,"Mid-floor view premium fully loaded. ","")&amp;IF(D370=Assumptions!$P$145,"High-floor view premium fully loaded. ","")&amp;IF(Q370&lt;=K370,"At developer starting price.",""))</f>
        <v/>
      </c>
      <c r="T370" s="57" t="str">
        <f>Assumptions!$AJ$145</f>
        <v>SW. The only 5BR: direct landed + nature reserve, 171m pool; possible MacRitchie Reservoir on top floors</v>
      </c>
    </row>
    <row r="371" spans="1:20" x14ac:dyDescent="0.2">
      <c r="A371" s="49" t="s">
        <v>507</v>
      </c>
      <c r="B371" s="29">
        <v>5</v>
      </c>
      <c r="C371" s="50">
        <v>19</v>
      </c>
      <c r="D371" s="50">
        <v>24</v>
      </c>
      <c r="E371" s="27" t="s">
        <v>51</v>
      </c>
      <c r="F371" s="29" t="s">
        <v>501</v>
      </c>
      <c r="G371" s="28">
        <v>1808</v>
      </c>
      <c r="H371" s="29" t="s">
        <v>65</v>
      </c>
      <c r="I371" s="38" t="str">
        <f>Assumptions!$I$145</f>
        <v>A</v>
      </c>
      <c r="J371" s="29" t="str">
        <f>IF(D371&lt;=Assumptions!$V$145,"Low",IF(D371&lt;=Assumptions!$W$145,"Mid","High"))</f>
        <v>High</v>
      </c>
      <c r="K371" s="51">
        <f>Assumptions!$Q$145</f>
        <v>2800</v>
      </c>
      <c r="L371" s="52">
        <f>INDEX(Assumptions!$R$61:$R$90,D371)</f>
        <v>3157.257894736842</v>
      </c>
      <c r="M371" s="53">
        <f>IF(D371&lt;=Assumptions!$G$145,Assumptions!$AK$145,IF(D371&lt;Assumptions!$AH$145,Assumptions!$AK$145+(Assumptions!$AL$145-Assumptions!$AK$145)*(D371-Assumptions!$G$145)/(Assumptions!$AH$145-Assumptions!$G$145),IF(D371&lt;Assumptions!$P$145,Assumptions!$AL$145+(Assumptions!$AM$145-Assumptions!$AL$145)*(D371-Assumptions!$AH$145)/(Assumptions!$P$145-Assumptions!$AH$145),Assumptions!$AM$145)))</f>
        <v>0</v>
      </c>
      <c r="N371" s="54">
        <f t="shared" si="10"/>
        <v>0</v>
      </c>
      <c r="O371" s="55">
        <f t="shared" si="11"/>
        <v>3157</v>
      </c>
      <c r="P371" s="29" t="str">
        <f>IF(D371&gt;=Assumptions!$P$145,"High",IF(D371&gt;=Assumptions!$AH$145,"Mid",IF(D371&lt;=Assumptions!$G$145,"Low","Loading")))</f>
        <v>High</v>
      </c>
      <c r="Q371" s="39">
        <f>MAX(K371,MIN(Assumptions!$S$145,O371),Q372)</f>
        <v>3157</v>
      </c>
      <c r="R371" s="30">
        <f>IF(AND(Q371&lt;=K371,INDEX(Assumptions!$C$26:$C$36,MATCH(G371,Assumptions!$A$26:$A$36,0))&lt;&gt;""),INDEX(Assumptions!$C$26:$C$36,MATCH(G371,Assumptions!$A$26:$A$36,0)),ROUND(G371*Q371,-2))</f>
        <v>5707900</v>
      </c>
      <c r="S371" s="56" t="str">
        <f>TRIM(IF(AND(Assumptions!$L$145&lt;&gt;"",D371&lt;Assumptions!$L$145),"View blocked / roof in front ("&amp;Assumptions!$M$145&amp;"); view premium still loading until L"&amp;Assumptions!$L$145&amp;". ","")&amp;IF(D371=Assumptions!$AH$145,"Mid-floor view premium fully loaded. ","")&amp;IF(D371=Assumptions!$P$145,"High-floor view premium fully loaded. ","")&amp;IF(Q371&lt;=K371,"At developer starting price.",""))</f>
        <v/>
      </c>
      <c r="T371" s="57" t="str">
        <f>Assumptions!$AJ$145</f>
        <v>SW. The only 5BR: direct landed + nature reserve, 171m pool; possible MacRitchie Reservoir on top floors</v>
      </c>
    </row>
    <row r="372" spans="1:20" x14ac:dyDescent="0.2">
      <c r="A372" s="49" t="s">
        <v>508</v>
      </c>
      <c r="B372" s="29">
        <v>5</v>
      </c>
      <c r="C372" s="50">
        <v>19</v>
      </c>
      <c r="D372" s="50">
        <v>23</v>
      </c>
      <c r="E372" s="27" t="s">
        <v>51</v>
      </c>
      <c r="F372" s="29" t="s">
        <v>501</v>
      </c>
      <c r="G372" s="28">
        <v>1808</v>
      </c>
      <c r="H372" s="29" t="s">
        <v>65</v>
      </c>
      <c r="I372" s="38" t="str">
        <f>Assumptions!$I$145</f>
        <v>A</v>
      </c>
      <c r="J372" s="29" t="str">
        <f>IF(D372&lt;=Assumptions!$V$145,"Low",IF(D372&lt;=Assumptions!$W$145,"Mid","High"))</f>
        <v>High</v>
      </c>
      <c r="K372" s="51">
        <f>Assumptions!$Q$145</f>
        <v>2800</v>
      </c>
      <c r="L372" s="52">
        <f>INDEX(Assumptions!$R$61:$R$90,D372)</f>
        <v>3128.7631578947367</v>
      </c>
      <c r="M372" s="53">
        <f>IF(D372&lt;=Assumptions!$G$145,Assumptions!$AK$145,IF(D372&lt;Assumptions!$AH$145,Assumptions!$AK$145+(Assumptions!$AL$145-Assumptions!$AK$145)*(D372-Assumptions!$G$145)/(Assumptions!$AH$145-Assumptions!$G$145),IF(D372&lt;Assumptions!$P$145,Assumptions!$AL$145+(Assumptions!$AM$145-Assumptions!$AL$145)*(D372-Assumptions!$AH$145)/(Assumptions!$P$145-Assumptions!$AH$145),Assumptions!$AM$145)))</f>
        <v>0</v>
      </c>
      <c r="N372" s="54">
        <f t="shared" si="10"/>
        <v>0</v>
      </c>
      <c r="O372" s="55">
        <f t="shared" si="11"/>
        <v>3129</v>
      </c>
      <c r="P372" s="29" t="str">
        <f>IF(D372&gt;=Assumptions!$P$145,"High",IF(D372&gt;=Assumptions!$AH$145,"Mid",IF(D372&lt;=Assumptions!$G$145,"Low","Loading")))</f>
        <v>High</v>
      </c>
      <c r="Q372" s="39">
        <f>MAX(K372,MIN(Assumptions!$S$145,O372),Q373)</f>
        <v>3129</v>
      </c>
      <c r="R372" s="30">
        <f>IF(AND(Q372&lt;=K372,INDEX(Assumptions!$C$26:$C$36,MATCH(G372,Assumptions!$A$26:$A$36,0))&lt;&gt;""),INDEX(Assumptions!$C$26:$C$36,MATCH(G372,Assumptions!$A$26:$A$36,0)),ROUND(G372*Q372,-2))</f>
        <v>5657200</v>
      </c>
      <c r="S372" s="56" t="str">
        <f>TRIM(IF(AND(Assumptions!$L$145&lt;&gt;"",D372&lt;Assumptions!$L$145),"View blocked / roof in front ("&amp;Assumptions!$M$145&amp;"); view premium still loading until L"&amp;Assumptions!$L$145&amp;". ","")&amp;IF(D372=Assumptions!$AH$145,"Mid-floor view premium fully loaded. ","")&amp;IF(D372=Assumptions!$P$145,"High-floor view premium fully loaded. ","")&amp;IF(Q372&lt;=K372,"At developer starting price.",""))</f>
        <v/>
      </c>
      <c r="T372" s="57" t="str">
        <f>Assumptions!$AJ$145</f>
        <v>SW. The only 5BR: direct landed + nature reserve, 171m pool; possible MacRitchie Reservoir on top floors</v>
      </c>
    </row>
    <row r="373" spans="1:20" x14ac:dyDescent="0.2">
      <c r="A373" s="49" t="s">
        <v>509</v>
      </c>
      <c r="B373" s="29">
        <v>5</v>
      </c>
      <c r="C373" s="50">
        <v>19</v>
      </c>
      <c r="D373" s="50">
        <v>22</v>
      </c>
      <c r="E373" s="27" t="s">
        <v>51</v>
      </c>
      <c r="F373" s="29" t="s">
        <v>501</v>
      </c>
      <c r="G373" s="28">
        <v>1808</v>
      </c>
      <c r="H373" s="29" t="s">
        <v>65</v>
      </c>
      <c r="I373" s="38" t="str">
        <f>Assumptions!$I$145</f>
        <v>A</v>
      </c>
      <c r="J373" s="29" t="str">
        <f>IF(D373&lt;=Assumptions!$V$145,"Low",IF(D373&lt;=Assumptions!$W$145,"Mid","High"))</f>
        <v>High</v>
      </c>
      <c r="K373" s="51">
        <f>Assumptions!$Q$145</f>
        <v>2800</v>
      </c>
      <c r="L373" s="52">
        <f>INDEX(Assumptions!$R$61:$R$90,D373)</f>
        <v>3100.2684210526318</v>
      </c>
      <c r="M373" s="53">
        <f>IF(D373&lt;=Assumptions!$G$145,Assumptions!$AK$145,IF(D373&lt;Assumptions!$AH$145,Assumptions!$AK$145+(Assumptions!$AL$145-Assumptions!$AK$145)*(D373-Assumptions!$G$145)/(Assumptions!$AH$145-Assumptions!$G$145),IF(D373&lt;Assumptions!$P$145,Assumptions!$AL$145+(Assumptions!$AM$145-Assumptions!$AL$145)*(D373-Assumptions!$AH$145)/(Assumptions!$P$145-Assumptions!$AH$145),Assumptions!$AM$145)))</f>
        <v>0</v>
      </c>
      <c r="N373" s="54">
        <f t="shared" si="10"/>
        <v>0</v>
      </c>
      <c r="O373" s="55">
        <f t="shared" si="11"/>
        <v>3100</v>
      </c>
      <c r="P373" s="29" t="str">
        <f>IF(D373&gt;=Assumptions!$P$145,"High",IF(D373&gt;=Assumptions!$AH$145,"Mid",IF(D373&lt;=Assumptions!$G$145,"Low","Loading")))</f>
        <v>High</v>
      </c>
      <c r="Q373" s="39">
        <f>MAX(K373,MIN(Assumptions!$S$145,O373),Q374)</f>
        <v>3100</v>
      </c>
      <c r="R373" s="30">
        <f>IF(AND(Q373&lt;=K373,INDEX(Assumptions!$C$26:$C$36,MATCH(G373,Assumptions!$A$26:$A$36,0))&lt;&gt;""),INDEX(Assumptions!$C$26:$C$36,MATCH(G373,Assumptions!$A$26:$A$36,0)),ROUND(G373*Q373,-2))</f>
        <v>5604800</v>
      </c>
      <c r="S373" s="56" t="str">
        <f>TRIM(IF(AND(Assumptions!$L$145&lt;&gt;"",D373&lt;Assumptions!$L$145),"View blocked / roof in front ("&amp;Assumptions!$M$145&amp;"); view premium still loading until L"&amp;Assumptions!$L$145&amp;". ","")&amp;IF(D373=Assumptions!$AH$145,"Mid-floor view premium fully loaded. ","")&amp;IF(D373=Assumptions!$P$145,"High-floor view premium fully loaded. ","")&amp;IF(Q373&lt;=K373,"At developer starting price.",""))</f>
        <v/>
      </c>
      <c r="T373" s="57" t="str">
        <f>Assumptions!$AJ$145</f>
        <v>SW. The only 5BR: direct landed + nature reserve, 171m pool; possible MacRitchie Reservoir on top floors</v>
      </c>
    </row>
    <row r="374" spans="1:20" x14ac:dyDescent="0.2">
      <c r="A374" s="49" t="s">
        <v>510</v>
      </c>
      <c r="B374" s="29">
        <v>5</v>
      </c>
      <c r="C374" s="50">
        <v>19</v>
      </c>
      <c r="D374" s="50">
        <v>21</v>
      </c>
      <c r="E374" s="27" t="s">
        <v>51</v>
      </c>
      <c r="F374" s="29" t="s">
        <v>501</v>
      </c>
      <c r="G374" s="28">
        <v>1808</v>
      </c>
      <c r="H374" s="29" t="s">
        <v>65</v>
      </c>
      <c r="I374" s="38" t="str">
        <f>Assumptions!$I$145</f>
        <v>A</v>
      </c>
      <c r="J374" s="29" t="str">
        <f>IF(D374&lt;=Assumptions!$V$145,"Low",IF(D374&lt;=Assumptions!$W$145,"Mid","High"))</f>
        <v>High</v>
      </c>
      <c r="K374" s="51">
        <f>Assumptions!$Q$145</f>
        <v>2800</v>
      </c>
      <c r="L374" s="52">
        <f>INDEX(Assumptions!$R$61:$R$90,D374)</f>
        <v>3071.7736842105264</v>
      </c>
      <c r="M374" s="53">
        <f>IF(D374&lt;=Assumptions!$G$145,Assumptions!$AK$145,IF(D374&lt;Assumptions!$AH$145,Assumptions!$AK$145+(Assumptions!$AL$145-Assumptions!$AK$145)*(D374-Assumptions!$G$145)/(Assumptions!$AH$145-Assumptions!$G$145),IF(D374&lt;Assumptions!$P$145,Assumptions!$AL$145+(Assumptions!$AM$145-Assumptions!$AL$145)*(D374-Assumptions!$AH$145)/(Assumptions!$P$145-Assumptions!$AH$145),Assumptions!$AM$145)))</f>
        <v>0</v>
      </c>
      <c r="N374" s="54">
        <f t="shared" si="10"/>
        <v>0</v>
      </c>
      <c r="O374" s="55">
        <f t="shared" si="11"/>
        <v>3072</v>
      </c>
      <c r="P374" s="29" t="str">
        <f>IF(D374&gt;=Assumptions!$P$145,"High",IF(D374&gt;=Assumptions!$AH$145,"Mid",IF(D374&lt;=Assumptions!$G$145,"Low","Loading")))</f>
        <v>High</v>
      </c>
      <c r="Q374" s="39">
        <f>MAX(K374,MIN(Assumptions!$S$145,O374),Q375)</f>
        <v>3072</v>
      </c>
      <c r="R374" s="30">
        <f>IF(AND(Q374&lt;=K374,INDEX(Assumptions!$C$26:$C$36,MATCH(G374,Assumptions!$A$26:$A$36,0))&lt;&gt;""),INDEX(Assumptions!$C$26:$C$36,MATCH(G374,Assumptions!$A$26:$A$36,0)),ROUND(G374*Q374,-2))</f>
        <v>5554200</v>
      </c>
      <c r="S374" s="56" t="str">
        <f>TRIM(IF(AND(Assumptions!$L$145&lt;&gt;"",D374&lt;Assumptions!$L$145),"View blocked / roof in front ("&amp;Assumptions!$M$145&amp;"); view premium still loading until L"&amp;Assumptions!$L$145&amp;". ","")&amp;IF(D374=Assumptions!$AH$145,"Mid-floor view premium fully loaded. ","")&amp;IF(D374=Assumptions!$P$145,"High-floor view premium fully loaded. ","")&amp;IF(Q374&lt;=K374,"At developer starting price.",""))</f>
        <v>High-floor view premium fully loaded.</v>
      </c>
      <c r="T374" s="57" t="str">
        <f>Assumptions!$AJ$145</f>
        <v>SW. The only 5BR: direct landed + nature reserve, 171m pool; possible MacRitchie Reservoir on top floors</v>
      </c>
    </row>
    <row r="375" spans="1:20" x14ac:dyDescent="0.2">
      <c r="A375" s="49" t="s">
        <v>511</v>
      </c>
      <c r="B375" s="29">
        <v>5</v>
      </c>
      <c r="C375" s="50">
        <v>19</v>
      </c>
      <c r="D375" s="50">
        <v>20</v>
      </c>
      <c r="E375" s="27" t="s">
        <v>51</v>
      </c>
      <c r="F375" s="29" t="s">
        <v>501</v>
      </c>
      <c r="G375" s="28">
        <v>1808</v>
      </c>
      <c r="H375" s="29" t="s">
        <v>65</v>
      </c>
      <c r="I375" s="38" t="str">
        <f>Assumptions!$I$145</f>
        <v>A</v>
      </c>
      <c r="J375" s="29" t="str">
        <f>IF(D375&lt;=Assumptions!$V$145,"Low",IF(D375&lt;=Assumptions!$W$145,"Mid","High"))</f>
        <v>Mid</v>
      </c>
      <c r="K375" s="51">
        <f>Assumptions!$Q$145</f>
        <v>2800</v>
      </c>
      <c r="L375" s="52">
        <f>INDEX(Assumptions!$R$61:$R$90,D375)</f>
        <v>3043.2789473684211</v>
      </c>
      <c r="M375" s="53">
        <f>IF(D375&lt;=Assumptions!$G$145,Assumptions!$AK$145,IF(D375&lt;Assumptions!$AH$145,Assumptions!$AK$145+(Assumptions!$AL$145-Assumptions!$AK$145)*(D375-Assumptions!$G$145)/(Assumptions!$AH$145-Assumptions!$G$145),IF(D375&lt;Assumptions!$P$145,Assumptions!$AL$145+(Assumptions!$AM$145-Assumptions!$AL$145)*(D375-Assumptions!$AH$145)/(Assumptions!$P$145-Assumptions!$AH$145),Assumptions!$AM$145)))</f>
        <v>0</v>
      </c>
      <c r="N375" s="54">
        <f t="shared" si="10"/>
        <v>0</v>
      </c>
      <c r="O375" s="55">
        <f t="shared" si="11"/>
        <v>3043</v>
      </c>
      <c r="P375" s="29" t="str">
        <f>IF(D375&gt;=Assumptions!$P$145,"High",IF(D375&gt;=Assumptions!$AH$145,"Mid",IF(D375&lt;=Assumptions!$G$145,"Low","Loading")))</f>
        <v>Mid</v>
      </c>
      <c r="Q375" s="39">
        <f>MAX(K375,MIN(Assumptions!$S$145,O375),Q376)</f>
        <v>3043</v>
      </c>
      <c r="R375" s="30">
        <f>IF(AND(Q375&lt;=K375,INDEX(Assumptions!$C$26:$C$36,MATCH(G375,Assumptions!$A$26:$A$36,0))&lt;&gt;""),INDEX(Assumptions!$C$26:$C$36,MATCH(G375,Assumptions!$A$26:$A$36,0)),ROUND(G375*Q375,-2))</f>
        <v>5501700</v>
      </c>
      <c r="S375" s="56" t="str">
        <f>TRIM(IF(AND(Assumptions!$L$145&lt;&gt;"",D375&lt;Assumptions!$L$145),"View blocked / roof in front ("&amp;Assumptions!$M$145&amp;"); view premium still loading until L"&amp;Assumptions!$L$145&amp;". ","")&amp;IF(D375=Assumptions!$AH$145,"Mid-floor view premium fully loaded. ","")&amp;IF(D375=Assumptions!$P$145,"High-floor view premium fully loaded. ","")&amp;IF(Q375&lt;=K375,"At developer starting price.",""))</f>
        <v/>
      </c>
      <c r="T375" s="57" t="str">
        <f>Assumptions!$AJ$145</f>
        <v>SW. The only 5BR: direct landed + nature reserve, 171m pool; possible MacRitchie Reservoir on top floors</v>
      </c>
    </row>
    <row r="376" spans="1:20" x14ac:dyDescent="0.2">
      <c r="A376" s="49" t="s">
        <v>512</v>
      </c>
      <c r="B376" s="29">
        <v>5</v>
      </c>
      <c r="C376" s="50">
        <v>19</v>
      </c>
      <c r="D376" s="50">
        <v>19</v>
      </c>
      <c r="E376" s="27" t="s">
        <v>51</v>
      </c>
      <c r="F376" s="29" t="s">
        <v>501</v>
      </c>
      <c r="G376" s="28">
        <v>1808</v>
      </c>
      <c r="H376" s="29" t="s">
        <v>65</v>
      </c>
      <c r="I376" s="38" t="str">
        <f>Assumptions!$I$145</f>
        <v>A</v>
      </c>
      <c r="J376" s="29" t="str">
        <f>IF(D376&lt;=Assumptions!$V$145,"Low",IF(D376&lt;=Assumptions!$W$145,"Mid","High"))</f>
        <v>Mid</v>
      </c>
      <c r="K376" s="51">
        <f>Assumptions!$Q$145</f>
        <v>2800</v>
      </c>
      <c r="L376" s="52">
        <f>INDEX(Assumptions!$R$61:$R$90,D376)</f>
        <v>3014.7842105263157</v>
      </c>
      <c r="M376" s="53">
        <f>IF(D376&lt;=Assumptions!$G$145,Assumptions!$AK$145,IF(D376&lt;Assumptions!$AH$145,Assumptions!$AK$145+(Assumptions!$AL$145-Assumptions!$AK$145)*(D376-Assumptions!$G$145)/(Assumptions!$AH$145-Assumptions!$G$145),IF(D376&lt;Assumptions!$P$145,Assumptions!$AL$145+(Assumptions!$AM$145-Assumptions!$AL$145)*(D376-Assumptions!$AH$145)/(Assumptions!$P$145-Assumptions!$AH$145),Assumptions!$AM$145)))</f>
        <v>0</v>
      </c>
      <c r="N376" s="54">
        <f t="shared" si="10"/>
        <v>0</v>
      </c>
      <c r="O376" s="55">
        <f t="shared" si="11"/>
        <v>3015</v>
      </c>
      <c r="P376" s="29" t="str">
        <f>IF(D376&gt;=Assumptions!$P$145,"High",IF(D376&gt;=Assumptions!$AH$145,"Mid",IF(D376&lt;=Assumptions!$G$145,"Low","Loading")))</f>
        <v>Mid</v>
      </c>
      <c r="Q376" s="39">
        <f>MAX(K376,MIN(Assumptions!$S$145,O376),Q377)</f>
        <v>3015</v>
      </c>
      <c r="R376" s="30">
        <f>IF(AND(Q376&lt;=K376,INDEX(Assumptions!$C$26:$C$36,MATCH(G376,Assumptions!$A$26:$A$36,0))&lt;&gt;""),INDEX(Assumptions!$C$26:$C$36,MATCH(G376,Assumptions!$A$26:$A$36,0)),ROUND(G376*Q376,-2))</f>
        <v>5451100</v>
      </c>
      <c r="S376" s="56" t="str">
        <f>TRIM(IF(AND(Assumptions!$L$145&lt;&gt;"",D376&lt;Assumptions!$L$145),"View blocked / roof in front ("&amp;Assumptions!$M$145&amp;"); view premium still loading until L"&amp;Assumptions!$L$145&amp;". ","")&amp;IF(D376=Assumptions!$AH$145,"Mid-floor view premium fully loaded. ","")&amp;IF(D376=Assumptions!$P$145,"High-floor view premium fully loaded. ","")&amp;IF(Q376&lt;=K376,"At developer starting price.",""))</f>
        <v/>
      </c>
      <c r="T376" s="57" t="str">
        <f>Assumptions!$AJ$145</f>
        <v>SW. The only 5BR: direct landed + nature reserve, 171m pool; possible MacRitchie Reservoir on top floors</v>
      </c>
    </row>
    <row r="377" spans="1:20" x14ac:dyDescent="0.2">
      <c r="A377" s="49" t="s">
        <v>513</v>
      </c>
      <c r="B377" s="29">
        <v>5</v>
      </c>
      <c r="C377" s="50">
        <v>19</v>
      </c>
      <c r="D377" s="50">
        <v>18</v>
      </c>
      <c r="E377" s="27" t="s">
        <v>51</v>
      </c>
      <c r="F377" s="29" t="s">
        <v>501</v>
      </c>
      <c r="G377" s="28">
        <v>1808</v>
      </c>
      <c r="H377" s="29" t="s">
        <v>65</v>
      </c>
      <c r="I377" s="38" t="str">
        <f>Assumptions!$I$145</f>
        <v>A</v>
      </c>
      <c r="J377" s="29" t="str">
        <f>IF(D377&lt;=Assumptions!$V$145,"Low",IF(D377&lt;=Assumptions!$W$145,"Mid","High"))</f>
        <v>Mid</v>
      </c>
      <c r="K377" s="51">
        <f>Assumptions!$Q$145</f>
        <v>2800</v>
      </c>
      <c r="L377" s="52">
        <f>INDEX(Assumptions!$R$61:$R$90,D377)</f>
        <v>2986.2894736842109</v>
      </c>
      <c r="M377" s="53">
        <f>IF(D377&lt;=Assumptions!$G$145,Assumptions!$AK$145,IF(D377&lt;Assumptions!$AH$145,Assumptions!$AK$145+(Assumptions!$AL$145-Assumptions!$AK$145)*(D377-Assumptions!$G$145)/(Assumptions!$AH$145-Assumptions!$G$145),IF(D377&lt;Assumptions!$P$145,Assumptions!$AL$145+(Assumptions!$AM$145-Assumptions!$AL$145)*(D377-Assumptions!$AH$145)/(Assumptions!$P$145-Assumptions!$AH$145),Assumptions!$AM$145)))</f>
        <v>0</v>
      </c>
      <c r="N377" s="54">
        <f t="shared" si="10"/>
        <v>0</v>
      </c>
      <c r="O377" s="55">
        <f t="shared" si="11"/>
        <v>2986</v>
      </c>
      <c r="P377" s="29" t="str">
        <f>IF(D377&gt;=Assumptions!$P$145,"High",IF(D377&gt;=Assumptions!$AH$145,"Mid",IF(D377&lt;=Assumptions!$G$145,"Low","Loading")))</f>
        <v>Mid</v>
      </c>
      <c r="Q377" s="39">
        <f>MAX(K377,MIN(Assumptions!$S$145,O377),Q378)</f>
        <v>2986</v>
      </c>
      <c r="R377" s="30">
        <f>IF(AND(Q377&lt;=K377,INDEX(Assumptions!$C$26:$C$36,MATCH(G377,Assumptions!$A$26:$A$36,0))&lt;&gt;""),INDEX(Assumptions!$C$26:$C$36,MATCH(G377,Assumptions!$A$26:$A$36,0)),ROUND(G377*Q377,-2))</f>
        <v>5398700</v>
      </c>
      <c r="S377" s="56" t="str">
        <f>TRIM(IF(AND(Assumptions!$L$145&lt;&gt;"",D377&lt;Assumptions!$L$145),"View blocked / roof in front ("&amp;Assumptions!$M$145&amp;"); view premium still loading until L"&amp;Assumptions!$L$145&amp;". ","")&amp;IF(D377=Assumptions!$AH$145,"Mid-floor view premium fully loaded. ","")&amp;IF(D377=Assumptions!$P$145,"High-floor view premium fully loaded. ","")&amp;IF(Q377&lt;=K377,"At developer starting price.",""))</f>
        <v/>
      </c>
      <c r="T377" s="57" t="str">
        <f>Assumptions!$AJ$145</f>
        <v>SW. The only 5BR: direct landed + nature reserve, 171m pool; possible MacRitchie Reservoir on top floors</v>
      </c>
    </row>
    <row r="378" spans="1:20" x14ac:dyDescent="0.2">
      <c r="A378" s="49" t="s">
        <v>514</v>
      </c>
      <c r="B378" s="29">
        <v>5</v>
      </c>
      <c r="C378" s="50">
        <v>19</v>
      </c>
      <c r="D378" s="50">
        <v>17</v>
      </c>
      <c r="E378" s="27" t="s">
        <v>51</v>
      </c>
      <c r="F378" s="29" t="s">
        <v>501</v>
      </c>
      <c r="G378" s="28">
        <v>1808</v>
      </c>
      <c r="H378" s="29" t="s">
        <v>65</v>
      </c>
      <c r="I378" s="38" t="str">
        <f>Assumptions!$I$145</f>
        <v>A</v>
      </c>
      <c r="J378" s="29" t="str">
        <f>IF(D378&lt;=Assumptions!$V$145,"Low",IF(D378&lt;=Assumptions!$W$145,"Mid","High"))</f>
        <v>Mid</v>
      </c>
      <c r="K378" s="51">
        <f>Assumptions!$Q$145</f>
        <v>2800</v>
      </c>
      <c r="L378" s="52">
        <f>INDEX(Assumptions!$R$61:$R$90,D378)</f>
        <v>2957.7947368421055</v>
      </c>
      <c r="M378" s="53">
        <f>IF(D378&lt;=Assumptions!$G$145,Assumptions!$AK$145,IF(D378&lt;Assumptions!$AH$145,Assumptions!$AK$145+(Assumptions!$AL$145-Assumptions!$AK$145)*(D378-Assumptions!$G$145)/(Assumptions!$AH$145-Assumptions!$G$145),IF(D378&lt;Assumptions!$P$145,Assumptions!$AL$145+(Assumptions!$AM$145-Assumptions!$AL$145)*(D378-Assumptions!$AH$145)/(Assumptions!$P$145-Assumptions!$AH$145),Assumptions!$AM$145)))</f>
        <v>0</v>
      </c>
      <c r="N378" s="54">
        <f t="shared" si="10"/>
        <v>0</v>
      </c>
      <c r="O378" s="55">
        <f t="shared" si="11"/>
        <v>2958</v>
      </c>
      <c r="P378" s="29" t="str">
        <f>IF(D378&gt;=Assumptions!$P$145,"High",IF(D378&gt;=Assumptions!$AH$145,"Mid",IF(D378&lt;=Assumptions!$G$145,"Low","Loading")))</f>
        <v>Mid</v>
      </c>
      <c r="Q378" s="39">
        <f>MAX(K378,MIN(Assumptions!$S$145,O378),Q379)</f>
        <v>2958</v>
      </c>
      <c r="R378" s="30">
        <f>IF(AND(Q378&lt;=K378,INDEX(Assumptions!$C$26:$C$36,MATCH(G378,Assumptions!$A$26:$A$36,0))&lt;&gt;""),INDEX(Assumptions!$C$26:$C$36,MATCH(G378,Assumptions!$A$26:$A$36,0)),ROUND(G378*Q378,-2))</f>
        <v>5348100</v>
      </c>
      <c r="S378" s="56" t="str">
        <f>TRIM(IF(AND(Assumptions!$L$145&lt;&gt;"",D378&lt;Assumptions!$L$145),"View blocked / roof in front ("&amp;Assumptions!$M$145&amp;"); view premium still loading until L"&amp;Assumptions!$L$145&amp;". ","")&amp;IF(D378=Assumptions!$AH$145,"Mid-floor view premium fully loaded. ","")&amp;IF(D378=Assumptions!$P$145,"High-floor view premium fully loaded. ","")&amp;IF(Q378&lt;=K378,"At developer starting price.",""))</f>
        <v/>
      </c>
      <c r="T378" s="57" t="str">
        <f>Assumptions!$AJ$145</f>
        <v>SW. The only 5BR: direct landed + nature reserve, 171m pool; possible MacRitchie Reservoir on top floors</v>
      </c>
    </row>
    <row r="379" spans="1:20" x14ac:dyDescent="0.2">
      <c r="A379" s="49" t="s">
        <v>515</v>
      </c>
      <c r="B379" s="29">
        <v>5</v>
      </c>
      <c r="C379" s="50">
        <v>19</v>
      </c>
      <c r="D379" s="50">
        <v>16</v>
      </c>
      <c r="E379" s="27" t="s">
        <v>51</v>
      </c>
      <c r="F379" s="29" t="s">
        <v>501</v>
      </c>
      <c r="G379" s="28">
        <v>1808</v>
      </c>
      <c r="H379" s="29" t="s">
        <v>65</v>
      </c>
      <c r="I379" s="38" t="str">
        <f>Assumptions!$I$145</f>
        <v>A</v>
      </c>
      <c r="J379" s="29" t="str">
        <f>IF(D379&lt;=Assumptions!$V$145,"Low",IF(D379&lt;=Assumptions!$W$145,"Mid","High"))</f>
        <v>Mid</v>
      </c>
      <c r="K379" s="51">
        <f>Assumptions!$Q$145</f>
        <v>2800</v>
      </c>
      <c r="L379" s="52">
        <f>INDEX(Assumptions!$R$61:$R$90,D379)</f>
        <v>2929.3</v>
      </c>
      <c r="M379" s="53">
        <f>IF(D379&lt;=Assumptions!$G$145,Assumptions!$AK$145,IF(D379&lt;Assumptions!$AH$145,Assumptions!$AK$145+(Assumptions!$AL$145-Assumptions!$AK$145)*(D379-Assumptions!$G$145)/(Assumptions!$AH$145-Assumptions!$G$145),IF(D379&lt;Assumptions!$P$145,Assumptions!$AL$145+(Assumptions!$AM$145-Assumptions!$AL$145)*(D379-Assumptions!$AH$145)/(Assumptions!$P$145-Assumptions!$AH$145),Assumptions!$AM$145)))</f>
        <v>0</v>
      </c>
      <c r="N379" s="54">
        <f t="shared" si="10"/>
        <v>0</v>
      </c>
      <c r="O379" s="55">
        <f t="shared" si="11"/>
        <v>2929</v>
      </c>
      <c r="P379" s="29" t="str">
        <f>IF(D379&gt;=Assumptions!$P$145,"High",IF(D379&gt;=Assumptions!$AH$145,"Mid",IF(D379&lt;=Assumptions!$G$145,"Low","Loading")))</f>
        <v>Mid</v>
      </c>
      <c r="Q379" s="39">
        <f>MAX(K379,MIN(Assumptions!$S$145,O379),Q380)</f>
        <v>2929</v>
      </c>
      <c r="R379" s="30">
        <f>IF(AND(Q379&lt;=K379,INDEX(Assumptions!$C$26:$C$36,MATCH(G379,Assumptions!$A$26:$A$36,0))&lt;&gt;""),INDEX(Assumptions!$C$26:$C$36,MATCH(G379,Assumptions!$A$26:$A$36,0)),ROUND(G379*Q379,-2))</f>
        <v>5295600</v>
      </c>
      <c r="S379" s="56" t="str">
        <f>TRIM(IF(AND(Assumptions!$L$145&lt;&gt;"",D379&lt;Assumptions!$L$145),"View blocked / roof in front ("&amp;Assumptions!$M$145&amp;"); view premium still loading until L"&amp;Assumptions!$L$145&amp;". ","")&amp;IF(D379=Assumptions!$AH$145,"Mid-floor view premium fully loaded. ","")&amp;IF(D379=Assumptions!$P$145,"High-floor view premium fully loaded. ","")&amp;IF(Q379&lt;=K379,"At developer starting price.",""))</f>
        <v/>
      </c>
      <c r="T379" s="57" t="str">
        <f>Assumptions!$AJ$145</f>
        <v>SW. The only 5BR: direct landed + nature reserve, 171m pool; possible MacRitchie Reservoir on top floors</v>
      </c>
    </row>
    <row r="380" spans="1:20" x14ac:dyDescent="0.2">
      <c r="A380" s="49" t="s">
        <v>516</v>
      </c>
      <c r="B380" s="29">
        <v>5</v>
      </c>
      <c r="C380" s="50">
        <v>19</v>
      </c>
      <c r="D380" s="50">
        <v>15</v>
      </c>
      <c r="E380" s="27" t="s">
        <v>51</v>
      </c>
      <c r="F380" s="29" t="s">
        <v>501</v>
      </c>
      <c r="G380" s="28">
        <v>1808</v>
      </c>
      <c r="H380" s="29" t="s">
        <v>65</v>
      </c>
      <c r="I380" s="38" t="str">
        <f>Assumptions!$I$145</f>
        <v>A</v>
      </c>
      <c r="J380" s="29" t="str">
        <f>IF(D380&lt;=Assumptions!$V$145,"Low",IF(D380&lt;=Assumptions!$W$145,"Mid","High"))</f>
        <v>Mid</v>
      </c>
      <c r="K380" s="51">
        <f>Assumptions!$Q$145</f>
        <v>2800</v>
      </c>
      <c r="L380" s="52">
        <f>INDEX(Assumptions!$R$61:$R$90,D380)</f>
        <v>2919.3538461538465</v>
      </c>
      <c r="M380" s="53">
        <f>IF(D380&lt;=Assumptions!$G$145,Assumptions!$AK$145,IF(D380&lt;Assumptions!$AH$145,Assumptions!$AK$145+(Assumptions!$AL$145-Assumptions!$AK$145)*(D380-Assumptions!$G$145)/(Assumptions!$AH$145-Assumptions!$G$145),IF(D380&lt;Assumptions!$P$145,Assumptions!$AL$145+(Assumptions!$AM$145-Assumptions!$AL$145)*(D380-Assumptions!$AH$145)/(Assumptions!$P$145-Assumptions!$AH$145),Assumptions!$AM$145)))</f>
        <v>0</v>
      </c>
      <c r="N380" s="54">
        <f t="shared" si="10"/>
        <v>0</v>
      </c>
      <c r="O380" s="55">
        <f t="shared" si="11"/>
        <v>2919</v>
      </c>
      <c r="P380" s="29" t="str">
        <f>IF(D380&gt;=Assumptions!$P$145,"High",IF(D380&gt;=Assumptions!$AH$145,"Mid",IF(D380&lt;=Assumptions!$G$145,"Low","Loading")))</f>
        <v>Mid</v>
      </c>
      <c r="Q380" s="39">
        <f>MAX(K380,MIN(Assumptions!$S$145,O380),Q381)</f>
        <v>2919</v>
      </c>
      <c r="R380" s="30">
        <f>IF(AND(Q380&lt;=K380,INDEX(Assumptions!$C$26:$C$36,MATCH(G380,Assumptions!$A$26:$A$36,0))&lt;&gt;""),INDEX(Assumptions!$C$26:$C$36,MATCH(G380,Assumptions!$A$26:$A$36,0)),ROUND(G380*Q380,-2))</f>
        <v>5277600</v>
      </c>
      <c r="S380" s="56" t="str">
        <f>TRIM(IF(AND(Assumptions!$L$145&lt;&gt;"",D380&lt;Assumptions!$L$145),"View blocked / roof in front ("&amp;Assumptions!$M$145&amp;"); view premium still loading until L"&amp;Assumptions!$L$145&amp;". ","")&amp;IF(D380=Assumptions!$AH$145,"Mid-floor view premium fully loaded. ","")&amp;IF(D380=Assumptions!$P$145,"High-floor view premium fully loaded. ","")&amp;IF(Q380&lt;=K380,"At developer starting price.",""))</f>
        <v/>
      </c>
      <c r="T380" s="57" t="str">
        <f>Assumptions!$AJ$145</f>
        <v>SW. The only 5BR: direct landed + nature reserve, 171m pool; possible MacRitchie Reservoir on top floors</v>
      </c>
    </row>
    <row r="381" spans="1:20" x14ac:dyDescent="0.2">
      <c r="A381" s="49" t="s">
        <v>517</v>
      </c>
      <c r="B381" s="29">
        <v>5</v>
      </c>
      <c r="C381" s="50">
        <v>19</v>
      </c>
      <c r="D381" s="50">
        <v>14</v>
      </c>
      <c r="E381" s="27" t="s">
        <v>51</v>
      </c>
      <c r="F381" s="29" t="s">
        <v>501</v>
      </c>
      <c r="G381" s="28">
        <v>1808</v>
      </c>
      <c r="H381" s="29" t="s">
        <v>65</v>
      </c>
      <c r="I381" s="38" t="str">
        <f>Assumptions!$I$145</f>
        <v>A</v>
      </c>
      <c r="J381" s="29" t="str">
        <f>IF(D381&lt;=Assumptions!$V$145,"Low",IF(D381&lt;=Assumptions!$W$145,"Mid","High"))</f>
        <v>Mid</v>
      </c>
      <c r="K381" s="51">
        <f>Assumptions!$Q$145</f>
        <v>2800</v>
      </c>
      <c r="L381" s="52">
        <f>INDEX(Assumptions!$R$61:$R$90,D381)</f>
        <v>2909.4076923076923</v>
      </c>
      <c r="M381" s="53">
        <f>IF(D381&lt;=Assumptions!$G$145,Assumptions!$AK$145,IF(D381&lt;Assumptions!$AH$145,Assumptions!$AK$145+(Assumptions!$AL$145-Assumptions!$AK$145)*(D381-Assumptions!$G$145)/(Assumptions!$AH$145-Assumptions!$G$145),IF(D381&lt;Assumptions!$P$145,Assumptions!$AL$145+(Assumptions!$AM$145-Assumptions!$AL$145)*(D381-Assumptions!$AH$145)/(Assumptions!$P$145-Assumptions!$AH$145),Assumptions!$AM$145)))</f>
        <v>0</v>
      </c>
      <c r="N381" s="54">
        <f t="shared" si="10"/>
        <v>0</v>
      </c>
      <c r="O381" s="55">
        <f t="shared" si="11"/>
        <v>2909</v>
      </c>
      <c r="P381" s="29" t="str">
        <f>IF(D381&gt;=Assumptions!$P$145,"High",IF(D381&gt;=Assumptions!$AH$145,"Mid",IF(D381&lt;=Assumptions!$G$145,"Low","Loading")))</f>
        <v>Mid</v>
      </c>
      <c r="Q381" s="39">
        <f>MAX(K381,MIN(Assumptions!$S$145,O381),Q382)</f>
        <v>2909</v>
      </c>
      <c r="R381" s="30">
        <f>IF(AND(Q381&lt;=K381,INDEX(Assumptions!$C$26:$C$36,MATCH(G381,Assumptions!$A$26:$A$36,0))&lt;&gt;""),INDEX(Assumptions!$C$26:$C$36,MATCH(G381,Assumptions!$A$26:$A$36,0)),ROUND(G381*Q381,-2))</f>
        <v>5259500</v>
      </c>
      <c r="S381" s="56" t="str">
        <f>TRIM(IF(AND(Assumptions!$L$145&lt;&gt;"",D381&lt;Assumptions!$L$145),"View blocked / roof in front ("&amp;Assumptions!$M$145&amp;"); view premium still loading until L"&amp;Assumptions!$L$145&amp;". ","")&amp;IF(D381=Assumptions!$AH$145,"Mid-floor view premium fully loaded. ","")&amp;IF(D381=Assumptions!$P$145,"High-floor view premium fully loaded. ","")&amp;IF(Q381&lt;=K381,"At developer starting price.",""))</f>
        <v/>
      </c>
      <c r="T381" s="57" t="str">
        <f>Assumptions!$AJ$145</f>
        <v>SW. The only 5BR: direct landed + nature reserve, 171m pool; possible MacRitchie Reservoir on top floors</v>
      </c>
    </row>
    <row r="382" spans="1:20" x14ac:dyDescent="0.2">
      <c r="A382" s="49" t="s">
        <v>518</v>
      </c>
      <c r="B382" s="29">
        <v>5</v>
      </c>
      <c r="C382" s="50">
        <v>19</v>
      </c>
      <c r="D382" s="50">
        <v>13</v>
      </c>
      <c r="E382" s="27" t="s">
        <v>51</v>
      </c>
      <c r="F382" s="29" t="s">
        <v>501</v>
      </c>
      <c r="G382" s="28">
        <v>1808</v>
      </c>
      <c r="H382" s="29" t="s">
        <v>65</v>
      </c>
      <c r="I382" s="38" t="str">
        <f>Assumptions!$I$145</f>
        <v>A</v>
      </c>
      <c r="J382" s="29" t="str">
        <f>IF(D382&lt;=Assumptions!$V$145,"Low",IF(D382&lt;=Assumptions!$W$145,"Mid","High"))</f>
        <v>Mid</v>
      </c>
      <c r="K382" s="51">
        <f>Assumptions!$Q$145</f>
        <v>2800</v>
      </c>
      <c r="L382" s="52">
        <f>INDEX(Assumptions!$R$61:$R$90,D382)</f>
        <v>2899.4615384615386</v>
      </c>
      <c r="M382" s="53">
        <f>IF(D382&lt;=Assumptions!$G$145,Assumptions!$AK$145,IF(D382&lt;Assumptions!$AH$145,Assumptions!$AK$145+(Assumptions!$AL$145-Assumptions!$AK$145)*(D382-Assumptions!$G$145)/(Assumptions!$AH$145-Assumptions!$G$145),IF(D382&lt;Assumptions!$P$145,Assumptions!$AL$145+(Assumptions!$AM$145-Assumptions!$AL$145)*(D382-Assumptions!$AH$145)/(Assumptions!$P$145-Assumptions!$AH$145),Assumptions!$AM$145)))</f>
        <v>0</v>
      </c>
      <c r="N382" s="54">
        <f t="shared" si="10"/>
        <v>0</v>
      </c>
      <c r="O382" s="55">
        <f t="shared" si="11"/>
        <v>2899</v>
      </c>
      <c r="P382" s="29" t="str">
        <f>IF(D382&gt;=Assumptions!$P$145,"High",IF(D382&gt;=Assumptions!$AH$145,"Mid",IF(D382&lt;=Assumptions!$G$145,"Low","Loading")))</f>
        <v>Mid</v>
      </c>
      <c r="Q382" s="39">
        <f>MAX(K382,MIN(Assumptions!$S$145,O382),Q383)</f>
        <v>2899</v>
      </c>
      <c r="R382" s="30">
        <f>IF(AND(Q382&lt;=K382,INDEX(Assumptions!$C$26:$C$36,MATCH(G382,Assumptions!$A$26:$A$36,0))&lt;&gt;""),INDEX(Assumptions!$C$26:$C$36,MATCH(G382,Assumptions!$A$26:$A$36,0)),ROUND(G382*Q382,-2))</f>
        <v>5241400</v>
      </c>
      <c r="S382" s="56" t="str">
        <f>TRIM(IF(AND(Assumptions!$L$145&lt;&gt;"",D382&lt;Assumptions!$L$145),"View blocked / roof in front ("&amp;Assumptions!$M$145&amp;"); view premium still loading until L"&amp;Assumptions!$L$145&amp;". ","")&amp;IF(D382=Assumptions!$AH$145,"Mid-floor view premium fully loaded. ","")&amp;IF(D382=Assumptions!$P$145,"High-floor view premium fully loaded. ","")&amp;IF(Q382&lt;=K382,"At developer starting price.",""))</f>
        <v/>
      </c>
      <c r="T382" s="57" t="str">
        <f>Assumptions!$AJ$145</f>
        <v>SW. The only 5BR: direct landed + nature reserve, 171m pool; possible MacRitchie Reservoir on top floors</v>
      </c>
    </row>
    <row r="383" spans="1:20" x14ac:dyDescent="0.2">
      <c r="A383" s="49" t="s">
        <v>519</v>
      </c>
      <c r="B383" s="29">
        <v>5</v>
      </c>
      <c r="C383" s="50">
        <v>19</v>
      </c>
      <c r="D383" s="50">
        <v>12</v>
      </c>
      <c r="E383" s="27" t="s">
        <v>51</v>
      </c>
      <c r="F383" s="29" t="s">
        <v>501</v>
      </c>
      <c r="G383" s="28">
        <v>1808</v>
      </c>
      <c r="H383" s="29" t="s">
        <v>65</v>
      </c>
      <c r="I383" s="38" t="str">
        <f>Assumptions!$I$145</f>
        <v>A</v>
      </c>
      <c r="J383" s="29" t="str">
        <f>IF(D383&lt;=Assumptions!$V$145,"Low",IF(D383&lt;=Assumptions!$W$145,"Mid","High"))</f>
        <v>Mid</v>
      </c>
      <c r="K383" s="51">
        <f>Assumptions!$Q$145</f>
        <v>2800</v>
      </c>
      <c r="L383" s="52">
        <f>INDEX(Assumptions!$R$61:$R$90,D383)</f>
        <v>2889.5153846153848</v>
      </c>
      <c r="M383" s="53">
        <f>IF(D383&lt;=Assumptions!$G$145,Assumptions!$AK$145,IF(D383&lt;Assumptions!$AH$145,Assumptions!$AK$145+(Assumptions!$AL$145-Assumptions!$AK$145)*(D383-Assumptions!$G$145)/(Assumptions!$AH$145-Assumptions!$G$145),IF(D383&lt;Assumptions!$P$145,Assumptions!$AL$145+(Assumptions!$AM$145-Assumptions!$AL$145)*(D383-Assumptions!$AH$145)/(Assumptions!$P$145-Assumptions!$AH$145),Assumptions!$AM$145)))</f>
        <v>0</v>
      </c>
      <c r="N383" s="54">
        <f t="shared" si="10"/>
        <v>0</v>
      </c>
      <c r="O383" s="55">
        <f t="shared" si="11"/>
        <v>2890</v>
      </c>
      <c r="P383" s="29" t="str">
        <f>IF(D383&gt;=Assumptions!$P$145,"High",IF(D383&gt;=Assumptions!$AH$145,"Mid",IF(D383&lt;=Assumptions!$G$145,"Low","Loading")))</f>
        <v>Mid</v>
      </c>
      <c r="Q383" s="39">
        <f>MAX(K383,MIN(Assumptions!$S$145,O383),Q384)</f>
        <v>2890</v>
      </c>
      <c r="R383" s="30">
        <f>IF(AND(Q383&lt;=K383,INDEX(Assumptions!$C$26:$C$36,MATCH(G383,Assumptions!$A$26:$A$36,0))&lt;&gt;""),INDEX(Assumptions!$C$26:$C$36,MATCH(G383,Assumptions!$A$26:$A$36,0)),ROUND(G383*Q383,-2))</f>
        <v>5225100</v>
      </c>
      <c r="S383" s="56" t="str">
        <f>TRIM(IF(AND(Assumptions!$L$145&lt;&gt;"",D383&lt;Assumptions!$L$145),"View blocked / roof in front ("&amp;Assumptions!$M$145&amp;"); view premium still loading until L"&amp;Assumptions!$L$145&amp;". ","")&amp;IF(D383=Assumptions!$AH$145,"Mid-floor view premium fully loaded. ","")&amp;IF(D383=Assumptions!$P$145,"High-floor view premium fully loaded. ","")&amp;IF(Q383&lt;=K383,"At developer starting price.",""))</f>
        <v>Mid-floor view premium fully loaded.</v>
      </c>
      <c r="T383" s="57" t="str">
        <f>Assumptions!$AJ$145</f>
        <v>SW. The only 5BR: direct landed + nature reserve, 171m pool; possible MacRitchie Reservoir on top floors</v>
      </c>
    </row>
    <row r="384" spans="1:20" x14ac:dyDescent="0.2">
      <c r="A384" s="49" t="s">
        <v>520</v>
      </c>
      <c r="B384" s="29">
        <v>5</v>
      </c>
      <c r="C384" s="50">
        <v>19</v>
      </c>
      <c r="D384" s="50">
        <v>11</v>
      </c>
      <c r="E384" s="27" t="s">
        <v>51</v>
      </c>
      <c r="F384" s="29" t="s">
        <v>501</v>
      </c>
      <c r="G384" s="28">
        <v>1808</v>
      </c>
      <c r="H384" s="29" t="s">
        <v>65</v>
      </c>
      <c r="I384" s="38" t="str">
        <f>Assumptions!$I$145</f>
        <v>A</v>
      </c>
      <c r="J384" s="29" t="str">
        <f>IF(D384&lt;=Assumptions!$V$145,"Low",IF(D384&lt;=Assumptions!$W$145,"Mid","High"))</f>
        <v>Low</v>
      </c>
      <c r="K384" s="51">
        <f>Assumptions!$Q$145</f>
        <v>2800</v>
      </c>
      <c r="L384" s="52">
        <f>INDEX(Assumptions!$R$61:$R$90,D384)</f>
        <v>2879.5692307692307</v>
      </c>
      <c r="M384" s="53">
        <f>IF(D384&lt;=Assumptions!$G$145,Assumptions!$AK$145,IF(D384&lt;Assumptions!$AH$145,Assumptions!$AK$145+(Assumptions!$AL$145-Assumptions!$AK$145)*(D384-Assumptions!$G$145)/(Assumptions!$AH$145-Assumptions!$G$145),IF(D384&lt;Assumptions!$P$145,Assumptions!$AL$145+(Assumptions!$AM$145-Assumptions!$AL$145)*(D384-Assumptions!$AH$145)/(Assumptions!$P$145-Assumptions!$AH$145),Assumptions!$AM$145)))</f>
        <v>0</v>
      </c>
      <c r="N384" s="54">
        <f t="shared" si="10"/>
        <v>0</v>
      </c>
      <c r="O384" s="55">
        <f t="shared" si="11"/>
        <v>2880</v>
      </c>
      <c r="P384" s="29" t="str">
        <f>IF(D384&gt;=Assumptions!$P$145,"High",IF(D384&gt;=Assumptions!$AH$145,"Mid",IF(D384&lt;=Assumptions!$G$145,"Low","Loading")))</f>
        <v>Loading</v>
      </c>
      <c r="Q384" s="39">
        <f>MAX(K384,MIN(Assumptions!$S$145,O384),Q385)</f>
        <v>2880</v>
      </c>
      <c r="R384" s="30">
        <f>IF(AND(Q384&lt;=K384,INDEX(Assumptions!$C$26:$C$36,MATCH(G384,Assumptions!$A$26:$A$36,0))&lt;&gt;""),INDEX(Assumptions!$C$26:$C$36,MATCH(G384,Assumptions!$A$26:$A$36,0)),ROUND(G384*Q384,-2))</f>
        <v>5207000</v>
      </c>
      <c r="S384" s="56" t="str">
        <f>TRIM(IF(AND(Assumptions!$L$145&lt;&gt;"",D384&lt;Assumptions!$L$145),"View blocked / roof in front ("&amp;Assumptions!$M$145&amp;"); view premium still loading until L"&amp;Assumptions!$L$145&amp;". ","")&amp;IF(D384=Assumptions!$AH$145,"Mid-floor view premium fully loaded. ","")&amp;IF(D384=Assumptions!$P$145,"High-floor view premium fully loaded. ","")&amp;IF(Q384&lt;=K384,"At developer starting price.",""))</f>
        <v/>
      </c>
      <c r="T384" s="57" t="str">
        <f>Assumptions!$AJ$145</f>
        <v>SW. The only 5BR: direct landed + nature reserve, 171m pool; possible MacRitchie Reservoir on top floors</v>
      </c>
    </row>
    <row r="385" spans="1:20" x14ac:dyDescent="0.2">
      <c r="A385" s="49" t="s">
        <v>521</v>
      </c>
      <c r="B385" s="29">
        <v>5</v>
      </c>
      <c r="C385" s="50">
        <v>19</v>
      </c>
      <c r="D385" s="50">
        <v>10</v>
      </c>
      <c r="E385" s="27" t="s">
        <v>51</v>
      </c>
      <c r="F385" s="29" t="s">
        <v>501</v>
      </c>
      <c r="G385" s="28">
        <v>1808</v>
      </c>
      <c r="H385" s="29" t="s">
        <v>65</v>
      </c>
      <c r="I385" s="38" t="str">
        <f>Assumptions!$I$145</f>
        <v>A</v>
      </c>
      <c r="J385" s="29" t="str">
        <f>IF(D385&lt;=Assumptions!$V$145,"Low",IF(D385&lt;=Assumptions!$W$145,"Mid","High"))</f>
        <v>Low</v>
      </c>
      <c r="K385" s="51">
        <f>Assumptions!$Q$145</f>
        <v>2800</v>
      </c>
      <c r="L385" s="52">
        <f>INDEX(Assumptions!$R$61:$R$90,D385)</f>
        <v>2869.623076923077</v>
      </c>
      <c r="M385" s="53">
        <f>IF(D385&lt;=Assumptions!$G$145,Assumptions!$AK$145,IF(D385&lt;Assumptions!$AH$145,Assumptions!$AK$145+(Assumptions!$AL$145-Assumptions!$AK$145)*(D385-Assumptions!$G$145)/(Assumptions!$AH$145-Assumptions!$G$145),IF(D385&lt;Assumptions!$P$145,Assumptions!$AL$145+(Assumptions!$AM$145-Assumptions!$AL$145)*(D385-Assumptions!$AH$145)/(Assumptions!$P$145-Assumptions!$AH$145),Assumptions!$AM$145)))</f>
        <v>0</v>
      </c>
      <c r="N385" s="54">
        <f t="shared" si="10"/>
        <v>0</v>
      </c>
      <c r="O385" s="55">
        <f t="shared" si="11"/>
        <v>2870</v>
      </c>
      <c r="P385" s="29" t="str">
        <f>IF(D385&gt;=Assumptions!$P$145,"High",IF(D385&gt;=Assumptions!$AH$145,"Mid",IF(D385&lt;=Assumptions!$G$145,"Low","Loading")))</f>
        <v>Loading</v>
      </c>
      <c r="Q385" s="39">
        <f>MAX(K385,MIN(Assumptions!$S$145,O385),Q386)</f>
        <v>2870</v>
      </c>
      <c r="R385" s="30">
        <f>IF(AND(Q385&lt;=K385,INDEX(Assumptions!$C$26:$C$36,MATCH(G385,Assumptions!$A$26:$A$36,0))&lt;&gt;""),INDEX(Assumptions!$C$26:$C$36,MATCH(G385,Assumptions!$A$26:$A$36,0)),ROUND(G385*Q385,-2))</f>
        <v>5189000</v>
      </c>
      <c r="S385" s="56" t="str">
        <f>TRIM(IF(AND(Assumptions!$L$145&lt;&gt;"",D385&lt;Assumptions!$L$145),"View blocked / roof in front ("&amp;Assumptions!$M$145&amp;"); view premium still loading until L"&amp;Assumptions!$L$145&amp;". ","")&amp;IF(D385=Assumptions!$AH$145,"Mid-floor view premium fully loaded. ","")&amp;IF(D385=Assumptions!$P$145,"High-floor view premium fully loaded. ","")&amp;IF(Q385&lt;=K385,"At developer starting price.",""))</f>
        <v/>
      </c>
      <c r="T385" s="57" t="str">
        <f>Assumptions!$AJ$145</f>
        <v>SW. The only 5BR: direct landed + nature reserve, 171m pool; possible MacRitchie Reservoir on top floors</v>
      </c>
    </row>
    <row r="386" spans="1:20" x14ac:dyDescent="0.2">
      <c r="A386" s="49" t="s">
        <v>522</v>
      </c>
      <c r="B386" s="29">
        <v>5</v>
      </c>
      <c r="C386" s="50">
        <v>19</v>
      </c>
      <c r="D386" s="50">
        <v>9</v>
      </c>
      <c r="E386" s="27" t="s">
        <v>51</v>
      </c>
      <c r="F386" s="29" t="s">
        <v>501</v>
      </c>
      <c r="G386" s="28">
        <v>1808</v>
      </c>
      <c r="H386" s="29" t="s">
        <v>65</v>
      </c>
      <c r="I386" s="38" t="str">
        <f>Assumptions!$I$145</f>
        <v>A</v>
      </c>
      <c r="J386" s="29" t="str">
        <f>IF(D386&lt;=Assumptions!$V$145,"Low",IF(D386&lt;=Assumptions!$W$145,"Mid","High"))</f>
        <v>Low</v>
      </c>
      <c r="K386" s="51">
        <f>Assumptions!$Q$145</f>
        <v>2800</v>
      </c>
      <c r="L386" s="52">
        <f>INDEX(Assumptions!$R$61:$R$90,D386)</f>
        <v>2859.6769230769232</v>
      </c>
      <c r="M386" s="53">
        <f>IF(D386&lt;=Assumptions!$G$145,Assumptions!$AK$145,IF(D386&lt;Assumptions!$AH$145,Assumptions!$AK$145+(Assumptions!$AL$145-Assumptions!$AK$145)*(D386-Assumptions!$G$145)/(Assumptions!$AH$145-Assumptions!$G$145),IF(D386&lt;Assumptions!$P$145,Assumptions!$AL$145+(Assumptions!$AM$145-Assumptions!$AL$145)*(D386-Assumptions!$AH$145)/(Assumptions!$P$145-Assumptions!$AH$145),Assumptions!$AM$145)))</f>
        <v>0</v>
      </c>
      <c r="N386" s="54">
        <f t="shared" si="10"/>
        <v>0</v>
      </c>
      <c r="O386" s="55">
        <f t="shared" si="11"/>
        <v>2860</v>
      </c>
      <c r="P386" s="29" t="str">
        <f>IF(D386&gt;=Assumptions!$P$145,"High",IF(D386&gt;=Assumptions!$AH$145,"Mid",IF(D386&lt;=Assumptions!$G$145,"Low","Loading")))</f>
        <v>Loading</v>
      </c>
      <c r="Q386" s="39">
        <f>MAX(K386,MIN(Assumptions!$S$145,O386),Q387)</f>
        <v>2860</v>
      </c>
      <c r="R386" s="30">
        <f>IF(AND(Q386&lt;=K386,INDEX(Assumptions!$C$26:$C$36,MATCH(G386,Assumptions!$A$26:$A$36,0))&lt;&gt;""),INDEX(Assumptions!$C$26:$C$36,MATCH(G386,Assumptions!$A$26:$A$36,0)),ROUND(G386*Q386,-2))</f>
        <v>5170900</v>
      </c>
      <c r="S386" s="56" t="str">
        <f>TRIM(IF(AND(Assumptions!$L$145&lt;&gt;"",D386&lt;Assumptions!$L$145),"View blocked / roof in front ("&amp;Assumptions!$M$145&amp;"); view premium still loading until L"&amp;Assumptions!$L$145&amp;". ","")&amp;IF(D386=Assumptions!$AH$145,"Mid-floor view premium fully loaded. ","")&amp;IF(D386=Assumptions!$P$145,"High-floor view premium fully loaded. ","")&amp;IF(Q386&lt;=K386,"At developer starting price.",""))</f>
        <v/>
      </c>
      <c r="T386" s="57" t="str">
        <f>Assumptions!$AJ$145</f>
        <v>SW. The only 5BR: direct landed + nature reserve, 171m pool; possible MacRitchie Reservoir on top floors</v>
      </c>
    </row>
    <row r="387" spans="1:20" x14ac:dyDescent="0.2">
      <c r="A387" s="49" t="s">
        <v>523</v>
      </c>
      <c r="B387" s="29">
        <v>5</v>
      </c>
      <c r="C387" s="50">
        <v>19</v>
      </c>
      <c r="D387" s="50">
        <v>8</v>
      </c>
      <c r="E387" s="27" t="s">
        <v>51</v>
      </c>
      <c r="F387" s="29" t="s">
        <v>501</v>
      </c>
      <c r="G387" s="28">
        <v>1808</v>
      </c>
      <c r="H387" s="29" t="s">
        <v>65</v>
      </c>
      <c r="I387" s="38" t="str">
        <f>Assumptions!$I$145</f>
        <v>A</v>
      </c>
      <c r="J387" s="29" t="str">
        <f>IF(D387&lt;=Assumptions!$V$145,"Low",IF(D387&lt;=Assumptions!$W$145,"Mid","High"))</f>
        <v>Low</v>
      </c>
      <c r="K387" s="51">
        <f>Assumptions!$Q$145</f>
        <v>2800</v>
      </c>
      <c r="L387" s="52">
        <f>INDEX(Assumptions!$R$61:$R$90,D387)</f>
        <v>2849.7307692307695</v>
      </c>
      <c r="M387" s="53">
        <f>IF(D387&lt;=Assumptions!$G$145,Assumptions!$AK$145,IF(D387&lt;Assumptions!$AH$145,Assumptions!$AK$145+(Assumptions!$AL$145-Assumptions!$AK$145)*(D387-Assumptions!$G$145)/(Assumptions!$AH$145-Assumptions!$G$145),IF(D387&lt;Assumptions!$P$145,Assumptions!$AL$145+(Assumptions!$AM$145-Assumptions!$AL$145)*(D387-Assumptions!$AH$145)/(Assumptions!$P$145-Assumptions!$AH$145),Assumptions!$AM$145)))</f>
        <v>0</v>
      </c>
      <c r="N387" s="54">
        <f t="shared" si="10"/>
        <v>0</v>
      </c>
      <c r="O387" s="55">
        <f t="shared" si="11"/>
        <v>2850</v>
      </c>
      <c r="P387" s="29" t="str">
        <f>IF(D387&gt;=Assumptions!$P$145,"High",IF(D387&gt;=Assumptions!$AH$145,"Mid",IF(D387&lt;=Assumptions!$G$145,"Low","Loading")))</f>
        <v>Loading</v>
      </c>
      <c r="Q387" s="39">
        <f>MAX(K387,MIN(Assumptions!$S$145,O387),Q388)</f>
        <v>2850</v>
      </c>
      <c r="R387" s="30">
        <f>IF(AND(Q387&lt;=K387,INDEX(Assumptions!$C$26:$C$36,MATCH(G387,Assumptions!$A$26:$A$36,0))&lt;&gt;""),INDEX(Assumptions!$C$26:$C$36,MATCH(G387,Assumptions!$A$26:$A$36,0)),ROUND(G387*Q387,-2))</f>
        <v>5152800</v>
      </c>
      <c r="S387" s="56" t="str">
        <f>TRIM(IF(AND(Assumptions!$L$145&lt;&gt;"",D387&lt;Assumptions!$L$145),"View blocked / roof in front ("&amp;Assumptions!$M$145&amp;"); view premium still loading until L"&amp;Assumptions!$L$145&amp;". ","")&amp;IF(D387=Assumptions!$AH$145,"Mid-floor view premium fully loaded. ","")&amp;IF(D387=Assumptions!$P$145,"High-floor view premium fully loaded. ","")&amp;IF(Q387&lt;=K387,"At developer starting price.",""))</f>
        <v/>
      </c>
      <c r="T387" s="57" t="str">
        <f>Assumptions!$AJ$145</f>
        <v>SW. The only 5BR: direct landed + nature reserve, 171m pool; possible MacRitchie Reservoir on top floors</v>
      </c>
    </row>
    <row r="388" spans="1:20" x14ac:dyDescent="0.2">
      <c r="A388" s="49" t="s">
        <v>524</v>
      </c>
      <c r="B388" s="29">
        <v>5</v>
      </c>
      <c r="C388" s="50">
        <v>19</v>
      </c>
      <c r="D388" s="50">
        <v>7</v>
      </c>
      <c r="E388" s="27" t="s">
        <v>51</v>
      </c>
      <c r="F388" s="29" t="s">
        <v>501</v>
      </c>
      <c r="G388" s="28">
        <v>1808</v>
      </c>
      <c r="H388" s="29" t="s">
        <v>65</v>
      </c>
      <c r="I388" s="38" t="str">
        <f>Assumptions!$I$145</f>
        <v>A</v>
      </c>
      <c r="J388" s="29" t="str">
        <f>IF(D388&lt;=Assumptions!$V$145,"Low",IF(D388&lt;=Assumptions!$W$145,"Mid","High"))</f>
        <v>Low</v>
      </c>
      <c r="K388" s="51">
        <f>Assumptions!$Q$145</f>
        <v>2800</v>
      </c>
      <c r="L388" s="52">
        <f>INDEX(Assumptions!$R$61:$R$90,D388)</f>
        <v>2839.7846153846153</v>
      </c>
      <c r="M388" s="53">
        <f>IF(D388&lt;=Assumptions!$G$145,Assumptions!$AK$145,IF(D388&lt;Assumptions!$AH$145,Assumptions!$AK$145+(Assumptions!$AL$145-Assumptions!$AK$145)*(D388-Assumptions!$G$145)/(Assumptions!$AH$145-Assumptions!$G$145),IF(D388&lt;Assumptions!$P$145,Assumptions!$AL$145+(Assumptions!$AM$145-Assumptions!$AL$145)*(D388-Assumptions!$AH$145)/(Assumptions!$P$145-Assumptions!$AH$145),Assumptions!$AM$145)))</f>
        <v>0</v>
      </c>
      <c r="N388" s="54">
        <f t="shared" si="10"/>
        <v>0</v>
      </c>
      <c r="O388" s="55">
        <f t="shared" si="11"/>
        <v>2840</v>
      </c>
      <c r="P388" s="29" t="str">
        <f>IF(D388&gt;=Assumptions!$P$145,"High",IF(D388&gt;=Assumptions!$AH$145,"Mid",IF(D388&lt;=Assumptions!$G$145,"Low","Loading")))</f>
        <v>Loading</v>
      </c>
      <c r="Q388" s="39">
        <f>MAX(K388,MIN(Assumptions!$S$145,O388),Q389)</f>
        <v>2840</v>
      </c>
      <c r="R388" s="30">
        <f>IF(AND(Q388&lt;=K388,INDEX(Assumptions!$C$26:$C$36,MATCH(G388,Assumptions!$A$26:$A$36,0))&lt;&gt;""),INDEX(Assumptions!$C$26:$C$36,MATCH(G388,Assumptions!$A$26:$A$36,0)),ROUND(G388*Q388,-2))</f>
        <v>5134700</v>
      </c>
      <c r="S388" s="56" t="str">
        <f>TRIM(IF(AND(Assumptions!$L$145&lt;&gt;"",D388&lt;Assumptions!$L$145),"View blocked / roof in front ("&amp;Assumptions!$M$145&amp;"); view premium still loading until L"&amp;Assumptions!$L$145&amp;". ","")&amp;IF(D388=Assumptions!$AH$145,"Mid-floor view premium fully loaded. ","")&amp;IF(D388=Assumptions!$P$145,"High-floor view premium fully loaded. ","")&amp;IF(Q388&lt;=K388,"At developer starting price.",""))</f>
        <v/>
      </c>
      <c r="T388" s="57" t="str">
        <f>Assumptions!$AJ$145</f>
        <v>SW. The only 5BR: direct landed + nature reserve, 171m pool; possible MacRitchie Reservoir on top floors</v>
      </c>
    </row>
    <row r="389" spans="1:20" x14ac:dyDescent="0.2">
      <c r="A389" s="49" t="s">
        <v>525</v>
      </c>
      <c r="B389" s="29">
        <v>5</v>
      </c>
      <c r="C389" s="50">
        <v>19</v>
      </c>
      <c r="D389" s="50">
        <v>6</v>
      </c>
      <c r="E389" s="27" t="s">
        <v>51</v>
      </c>
      <c r="F389" s="29" t="s">
        <v>501</v>
      </c>
      <c r="G389" s="28">
        <v>1808</v>
      </c>
      <c r="H389" s="29" t="s">
        <v>65</v>
      </c>
      <c r="I389" s="38" t="str">
        <f>Assumptions!$I$145</f>
        <v>A</v>
      </c>
      <c r="J389" s="29" t="str">
        <f>IF(D389&lt;=Assumptions!$V$145,"Low",IF(D389&lt;=Assumptions!$W$145,"Mid","High"))</f>
        <v>Low</v>
      </c>
      <c r="K389" s="51">
        <f>Assumptions!$Q$145</f>
        <v>2800</v>
      </c>
      <c r="L389" s="52">
        <f>INDEX(Assumptions!$R$61:$R$90,D389)</f>
        <v>2829.8384615384616</v>
      </c>
      <c r="M389" s="53">
        <f>IF(D389&lt;=Assumptions!$G$145,Assumptions!$AK$145,IF(D389&lt;Assumptions!$AH$145,Assumptions!$AK$145+(Assumptions!$AL$145-Assumptions!$AK$145)*(D389-Assumptions!$G$145)/(Assumptions!$AH$145-Assumptions!$G$145),IF(D389&lt;Assumptions!$P$145,Assumptions!$AL$145+(Assumptions!$AM$145-Assumptions!$AL$145)*(D389-Assumptions!$AH$145)/(Assumptions!$P$145-Assumptions!$AH$145),Assumptions!$AM$145)))</f>
        <v>0</v>
      </c>
      <c r="N389" s="54">
        <f t="shared" ref="N389:N452" si="12">M389/G389</f>
        <v>0</v>
      </c>
      <c r="O389" s="55">
        <f t="shared" ref="O389:O452" si="13">ROUND(L389+N389,0)</f>
        <v>2830</v>
      </c>
      <c r="P389" s="29" t="str">
        <f>IF(D389&gt;=Assumptions!$P$145,"High",IF(D389&gt;=Assumptions!$AH$145,"Mid",IF(D389&lt;=Assumptions!$G$145,"Low","Loading")))</f>
        <v>Loading</v>
      </c>
      <c r="Q389" s="39">
        <f>MAX(K389,MIN(Assumptions!$S$145,O389),Q390)</f>
        <v>2830</v>
      </c>
      <c r="R389" s="30">
        <f>IF(AND(Q389&lt;=K389,INDEX(Assumptions!$C$26:$C$36,MATCH(G389,Assumptions!$A$26:$A$36,0))&lt;&gt;""),INDEX(Assumptions!$C$26:$C$36,MATCH(G389,Assumptions!$A$26:$A$36,0)),ROUND(G389*Q389,-2))</f>
        <v>5116600</v>
      </c>
      <c r="S389" s="56" t="str">
        <f>TRIM(IF(AND(Assumptions!$L$145&lt;&gt;"",D389&lt;Assumptions!$L$145),"View blocked / roof in front ("&amp;Assumptions!$M$145&amp;"); view premium still loading until L"&amp;Assumptions!$L$145&amp;". ","")&amp;IF(D389=Assumptions!$AH$145,"Mid-floor view premium fully loaded. ","")&amp;IF(D389=Assumptions!$P$145,"High-floor view premium fully loaded. ","")&amp;IF(Q389&lt;=K389,"At developer starting price.",""))</f>
        <v/>
      </c>
      <c r="T389" s="57" t="str">
        <f>Assumptions!$AJ$145</f>
        <v>SW. The only 5BR: direct landed + nature reserve, 171m pool; possible MacRitchie Reservoir on top floors</v>
      </c>
    </row>
    <row r="390" spans="1:20" x14ac:dyDescent="0.2">
      <c r="A390" s="49" t="s">
        <v>526</v>
      </c>
      <c r="B390" s="29">
        <v>5</v>
      </c>
      <c r="C390" s="50">
        <v>19</v>
      </c>
      <c r="D390" s="50">
        <v>5</v>
      </c>
      <c r="E390" s="27" t="s">
        <v>51</v>
      </c>
      <c r="F390" s="29" t="s">
        <v>501</v>
      </c>
      <c r="G390" s="28">
        <v>1808</v>
      </c>
      <c r="H390" s="29" t="s">
        <v>65</v>
      </c>
      <c r="I390" s="38" t="str">
        <f>Assumptions!$I$145</f>
        <v>A</v>
      </c>
      <c r="J390" s="29" t="str">
        <f>IF(D390&lt;=Assumptions!$V$145,"Low",IF(D390&lt;=Assumptions!$W$145,"Mid","High"))</f>
        <v>Low</v>
      </c>
      <c r="K390" s="51">
        <f>Assumptions!$Q$145</f>
        <v>2800</v>
      </c>
      <c r="L390" s="52">
        <f>INDEX(Assumptions!$R$61:$R$90,D390)</f>
        <v>2819.8923076923079</v>
      </c>
      <c r="M390" s="53">
        <f>IF(D390&lt;=Assumptions!$G$145,Assumptions!$AK$145,IF(D390&lt;Assumptions!$AH$145,Assumptions!$AK$145+(Assumptions!$AL$145-Assumptions!$AK$145)*(D390-Assumptions!$G$145)/(Assumptions!$AH$145-Assumptions!$G$145),IF(D390&lt;Assumptions!$P$145,Assumptions!$AL$145+(Assumptions!$AM$145-Assumptions!$AL$145)*(D390-Assumptions!$AH$145)/(Assumptions!$P$145-Assumptions!$AH$145),Assumptions!$AM$145)))</f>
        <v>0</v>
      </c>
      <c r="N390" s="54">
        <f t="shared" si="12"/>
        <v>0</v>
      </c>
      <c r="O390" s="55">
        <f t="shared" si="13"/>
        <v>2820</v>
      </c>
      <c r="P390" s="29" t="str">
        <f>IF(D390&gt;=Assumptions!$P$145,"High",IF(D390&gt;=Assumptions!$AH$145,"Mid",IF(D390&lt;=Assumptions!$G$145,"Low","Loading")))</f>
        <v>Loading</v>
      </c>
      <c r="Q390" s="39">
        <f>MAX(K390,MIN(Assumptions!$S$145,O390),Q391)</f>
        <v>2820</v>
      </c>
      <c r="R390" s="30">
        <f>IF(AND(Q390&lt;=K390,INDEX(Assumptions!$C$26:$C$36,MATCH(G390,Assumptions!$A$26:$A$36,0))&lt;&gt;""),INDEX(Assumptions!$C$26:$C$36,MATCH(G390,Assumptions!$A$26:$A$36,0)),ROUND(G390*Q390,-2))</f>
        <v>5098600</v>
      </c>
      <c r="S390" s="56" t="str">
        <f>TRIM(IF(AND(Assumptions!$L$145&lt;&gt;"",D390&lt;Assumptions!$L$145),"View blocked / roof in front ("&amp;Assumptions!$M$145&amp;"); view premium still loading until L"&amp;Assumptions!$L$145&amp;". ","")&amp;IF(D390=Assumptions!$AH$145,"Mid-floor view premium fully loaded. ","")&amp;IF(D390=Assumptions!$P$145,"High-floor view premium fully loaded. ","")&amp;IF(Q390&lt;=K390,"At developer starting price.",""))</f>
        <v/>
      </c>
      <c r="T390" s="57" t="str">
        <f>Assumptions!$AJ$145</f>
        <v>SW. The only 5BR: direct landed + nature reserve, 171m pool; possible MacRitchie Reservoir on top floors</v>
      </c>
    </row>
    <row r="391" spans="1:20" x14ac:dyDescent="0.2">
      <c r="A391" s="49" t="s">
        <v>527</v>
      </c>
      <c r="B391" s="29">
        <v>5</v>
      </c>
      <c r="C391" s="50">
        <v>19</v>
      </c>
      <c r="D391" s="50">
        <v>4</v>
      </c>
      <c r="E391" s="27" t="s">
        <v>51</v>
      </c>
      <c r="F391" s="29" t="s">
        <v>501</v>
      </c>
      <c r="G391" s="28">
        <v>1808</v>
      </c>
      <c r="H391" s="29" t="s">
        <v>65</v>
      </c>
      <c r="I391" s="38" t="str">
        <f>Assumptions!$I$145</f>
        <v>A</v>
      </c>
      <c r="J391" s="29" t="str">
        <f>IF(D391&lt;=Assumptions!$V$145,"Low",IF(D391&lt;=Assumptions!$W$145,"Mid","High"))</f>
        <v>Low</v>
      </c>
      <c r="K391" s="51">
        <f>Assumptions!$Q$145</f>
        <v>2800</v>
      </c>
      <c r="L391" s="52">
        <f>INDEX(Assumptions!$R$61:$R$90,D391)</f>
        <v>2809.9461538461537</v>
      </c>
      <c r="M391" s="53">
        <f>IF(D391&lt;=Assumptions!$G$145,Assumptions!$AK$145,IF(D391&lt;Assumptions!$AH$145,Assumptions!$AK$145+(Assumptions!$AL$145-Assumptions!$AK$145)*(D391-Assumptions!$G$145)/(Assumptions!$AH$145-Assumptions!$G$145),IF(D391&lt;Assumptions!$P$145,Assumptions!$AL$145+(Assumptions!$AM$145-Assumptions!$AL$145)*(D391-Assumptions!$AH$145)/(Assumptions!$P$145-Assumptions!$AH$145),Assumptions!$AM$145)))</f>
        <v>0</v>
      </c>
      <c r="N391" s="54">
        <f t="shared" si="12"/>
        <v>0</v>
      </c>
      <c r="O391" s="55">
        <f t="shared" si="13"/>
        <v>2810</v>
      </c>
      <c r="P391" s="29" t="str">
        <f>IF(D391&gt;=Assumptions!$P$145,"High",IF(D391&gt;=Assumptions!$AH$145,"Mid",IF(D391&lt;=Assumptions!$G$145,"Low","Loading")))</f>
        <v>Loading</v>
      </c>
      <c r="Q391" s="39">
        <f>MAX(K391,MIN(Assumptions!$S$145,O391),Q392)</f>
        <v>2810</v>
      </c>
      <c r="R391" s="30">
        <f>IF(AND(Q391&lt;=K391,INDEX(Assumptions!$C$26:$C$36,MATCH(G391,Assumptions!$A$26:$A$36,0))&lt;&gt;""),INDEX(Assumptions!$C$26:$C$36,MATCH(G391,Assumptions!$A$26:$A$36,0)),ROUND(G391*Q391,-2))</f>
        <v>5080500</v>
      </c>
      <c r="S391" s="56" t="str">
        <f>TRIM(IF(AND(Assumptions!$L$145&lt;&gt;"",D391&lt;Assumptions!$L$145),"View blocked / roof in front ("&amp;Assumptions!$M$145&amp;"); view premium still loading until L"&amp;Assumptions!$L$145&amp;". ","")&amp;IF(D391=Assumptions!$AH$145,"Mid-floor view premium fully loaded. ","")&amp;IF(D391=Assumptions!$P$145,"High-floor view premium fully loaded. ","")&amp;IF(Q391&lt;=K391,"At developer starting price.",""))</f>
        <v/>
      </c>
      <c r="T391" s="57" t="str">
        <f>Assumptions!$AJ$145</f>
        <v>SW. The only 5BR: direct landed + nature reserve, 171m pool; possible MacRitchie Reservoir on top floors</v>
      </c>
    </row>
    <row r="392" spans="1:20" x14ac:dyDescent="0.2">
      <c r="A392" s="49" t="s">
        <v>528</v>
      </c>
      <c r="B392" s="29">
        <v>5</v>
      </c>
      <c r="C392" s="50">
        <v>19</v>
      </c>
      <c r="D392" s="50">
        <v>3</v>
      </c>
      <c r="E392" s="27" t="s">
        <v>51</v>
      </c>
      <c r="F392" s="29" t="s">
        <v>501</v>
      </c>
      <c r="G392" s="28">
        <v>1808</v>
      </c>
      <c r="H392" s="29" t="s">
        <v>65</v>
      </c>
      <c r="I392" s="38" t="str">
        <f>Assumptions!$I$145</f>
        <v>A</v>
      </c>
      <c r="J392" s="29" t="str">
        <f>IF(D392&lt;=Assumptions!$V$145,"Low",IF(D392&lt;=Assumptions!$W$145,"Mid","High"))</f>
        <v>Low</v>
      </c>
      <c r="K392" s="51">
        <f>Assumptions!$Q$145</f>
        <v>2800</v>
      </c>
      <c r="L392" s="52">
        <f>INDEX(Assumptions!$R$61:$R$90,D392)</f>
        <v>2800</v>
      </c>
      <c r="M392" s="53">
        <f>IF(D392&lt;=Assumptions!$G$145,Assumptions!$AK$145,IF(D392&lt;Assumptions!$AH$145,Assumptions!$AK$145+(Assumptions!$AL$145-Assumptions!$AK$145)*(D392-Assumptions!$G$145)/(Assumptions!$AH$145-Assumptions!$G$145),IF(D392&lt;Assumptions!$P$145,Assumptions!$AL$145+(Assumptions!$AM$145-Assumptions!$AL$145)*(D392-Assumptions!$AH$145)/(Assumptions!$P$145-Assumptions!$AH$145),Assumptions!$AM$145)))</f>
        <v>0</v>
      </c>
      <c r="N392" s="54">
        <f t="shared" si="12"/>
        <v>0</v>
      </c>
      <c r="O392" s="55">
        <f t="shared" si="13"/>
        <v>2800</v>
      </c>
      <c r="P392" s="29" t="str">
        <f>IF(D392&gt;=Assumptions!$P$145,"High",IF(D392&gt;=Assumptions!$AH$145,"Mid",IF(D392&lt;=Assumptions!$G$145,"Low","Loading")))</f>
        <v>Low</v>
      </c>
      <c r="Q392" s="39">
        <f>MAX(K392,MIN(Assumptions!$S$145,O392))</f>
        <v>2800</v>
      </c>
      <c r="R392" s="30">
        <f>IF(AND(Q392&lt;=K392,INDEX(Assumptions!$C$26:$C$36,MATCH(G392,Assumptions!$A$26:$A$36,0))&lt;&gt;""),INDEX(Assumptions!$C$26:$C$36,MATCH(G392,Assumptions!$A$26:$A$36,0)),ROUND(G392*Q392,-2))</f>
        <v>5062400</v>
      </c>
      <c r="S392" s="56" t="str">
        <f>TRIM(IF(AND(Assumptions!$L$145&lt;&gt;"",D392&lt;Assumptions!$L$145),"View blocked / roof in front ("&amp;Assumptions!$M$145&amp;"); view premium still loading until L"&amp;Assumptions!$L$145&amp;". ","")&amp;IF(D392=Assumptions!$AH$145,"Mid-floor view premium fully loaded. ","")&amp;IF(D392=Assumptions!$P$145,"High-floor view premium fully loaded. ","")&amp;IF(Q392&lt;=K392,"At developer starting price.",""))</f>
        <v>At developer starting price.</v>
      </c>
      <c r="T392" s="57" t="str">
        <f>Assumptions!$AJ$145</f>
        <v>SW. The only 5BR: direct landed + nature reserve, 171m pool; possible MacRitchie Reservoir on top floors</v>
      </c>
    </row>
    <row r="393" spans="1:20" x14ac:dyDescent="0.2">
      <c r="A393" s="49" t="s">
        <v>529</v>
      </c>
      <c r="B393" s="29">
        <v>5</v>
      </c>
      <c r="C393" s="50">
        <v>20</v>
      </c>
      <c r="D393" s="50">
        <v>30</v>
      </c>
      <c r="E393" s="27" t="s">
        <v>43</v>
      </c>
      <c r="F393" s="29" t="s">
        <v>530</v>
      </c>
      <c r="G393" s="28">
        <v>678</v>
      </c>
      <c r="H393" s="29" t="s">
        <v>65</v>
      </c>
      <c r="I393" s="38" t="str">
        <f>Assumptions!$I$146</f>
        <v>A</v>
      </c>
      <c r="J393" s="29" t="str">
        <f>IF(D393&lt;=Assumptions!$V$146,"Low",IF(D393&lt;=Assumptions!$W$146,"Mid","High"))</f>
        <v>High</v>
      </c>
      <c r="K393" s="51">
        <f>Assumptions!$Q$146</f>
        <v>2613</v>
      </c>
      <c r="L393" s="52">
        <f>INDEX(Assumptions!$D$61:$D$90,D393)</f>
        <v>3334.23</v>
      </c>
      <c r="M393" s="53">
        <f>IF(D393&lt;=Assumptions!$G$146,Assumptions!$AK$146,IF(D393&lt;Assumptions!$AH$146,Assumptions!$AK$146+(Assumptions!$AL$146-Assumptions!$AK$146)*(D393-Assumptions!$G$146)/(Assumptions!$AH$146-Assumptions!$G$146),IF(D393&lt;Assumptions!$P$146,Assumptions!$AL$146+(Assumptions!$AM$146-Assumptions!$AL$146)*(D393-Assumptions!$AH$146)/(Assumptions!$P$146-Assumptions!$AH$146),Assumptions!$AM$146)))</f>
        <v>50000</v>
      </c>
      <c r="N393" s="54">
        <f t="shared" si="12"/>
        <v>73.746312684365776</v>
      </c>
      <c r="O393" s="55">
        <f t="shared" si="13"/>
        <v>3408</v>
      </c>
      <c r="P393" s="29" t="str">
        <f>IF(D393&gt;=Assumptions!$P$146,"High",IF(D393&gt;=Assumptions!$AH$146,"Mid",IF(D393&lt;=Assumptions!$G$146,"Low","Loading")))</f>
        <v>High</v>
      </c>
      <c r="Q393" s="39">
        <f>MAX(K393,MIN(Assumptions!$S$146,O393),Q394)</f>
        <v>3408</v>
      </c>
      <c r="R393" s="30">
        <f>IF(AND(Q393&lt;=K393,INDEX(Assumptions!$C$26:$C$36,MATCH(G393,Assumptions!$A$26:$A$36,0))&lt;&gt;""),INDEX(Assumptions!$C$26:$C$36,MATCH(G393,Assumptions!$A$26:$A$36,0)),ROUND(G393*Q393,-2))</f>
        <v>2310600</v>
      </c>
      <c r="S393" s="56" t="str">
        <f>TRIM(IF(AND(Assumptions!$L$146&lt;&gt;"",D393&lt;Assumptions!$L$146),"View blocked / roof in front ("&amp;Assumptions!$M$146&amp;"); view premium still loading until L"&amp;Assumptions!$L$146&amp;". ","")&amp;IF(D393=Assumptions!$AH$146,"Mid-floor view premium fully loaded. ","")&amp;IF(D393=Assumptions!$P$146,"High-floor view premium fully loaded. ","")&amp;IF(Q393&lt;=K393,"At developer starting price.",""))</f>
        <v/>
      </c>
      <c r="T393" s="57" t="str">
        <f>Assumptions!$AJ$146</f>
        <v>SW, same direction as the 5BR. Direct landed estate + nature reserve</v>
      </c>
    </row>
    <row r="394" spans="1:20" x14ac:dyDescent="0.2">
      <c r="A394" s="49" t="s">
        <v>531</v>
      </c>
      <c r="B394" s="29">
        <v>5</v>
      </c>
      <c r="C394" s="50">
        <v>20</v>
      </c>
      <c r="D394" s="50">
        <v>29</v>
      </c>
      <c r="E394" s="27" t="s">
        <v>43</v>
      </c>
      <c r="F394" s="29" t="s">
        <v>530</v>
      </c>
      <c r="G394" s="28">
        <v>678</v>
      </c>
      <c r="H394" s="29" t="s">
        <v>65</v>
      </c>
      <c r="I394" s="38" t="str">
        <f>Assumptions!$I$146</f>
        <v>A</v>
      </c>
      <c r="J394" s="29" t="str">
        <f>IF(D394&lt;=Assumptions!$V$146,"Low",IF(D394&lt;=Assumptions!$W$146,"Mid","High"))</f>
        <v>High</v>
      </c>
      <c r="K394" s="51">
        <f>Assumptions!$Q$146</f>
        <v>2613</v>
      </c>
      <c r="L394" s="52">
        <f>INDEX(Assumptions!$D$61:$D$90,D394)</f>
        <v>3321.4550000000004</v>
      </c>
      <c r="M394" s="53">
        <f>IF(D394&lt;=Assumptions!$G$146,Assumptions!$AK$146,IF(D394&lt;Assumptions!$AH$146,Assumptions!$AK$146+(Assumptions!$AL$146-Assumptions!$AK$146)*(D394-Assumptions!$G$146)/(Assumptions!$AH$146-Assumptions!$G$146),IF(D394&lt;Assumptions!$P$146,Assumptions!$AL$146+(Assumptions!$AM$146-Assumptions!$AL$146)*(D394-Assumptions!$AH$146)/(Assumptions!$P$146-Assumptions!$AH$146),Assumptions!$AM$146)))</f>
        <v>50000</v>
      </c>
      <c r="N394" s="54">
        <f t="shared" si="12"/>
        <v>73.746312684365776</v>
      </c>
      <c r="O394" s="55">
        <f t="shared" si="13"/>
        <v>3395</v>
      </c>
      <c r="P394" s="29" t="str">
        <f>IF(D394&gt;=Assumptions!$P$146,"High",IF(D394&gt;=Assumptions!$AH$146,"Mid",IF(D394&lt;=Assumptions!$G$146,"Low","Loading")))</f>
        <v>High</v>
      </c>
      <c r="Q394" s="39">
        <f>MAX(K394,MIN(Assumptions!$S$146,O394),Q395)</f>
        <v>3395</v>
      </c>
      <c r="R394" s="30">
        <f>IF(AND(Q394&lt;=K394,INDEX(Assumptions!$C$26:$C$36,MATCH(G394,Assumptions!$A$26:$A$36,0))&lt;&gt;""),INDEX(Assumptions!$C$26:$C$36,MATCH(G394,Assumptions!$A$26:$A$36,0)),ROUND(G394*Q394,-2))</f>
        <v>2301800</v>
      </c>
      <c r="S394" s="56" t="str">
        <f>TRIM(IF(AND(Assumptions!$L$146&lt;&gt;"",D394&lt;Assumptions!$L$146),"View blocked / roof in front ("&amp;Assumptions!$M$146&amp;"); view premium still loading until L"&amp;Assumptions!$L$146&amp;". ","")&amp;IF(D394=Assumptions!$AH$146,"Mid-floor view premium fully loaded. ","")&amp;IF(D394=Assumptions!$P$146,"High-floor view premium fully loaded. ","")&amp;IF(Q394&lt;=K394,"At developer starting price.",""))</f>
        <v/>
      </c>
      <c r="T394" s="57" t="str">
        <f>Assumptions!$AJ$146</f>
        <v>SW, same direction as the 5BR. Direct landed estate + nature reserve</v>
      </c>
    </row>
    <row r="395" spans="1:20" x14ac:dyDescent="0.2">
      <c r="A395" s="49" t="s">
        <v>532</v>
      </c>
      <c r="B395" s="29">
        <v>5</v>
      </c>
      <c r="C395" s="50">
        <v>20</v>
      </c>
      <c r="D395" s="50">
        <v>28</v>
      </c>
      <c r="E395" s="27" t="s">
        <v>43</v>
      </c>
      <c r="F395" s="29" t="s">
        <v>530</v>
      </c>
      <c r="G395" s="28">
        <v>678</v>
      </c>
      <c r="H395" s="29" t="s">
        <v>65</v>
      </c>
      <c r="I395" s="38" t="str">
        <f>Assumptions!$I$146</f>
        <v>A</v>
      </c>
      <c r="J395" s="29" t="str">
        <f>IF(D395&lt;=Assumptions!$V$146,"Low",IF(D395&lt;=Assumptions!$W$146,"Mid","High"))</f>
        <v>High</v>
      </c>
      <c r="K395" s="51">
        <f>Assumptions!$Q$146</f>
        <v>2613</v>
      </c>
      <c r="L395" s="52">
        <f>INDEX(Assumptions!$D$61:$D$90,D395)</f>
        <v>3308.6800000000003</v>
      </c>
      <c r="M395" s="53">
        <f>IF(D395&lt;=Assumptions!$G$146,Assumptions!$AK$146,IF(D395&lt;Assumptions!$AH$146,Assumptions!$AK$146+(Assumptions!$AL$146-Assumptions!$AK$146)*(D395-Assumptions!$G$146)/(Assumptions!$AH$146-Assumptions!$G$146),IF(D395&lt;Assumptions!$P$146,Assumptions!$AL$146+(Assumptions!$AM$146-Assumptions!$AL$146)*(D395-Assumptions!$AH$146)/(Assumptions!$P$146-Assumptions!$AH$146),Assumptions!$AM$146)))</f>
        <v>50000</v>
      </c>
      <c r="N395" s="54">
        <f t="shared" si="12"/>
        <v>73.746312684365776</v>
      </c>
      <c r="O395" s="55">
        <f t="shared" si="13"/>
        <v>3382</v>
      </c>
      <c r="P395" s="29" t="str">
        <f>IF(D395&gt;=Assumptions!$P$146,"High",IF(D395&gt;=Assumptions!$AH$146,"Mid",IF(D395&lt;=Assumptions!$G$146,"Low","Loading")))</f>
        <v>High</v>
      </c>
      <c r="Q395" s="39">
        <f>MAX(K395,MIN(Assumptions!$S$146,O395),Q396)</f>
        <v>3382</v>
      </c>
      <c r="R395" s="30">
        <f>IF(AND(Q395&lt;=K395,INDEX(Assumptions!$C$26:$C$36,MATCH(G395,Assumptions!$A$26:$A$36,0))&lt;&gt;""),INDEX(Assumptions!$C$26:$C$36,MATCH(G395,Assumptions!$A$26:$A$36,0)),ROUND(G395*Q395,-2))</f>
        <v>2293000</v>
      </c>
      <c r="S395" s="56" t="str">
        <f>TRIM(IF(AND(Assumptions!$L$146&lt;&gt;"",D395&lt;Assumptions!$L$146),"View blocked / roof in front ("&amp;Assumptions!$M$146&amp;"); view premium still loading until L"&amp;Assumptions!$L$146&amp;". ","")&amp;IF(D395=Assumptions!$AH$146,"Mid-floor view premium fully loaded. ","")&amp;IF(D395=Assumptions!$P$146,"High-floor view premium fully loaded. ","")&amp;IF(Q395&lt;=K395,"At developer starting price.",""))</f>
        <v/>
      </c>
      <c r="T395" s="57" t="str">
        <f>Assumptions!$AJ$146</f>
        <v>SW, same direction as the 5BR. Direct landed estate + nature reserve</v>
      </c>
    </row>
    <row r="396" spans="1:20" x14ac:dyDescent="0.2">
      <c r="A396" s="49" t="s">
        <v>533</v>
      </c>
      <c r="B396" s="29">
        <v>5</v>
      </c>
      <c r="C396" s="50">
        <v>20</v>
      </c>
      <c r="D396" s="50">
        <v>27</v>
      </c>
      <c r="E396" s="27" t="s">
        <v>43</v>
      </c>
      <c r="F396" s="29" t="s">
        <v>530</v>
      </c>
      <c r="G396" s="28">
        <v>678</v>
      </c>
      <c r="H396" s="29" t="s">
        <v>65</v>
      </c>
      <c r="I396" s="38" t="str">
        <f>Assumptions!$I$146</f>
        <v>A</v>
      </c>
      <c r="J396" s="29" t="str">
        <f>IF(D396&lt;=Assumptions!$V$146,"Low",IF(D396&lt;=Assumptions!$W$146,"Mid","High"))</f>
        <v>High</v>
      </c>
      <c r="K396" s="51">
        <f>Assumptions!$Q$146</f>
        <v>2613</v>
      </c>
      <c r="L396" s="52">
        <f>INDEX(Assumptions!$D$61:$D$90,D396)</f>
        <v>3295.9050000000002</v>
      </c>
      <c r="M396" s="53">
        <f>IF(D396&lt;=Assumptions!$G$146,Assumptions!$AK$146,IF(D396&lt;Assumptions!$AH$146,Assumptions!$AK$146+(Assumptions!$AL$146-Assumptions!$AK$146)*(D396-Assumptions!$G$146)/(Assumptions!$AH$146-Assumptions!$G$146),IF(D396&lt;Assumptions!$P$146,Assumptions!$AL$146+(Assumptions!$AM$146-Assumptions!$AL$146)*(D396-Assumptions!$AH$146)/(Assumptions!$P$146-Assumptions!$AH$146),Assumptions!$AM$146)))</f>
        <v>50000</v>
      </c>
      <c r="N396" s="54">
        <f t="shared" si="12"/>
        <v>73.746312684365776</v>
      </c>
      <c r="O396" s="55">
        <f t="shared" si="13"/>
        <v>3370</v>
      </c>
      <c r="P396" s="29" t="str">
        <f>IF(D396&gt;=Assumptions!$P$146,"High",IF(D396&gt;=Assumptions!$AH$146,"Mid",IF(D396&lt;=Assumptions!$G$146,"Low","Loading")))</f>
        <v>High</v>
      </c>
      <c r="Q396" s="39">
        <f>MAX(K396,MIN(Assumptions!$S$146,O396),Q397)</f>
        <v>3370</v>
      </c>
      <c r="R396" s="30">
        <f>IF(AND(Q396&lt;=K396,INDEX(Assumptions!$C$26:$C$36,MATCH(G396,Assumptions!$A$26:$A$36,0))&lt;&gt;""),INDEX(Assumptions!$C$26:$C$36,MATCH(G396,Assumptions!$A$26:$A$36,0)),ROUND(G396*Q396,-2))</f>
        <v>2284900</v>
      </c>
      <c r="S396" s="56" t="str">
        <f>TRIM(IF(AND(Assumptions!$L$146&lt;&gt;"",D396&lt;Assumptions!$L$146),"View blocked / roof in front ("&amp;Assumptions!$M$146&amp;"); view premium still loading until L"&amp;Assumptions!$L$146&amp;". ","")&amp;IF(D396=Assumptions!$AH$146,"Mid-floor view premium fully loaded. ","")&amp;IF(D396=Assumptions!$P$146,"High-floor view premium fully loaded. ","")&amp;IF(Q396&lt;=K396,"At developer starting price.",""))</f>
        <v/>
      </c>
      <c r="T396" s="57" t="str">
        <f>Assumptions!$AJ$146</f>
        <v>SW, same direction as the 5BR. Direct landed estate + nature reserve</v>
      </c>
    </row>
    <row r="397" spans="1:20" x14ac:dyDescent="0.2">
      <c r="A397" s="49" t="s">
        <v>534</v>
      </c>
      <c r="B397" s="29">
        <v>5</v>
      </c>
      <c r="C397" s="50">
        <v>20</v>
      </c>
      <c r="D397" s="50">
        <v>26</v>
      </c>
      <c r="E397" s="27" t="s">
        <v>43</v>
      </c>
      <c r="F397" s="29" t="s">
        <v>530</v>
      </c>
      <c r="G397" s="28">
        <v>678</v>
      </c>
      <c r="H397" s="29" t="s">
        <v>65</v>
      </c>
      <c r="I397" s="38" t="str">
        <f>Assumptions!$I$146</f>
        <v>A</v>
      </c>
      <c r="J397" s="29" t="str">
        <f>IF(D397&lt;=Assumptions!$V$146,"Low",IF(D397&lt;=Assumptions!$W$146,"Mid","High"))</f>
        <v>High</v>
      </c>
      <c r="K397" s="51">
        <f>Assumptions!$Q$146</f>
        <v>2613</v>
      </c>
      <c r="L397" s="52">
        <f>INDEX(Assumptions!$D$61:$D$90,D397)</f>
        <v>3283.13</v>
      </c>
      <c r="M397" s="53">
        <f>IF(D397&lt;=Assumptions!$G$146,Assumptions!$AK$146,IF(D397&lt;Assumptions!$AH$146,Assumptions!$AK$146+(Assumptions!$AL$146-Assumptions!$AK$146)*(D397-Assumptions!$G$146)/(Assumptions!$AH$146-Assumptions!$G$146),IF(D397&lt;Assumptions!$P$146,Assumptions!$AL$146+(Assumptions!$AM$146-Assumptions!$AL$146)*(D397-Assumptions!$AH$146)/(Assumptions!$P$146-Assumptions!$AH$146),Assumptions!$AM$146)))</f>
        <v>50000</v>
      </c>
      <c r="N397" s="54">
        <f t="shared" si="12"/>
        <v>73.746312684365776</v>
      </c>
      <c r="O397" s="55">
        <f t="shared" si="13"/>
        <v>3357</v>
      </c>
      <c r="P397" s="29" t="str">
        <f>IF(D397&gt;=Assumptions!$P$146,"High",IF(D397&gt;=Assumptions!$AH$146,"Mid",IF(D397&lt;=Assumptions!$G$146,"Low","Loading")))</f>
        <v>High</v>
      </c>
      <c r="Q397" s="39">
        <f>MAX(K397,MIN(Assumptions!$S$146,O397),Q398)</f>
        <v>3357</v>
      </c>
      <c r="R397" s="30">
        <f>IF(AND(Q397&lt;=K397,INDEX(Assumptions!$C$26:$C$36,MATCH(G397,Assumptions!$A$26:$A$36,0))&lt;&gt;""),INDEX(Assumptions!$C$26:$C$36,MATCH(G397,Assumptions!$A$26:$A$36,0)),ROUND(G397*Q397,-2))</f>
        <v>2276000</v>
      </c>
      <c r="S397" s="56" t="str">
        <f>TRIM(IF(AND(Assumptions!$L$146&lt;&gt;"",D397&lt;Assumptions!$L$146),"View blocked / roof in front ("&amp;Assumptions!$M$146&amp;"); view premium still loading until L"&amp;Assumptions!$L$146&amp;". ","")&amp;IF(D397=Assumptions!$AH$146,"Mid-floor view premium fully loaded. ","")&amp;IF(D397=Assumptions!$P$146,"High-floor view premium fully loaded. ","")&amp;IF(Q397&lt;=K397,"At developer starting price.",""))</f>
        <v/>
      </c>
      <c r="T397" s="57" t="str">
        <f>Assumptions!$AJ$146</f>
        <v>SW, same direction as the 5BR. Direct landed estate + nature reserve</v>
      </c>
    </row>
    <row r="398" spans="1:20" x14ac:dyDescent="0.2">
      <c r="A398" s="49" t="s">
        <v>535</v>
      </c>
      <c r="B398" s="29">
        <v>5</v>
      </c>
      <c r="C398" s="50">
        <v>20</v>
      </c>
      <c r="D398" s="50">
        <v>25</v>
      </c>
      <c r="E398" s="27" t="s">
        <v>43</v>
      </c>
      <c r="F398" s="29" t="s">
        <v>530</v>
      </c>
      <c r="G398" s="28">
        <v>678</v>
      </c>
      <c r="H398" s="29" t="s">
        <v>65</v>
      </c>
      <c r="I398" s="38" t="str">
        <f>Assumptions!$I$146</f>
        <v>A</v>
      </c>
      <c r="J398" s="29" t="str">
        <f>IF(D398&lt;=Assumptions!$V$146,"Low",IF(D398&lt;=Assumptions!$W$146,"Mid","High"))</f>
        <v>High</v>
      </c>
      <c r="K398" s="51">
        <f>Assumptions!$Q$146</f>
        <v>2613</v>
      </c>
      <c r="L398" s="52">
        <f>INDEX(Assumptions!$D$61:$D$90,D398)</f>
        <v>3270.355</v>
      </c>
      <c r="M398" s="53">
        <f>IF(D398&lt;=Assumptions!$G$146,Assumptions!$AK$146,IF(D398&lt;Assumptions!$AH$146,Assumptions!$AK$146+(Assumptions!$AL$146-Assumptions!$AK$146)*(D398-Assumptions!$G$146)/(Assumptions!$AH$146-Assumptions!$G$146),IF(D398&lt;Assumptions!$P$146,Assumptions!$AL$146+(Assumptions!$AM$146-Assumptions!$AL$146)*(D398-Assumptions!$AH$146)/(Assumptions!$P$146-Assumptions!$AH$146),Assumptions!$AM$146)))</f>
        <v>50000</v>
      </c>
      <c r="N398" s="54">
        <f t="shared" si="12"/>
        <v>73.746312684365776</v>
      </c>
      <c r="O398" s="55">
        <f t="shared" si="13"/>
        <v>3344</v>
      </c>
      <c r="P398" s="29" t="str">
        <f>IF(D398&gt;=Assumptions!$P$146,"High",IF(D398&gt;=Assumptions!$AH$146,"Mid",IF(D398&lt;=Assumptions!$G$146,"Low","Loading")))</f>
        <v>High</v>
      </c>
      <c r="Q398" s="39">
        <f>MAX(K398,MIN(Assumptions!$S$146,O398),Q399)</f>
        <v>3344</v>
      </c>
      <c r="R398" s="30">
        <f>IF(AND(Q398&lt;=K398,INDEX(Assumptions!$C$26:$C$36,MATCH(G398,Assumptions!$A$26:$A$36,0))&lt;&gt;""),INDEX(Assumptions!$C$26:$C$36,MATCH(G398,Assumptions!$A$26:$A$36,0)),ROUND(G398*Q398,-2))</f>
        <v>2267200</v>
      </c>
      <c r="S398" s="56" t="str">
        <f>TRIM(IF(AND(Assumptions!$L$146&lt;&gt;"",D398&lt;Assumptions!$L$146),"View blocked / roof in front ("&amp;Assumptions!$M$146&amp;"); view premium still loading until L"&amp;Assumptions!$L$146&amp;". ","")&amp;IF(D398=Assumptions!$AH$146,"Mid-floor view premium fully loaded. ","")&amp;IF(D398=Assumptions!$P$146,"High-floor view premium fully loaded. ","")&amp;IF(Q398&lt;=K398,"At developer starting price.",""))</f>
        <v/>
      </c>
      <c r="T398" s="57" t="str">
        <f>Assumptions!$AJ$146</f>
        <v>SW, same direction as the 5BR. Direct landed estate + nature reserve</v>
      </c>
    </row>
    <row r="399" spans="1:20" x14ac:dyDescent="0.2">
      <c r="A399" s="49" t="s">
        <v>536</v>
      </c>
      <c r="B399" s="29">
        <v>5</v>
      </c>
      <c r="C399" s="50">
        <v>20</v>
      </c>
      <c r="D399" s="50">
        <v>24</v>
      </c>
      <c r="E399" s="27" t="s">
        <v>43</v>
      </c>
      <c r="F399" s="29" t="s">
        <v>530</v>
      </c>
      <c r="G399" s="28">
        <v>678</v>
      </c>
      <c r="H399" s="29" t="s">
        <v>65</v>
      </c>
      <c r="I399" s="38" t="str">
        <f>Assumptions!$I$146</f>
        <v>A</v>
      </c>
      <c r="J399" s="29" t="str">
        <f>IF(D399&lt;=Assumptions!$V$146,"Low",IF(D399&lt;=Assumptions!$W$146,"Mid","High"))</f>
        <v>High</v>
      </c>
      <c r="K399" s="51">
        <f>Assumptions!$Q$146</f>
        <v>2613</v>
      </c>
      <c r="L399" s="52">
        <f>INDEX(Assumptions!$D$61:$D$90,D399)</f>
        <v>3257.58</v>
      </c>
      <c r="M399" s="53">
        <f>IF(D399&lt;=Assumptions!$G$146,Assumptions!$AK$146,IF(D399&lt;Assumptions!$AH$146,Assumptions!$AK$146+(Assumptions!$AL$146-Assumptions!$AK$146)*(D399-Assumptions!$G$146)/(Assumptions!$AH$146-Assumptions!$G$146),IF(D399&lt;Assumptions!$P$146,Assumptions!$AL$146+(Assumptions!$AM$146-Assumptions!$AL$146)*(D399-Assumptions!$AH$146)/(Assumptions!$P$146-Assumptions!$AH$146),Assumptions!$AM$146)))</f>
        <v>50000</v>
      </c>
      <c r="N399" s="54">
        <f t="shared" si="12"/>
        <v>73.746312684365776</v>
      </c>
      <c r="O399" s="55">
        <f t="shared" si="13"/>
        <v>3331</v>
      </c>
      <c r="P399" s="29" t="str">
        <f>IF(D399&gt;=Assumptions!$P$146,"High",IF(D399&gt;=Assumptions!$AH$146,"Mid",IF(D399&lt;=Assumptions!$G$146,"Low","Loading")))</f>
        <v>High</v>
      </c>
      <c r="Q399" s="39">
        <f>MAX(K399,MIN(Assumptions!$S$146,O399),Q400)</f>
        <v>3331</v>
      </c>
      <c r="R399" s="30">
        <f>IF(AND(Q399&lt;=K399,INDEX(Assumptions!$C$26:$C$36,MATCH(G399,Assumptions!$A$26:$A$36,0))&lt;&gt;""),INDEX(Assumptions!$C$26:$C$36,MATCH(G399,Assumptions!$A$26:$A$36,0)),ROUND(G399*Q399,-2))</f>
        <v>2258400</v>
      </c>
      <c r="S399" s="56" t="str">
        <f>TRIM(IF(AND(Assumptions!$L$146&lt;&gt;"",D399&lt;Assumptions!$L$146),"View blocked / roof in front ("&amp;Assumptions!$M$146&amp;"); view premium still loading until L"&amp;Assumptions!$L$146&amp;". ","")&amp;IF(D399=Assumptions!$AH$146,"Mid-floor view premium fully loaded. ","")&amp;IF(D399=Assumptions!$P$146,"High-floor view premium fully loaded. ","")&amp;IF(Q399&lt;=K399,"At developer starting price.",""))</f>
        <v/>
      </c>
      <c r="T399" s="57" t="str">
        <f>Assumptions!$AJ$146</f>
        <v>SW, same direction as the 5BR. Direct landed estate + nature reserve</v>
      </c>
    </row>
    <row r="400" spans="1:20" x14ac:dyDescent="0.2">
      <c r="A400" s="49" t="s">
        <v>537</v>
      </c>
      <c r="B400" s="29">
        <v>5</v>
      </c>
      <c r="C400" s="50">
        <v>20</v>
      </c>
      <c r="D400" s="50">
        <v>23</v>
      </c>
      <c r="E400" s="27" t="s">
        <v>43</v>
      </c>
      <c r="F400" s="29" t="s">
        <v>530</v>
      </c>
      <c r="G400" s="28">
        <v>678</v>
      </c>
      <c r="H400" s="29" t="s">
        <v>65</v>
      </c>
      <c r="I400" s="38" t="str">
        <f>Assumptions!$I$146</f>
        <v>A</v>
      </c>
      <c r="J400" s="29" t="str">
        <f>IF(D400&lt;=Assumptions!$V$146,"Low",IF(D400&lt;=Assumptions!$W$146,"Mid","High"))</f>
        <v>High</v>
      </c>
      <c r="K400" s="51">
        <f>Assumptions!$Q$146</f>
        <v>2613</v>
      </c>
      <c r="L400" s="52">
        <f>INDEX(Assumptions!$D$61:$D$90,D400)</f>
        <v>3244.8049999999998</v>
      </c>
      <c r="M400" s="53">
        <f>IF(D400&lt;=Assumptions!$G$146,Assumptions!$AK$146,IF(D400&lt;Assumptions!$AH$146,Assumptions!$AK$146+(Assumptions!$AL$146-Assumptions!$AK$146)*(D400-Assumptions!$G$146)/(Assumptions!$AH$146-Assumptions!$G$146),IF(D400&lt;Assumptions!$P$146,Assumptions!$AL$146+(Assumptions!$AM$146-Assumptions!$AL$146)*(D400-Assumptions!$AH$146)/(Assumptions!$P$146-Assumptions!$AH$146),Assumptions!$AM$146)))</f>
        <v>50000</v>
      </c>
      <c r="N400" s="54">
        <f t="shared" si="12"/>
        <v>73.746312684365776</v>
      </c>
      <c r="O400" s="55">
        <f t="shared" si="13"/>
        <v>3319</v>
      </c>
      <c r="P400" s="29" t="str">
        <f>IF(D400&gt;=Assumptions!$P$146,"High",IF(D400&gt;=Assumptions!$AH$146,"Mid",IF(D400&lt;=Assumptions!$G$146,"Low","Loading")))</f>
        <v>High</v>
      </c>
      <c r="Q400" s="39">
        <f>MAX(K400,MIN(Assumptions!$S$146,O400),Q401)</f>
        <v>3319</v>
      </c>
      <c r="R400" s="30">
        <f>IF(AND(Q400&lt;=K400,INDEX(Assumptions!$C$26:$C$36,MATCH(G400,Assumptions!$A$26:$A$36,0))&lt;&gt;""),INDEX(Assumptions!$C$26:$C$36,MATCH(G400,Assumptions!$A$26:$A$36,0)),ROUND(G400*Q400,-2))</f>
        <v>2250300</v>
      </c>
      <c r="S400" s="56" t="str">
        <f>TRIM(IF(AND(Assumptions!$L$146&lt;&gt;"",D400&lt;Assumptions!$L$146),"View blocked / roof in front ("&amp;Assumptions!$M$146&amp;"); view premium still loading until L"&amp;Assumptions!$L$146&amp;". ","")&amp;IF(D400=Assumptions!$AH$146,"Mid-floor view premium fully loaded. ","")&amp;IF(D400=Assumptions!$P$146,"High-floor view premium fully loaded. ","")&amp;IF(Q400&lt;=K400,"At developer starting price.",""))</f>
        <v/>
      </c>
      <c r="T400" s="57" t="str">
        <f>Assumptions!$AJ$146</f>
        <v>SW, same direction as the 5BR. Direct landed estate + nature reserve</v>
      </c>
    </row>
    <row r="401" spans="1:20" x14ac:dyDescent="0.2">
      <c r="A401" s="49" t="s">
        <v>538</v>
      </c>
      <c r="B401" s="29">
        <v>5</v>
      </c>
      <c r="C401" s="50">
        <v>20</v>
      </c>
      <c r="D401" s="50">
        <v>22</v>
      </c>
      <c r="E401" s="27" t="s">
        <v>43</v>
      </c>
      <c r="F401" s="29" t="s">
        <v>530</v>
      </c>
      <c r="G401" s="28">
        <v>678</v>
      </c>
      <c r="H401" s="29" t="s">
        <v>65</v>
      </c>
      <c r="I401" s="38" t="str">
        <f>Assumptions!$I$146</f>
        <v>A</v>
      </c>
      <c r="J401" s="29" t="str">
        <f>IF(D401&lt;=Assumptions!$V$146,"Low",IF(D401&lt;=Assumptions!$W$146,"Mid","High"))</f>
        <v>High</v>
      </c>
      <c r="K401" s="51">
        <f>Assumptions!$Q$146</f>
        <v>2613</v>
      </c>
      <c r="L401" s="52">
        <f>INDEX(Assumptions!$D$61:$D$90,D401)</f>
        <v>3232.03</v>
      </c>
      <c r="M401" s="53">
        <f>IF(D401&lt;=Assumptions!$G$146,Assumptions!$AK$146,IF(D401&lt;Assumptions!$AH$146,Assumptions!$AK$146+(Assumptions!$AL$146-Assumptions!$AK$146)*(D401-Assumptions!$G$146)/(Assumptions!$AH$146-Assumptions!$G$146),IF(D401&lt;Assumptions!$P$146,Assumptions!$AL$146+(Assumptions!$AM$146-Assumptions!$AL$146)*(D401-Assumptions!$AH$146)/(Assumptions!$P$146-Assumptions!$AH$146),Assumptions!$AM$146)))</f>
        <v>50000</v>
      </c>
      <c r="N401" s="54">
        <f t="shared" si="12"/>
        <v>73.746312684365776</v>
      </c>
      <c r="O401" s="55">
        <f t="shared" si="13"/>
        <v>3306</v>
      </c>
      <c r="P401" s="29" t="str">
        <f>IF(D401&gt;=Assumptions!$P$146,"High",IF(D401&gt;=Assumptions!$AH$146,"Mid",IF(D401&lt;=Assumptions!$G$146,"Low","Loading")))</f>
        <v>High</v>
      </c>
      <c r="Q401" s="39">
        <f>MAX(K401,MIN(Assumptions!$S$146,O401),Q402)</f>
        <v>3306</v>
      </c>
      <c r="R401" s="30">
        <f>IF(AND(Q401&lt;=K401,INDEX(Assumptions!$C$26:$C$36,MATCH(G401,Assumptions!$A$26:$A$36,0))&lt;&gt;""),INDEX(Assumptions!$C$26:$C$36,MATCH(G401,Assumptions!$A$26:$A$36,0)),ROUND(G401*Q401,-2))</f>
        <v>2241500</v>
      </c>
      <c r="S401" s="56" t="str">
        <f>TRIM(IF(AND(Assumptions!$L$146&lt;&gt;"",D401&lt;Assumptions!$L$146),"View blocked / roof in front ("&amp;Assumptions!$M$146&amp;"); view premium still loading until L"&amp;Assumptions!$L$146&amp;". ","")&amp;IF(D401=Assumptions!$AH$146,"Mid-floor view premium fully loaded. ","")&amp;IF(D401=Assumptions!$P$146,"High-floor view premium fully loaded. ","")&amp;IF(Q401&lt;=K401,"At developer starting price.",""))</f>
        <v>High-floor view premium fully loaded.</v>
      </c>
      <c r="T401" s="57" t="str">
        <f>Assumptions!$AJ$146</f>
        <v>SW, same direction as the 5BR. Direct landed estate + nature reserve</v>
      </c>
    </row>
    <row r="402" spans="1:20" x14ac:dyDescent="0.2">
      <c r="A402" s="49" t="s">
        <v>539</v>
      </c>
      <c r="B402" s="29">
        <v>5</v>
      </c>
      <c r="C402" s="50">
        <v>20</v>
      </c>
      <c r="D402" s="50">
        <v>21</v>
      </c>
      <c r="E402" s="27" t="s">
        <v>43</v>
      </c>
      <c r="F402" s="29" t="s">
        <v>530</v>
      </c>
      <c r="G402" s="28">
        <v>678</v>
      </c>
      <c r="H402" s="29" t="s">
        <v>65</v>
      </c>
      <c r="I402" s="38" t="str">
        <f>Assumptions!$I$146</f>
        <v>A</v>
      </c>
      <c r="J402" s="29" t="str">
        <f>IF(D402&lt;=Assumptions!$V$146,"Low",IF(D402&lt;=Assumptions!$W$146,"Mid","High"))</f>
        <v>Mid</v>
      </c>
      <c r="K402" s="51">
        <f>Assumptions!$Q$146</f>
        <v>2613</v>
      </c>
      <c r="L402" s="52">
        <f>INDEX(Assumptions!$D$61:$D$90,D402)</f>
        <v>3219.2550000000001</v>
      </c>
      <c r="M402" s="53">
        <f>IF(D402&lt;=Assumptions!$G$146,Assumptions!$AK$146,IF(D402&lt;Assumptions!$AH$146,Assumptions!$AK$146+(Assumptions!$AL$146-Assumptions!$AK$146)*(D402-Assumptions!$G$146)/(Assumptions!$AH$146-Assumptions!$G$146),IF(D402&lt;Assumptions!$P$146,Assumptions!$AL$146+(Assumptions!$AM$146-Assumptions!$AL$146)*(D402-Assumptions!$AH$146)/(Assumptions!$P$146-Assumptions!$AH$146),Assumptions!$AM$146)))</f>
        <v>50000</v>
      </c>
      <c r="N402" s="54">
        <f t="shared" si="12"/>
        <v>73.746312684365776</v>
      </c>
      <c r="O402" s="55">
        <f t="shared" si="13"/>
        <v>3293</v>
      </c>
      <c r="P402" s="29" t="str">
        <f>IF(D402&gt;=Assumptions!$P$146,"High",IF(D402&gt;=Assumptions!$AH$146,"Mid",IF(D402&lt;=Assumptions!$G$146,"Low","Loading")))</f>
        <v>Mid</v>
      </c>
      <c r="Q402" s="39">
        <f>MAX(K402,MIN(Assumptions!$S$146,O402),Q403)</f>
        <v>3293</v>
      </c>
      <c r="R402" s="30">
        <f>IF(AND(Q402&lt;=K402,INDEX(Assumptions!$C$26:$C$36,MATCH(G402,Assumptions!$A$26:$A$36,0))&lt;&gt;""),INDEX(Assumptions!$C$26:$C$36,MATCH(G402,Assumptions!$A$26:$A$36,0)),ROUND(G402*Q402,-2))</f>
        <v>2232700</v>
      </c>
      <c r="S402" s="56" t="str">
        <f>TRIM(IF(AND(Assumptions!$L$146&lt;&gt;"",D402&lt;Assumptions!$L$146),"View blocked / roof in front ("&amp;Assumptions!$M$146&amp;"); view premium still loading until L"&amp;Assumptions!$L$146&amp;". ","")&amp;IF(D402=Assumptions!$AH$146,"Mid-floor view premium fully loaded. ","")&amp;IF(D402=Assumptions!$P$146,"High-floor view premium fully loaded. ","")&amp;IF(Q402&lt;=K402,"At developer starting price.",""))</f>
        <v/>
      </c>
      <c r="T402" s="57" t="str">
        <f>Assumptions!$AJ$146</f>
        <v>SW, same direction as the 5BR. Direct landed estate + nature reserve</v>
      </c>
    </row>
    <row r="403" spans="1:20" x14ac:dyDescent="0.2">
      <c r="A403" s="49" t="s">
        <v>540</v>
      </c>
      <c r="B403" s="29">
        <v>5</v>
      </c>
      <c r="C403" s="50">
        <v>20</v>
      </c>
      <c r="D403" s="50">
        <v>20</v>
      </c>
      <c r="E403" s="27" t="s">
        <v>43</v>
      </c>
      <c r="F403" s="29" t="s">
        <v>530</v>
      </c>
      <c r="G403" s="28">
        <v>678</v>
      </c>
      <c r="H403" s="29" t="s">
        <v>65</v>
      </c>
      <c r="I403" s="38" t="str">
        <f>Assumptions!$I$146</f>
        <v>A</v>
      </c>
      <c r="J403" s="29" t="str">
        <f>IF(D403&lt;=Assumptions!$V$146,"Low",IF(D403&lt;=Assumptions!$W$146,"Mid","High"))</f>
        <v>Mid</v>
      </c>
      <c r="K403" s="51">
        <f>Assumptions!$Q$146</f>
        <v>2613</v>
      </c>
      <c r="L403" s="52">
        <f>INDEX(Assumptions!$D$61:$D$90,D403)</f>
        <v>3200.18</v>
      </c>
      <c r="M403" s="53">
        <f>IF(D403&lt;=Assumptions!$G$146,Assumptions!$AK$146,IF(D403&lt;Assumptions!$AH$146,Assumptions!$AK$146+(Assumptions!$AL$146-Assumptions!$AK$146)*(D403-Assumptions!$G$146)/(Assumptions!$AH$146-Assumptions!$G$146),IF(D403&lt;Assumptions!$P$146,Assumptions!$AL$146+(Assumptions!$AM$146-Assumptions!$AL$146)*(D403-Assumptions!$AH$146)/(Assumptions!$P$146-Assumptions!$AH$146),Assumptions!$AM$146)))</f>
        <v>50000</v>
      </c>
      <c r="N403" s="54">
        <f t="shared" si="12"/>
        <v>73.746312684365776</v>
      </c>
      <c r="O403" s="55">
        <f t="shared" si="13"/>
        <v>3274</v>
      </c>
      <c r="P403" s="29" t="str">
        <f>IF(D403&gt;=Assumptions!$P$146,"High",IF(D403&gt;=Assumptions!$AH$146,"Mid",IF(D403&lt;=Assumptions!$G$146,"Low","Loading")))</f>
        <v>Mid</v>
      </c>
      <c r="Q403" s="39">
        <f>MAX(K403,MIN(Assumptions!$S$146,O403),Q404)</f>
        <v>3274</v>
      </c>
      <c r="R403" s="30">
        <f>IF(AND(Q403&lt;=K403,INDEX(Assumptions!$C$26:$C$36,MATCH(G403,Assumptions!$A$26:$A$36,0))&lt;&gt;""),INDEX(Assumptions!$C$26:$C$36,MATCH(G403,Assumptions!$A$26:$A$36,0)),ROUND(G403*Q403,-2))</f>
        <v>2219800</v>
      </c>
      <c r="S403" s="56" t="str">
        <f>TRIM(IF(AND(Assumptions!$L$146&lt;&gt;"",D403&lt;Assumptions!$L$146),"View blocked / roof in front ("&amp;Assumptions!$M$146&amp;"); view premium still loading until L"&amp;Assumptions!$L$146&amp;". ","")&amp;IF(D403=Assumptions!$AH$146,"Mid-floor view premium fully loaded. ","")&amp;IF(D403=Assumptions!$P$146,"High-floor view premium fully loaded. ","")&amp;IF(Q403&lt;=K403,"At developer starting price.",""))</f>
        <v/>
      </c>
      <c r="T403" s="57" t="str">
        <f>Assumptions!$AJ$146</f>
        <v>SW, same direction as the 5BR. Direct landed estate + nature reserve</v>
      </c>
    </row>
    <row r="404" spans="1:20" x14ac:dyDescent="0.2">
      <c r="A404" s="49" t="s">
        <v>541</v>
      </c>
      <c r="B404" s="29">
        <v>5</v>
      </c>
      <c r="C404" s="50">
        <v>20</v>
      </c>
      <c r="D404" s="50">
        <v>19</v>
      </c>
      <c r="E404" s="27" t="s">
        <v>43</v>
      </c>
      <c r="F404" s="29" t="s">
        <v>530</v>
      </c>
      <c r="G404" s="28">
        <v>678</v>
      </c>
      <c r="H404" s="29" t="s">
        <v>65</v>
      </c>
      <c r="I404" s="38" t="str">
        <f>Assumptions!$I$146</f>
        <v>A</v>
      </c>
      <c r="J404" s="29" t="str">
        <f>IF(D404&lt;=Assumptions!$V$146,"Low",IF(D404&lt;=Assumptions!$W$146,"Mid","High"))</f>
        <v>Mid</v>
      </c>
      <c r="K404" s="51">
        <f>Assumptions!$Q$146</f>
        <v>2613</v>
      </c>
      <c r="L404" s="52">
        <f>INDEX(Assumptions!$D$61:$D$90,D404)</f>
        <v>3181.105</v>
      </c>
      <c r="M404" s="53">
        <f>IF(D404&lt;=Assumptions!$G$146,Assumptions!$AK$146,IF(D404&lt;Assumptions!$AH$146,Assumptions!$AK$146+(Assumptions!$AL$146-Assumptions!$AK$146)*(D404-Assumptions!$G$146)/(Assumptions!$AH$146-Assumptions!$G$146),IF(D404&lt;Assumptions!$P$146,Assumptions!$AL$146+(Assumptions!$AM$146-Assumptions!$AL$146)*(D404-Assumptions!$AH$146)/(Assumptions!$P$146-Assumptions!$AH$146),Assumptions!$AM$146)))</f>
        <v>50000</v>
      </c>
      <c r="N404" s="54">
        <f t="shared" si="12"/>
        <v>73.746312684365776</v>
      </c>
      <c r="O404" s="55">
        <f t="shared" si="13"/>
        <v>3255</v>
      </c>
      <c r="P404" s="29" t="str">
        <f>IF(D404&gt;=Assumptions!$P$146,"High",IF(D404&gt;=Assumptions!$AH$146,"Mid",IF(D404&lt;=Assumptions!$G$146,"Low","Loading")))</f>
        <v>Mid</v>
      </c>
      <c r="Q404" s="39">
        <f>MAX(K404,MIN(Assumptions!$S$146,O404),Q405)</f>
        <v>3255</v>
      </c>
      <c r="R404" s="30">
        <f>IF(AND(Q404&lt;=K404,INDEX(Assumptions!$C$26:$C$36,MATCH(G404,Assumptions!$A$26:$A$36,0))&lt;&gt;""),INDEX(Assumptions!$C$26:$C$36,MATCH(G404,Assumptions!$A$26:$A$36,0)),ROUND(G404*Q404,-2))</f>
        <v>2206900</v>
      </c>
      <c r="S404" s="56" t="str">
        <f>TRIM(IF(AND(Assumptions!$L$146&lt;&gt;"",D404&lt;Assumptions!$L$146),"View blocked / roof in front ("&amp;Assumptions!$M$146&amp;"); view premium still loading until L"&amp;Assumptions!$L$146&amp;". ","")&amp;IF(D404=Assumptions!$AH$146,"Mid-floor view premium fully loaded. ","")&amp;IF(D404=Assumptions!$P$146,"High-floor view premium fully loaded. ","")&amp;IF(Q404&lt;=K404,"At developer starting price.",""))</f>
        <v/>
      </c>
      <c r="T404" s="57" t="str">
        <f>Assumptions!$AJ$146</f>
        <v>SW, same direction as the 5BR. Direct landed estate + nature reserve</v>
      </c>
    </row>
    <row r="405" spans="1:20" x14ac:dyDescent="0.2">
      <c r="A405" s="49" t="s">
        <v>542</v>
      </c>
      <c r="B405" s="29">
        <v>5</v>
      </c>
      <c r="C405" s="50">
        <v>20</v>
      </c>
      <c r="D405" s="50">
        <v>18</v>
      </c>
      <c r="E405" s="27" t="s">
        <v>43</v>
      </c>
      <c r="F405" s="29" t="s">
        <v>530</v>
      </c>
      <c r="G405" s="28">
        <v>678</v>
      </c>
      <c r="H405" s="29" t="s">
        <v>65</v>
      </c>
      <c r="I405" s="38" t="str">
        <f>Assumptions!$I$146</f>
        <v>A</v>
      </c>
      <c r="J405" s="29" t="str">
        <f>IF(D405&lt;=Assumptions!$V$146,"Low",IF(D405&lt;=Assumptions!$W$146,"Mid","High"))</f>
        <v>Mid</v>
      </c>
      <c r="K405" s="51">
        <f>Assumptions!$Q$146</f>
        <v>2613</v>
      </c>
      <c r="L405" s="52">
        <f>INDEX(Assumptions!$D$61:$D$90,D405)</f>
        <v>3162.0299999999997</v>
      </c>
      <c r="M405" s="53">
        <f>IF(D405&lt;=Assumptions!$G$146,Assumptions!$AK$146,IF(D405&lt;Assumptions!$AH$146,Assumptions!$AK$146+(Assumptions!$AL$146-Assumptions!$AK$146)*(D405-Assumptions!$G$146)/(Assumptions!$AH$146-Assumptions!$G$146),IF(D405&lt;Assumptions!$P$146,Assumptions!$AL$146+(Assumptions!$AM$146-Assumptions!$AL$146)*(D405-Assumptions!$AH$146)/(Assumptions!$P$146-Assumptions!$AH$146),Assumptions!$AM$146)))</f>
        <v>50000</v>
      </c>
      <c r="N405" s="54">
        <f t="shared" si="12"/>
        <v>73.746312684365776</v>
      </c>
      <c r="O405" s="55">
        <f t="shared" si="13"/>
        <v>3236</v>
      </c>
      <c r="P405" s="29" t="str">
        <f>IF(D405&gt;=Assumptions!$P$146,"High",IF(D405&gt;=Assumptions!$AH$146,"Mid",IF(D405&lt;=Assumptions!$G$146,"Low","Loading")))</f>
        <v>Mid</v>
      </c>
      <c r="Q405" s="39">
        <f>MAX(K405,MIN(Assumptions!$S$146,O405),Q406)</f>
        <v>3236</v>
      </c>
      <c r="R405" s="30">
        <f>IF(AND(Q405&lt;=K405,INDEX(Assumptions!$C$26:$C$36,MATCH(G405,Assumptions!$A$26:$A$36,0))&lt;&gt;""),INDEX(Assumptions!$C$26:$C$36,MATCH(G405,Assumptions!$A$26:$A$36,0)),ROUND(G405*Q405,-2))</f>
        <v>2194000</v>
      </c>
      <c r="S405" s="56" t="str">
        <f>TRIM(IF(AND(Assumptions!$L$146&lt;&gt;"",D405&lt;Assumptions!$L$146),"View blocked / roof in front ("&amp;Assumptions!$M$146&amp;"); view premium still loading until L"&amp;Assumptions!$L$146&amp;". ","")&amp;IF(D405=Assumptions!$AH$146,"Mid-floor view premium fully loaded. ","")&amp;IF(D405=Assumptions!$P$146,"High-floor view premium fully loaded. ","")&amp;IF(Q405&lt;=K405,"At developer starting price.",""))</f>
        <v/>
      </c>
      <c r="T405" s="57" t="str">
        <f>Assumptions!$AJ$146</f>
        <v>SW, same direction as the 5BR. Direct landed estate + nature reserve</v>
      </c>
    </row>
    <row r="406" spans="1:20" x14ac:dyDescent="0.2">
      <c r="A406" s="49" t="s">
        <v>543</v>
      </c>
      <c r="B406" s="29">
        <v>5</v>
      </c>
      <c r="C406" s="50">
        <v>20</v>
      </c>
      <c r="D406" s="50">
        <v>17</v>
      </c>
      <c r="E406" s="27" t="s">
        <v>43</v>
      </c>
      <c r="F406" s="29" t="s">
        <v>530</v>
      </c>
      <c r="G406" s="28">
        <v>678</v>
      </c>
      <c r="H406" s="29" t="s">
        <v>65</v>
      </c>
      <c r="I406" s="38" t="str">
        <f>Assumptions!$I$146</f>
        <v>A</v>
      </c>
      <c r="J406" s="29" t="str">
        <f>IF(D406&lt;=Assumptions!$V$146,"Low",IF(D406&lt;=Assumptions!$W$146,"Mid","High"))</f>
        <v>Mid</v>
      </c>
      <c r="K406" s="51">
        <f>Assumptions!$Q$146</f>
        <v>2613</v>
      </c>
      <c r="L406" s="52">
        <f>INDEX(Assumptions!$D$61:$D$90,D406)</f>
        <v>3142.8252380952381</v>
      </c>
      <c r="M406" s="53">
        <f>IF(D406&lt;=Assumptions!$G$146,Assumptions!$AK$146,IF(D406&lt;Assumptions!$AH$146,Assumptions!$AK$146+(Assumptions!$AL$146-Assumptions!$AK$146)*(D406-Assumptions!$G$146)/(Assumptions!$AH$146-Assumptions!$G$146),IF(D406&lt;Assumptions!$P$146,Assumptions!$AL$146+(Assumptions!$AM$146-Assumptions!$AL$146)*(D406-Assumptions!$AH$146)/(Assumptions!$P$146-Assumptions!$AH$146),Assumptions!$AM$146)))</f>
        <v>50000</v>
      </c>
      <c r="N406" s="54">
        <f t="shared" si="12"/>
        <v>73.746312684365776</v>
      </c>
      <c r="O406" s="55">
        <f t="shared" si="13"/>
        <v>3217</v>
      </c>
      <c r="P406" s="29" t="str">
        <f>IF(D406&gt;=Assumptions!$P$146,"High",IF(D406&gt;=Assumptions!$AH$146,"Mid",IF(D406&lt;=Assumptions!$G$146,"Low","Loading")))</f>
        <v>Mid</v>
      </c>
      <c r="Q406" s="39">
        <f>MAX(K406,MIN(Assumptions!$S$146,O406),Q407)</f>
        <v>3217</v>
      </c>
      <c r="R406" s="30">
        <f>IF(AND(Q406&lt;=K406,INDEX(Assumptions!$C$26:$C$36,MATCH(G406,Assumptions!$A$26:$A$36,0))&lt;&gt;""),INDEX(Assumptions!$C$26:$C$36,MATCH(G406,Assumptions!$A$26:$A$36,0)),ROUND(G406*Q406,-2))</f>
        <v>2181100</v>
      </c>
      <c r="S406" s="56" t="str">
        <f>TRIM(IF(AND(Assumptions!$L$146&lt;&gt;"",D406&lt;Assumptions!$L$146),"View blocked / roof in front ("&amp;Assumptions!$M$146&amp;"); view premium still loading until L"&amp;Assumptions!$L$146&amp;". ","")&amp;IF(D406=Assumptions!$AH$146,"Mid-floor view premium fully loaded. ","")&amp;IF(D406=Assumptions!$P$146,"High-floor view premium fully loaded. ","")&amp;IF(Q406&lt;=K406,"At developer starting price.",""))</f>
        <v/>
      </c>
      <c r="T406" s="57" t="str">
        <f>Assumptions!$AJ$146</f>
        <v>SW, same direction as the 5BR. Direct landed estate + nature reserve</v>
      </c>
    </row>
    <row r="407" spans="1:20" x14ac:dyDescent="0.2">
      <c r="A407" s="49" t="s">
        <v>544</v>
      </c>
      <c r="B407" s="29">
        <v>5</v>
      </c>
      <c r="C407" s="50">
        <v>20</v>
      </c>
      <c r="D407" s="50">
        <v>16</v>
      </c>
      <c r="E407" s="27" t="s">
        <v>43</v>
      </c>
      <c r="F407" s="29" t="s">
        <v>530</v>
      </c>
      <c r="G407" s="28">
        <v>678</v>
      </c>
      <c r="H407" s="29" t="s">
        <v>65</v>
      </c>
      <c r="I407" s="38" t="str">
        <f>Assumptions!$I$146</f>
        <v>A</v>
      </c>
      <c r="J407" s="29" t="str">
        <f>IF(D407&lt;=Assumptions!$V$146,"Low",IF(D407&lt;=Assumptions!$W$146,"Mid","High"))</f>
        <v>Mid</v>
      </c>
      <c r="K407" s="51">
        <f>Assumptions!$Q$146</f>
        <v>2613</v>
      </c>
      <c r="L407" s="52">
        <f>INDEX(Assumptions!$D$61:$D$90,D407)</f>
        <v>3123.620476190476</v>
      </c>
      <c r="M407" s="53">
        <f>IF(D407&lt;=Assumptions!$G$146,Assumptions!$AK$146,IF(D407&lt;Assumptions!$AH$146,Assumptions!$AK$146+(Assumptions!$AL$146-Assumptions!$AK$146)*(D407-Assumptions!$G$146)/(Assumptions!$AH$146-Assumptions!$G$146),IF(D407&lt;Assumptions!$P$146,Assumptions!$AL$146+(Assumptions!$AM$146-Assumptions!$AL$146)*(D407-Assumptions!$AH$146)/(Assumptions!$P$146-Assumptions!$AH$146),Assumptions!$AM$146)))</f>
        <v>50000</v>
      </c>
      <c r="N407" s="54">
        <f t="shared" si="12"/>
        <v>73.746312684365776</v>
      </c>
      <c r="O407" s="55">
        <f t="shared" si="13"/>
        <v>3197</v>
      </c>
      <c r="P407" s="29" t="str">
        <f>IF(D407&gt;=Assumptions!$P$146,"High",IF(D407&gt;=Assumptions!$AH$146,"Mid",IF(D407&lt;=Assumptions!$G$146,"Low","Loading")))</f>
        <v>Mid</v>
      </c>
      <c r="Q407" s="39">
        <f>MAX(K407,MIN(Assumptions!$S$146,O407),Q408)</f>
        <v>3197</v>
      </c>
      <c r="R407" s="30">
        <f>IF(AND(Q407&lt;=K407,INDEX(Assumptions!$C$26:$C$36,MATCH(G407,Assumptions!$A$26:$A$36,0))&lt;&gt;""),INDEX(Assumptions!$C$26:$C$36,MATCH(G407,Assumptions!$A$26:$A$36,0)),ROUND(G407*Q407,-2))</f>
        <v>2167600</v>
      </c>
      <c r="S407" s="56" t="str">
        <f>TRIM(IF(AND(Assumptions!$L$146&lt;&gt;"",D407&lt;Assumptions!$L$146),"View blocked / roof in front ("&amp;Assumptions!$M$146&amp;"); view premium still loading until L"&amp;Assumptions!$L$146&amp;". ","")&amp;IF(D407=Assumptions!$AH$146,"Mid-floor view premium fully loaded. ","")&amp;IF(D407=Assumptions!$P$146,"High-floor view premium fully loaded. ","")&amp;IF(Q407&lt;=K407,"At developer starting price.",""))</f>
        <v/>
      </c>
      <c r="T407" s="57" t="str">
        <f>Assumptions!$AJ$146</f>
        <v>SW, same direction as the 5BR. Direct landed estate + nature reserve</v>
      </c>
    </row>
    <row r="408" spans="1:20" x14ac:dyDescent="0.2">
      <c r="A408" s="49" t="s">
        <v>545</v>
      </c>
      <c r="B408" s="29">
        <v>5</v>
      </c>
      <c r="C408" s="50">
        <v>20</v>
      </c>
      <c r="D408" s="50">
        <v>15</v>
      </c>
      <c r="E408" s="27" t="s">
        <v>43</v>
      </c>
      <c r="F408" s="29" t="s">
        <v>530</v>
      </c>
      <c r="G408" s="28">
        <v>678</v>
      </c>
      <c r="H408" s="29" t="s">
        <v>65</v>
      </c>
      <c r="I408" s="38" t="str">
        <f>Assumptions!$I$146</f>
        <v>A</v>
      </c>
      <c r="J408" s="29" t="str">
        <f>IF(D408&lt;=Assumptions!$V$146,"Low",IF(D408&lt;=Assumptions!$W$146,"Mid","High"))</f>
        <v>Mid</v>
      </c>
      <c r="K408" s="51">
        <f>Assumptions!$Q$146</f>
        <v>2613</v>
      </c>
      <c r="L408" s="52">
        <f>INDEX(Assumptions!$D$61:$D$90,D408)</f>
        <v>3104.4157142857139</v>
      </c>
      <c r="M408" s="53">
        <f>IF(D408&lt;=Assumptions!$G$146,Assumptions!$AK$146,IF(D408&lt;Assumptions!$AH$146,Assumptions!$AK$146+(Assumptions!$AL$146-Assumptions!$AK$146)*(D408-Assumptions!$G$146)/(Assumptions!$AH$146-Assumptions!$G$146),IF(D408&lt;Assumptions!$P$146,Assumptions!$AL$146+(Assumptions!$AM$146-Assumptions!$AL$146)*(D408-Assumptions!$AH$146)/(Assumptions!$P$146-Assumptions!$AH$146),Assumptions!$AM$146)))</f>
        <v>50000</v>
      </c>
      <c r="N408" s="54">
        <f t="shared" si="12"/>
        <v>73.746312684365776</v>
      </c>
      <c r="O408" s="55">
        <f t="shared" si="13"/>
        <v>3178</v>
      </c>
      <c r="P408" s="29" t="str">
        <f>IF(D408&gt;=Assumptions!$P$146,"High",IF(D408&gt;=Assumptions!$AH$146,"Mid",IF(D408&lt;=Assumptions!$G$146,"Low","Loading")))</f>
        <v>Mid</v>
      </c>
      <c r="Q408" s="39">
        <f>MAX(K408,MIN(Assumptions!$S$146,O408),Q409)</f>
        <v>3178</v>
      </c>
      <c r="R408" s="30">
        <f>IF(AND(Q408&lt;=K408,INDEX(Assumptions!$C$26:$C$36,MATCH(G408,Assumptions!$A$26:$A$36,0))&lt;&gt;""),INDEX(Assumptions!$C$26:$C$36,MATCH(G408,Assumptions!$A$26:$A$36,0)),ROUND(G408*Q408,-2))</f>
        <v>2154700</v>
      </c>
      <c r="S408" s="56" t="str">
        <f>TRIM(IF(AND(Assumptions!$L$146&lt;&gt;"",D408&lt;Assumptions!$L$146),"View blocked / roof in front ("&amp;Assumptions!$M$146&amp;"); view premium still loading until L"&amp;Assumptions!$L$146&amp;". ","")&amp;IF(D408=Assumptions!$AH$146,"Mid-floor view premium fully loaded. ","")&amp;IF(D408=Assumptions!$P$146,"High-floor view premium fully loaded. ","")&amp;IF(Q408&lt;=K408,"At developer starting price.",""))</f>
        <v>Mid-floor view premium fully loaded.</v>
      </c>
      <c r="T408" s="57" t="str">
        <f>Assumptions!$AJ$146</f>
        <v>SW, same direction as the 5BR. Direct landed estate + nature reserve</v>
      </c>
    </row>
    <row r="409" spans="1:20" x14ac:dyDescent="0.2">
      <c r="A409" s="49" t="s">
        <v>546</v>
      </c>
      <c r="B409" s="29">
        <v>5</v>
      </c>
      <c r="C409" s="50">
        <v>20</v>
      </c>
      <c r="D409" s="50">
        <v>14</v>
      </c>
      <c r="E409" s="27" t="s">
        <v>43</v>
      </c>
      <c r="F409" s="29" t="s">
        <v>530</v>
      </c>
      <c r="G409" s="28">
        <v>678</v>
      </c>
      <c r="H409" s="29" t="s">
        <v>65</v>
      </c>
      <c r="I409" s="38" t="str">
        <f>Assumptions!$I$146</f>
        <v>A</v>
      </c>
      <c r="J409" s="29" t="str">
        <f>IF(D409&lt;=Assumptions!$V$146,"Low",IF(D409&lt;=Assumptions!$W$146,"Mid","High"))</f>
        <v>Low</v>
      </c>
      <c r="K409" s="51">
        <f>Assumptions!$Q$146</f>
        <v>2613</v>
      </c>
      <c r="L409" s="52">
        <f>INDEX(Assumptions!$D$61:$D$90,D409)</f>
        <v>3085.2109523809522</v>
      </c>
      <c r="M409" s="53">
        <f>IF(D409&lt;=Assumptions!$G$146,Assumptions!$AK$146,IF(D409&lt;Assumptions!$AH$146,Assumptions!$AK$146+(Assumptions!$AL$146-Assumptions!$AK$146)*(D409-Assumptions!$G$146)/(Assumptions!$AH$146-Assumptions!$G$146),IF(D409&lt;Assumptions!$P$146,Assumptions!$AL$146+(Assumptions!$AM$146-Assumptions!$AL$146)*(D409-Assumptions!$AH$146)/(Assumptions!$P$146-Assumptions!$AH$146),Assumptions!$AM$146)))</f>
        <v>50000</v>
      </c>
      <c r="N409" s="54">
        <f t="shared" si="12"/>
        <v>73.746312684365776</v>
      </c>
      <c r="O409" s="55">
        <f t="shared" si="13"/>
        <v>3159</v>
      </c>
      <c r="P409" s="29" t="str">
        <f>IF(D409&gt;=Assumptions!$P$146,"High",IF(D409&gt;=Assumptions!$AH$146,"Mid",IF(D409&lt;=Assumptions!$G$146,"Low","Loading")))</f>
        <v>Loading</v>
      </c>
      <c r="Q409" s="39">
        <f>MAX(K409,MIN(Assumptions!$S$146,O409),Q410)</f>
        <v>3159</v>
      </c>
      <c r="R409" s="30">
        <f>IF(AND(Q409&lt;=K409,INDEX(Assumptions!$C$26:$C$36,MATCH(G409,Assumptions!$A$26:$A$36,0))&lt;&gt;""),INDEX(Assumptions!$C$26:$C$36,MATCH(G409,Assumptions!$A$26:$A$36,0)),ROUND(G409*Q409,-2))</f>
        <v>2141800</v>
      </c>
      <c r="S409" s="56" t="str">
        <f>TRIM(IF(AND(Assumptions!$L$146&lt;&gt;"",D409&lt;Assumptions!$L$146),"View blocked / roof in front ("&amp;Assumptions!$M$146&amp;"); view premium still loading until L"&amp;Assumptions!$L$146&amp;". ","")&amp;IF(D409=Assumptions!$AH$146,"Mid-floor view premium fully loaded. ","")&amp;IF(D409=Assumptions!$P$146,"High-floor view premium fully loaded. ","")&amp;IF(Q409&lt;=K409,"At developer starting price.",""))</f>
        <v/>
      </c>
      <c r="T409" s="57" t="str">
        <f>Assumptions!$AJ$146</f>
        <v>SW, same direction as the 5BR. Direct landed estate + nature reserve</v>
      </c>
    </row>
    <row r="410" spans="1:20" x14ac:dyDescent="0.2">
      <c r="A410" s="49" t="s">
        <v>547</v>
      </c>
      <c r="B410" s="29">
        <v>5</v>
      </c>
      <c r="C410" s="50">
        <v>20</v>
      </c>
      <c r="D410" s="50">
        <v>13</v>
      </c>
      <c r="E410" s="27" t="s">
        <v>43</v>
      </c>
      <c r="F410" s="29" t="s">
        <v>530</v>
      </c>
      <c r="G410" s="28">
        <v>678</v>
      </c>
      <c r="H410" s="29" t="s">
        <v>65</v>
      </c>
      <c r="I410" s="38" t="str">
        <f>Assumptions!$I$146</f>
        <v>A</v>
      </c>
      <c r="J410" s="29" t="str">
        <f>IF(D410&lt;=Assumptions!$V$146,"Low",IF(D410&lt;=Assumptions!$W$146,"Mid","High"))</f>
        <v>Low</v>
      </c>
      <c r="K410" s="51">
        <f>Assumptions!$Q$146</f>
        <v>2613</v>
      </c>
      <c r="L410" s="52">
        <f>INDEX(Assumptions!$D$61:$D$90,D410)</f>
        <v>3066.0061904761901</v>
      </c>
      <c r="M410" s="53">
        <f>IF(D410&lt;=Assumptions!$G$146,Assumptions!$AK$146,IF(D410&lt;Assumptions!$AH$146,Assumptions!$AK$146+(Assumptions!$AL$146-Assumptions!$AK$146)*(D410-Assumptions!$G$146)/(Assumptions!$AH$146-Assumptions!$G$146),IF(D410&lt;Assumptions!$P$146,Assumptions!$AL$146+(Assumptions!$AM$146-Assumptions!$AL$146)*(D410-Assumptions!$AH$146)/(Assumptions!$P$146-Assumptions!$AH$146),Assumptions!$AM$146)))</f>
        <v>50000</v>
      </c>
      <c r="N410" s="54">
        <f t="shared" si="12"/>
        <v>73.746312684365776</v>
      </c>
      <c r="O410" s="55">
        <f t="shared" si="13"/>
        <v>3140</v>
      </c>
      <c r="P410" s="29" t="str">
        <f>IF(D410&gt;=Assumptions!$P$146,"High",IF(D410&gt;=Assumptions!$AH$146,"Mid",IF(D410&lt;=Assumptions!$G$146,"Low","Loading")))</f>
        <v>Loading</v>
      </c>
      <c r="Q410" s="39">
        <f>MAX(K410,MIN(Assumptions!$S$146,O410),Q411)</f>
        <v>3140</v>
      </c>
      <c r="R410" s="30">
        <f>IF(AND(Q410&lt;=K410,INDEX(Assumptions!$C$26:$C$36,MATCH(G410,Assumptions!$A$26:$A$36,0))&lt;&gt;""),INDEX(Assumptions!$C$26:$C$36,MATCH(G410,Assumptions!$A$26:$A$36,0)),ROUND(G410*Q410,-2))</f>
        <v>2128900</v>
      </c>
      <c r="S410" s="56" t="str">
        <f>TRIM(IF(AND(Assumptions!$L$146&lt;&gt;"",D410&lt;Assumptions!$L$146),"View blocked / roof in front ("&amp;Assumptions!$M$146&amp;"); view premium still loading until L"&amp;Assumptions!$L$146&amp;". ","")&amp;IF(D410=Assumptions!$AH$146,"Mid-floor view premium fully loaded. ","")&amp;IF(D410=Assumptions!$P$146,"High-floor view premium fully loaded. ","")&amp;IF(Q410&lt;=K410,"At developer starting price.",""))</f>
        <v/>
      </c>
      <c r="T410" s="57" t="str">
        <f>Assumptions!$AJ$146</f>
        <v>SW, same direction as the 5BR. Direct landed estate + nature reserve</v>
      </c>
    </row>
    <row r="411" spans="1:20" x14ac:dyDescent="0.2">
      <c r="A411" s="49" t="s">
        <v>548</v>
      </c>
      <c r="B411" s="29">
        <v>5</v>
      </c>
      <c r="C411" s="50">
        <v>20</v>
      </c>
      <c r="D411" s="50">
        <v>12</v>
      </c>
      <c r="E411" s="27" t="s">
        <v>43</v>
      </c>
      <c r="F411" s="29" t="s">
        <v>530</v>
      </c>
      <c r="G411" s="28">
        <v>678</v>
      </c>
      <c r="H411" s="29" t="s">
        <v>65</v>
      </c>
      <c r="I411" s="38" t="str">
        <f>Assumptions!$I$146</f>
        <v>A</v>
      </c>
      <c r="J411" s="29" t="str">
        <f>IF(D411&lt;=Assumptions!$V$146,"Low",IF(D411&lt;=Assumptions!$W$146,"Mid","High"))</f>
        <v>Low</v>
      </c>
      <c r="K411" s="51">
        <f>Assumptions!$Q$146</f>
        <v>2613</v>
      </c>
      <c r="L411" s="52">
        <f>INDEX(Assumptions!$D$61:$D$90,D411)</f>
        <v>3046.8014285714285</v>
      </c>
      <c r="M411" s="53">
        <f>IF(D411&lt;=Assumptions!$G$146,Assumptions!$AK$146,IF(D411&lt;Assumptions!$AH$146,Assumptions!$AK$146+(Assumptions!$AL$146-Assumptions!$AK$146)*(D411-Assumptions!$G$146)/(Assumptions!$AH$146-Assumptions!$G$146),IF(D411&lt;Assumptions!$P$146,Assumptions!$AL$146+(Assumptions!$AM$146-Assumptions!$AL$146)*(D411-Assumptions!$AH$146)/(Assumptions!$P$146-Assumptions!$AH$146),Assumptions!$AM$146)))</f>
        <v>50000</v>
      </c>
      <c r="N411" s="54">
        <f t="shared" si="12"/>
        <v>73.746312684365776</v>
      </c>
      <c r="O411" s="55">
        <f t="shared" si="13"/>
        <v>3121</v>
      </c>
      <c r="P411" s="29" t="str">
        <f>IF(D411&gt;=Assumptions!$P$146,"High",IF(D411&gt;=Assumptions!$AH$146,"Mid",IF(D411&lt;=Assumptions!$G$146,"Low","Loading")))</f>
        <v>Loading</v>
      </c>
      <c r="Q411" s="39">
        <f>MAX(K411,MIN(Assumptions!$S$146,O411),Q412)</f>
        <v>3121</v>
      </c>
      <c r="R411" s="30">
        <f>IF(AND(Q411&lt;=K411,INDEX(Assumptions!$C$26:$C$36,MATCH(G411,Assumptions!$A$26:$A$36,0))&lt;&gt;""),INDEX(Assumptions!$C$26:$C$36,MATCH(G411,Assumptions!$A$26:$A$36,0)),ROUND(G411*Q411,-2))</f>
        <v>2116000</v>
      </c>
      <c r="S411" s="56" t="str">
        <f>TRIM(IF(AND(Assumptions!$L$146&lt;&gt;"",D411&lt;Assumptions!$L$146),"View blocked / roof in front ("&amp;Assumptions!$M$146&amp;"); view premium still loading until L"&amp;Assumptions!$L$146&amp;". ","")&amp;IF(D411=Assumptions!$AH$146,"Mid-floor view premium fully loaded. ","")&amp;IF(D411=Assumptions!$P$146,"High-floor view premium fully loaded. ","")&amp;IF(Q411&lt;=K411,"At developer starting price.",""))</f>
        <v/>
      </c>
      <c r="T411" s="57" t="str">
        <f>Assumptions!$AJ$146</f>
        <v>SW, same direction as the 5BR. Direct landed estate + nature reserve</v>
      </c>
    </row>
    <row r="412" spans="1:20" x14ac:dyDescent="0.2">
      <c r="A412" s="49" t="s">
        <v>549</v>
      </c>
      <c r="B412" s="29">
        <v>5</v>
      </c>
      <c r="C412" s="50">
        <v>20</v>
      </c>
      <c r="D412" s="50">
        <v>11</v>
      </c>
      <c r="E412" s="27" t="s">
        <v>43</v>
      </c>
      <c r="F412" s="29" t="s">
        <v>530</v>
      </c>
      <c r="G412" s="28">
        <v>678</v>
      </c>
      <c r="H412" s="29" t="s">
        <v>65</v>
      </c>
      <c r="I412" s="38" t="str">
        <f>Assumptions!$I$146</f>
        <v>A</v>
      </c>
      <c r="J412" s="29" t="str">
        <f>IF(D412&lt;=Assumptions!$V$146,"Low",IF(D412&lt;=Assumptions!$W$146,"Mid","High"))</f>
        <v>Low</v>
      </c>
      <c r="K412" s="51">
        <f>Assumptions!$Q$146</f>
        <v>2613</v>
      </c>
      <c r="L412" s="52">
        <f>INDEX(Assumptions!$D$61:$D$90,D412)</f>
        <v>3027.5966666666664</v>
      </c>
      <c r="M412" s="53">
        <f>IF(D412&lt;=Assumptions!$G$146,Assumptions!$AK$146,IF(D412&lt;Assumptions!$AH$146,Assumptions!$AK$146+(Assumptions!$AL$146-Assumptions!$AK$146)*(D412-Assumptions!$G$146)/(Assumptions!$AH$146-Assumptions!$G$146),IF(D412&lt;Assumptions!$P$146,Assumptions!$AL$146+(Assumptions!$AM$146-Assumptions!$AL$146)*(D412-Assumptions!$AH$146)/(Assumptions!$P$146-Assumptions!$AH$146),Assumptions!$AM$146)))</f>
        <v>50000</v>
      </c>
      <c r="N412" s="54">
        <f t="shared" si="12"/>
        <v>73.746312684365776</v>
      </c>
      <c r="O412" s="55">
        <f t="shared" si="13"/>
        <v>3101</v>
      </c>
      <c r="P412" s="29" t="str">
        <f>IF(D412&gt;=Assumptions!$P$146,"High",IF(D412&gt;=Assumptions!$AH$146,"Mid",IF(D412&lt;=Assumptions!$G$146,"Low","Loading")))</f>
        <v>Loading</v>
      </c>
      <c r="Q412" s="39">
        <f>MAX(K412,MIN(Assumptions!$S$146,O412),Q413)</f>
        <v>3101</v>
      </c>
      <c r="R412" s="30">
        <f>IF(AND(Q412&lt;=K412,INDEX(Assumptions!$C$26:$C$36,MATCH(G412,Assumptions!$A$26:$A$36,0))&lt;&gt;""),INDEX(Assumptions!$C$26:$C$36,MATCH(G412,Assumptions!$A$26:$A$36,0)),ROUND(G412*Q412,-2))</f>
        <v>2102500</v>
      </c>
      <c r="S412" s="56" t="str">
        <f>TRIM(IF(AND(Assumptions!$L$146&lt;&gt;"",D412&lt;Assumptions!$L$146),"View blocked / roof in front ("&amp;Assumptions!$M$146&amp;"); view premium still loading until L"&amp;Assumptions!$L$146&amp;". ","")&amp;IF(D412=Assumptions!$AH$146,"Mid-floor view premium fully loaded. ","")&amp;IF(D412=Assumptions!$P$146,"High-floor view premium fully loaded. ","")&amp;IF(Q412&lt;=K412,"At developer starting price.",""))</f>
        <v/>
      </c>
      <c r="T412" s="57" t="str">
        <f>Assumptions!$AJ$146</f>
        <v>SW, same direction as the 5BR. Direct landed estate + nature reserve</v>
      </c>
    </row>
    <row r="413" spans="1:20" x14ac:dyDescent="0.2">
      <c r="A413" s="49" t="s">
        <v>550</v>
      </c>
      <c r="B413" s="29">
        <v>5</v>
      </c>
      <c r="C413" s="50">
        <v>20</v>
      </c>
      <c r="D413" s="50">
        <v>10</v>
      </c>
      <c r="E413" s="27" t="s">
        <v>43</v>
      </c>
      <c r="F413" s="29" t="s">
        <v>530</v>
      </c>
      <c r="G413" s="28">
        <v>678</v>
      </c>
      <c r="H413" s="29" t="s">
        <v>65</v>
      </c>
      <c r="I413" s="38" t="str">
        <f>Assumptions!$I$146</f>
        <v>A</v>
      </c>
      <c r="J413" s="29" t="str">
        <f>IF(D413&lt;=Assumptions!$V$146,"Low",IF(D413&lt;=Assumptions!$W$146,"Mid","High"))</f>
        <v>Low</v>
      </c>
      <c r="K413" s="51">
        <f>Assumptions!$Q$146</f>
        <v>2613</v>
      </c>
      <c r="L413" s="52">
        <f>INDEX(Assumptions!$D$61:$D$90,D413)</f>
        <v>3008.3919047619042</v>
      </c>
      <c r="M413" s="53">
        <f>IF(D413&lt;=Assumptions!$G$146,Assumptions!$AK$146,IF(D413&lt;Assumptions!$AH$146,Assumptions!$AK$146+(Assumptions!$AL$146-Assumptions!$AK$146)*(D413-Assumptions!$G$146)/(Assumptions!$AH$146-Assumptions!$G$146),IF(D413&lt;Assumptions!$P$146,Assumptions!$AL$146+(Assumptions!$AM$146-Assumptions!$AL$146)*(D413-Assumptions!$AH$146)/(Assumptions!$P$146-Assumptions!$AH$146),Assumptions!$AM$146)))</f>
        <v>50000</v>
      </c>
      <c r="N413" s="54">
        <f t="shared" si="12"/>
        <v>73.746312684365776</v>
      </c>
      <c r="O413" s="55">
        <f t="shared" si="13"/>
        <v>3082</v>
      </c>
      <c r="P413" s="29" t="str">
        <f>IF(D413&gt;=Assumptions!$P$146,"High",IF(D413&gt;=Assumptions!$AH$146,"Mid",IF(D413&lt;=Assumptions!$G$146,"Low","Loading")))</f>
        <v>Loading</v>
      </c>
      <c r="Q413" s="39">
        <f>MAX(K413,MIN(Assumptions!$S$146,O413),Q414)</f>
        <v>3082</v>
      </c>
      <c r="R413" s="30">
        <f>IF(AND(Q413&lt;=K413,INDEX(Assumptions!$C$26:$C$36,MATCH(G413,Assumptions!$A$26:$A$36,0))&lt;&gt;""),INDEX(Assumptions!$C$26:$C$36,MATCH(G413,Assumptions!$A$26:$A$36,0)),ROUND(G413*Q413,-2))</f>
        <v>2089600</v>
      </c>
      <c r="S413" s="56" t="str">
        <f>TRIM(IF(AND(Assumptions!$L$146&lt;&gt;"",D413&lt;Assumptions!$L$146),"View blocked / roof in front ("&amp;Assumptions!$M$146&amp;"); view premium still loading until L"&amp;Assumptions!$L$146&amp;". ","")&amp;IF(D413=Assumptions!$AH$146,"Mid-floor view premium fully loaded. ","")&amp;IF(D413=Assumptions!$P$146,"High-floor view premium fully loaded. ","")&amp;IF(Q413&lt;=K413,"At developer starting price.",""))</f>
        <v/>
      </c>
      <c r="T413" s="57" t="str">
        <f>Assumptions!$AJ$146</f>
        <v>SW, same direction as the 5BR. Direct landed estate + nature reserve</v>
      </c>
    </row>
    <row r="414" spans="1:20" x14ac:dyDescent="0.2">
      <c r="A414" s="49" t="s">
        <v>551</v>
      </c>
      <c r="B414" s="29">
        <v>5</v>
      </c>
      <c r="C414" s="50">
        <v>20</v>
      </c>
      <c r="D414" s="50">
        <v>9</v>
      </c>
      <c r="E414" s="27" t="s">
        <v>43</v>
      </c>
      <c r="F414" s="29" t="s">
        <v>530</v>
      </c>
      <c r="G414" s="28">
        <v>678</v>
      </c>
      <c r="H414" s="29" t="s">
        <v>65</v>
      </c>
      <c r="I414" s="38" t="str">
        <f>Assumptions!$I$146</f>
        <v>A</v>
      </c>
      <c r="J414" s="29" t="str">
        <f>IF(D414&lt;=Assumptions!$V$146,"Low",IF(D414&lt;=Assumptions!$W$146,"Mid","High"))</f>
        <v>Low</v>
      </c>
      <c r="K414" s="51">
        <f>Assumptions!$Q$146</f>
        <v>2613</v>
      </c>
      <c r="L414" s="52">
        <f>INDEX(Assumptions!$D$61:$D$90,D414)</f>
        <v>2989.1871428571426</v>
      </c>
      <c r="M414" s="53">
        <f>IF(D414&lt;=Assumptions!$G$146,Assumptions!$AK$146,IF(D414&lt;Assumptions!$AH$146,Assumptions!$AK$146+(Assumptions!$AL$146-Assumptions!$AK$146)*(D414-Assumptions!$G$146)/(Assumptions!$AH$146-Assumptions!$G$146),IF(D414&lt;Assumptions!$P$146,Assumptions!$AL$146+(Assumptions!$AM$146-Assumptions!$AL$146)*(D414-Assumptions!$AH$146)/(Assumptions!$P$146-Assumptions!$AH$146),Assumptions!$AM$146)))</f>
        <v>50000</v>
      </c>
      <c r="N414" s="54">
        <f t="shared" si="12"/>
        <v>73.746312684365776</v>
      </c>
      <c r="O414" s="55">
        <f t="shared" si="13"/>
        <v>3063</v>
      </c>
      <c r="P414" s="29" t="str">
        <f>IF(D414&gt;=Assumptions!$P$146,"High",IF(D414&gt;=Assumptions!$AH$146,"Mid",IF(D414&lt;=Assumptions!$G$146,"Low","Loading")))</f>
        <v>Loading</v>
      </c>
      <c r="Q414" s="39">
        <f>MAX(K414,MIN(Assumptions!$S$146,O414),Q415)</f>
        <v>3063</v>
      </c>
      <c r="R414" s="30">
        <f>IF(AND(Q414&lt;=K414,INDEX(Assumptions!$C$26:$C$36,MATCH(G414,Assumptions!$A$26:$A$36,0))&lt;&gt;""),INDEX(Assumptions!$C$26:$C$36,MATCH(G414,Assumptions!$A$26:$A$36,0)),ROUND(G414*Q414,-2))</f>
        <v>2076700</v>
      </c>
      <c r="S414" s="56" t="str">
        <f>TRIM(IF(AND(Assumptions!$L$146&lt;&gt;"",D414&lt;Assumptions!$L$146),"View blocked / roof in front ("&amp;Assumptions!$M$146&amp;"); view premium still loading until L"&amp;Assumptions!$L$146&amp;". ","")&amp;IF(D414=Assumptions!$AH$146,"Mid-floor view premium fully loaded. ","")&amp;IF(D414=Assumptions!$P$146,"High-floor view premium fully loaded. ","")&amp;IF(Q414&lt;=K414,"At developer starting price.",""))</f>
        <v/>
      </c>
      <c r="T414" s="57" t="str">
        <f>Assumptions!$AJ$146</f>
        <v>SW, same direction as the 5BR. Direct landed estate + nature reserve</v>
      </c>
    </row>
    <row r="415" spans="1:20" x14ac:dyDescent="0.2">
      <c r="A415" s="49" t="s">
        <v>552</v>
      </c>
      <c r="B415" s="29">
        <v>5</v>
      </c>
      <c r="C415" s="50">
        <v>20</v>
      </c>
      <c r="D415" s="50">
        <v>8</v>
      </c>
      <c r="E415" s="27" t="s">
        <v>43</v>
      </c>
      <c r="F415" s="29" t="s">
        <v>530</v>
      </c>
      <c r="G415" s="28">
        <v>678</v>
      </c>
      <c r="H415" s="29" t="s">
        <v>65</v>
      </c>
      <c r="I415" s="38" t="str">
        <f>Assumptions!$I$146</f>
        <v>A</v>
      </c>
      <c r="J415" s="29" t="str">
        <f>IF(D415&lt;=Assumptions!$V$146,"Low",IF(D415&lt;=Assumptions!$W$146,"Mid","High"))</f>
        <v>Low</v>
      </c>
      <c r="K415" s="51">
        <f>Assumptions!$Q$146</f>
        <v>2613</v>
      </c>
      <c r="L415" s="52">
        <f>INDEX(Assumptions!$D$61:$D$90,D415)</f>
        <v>2969.9823809523805</v>
      </c>
      <c r="M415" s="53">
        <f>IF(D415&lt;=Assumptions!$G$146,Assumptions!$AK$146,IF(D415&lt;Assumptions!$AH$146,Assumptions!$AK$146+(Assumptions!$AL$146-Assumptions!$AK$146)*(D415-Assumptions!$G$146)/(Assumptions!$AH$146-Assumptions!$G$146),IF(D415&lt;Assumptions!$P$146,Assumptions!$AL$146+(Assumptions!$AM$146-Assumptions!$AL$146)*(D415-Assumptions!$AH$146)/(Assumptions!$P$146-Assumptions!$AH$146),Assumptions!$AM$146)))</f>
        <v>50000</v>
      </c>
      <c r="N415" s="54">
        <f t="shared" si="12"/>
        <v>73.746312684365776</v>
      </c>
      <c r="O415" s="55">
        <f t="shared" si="13"/>
        <v>3044</v>
      </c>
      <c r="P415" s="29" t="str">
        <f>IF(D415&gt;=Assumptions!$P$146,"High",IF(D415&gt;=Assumptions!$AH$146,"Mid",IF(D415&lt;=Assumptions!$G$146,"Low","Loading")))</f>
        <v>Loading</v>
      </c>
      <c r="Q415" s="39">
        <f>MAX(K415,MIN(Assumptions!$S$146,O415),Q416)</f>
        <v>3044</v>
      </c>
      <c r="R415" s="30">
        <f>IF(AND(Q415&lt;=K415,INDEX(Assumptions!$C$26:$C$36,MATCH(G415,Assumptions!$A$26:$A$36,0))&lt;&gt;""),INDEX(Assumptions!$C$26:$C$36,MATCH(G415,Assumptions!$A$26:$A$36,0)),ROUND(G415*Q415,-2))</f>
        <v>2063800</v>
      </c>
      <c r="S415" s="56" t="str">
        <f>TRIM(IF(AND(Assumptions!$L$146&lt;&gt;"",D415&lt;Assumptions!$L$146),"View blocked / roof in front ("&amp;Assumptions!$M$146&amp;"); view premium still loading until L"&amp;Assumptions!$L$146&amp;". ","")&amp;IF(D415=Assumptions!$AH$146,"Mid-floor view premium fully loaded. ","")&amp;IF(D415=Assumptions!$P$146,"High-floor view premium fully loaded. ","")&amp;IF(Q415&lt;=K415,"At developer starting price.",""))</f>
        <v/>
      </c>
      <c r="T415" s="57" t="str">
        <f>Assumptions!$AJ$146</f>
        <v>SW, same direction as the 5BR. Direct landed estate + nature reserve</v>
      </c>
    </row>
    <row r="416" spans="1:20" x14ac:dyDescent="0.2">
      <c r="A416" s="49" t="s">
        <v>553</v>
      </c>
      <c r="B416" s="29">
        <v>5</v>
      </c>
      <c r="C416" s="50">
        <v>20</v>
      </c>
      <c r="D416" s="50">
        <v>7</v>
      </c>
      <c r="E416" s="27" t="s">
        <v>43</v>
      </c>
      <c r="F416" s="29" t="s">
        <v>530</v>
      </c>
      <c r="G416" s="28">
        <v>678</v>
      </c>
      <c r="H416" s="29" t="s">
        <v>65</v>
      </c>
      <c r="I416" s="38" t="str">
        <f>Assumptions!$I$146</f>
        <v>A</v>
      </c>
      <c r="J416" s="29" t="str">
        <f>IF(D416&lt;=Assumptions!$V$146,"Low",IF(D416&lt;=Assumptions!$W$146,"Mid","High"))</f>
        <v>Low</v>
      </c>
      <c r="K416" s="51">
        <f>Assumptions!$Q$146</f>
        <v>2613</v>
      </c>
      <c r="L416" s="52">
        <f>INDEX(Assumptions!$D$61:$D$90,D416)</f>
        <v>2950.7776190476193</v>
      </c>
      <c r="M416" s="53">
        <f>IF(D416&lt;=Assumptions!$G$146,Assumptions!$AK$146,IF(D416&lt;Assumptions!$AH$146,Assumptions!$AK$146+(Assumptions!$AL$146-Assumptions!$AK$146)*(D416-Assumptions!$G$146)/(Assumptions!$AH$146-Assumptions!$G$146),IF(D416&lt;Assumptions!$P$146,Assumptions!$AL$146+(Assumptions!$AM$146-Assumptions!$AL$146)*(D416-Assumptions!$AH$146)/(Assumptions!$P$146-Assumptions!$AH$146),Assumptions!$AM$146)))</f>
        <v>50000</v>
      </c>
      <c r="N416" s="54">
        <f t="shared" si="12"/>
        <v>73.746312684365776</v>
      </c>
      <c r="O416" s="55">
        <f t="shared" si="13"/>
        <v>3025</v>
      </c>
      <c r="P416" s="29" t="str">
        <f>IF(D416&gt;=Assumptions!$P$146,"High",IF(D416&gt;=Assumptions!$AH$146,"Mid",IF(D416&lt;=Assumptions!$G$146,"Low","Loading")))</f>
        <v>Loading</v>
      </c>
      <c r="Q416" s="39">
        <f>MAX(K416,MIN(Assumptions!$S$146,O416),Q417)</f>
        <v>3025</v>
      </c>
      <c r="R416" s="30">
        <f>IF(AND(Q416&lt;=K416,INDEX(Assumptions!$C$26:$C$36,MATCH(G416,Assumptions!$A$26:$A$36,0))&lt;&gt;""),INDEX(Assumptions!$C$26:$C$36,MATCH(G416,Assumptions!$A$26:$A$36,0)),ROUND(G416*Q416,-2))</f>
        <v>2051000</v>
      </c>
      <c r="S416" s="56" t="str">
        <f>TRIM(IF(AND(Assumptions!$L$146&lt;&gt;"",D416&lt;Assumptions!$L$146),"View blocked / roof in front ("&amp;Assumptions!$M$146&amp;"); view premium still loading until L"&amp;Assumptions!$L$146&amp;". ","")&amp;IF(D416=Assumptions!$AH$146,"Mid-floor view premium fully loaded. ","")&amp;IF(D416=Assumptions!$P$146,"High-floor view premium fully loaded. ","")&amp;IF(Q416&lt;=K416,"At developer starting price.",""))</f>
        <v/>
      </c>
      <c r="T416" s="57" t="str">
        <f>Assumptions!$AJ$146</f>
        <v>SW, same direction as the 5BR. Direct landed estate + nature reserve</v>
      </c>
    </row>
    <row r="417" spans="1:20" x14ac:dyDescent="0.2">
      <c r="A417" s="49" t="s">
        <v>554</v>
      </c>
      <c r="B417" s="29">
        <v>5</v>
      </c>
      <c r="C417" s="50">
        <v>20</v>
      </c>
      <c r="D417" s="50">
        <v>6</v>
      </c>
      <c r="E417" s="27" t="s">
        <v>43</v>
      </c>
      <c r="F417" s="29" t="s">
        <v>530</v>
      </c>
      <c r="G417" s="28">
        <v>678</v>
      </c>
      <c r="H417" s="29" t="s">
        <v>65</v>
      </c>
      <c r="I417" s="38" t="str">
        <f>Assumptions!$I$146</f>
        <v>A</v>
      </c>
      <c r="J417" s="29" t="str">
        <f>IF(D417&lt;=Assumptions!$V$146,"Low",IF(D417&lt;=Assumptions!$W$146,"Mid","High"))</f>
        <v>Low</v>
      </c>
      <c r="K417" s="51">
        <f>Assumptions!$Q$146</f>
        <v>2613</v>
      </c>
      <c r="L417" s="52">
        <f>INDEX(Assumptions!$D$61:$D$90,D417)</f>
        <v>2931.5728571428572</v>
      </c>
      <c r="M417" s="53">
        <f>IF(D417&lt;=Assumptions!$G$146,Assumptions!$AK$146,IF(D417&lt;Assumptions!$AH$146,Assumptions!$AK$146+(Assumptions!$AL$146-Assumptions!$AK$146)*(D417-Assumptions!$G$146)/(Assumptions!$AH$146-Assumptions!$G$146),IF(D417&lt;Assumptions!$P$146,Assumptions!$AL$146+(Assumptions!$AM$146-Assumptions!$AL$146)*(D417-Assumptions!$AH$146)/(Assumptions!$P$146-Assumptions!$AH$146),Assumptions!$AM$146)))</f>
        <v>50000</v>
      </c>
      <c r="N417" s="54">
        <f t="shared" si="12"/>
        <v>73.746312684365776</v>
      </c>
      <c r="O417" s="55">
        <f t="shared" si="13"/>
        <v>3005</v>
      </c>
      <c r="P417" s="29" t="str">
        <f>IF(D417&gt;=Assumptions!$P$146,"High",IF(D417&gt;=Assumptions!$AH$146,"Mid",IF(D417&lt;=Assumptions!$G$146,"Low","Loading")))</f>
        <v>Loading</v>
      </c>
      <c r="Q417" s="39">
        <f>MAX(K417,MIN(Assumptions!$S$146,O417),Q418)</f>
        <v>3005</v>
      </c>
      <c r="R417" s="30">
        <f>IF(AND(Q417&lt;=K417,INDEX(Assumptions!$C$26:$C$36,MATCH(G417,Assumptions!$A$26:$A$36,0))&lt;&gt;""),INDEX(Assumptions!$C$26:$C$36,MATCH(G417,Assumptions!$A$26:$A$36,0)),ROUND(G417*Q417,-2))</f>
        <v>2037400</v>
      </c>
      <c r="S417" s="56" t="str">
        <f>TRIM(IF(AND(Assumptions!$L$146&lt;&gt;"",D417&lt;Assumptions!$L$146),"View blocked / roof in front ("&amp;Assumptions!$M$146&amp;"); view premium still loading until L"&amp;Assumptions!$L$146&amp;". ","")&amp;IF(D417=Assumptions!$AH$146,"Mid-floor view premium fully loaded. ","")&amp;IF(D417=Assumptions!$P$146,"High-floor view premium fully loaded. ","")&amp;IF(Q417&lt;=K417,"At developer starting price.",""))</f>
        <v/>
      </c>
      <c r="T417" s="57" t="str">
        <f>Assumptions!$AJ$146</f>
        <v>SW, same direction as the 5BR. Direct landed estate + nature reserve</v>
      </c>
    </row>
    <row r="418" spans="1:20" x14ac:dyDescent="0.2">
      <c r="A418" s="49" t="s">
        <v>555</v>
      </c>
      <c r="B418" s="29">
        <v>5</v>
      </c>
      <c r="C418" s="50">
        <v>20</v>
      </c>
      <c r="D418" s="50">
        <v>5</v>
      </c>
      <c r="E418" s="27" t="s">
        <v>43</v>
      </c>
      <c r="F418" s="29" t="s">
        <v>530</v>
      </c>
      <c r="G418" s="28">
        <v>678</v>
      </c>
      <c r="H418" s="29" t="s">
        <v>65</v>
      </c>
      <c r="I418" s="38" t="str">
        <f>Assumptions!$I$146</f>
        <v>A</v>
      </c>
      <c r="J418" s="29" t="str">
        <f>IF(D418&lt;=Assumptions!$V$146,"Low",IF(D418&lt;=Assumptions!$W$146,"Mid","High"))</f>
        <v>Low</v>
      </c>
      <c r="K418" s="51">
        <f>Assumptions!$Q$146</f>
        <v>2613</v>
      </c>
      <c r="L418" s="52">
        <f>INDEX(Assumptions!$D$61:$D$90,D418)</f>
        <v>2912.3680952380951</v>
      </c>
      <c r="M418" s="53">
        <f>IF(D418&lt;=Assumptions!$G$146,Assumptions!$AK$146,IF(D418&lt;Assumptions!$AH$146,Assumptions!$AK$146+(Assumptions!$AL$146-Assumptions!$AK$146)*(D418-Assumptions!$G$146)/(Assumptions!$AH$146-Assumptions!$G$146),IF(D418&lt;Assumptions!$P$146,Assumptions!$AL$146+(Assumptions!$AM$146-Assumptions!$AL$146)*(D418-Assumptions!$AH$146)/(Assumptions!$P$146-Assumptions!$AH$146),Assumptions!$AM$146)))</f>
        <v>50000</v>
      </c>
      <c r="N418" s="54">
        <f t="shared" si="12"/>
        <v>73.746312684365776</v>
      </c>
      <c r="O418" s="55">
        <f t="shared" si="13"/>
        <v>2986</v>
      </c>
      <c r="P418" s="29" t="str">
        <f>IF(D418&gt;=Assumptions!$P$146,"High",IF(D418&gt;=Assumptions!$AH$146,"Mid",IF(D418&lt;=Assumptions!$G$146,"Low","Loading")))</f>
        <v>Loading</v>
      </c>
      <c r="Q418" s="39">
        <f>MAX(K418,MIN(Assumptions!$S$146,O418),Q419)</f>
        <v>2986</v>
      </c>
      <c r="R418" s="30">
        <f>IF(AND(Q418&lt;=K418,INDEX(Assumptions!$C$26:$C$36,MATCH(G418,Assumptions!$A$26:$A$36,0))&lt;&gt;""),INDEX(Assumptions!$C$26:$C$36,MATCH(G418,Assumptions!$A$26:$A$36,0)),ROUND(G418*Q418,-2))</f>
        <v>2024500</v>
      </c>
      <c r="S418" s="56" t="str">
        <f>TRIM(IF(AND(Assumptions!$L$146&lt;&gt;"",D418&lt;Assumptions!$L$146),"View blocked / roof in front ("&amp;Assumptions!$M$146&amp;"); view premium still loading until L"&amp;Assumptions!$L$146&amp;". ","")&amp;IF(D418=Assumptions!$AH$146,"Mid-floor view premium fully loaded. ","")&amp;IF(D418=Assumptions!$P$146,"High-floor view premium fully loaded. ","")&amp;IF(Q418&lt;=K418,"At developer starting price.",""))</f>
        <v/>
      </c>
      <c r="T418" s="57" t="str">
        <f>Assumptions!$AJ$146</f>
        <v>SW, same direction as the 5BR. Direct landed estate + nature reserve</v>
      </c>
    </row>
    <row r="419" spans="1:20" x14ac:dyDescent="0.2">
      <c r="A419" s="49" t="s">
        <v>556</v>
      </c>
      <c r="B419" s="29">
        <v>5</v>
      </c>
      <c r="C419" s="50">
        <v>20</v>
      </c>
      <c r="D419" s="50">
        <v>4</v>
      </c>
      <c r="E419" s="27" t="s">
        <v>43</v>
      </c>
      <c r="F419" s="29" t="s">
        <v>530</v>
      </c>
      <c r="G419" s="28">
        <v>678</v>
      </c>
      <c r="H419" s="29" t="s">
        <v>65</v>
      </c>
      <c r="I419" s="38" t="str">
        <f>Assumptions!$I$146</f>
        <v>A</v>
      </c>
      <c r="J419" s="29" t="str">
        <f>IF(D419&lt;=Assumptions!$V$146,"Low",IF(D419&lt;=Assumptions!$W$146,"Mid","High"))</f>
        <v>Low</v>
      </c>
      <c r="K419" s="51">
        <f>Assumptions!$Q$146</f>
        <v>2613</v>
      </c>
      <c r="L419" s="52">
        <f>INDEX(Assumptions!$D$61:$D$90,D419)</f>
        <v>2893.1633333333334</v>
      </c>
      <c r="M419" s="53">
        <f>IF(D419&lt;=Assumptions!$G$146,Assumptions!$AK$146,IF(D419&lt;Assumptions!$AH$146,Assumptions!$AK$146+(Assumptions!$AL$146-Assumptions!$AK$146)*(D419-Assumptions!$G$146)/(Assumptions!$AH$146-Assumptions!$G$146),IF(D419&lt;Assumptions!$P$146,Assumptions!$AL$146+(Assumptions!$AM$146-Assumptions!$AL$146)*(D419-Assumptions!$AH$146)/(Assumptions!$P$146-Assumptions!$AH$146),Assumptions!$AM$146)))</f>
        <v>50000</v>
      </c>
      <c r="N419" s="54">
        <f t="shared" si="12"/>
        <v>73.746312684365776</v>
      </c>
      <c r="O419" s="55">
        <f t="shared" si="13"/>
        <v>2967</v>
      </c>
      <c r="P419" s="29" t="str">
        <f>IF(D419&gt;=Assumptions!$P$146,"High",IF(D419&gt;=Assumptions!$AH$146,"Mid",IF(D419&lt;=Assumptions!$G$146,"Low","Loading")))</f>
        <v>Loading</v>
      </c>
      <c r="Q419" s="39">
        <f>MAX(K419,MIN(Assumptions!$S$146,O419),Q420)</f>
        <v>2967</v>
      </c>
      <c r="R419" s="30">
        <f>IF(AND(Q419&lt;=K419,INDEX(Assumptions!$C$26:$C$36,MATCH(G419,Assumptions!$A$26:$A$36,0))&lt;&gt;""),INDEX(Assumptions!$C$26:$C$36,MATCH(G419,Assumptions!$A$26:$A$36,0)),ROUND(G419*Q419,-2))</f>
        <v>2011600</v>
      </c>
      <c r="S419" s="56" t="str">
        <f>TRIM(IF(AND(Assumptions!$L$146&lt;&gt;"",D419&lt;Assumptions!$L$146),"View blocked / roof in front ("&amp;Assumptions!$M$146&amp;"); view premium still loading until L"&amp;Assumptions!$L$146&amp;". ","")&amp;IF(D419=Assumptions!$AH$146,"Mid-floor view premium fully loaded. ","")&amp;IF(D419=Assumptions!$P$146,"High-floor view premium fully loaded. ","")&amp;IF(Q419&lt;=K419,"At developer starting price.",""))</f>
        <v/>
      </c>
      <c r="T419" s="57" t="str">
        <f>Assumptions!$AJ$146</f>
        <v>SW, same direction as the 5BR. Direct landed estate + nature reserve</v>
      </c>
    </row>
    <row r="420" spans="1:20" x14ac:dyDescent="0.2">
      <c r="A420" s="49" t="s">
        <v>557</v>
      </c>
      <c r="B420" s="29">
        <v>5</v>
      </c>
      <c r="C420" s="50">
        <v>20</v>
      </c>
      <c r="D420" s="50">
        <v>3</v>
      </c>
      <c r="E420" s="27" t="s">
        <v>43</v>
      </c>
      <c r="F420" s="29" t="s">
        <v>530</v>
      </c>
      <c r="G420" s="28">
        <v>678</v>
      </c>
      <c r="H420" s="29" t="s">
        <v>65</v>
      </c>
      <c r="I420" s="38" t="str">
        <f>Assumptions!$I$146</f>
        <v>A</v>
      </c>
      <c r="J420" s="29" t="str">
        <f>IF(D420&lt;=Assumptions!$V$146,"Low",IF(D420&lt;=Assumptions!$W$146,"Mid","High"))</f>
        <v>Low</v>
      </c>
      <c r="K420" s="51">
        <f>Assumptions!$Q$146</f>
        <v>2613</v>
      </c>
      <c r="L420" s="52">
        <f>INDEX(Assumptions!$D$61:$D$90,D420)</f>
        <v>2873.9585714285713</v>
      </c>
      <c r="M420" s="53">
        <f>IF(D420&lt;=Assumptions!$G$146,Assumptions!$AK$146,IF(D420&lt;Assumptions!$AH$146,Assumptions!$AK$146+(Assumptions!$AL$146-Assumptions!$AK$146)*(D420-Assumptions!$G$146)/(Assumptions!$AH$146-Assumptions!$G$146),IF(D420&lt;Assumptions!$P$146,Assumptions!$AL$146+(Assumptions!$AM$146-Assumptions!$AL$146)*(D420-Assumptions!$AH$146)/(Assumptions!$P$146-Assumptions!$AH$146),Assumptions!$AM$146)))</f>
        <v>50000</v>
      </c>
      <c r="N420" s="54">
        <f t="shared" si="12"/>
        <v>73.746312684365776</v>
      </c>
      <c r="O420" s="55">
        <f t="shared" si="13"/>
        <v>2948</v>
      </c>
      <c r="P420" s="29" t="str">
        <f>IF(D420&gt;=Assumptions!$P$146,"High",IF(D420&gt;=Assumptions!$AH$146,"Mid",IF(D420&lt;=Assumptions!$G$146,"Low","Loading")))</f>
        <v>Loading</v>
      </c>
      <c r="Q420" s="39">
        <f>MAX(K420,MIN(Assumptions!$S$146,O420),Q421)</f>
        <v>2948</v>
      </c>
      <c r="R420" s="30">
        <f>IF(AND(Q420&lt;=K420,INDEX(Assumptions!$C$26:$C$36,MATCH(G420,Assumptions!$A$26:$A$36,0))&lt;&gt;""),INDEX(Assumptions!$C$26:$C$36,MATCH(G420,Assumptions!$A$26:$A$36,0)),ROUND(G420*Q420,-2))</f>
        <v>1998700</v>
      </c>
      <c r="S420" s="56" t="str">
        <f>TRIM(IF(AND(Assumptions!$L$146&lt;&gt;"",D420&lt;Assumptions!$L$146),"View blocked / roof in front ("&amp;Assumptions!$M$146&amp;"); view premium still loading until L"&amp;Assumptions!$L$146&amp;". ","")&amp;IF(D420=Assumptions!$AH$146,"Mid-floor view premium fully loaded. ","")&amp;IF(D420=Assumptions!$P$146,"High-floor view premium fully loaded. ","")&amp;IF(Q420&lt;=K420,"At developer starting price.",""))</f>
        <v/>
      </c>
      <c r="T420" s="57" t="str">
        <f>Assumptions!$AJ$146</f>
        <v>SW, same direction as the 5BR. Direct landed estate + nature reserve</v>
      </c>
    </row>
    <row r="421" spans="1:20" x14ac:dyDescent="0.2">
      <c r="A421" s="49" t="s">
        <v>558</v>
      </c>
      <c r="B421" s="29">
        <v>5</v>
      </c>
      <c r="C421" s="50">
        <v>20</v>
      </c>
      <c r="D421" s="50">
        <v>2</v>
      </c>
      <c r="E421" s="27" t="s">
        <v>43</v>
      </c>
      <c r="F421" s="29" t="s">
        <v>530</v>
      </c>
      <c r="G421" s="28">
        <v>678</v>
      </c>
      <c r="H421" s="29" t="s">
        <v>65</v>
      </c>
      <c r="I421" s="38" t="str">
        <f>Assumptions!$I$146</f>
        <v>A</v>
      </c>
      <c r="J421" s="29" t="str">
        <f>IF(D421&lt;=Assumptions!$V$146,"Low",IF(D421&lt;=Assumptions!$W$146,"Mid","High"))</f>
        <v>Low</v>
      </c>
      <c r="K421" s="51">
        <f>Assumptions!$Q$146</f>
        <v>2613</v>
      </c>
      <c r="L421" s="52">
        <f>INDEX(Assumptions!$D$61:$D$90,D421)</f>
        <v>2854.7538095238097</v>
      </c>
      <c r="M421" s="53">
        <f>IF(D421&lt;=Assumptions!$G$146,Assumptions!$AK$146,IF(D421&lt;Assumptions!$AH$146,Assumptions!$AK$146+(Assumptions!$AL$146-Assumptions!$AK$146)*(D421-Assumptions!$G$146)/(Assumptions!$AH$146-Assumptions!$G$146),IF(D421&lt;Assumptions!$P$146,Assumptions!$AL$146+(Assumptions!$AM$146-Assumptions!$AL$146)*(D421-Assumptions!$AH$146)/(Assumptions!$P$146-Assumptions!$AH$146),Assumptions!$AM$146)))</f>
        <v>50000</v>
      </c>
      <c r="N421" s="54">
        <f t="shared" si="12"/>
        <v>73.746312684365776</v>
      </c>
      <c r="O421" s="55">
        <f t="shared" si="13"/>
        <v>2929</v>
      </c>
      <c r="P421" s="29" t="str">
        <f>IF(D421&gt;=Assumptions!$P$146,"High",IF(D421&gt;=Assumptions!$AH$146,"Mid",IF(D421&lt;=Assumptions!$G$146,"Low","Loading")))</f>
        <v>Loading</v>
      </c>
      <c r="Q421" s="39">
        <f>MAX(K421,MIN(Assumptions!$S$146,O421),Q422)</f>
        <v>2929</v>
      </c>
      <c r="R421" s="30">
        <f>IF(AND(Q421&lt;=K421,INDEX(Assumptions!$C$26:$C$36,MATCH(G421,Assumptions!$A$26:$A$36,0))&lt;&gt;""),INDEX(Assumptions!$C$26:$C$36,MATCH(G421,Assumptions!$A$26:$A$36,0)),ROUND(G421*Q421,-2))</f>
        <v>1985900</v>
      </c>
      <c r="S421" s="56" t="str">
        <f>TRIM(IF(AND(Assumptions!$L$146&lt;&gt;"",D421&lt;Assumptions!$L$146),"View blocked / roof in front ("&amp;Assumptions!$M$146&amp;"); view premium still loading until L"&amp;Assumptions!$L$146&amp;". ","")&amp;IF(D421=Assumptions!$AH$146,"Mid-floor view premium fully loaded. ","")&amp;IF(D421=Assumptions!$P$146,"High-floor view premium fully loaded. ","")&amp;IF(Q421&lt;=K421,"At developer starting price.",""))</f>
        <v/>
      </c>
      <c r="T421" s="57" t="str">
        <f>Assumptions!$AJ$146</f>
        <v>SW, same direction as the 5BR. Direct landed estate + nature reserve</v>
      </c>
    </row>
    <row r="422" spans="1:20" x14ac:dyDescent="0.2">
      <c r="A422" s="49" t="s">
        <v>559</v>
      </c>
      <c r="B422" s="29">
        <v>5</v>
      </c>
      <c r="C422" s="50">
        <v>20</v>
      </c>
      <c r="D422" s="50">
        <v>1</v>
      </c>
      <c r="E422" s="27" t="s">
        <v>43</v>
      </c>
      <c r="F422" s="29" t="s">
        <v>560</v>
      </c>
      <c r="G422" s="28">
        <v>678</v>
      </c>
      <c r="H422" s="29" t="s">
        <v>65</v>
      </c>
      <c r="I422" s="38" t="str">
        <f>Assumptions!$I$146</f>
        <v>A</v>
      </c>
      <c r="J422" s="29" t="str">
        <f>IF(D422&lt;=Assumptions!$V$146,"Low",IF(D422&lt;=Assumptions!$W$146,"Mid","High"))</f>
        <v>Low</v>
      </c>
      <c r="K422" s="51">
        <f>Assumptions!$Q$146</f>
        <v>2613</v>
      </c>
      <c r="L422" s="52">
        <f>INDEX(Assumptions!$D$61:$D$90,D422)</f>
        <v>2835.5490476190475</v>
      </c>
      <c r="M422" s="53">
        <f>IF(D422&lt;=Assumptions!$G$146,Assumptions!$AK$146,IF(D422&lt;Assumptions!$AH$146,Assumptions!$AK$146+(Assumptions!$AL$146-Assumptions!$AK$146)*(D422-Assumptions!$G$146)/(Assumptions!$AH$146-Assumptions!$G$146),IF(D422&lt;Assumptions!$P$146,Assumptions!$AL$146+(Assumptions!$AM$146-Assumptions!$AL$146)*(D422-Assumptions!$AH$146)/(Assumptions!$P$146-Assumptions!$AH$146),Assumptions!$AM$146)))</f>
        <v>50000</v>
      </c>
      <c r="N422" s="54">
        <f t="shared" si="12"/>
        <v>73.746312684365776</v>
      </c>
      <c r="O422" s="55">
        <f t="shared" si="13"/>
        <v>2909</v>
      </c>
      <c r="P422" s="29" t="str">
        <f>IF(D422&gt;=Assumptions!$P$146,"High",IF(D422&gt;=Assumptions!$AH$146,"Mid",IF(D422&lt;=Assumptions!$G$146,"Low","Loading")))</f>
        <v>Low</v>
      </c>
      <c r="Q422" s="39">
        <f>MAX(K422,MIN(Assumptions!$S$146,O422))</f>
        <v>2909</v>
      </c>
      <c r="R422" s="30">
        <f>IF(AND(Q422&lt;=K422,INDEX(Assumptions!$C$26:$C$36,MATCH(G422,Assumptions!$A$26:$A$36,0))&lt;&gt;""),INDEX(Assumptions!$C$26:$C$36,MATCH(G422,Assumptions!$A$26:$A$36,0)),ROUND(G422*Q422,-2))</f>
        <v>1972300</v>
      </c>
      <c r="S422" s="56" t="str">
        <f>TRIM(IF(AND(Assumptions!$L$146&lt;&gt;"",D422&lt;Assumptions!$L$146),"View blocked / roof in front ("&amp;Assumptions!$M$146&amp;"); view premium still loading until L"&amp;Assumptions!$L$146&amp;". ","")&amp;IF(D422=Assumptions!$AH$146,"Mid-floor view premium fully loaded. ","")&amp;IF(D422=Assumptions!$P$146,"High-floor view premium fully loaded. ","")&amp;IF(Q422&lt;=K422,"At developer starting price.",""))</f>
        <v/>
      </c>
      <c r="T422" s="57" t="str">
        <f>Assumptions!$AJ$146</f>
        <v>SW, same direction as the 5BR. Direct landed estate + nature reserve</v>
      </c>
    </row>
    <row r="423" spans="1:20" x14ac:dyDescent="0.2">
      <c r="A423" s="49" t="s">
        <v>561</v>
      </c>
      <c r="B423" s="29">
        <v>5</v>
      </c>
      <c r="C423" s="50">
        <v>21</v>
      </c>
      <c r="D423" s="50">
        <v>30</v>
      </c>
      <c r="E423" s="27" t="s">
        <v>43</v>
      </c>
      <c r="F423" s="29" t="s">
        <v>562</v>
      </c>
      <c r="G423" s="28">
        <v>678</v>
      </c>
      <c r="H423" s="29" t="s">
        <v>65</v>
      </c>
      <c r="I423" s="38" t="str">
        <f>Assumptions!$I$147</f>
        <v>A</v>
      </c>
      <c r="J423" s="29" t="str">
        <f>IF(D423&lt;=Assumptions!$V$147,"Low",IF(D423&lt;=Assumptions!$W$147,"Mid","High"))</f>
        <v>High</v>
      </c>
      <c r="K423" s="51">
        <f>Assumptions!$Q$147</f>
        <v>2613</v>
      </c>
      <c r="L423" s="52">
        <f>INDEX(Assumptions!$D$61:$D$90,D423)</f>
        <v>3334.23</v>
      </c>
      <c r="M423" s="53">
        <f>IF(D423&lt;=Assumptions!$G$147,Assumptions!$AK$147,IF(D423&lt;Assumptions!$AH$147,Assumptions!$AK$147+(Assumptions!$AL$147-Assumptions!$AK$147)*(D423-Assumptions!$G$147)/(Assumptions!$AH$147-Assumptions!$G$147),IF(D423&lt;Assumptions!$P$147,Assumptions!$AL$147+(Assumptions!$AM$147-Assumptions!$AL$147)*(D423-Assumptions!$AH$147)/(Assumptions!$P$147-Assumptions!$AH$147),Assumptions!$AM$147)))</f>
        <v>50000</v>
      </c>
      <c r="N423" s="54">
        <f t="shared" si="12"/>
        <v>73.746312684365776</v>
      </c>
      <c r="O423" s="55">
        <f t="shared" si="13"/>
        <v>3408</v>
      </c>
      <c r="P423" s="29" t="str">
        <f>IF(D423&gt;=Assumptions!$P$147,"High",IF(D423&gt;=Assumptions!$AH$147,"Mid",IF(D423&lt;=Assumptions!$G$147,"Low","Loading")))</f>
        <v>High</v>
      </c>
      <c r="Q423" s="39">
        <f>MAX(K423,MIN(Assumptions!$S$147,O423),Q424)</f>
        <v>3408</v>
      </c>
      <c r="R423" s="30">
        <f>IF(AND(Q423&lt;=K423,INDEX(Assumptions!$C$26:$C$36,MATCH(G423,Assumptions!$A$26:$A$36,0))&lt;&gt;""),INDEX(Assumptions!$C$26:$C$36,MATCH(G423,Assumptions!$A$26:$A$36,0)),ROUND(G423*Q423,-2))</f>
        <v>2310600</v>
      </c>
      <c r="S423" s="56" t="str">
        <f>TRIM(IF(AND(Assumptions!$L$147&lt;&gt;"",D423&lt;Assumptions!$L$147),"View blocked / roof in front ("&amp;Assumptions!$M$147&amp;"); view premium still loading until L"&amp;Assumptions!$L$147&amp;". ","")&amp;IF(D423=Assumptions!$AH$147,"Mid-floor view premium fully loaded. ","")&amp;IF(D423=Assumptions!$P$147,"High-floor view premium fully loaded. ","")&amp;IF(Q423&lt;=K423,"At developer starting price.",""))</f>
        <v/>
      </c>
      <c r="T423" s="57" t="str">
        <f>Assumptions!$AJ$147</f>
        <v>SW, same direction as the 5BR. Direct landed estate + nature reserve</v>
      </c>
    </row>
    <row r="424" spans="1:20" x14ac:dyDescent="0.2">
      <c r="A424" s="49" t="s">
        <v>563</v>
      </c>
      <c r="B424" s="29">
        <v>5</v>
      </c>
      <c r="C424" s="50">
        <v>21</v>
      </c>
      <c r="D424" s="50">
        <v>29</v>
      </c>
      <c r="E424" s="27" t="s">
        <v>43</v>
      </c>
      <c r="F424" s="29" t="s">
        <v>562</v>
      </c>
      <c r="G424" s="28">
        <v>678</v>
      </c>
      <c r="H424" s="29" t="s">
        <v>65</v>
      </c>
      <c r="I424" s="38" t="str">
        <f>Assumptions!$I$147</f>
        <v>A</v>
      </c>
      <c r="J424" s="29" t="str">
        <f>IF(D424&lt;=Assumptions!$V$147,"Low",IF(D424&lt;=Assumptions!$W$147,"Mid","High"))</f>
        <v>High</v>
      </c>
      <c r="K424" s="51">
        <f>Assumptions!$Q$147</f>
        <v>2613</v>
      </c>
      <c r="L424" s="52">
        <f>INDEX(Assumptions!$D$61:$D$90,D424)</f>
        <v>3321.4550000000004</v>
      </c>
      <c r="M424" s="53">
        <f>IF(D424&lt;=Assumptions!$G$147,Assumptions!$AK$147,IF(D424&lt;Assumptions!$AH$147,Assumptions!$AK$147+(Assumptions!$AL$147-Assumptions!$AK$147)*(D424-Assumptions!$G$147)/(Assumptions!$AH$147-Assumptions!$G$147),IF(D424&lt;Assumptions!$P$147,Assumptions!$AL$147+(Assumptions!$AM$147-Assumptions!$AL$147)*(D424-Assumptions!$AH$147)/(Assumptions!$P$147-Assumptions!$AH$147),Assumptions!$AM$147)))</f>
        <v>50000</v>
      </c>
      <c r="N424" s="54">
        <f t="shared" si="12"/>
        <v>73.746312684365776</v>
      </c>
      <c r="O424" s="55">
        <f t="shared" si="13"/>
        <v>3395</v>
      </c>
      <c r="P424" s="29" t="str">
        <f>IF(D424&gt;=Assumptions!$P$147,"High",IF(D424&gt;=Assumptions!$AH$147,"Mid",IF(D424&lt;=Assumptions!$G$147,"Low","Loading")))</f>
        <v>High</v>
      </c>
      <c r="Q424" s="39">
        <f>MAX(K424,MIN(Assumptions!$S$147,O424),Q425)</f>
        <v>3395</v>
      </c>
      <c r="R424" s="30">
        <f>IF(AND(Q424&lt;=K424,INDEX(Assumptions!$C$26:$C$36,MATCH(G424,Assumptions!$A$26:$A$36,0))&lt;&gt;""),INDEX(Assumptions!$C$26:$C$36,MATCH(G424,Assumptions!$A$26:$A$36,0)),ROUND(G424*Q424,-2))</f>
        <v>2301800</v>
      </c>
      <c r="S424" s="56" t="str">
        <f>TRIM(IF(AND(Assumptions!$L$147&lt;&gt;"",D424&lt;Assumptions!$L$147),"View blocked / roof in front ("&amp;Assumptions!$M$147&amp;"); view premium still loading until L"&amp;Assumptions!$L$147&amp;". ","")&amp;IF(D424=Assumptions!$AH$147,"Mid-floor view premium fully loaded. ","")&amp;IF(D424=Assumptions!$P$147,"High-floor view premium fully loaded. ","")&amp;IF(Q424&lt;=K424,"At developer starting price.",""))</f>
        <v/>
      </c>
      <c r="T424" s="57" t="str">
        <f>Assumptions!$AJ$147</f>
        <v>SW, same direction as the 5BR. Direct landed estate + nature reserve</v>
      </c>
    </row>
    <row r="425" spans="1:20" x14ac:dyDescent="0.2">
      <c r="A425" s="49" t="s">
        <v>564</v>
      </c>
      <c r="B425" s="29">
        <v>5</v>
      </c>
      <c r="C425" s="50">
        <v>21</v>
      </c>
      <c r="D425" s="50">
        <v>28</v>
      </c>
      <c r="E425" s="27" t="s">
        <v>43</v>
      </c>
      <c r="F425" s="29" t="s">
        <v>562</v>
      </c>
      <c r="G425" s="28">
        <v>678</v>
      </c>
      <c r="H425" s="29" t="s">
        <v>65</v>
      </c>
      <c r="I425" s="38" t="str">
        <f>Assumptions!$I$147</f>
        <v>A</v>
      </c>
      <c r="J425" s="29" t="str">
        <f>IF(D425&lt;=Assumptions!$V$147,"Low",IF(D425&lt;=Assumptions!$W$147,"Mid","High"))</f>
        <v>High</v>
      </c>
      <c r="K425" s="51">
        <f>Assumptions!$Q$147</f>
        <v>2613</v>
      </c>
      <c r="L425" s="52">
        <f>INDEX(Assumptions!$D$61:$D$90,D425)</f>
        <v>3308.6800000000003</v>
      </c>
      <c r="M425" s="53">
        <f>IF(D425&lt;=Assumptions!$G$147,Assumptions!$AK$147,IF(D425&lt;Assumptions!$AH$147,Assumptions!$AK$147+(Assumptions!$AL$147-Assumptions!$AK$147)*(D425-Assumptions!$G$147)/(Assumptions!$AH$147-Assumptions!$G$147),IF(D425&lt;Assumptions!$P$147,Assumptions!$AL$147+(Assumptions!$AM$147-Assumptions!$AL$147)*(D425-Assumptions!$AH$147)/(Assumptions!$P$147-Assumptions!$AH$147),Assumptions!$AM$147)))</f>
        <v>50000</v>
      </c>
      <c r="N425" s="54">
        <f t="shared" si="12"/>
        <v>73.746312684365776</v>
      </c>
      <c r="O425" s="55">
        <f t="shared" si="13"/>
        <v>3382</v>
      </c>
      <c r="P425" s="29" t="str">
        <f>IF(D425&gt;=Assumptions!$P$147,"High",IF(D425&gt;=Assumptions!$AH$147,"Mid",IF(D425&lt;=Assumptions!$G$147,"Low","Loading")))</f>
        <v>High</v>
      </c>
      <c r="Q425" s="39">
        <f>MAX(K425,MIN(Assumptions!$S$147,O425),Q426)</f>
        <v>3382</v>
      </c>
      <c r="R425" s="30">
        <f>IF(AND(Q425&lt;=K425,INDEX(Assumptions!$C$26:$C$36,MATCH(G425,Assumptions!$A$26:$A$36,0))&lt;&gt;""),INDEX(Assumptions!$C$26:$C$36,MATCH(G425,Assumptions!$A$26:$A$36,0)),ROUND(G425*Q425,-2))</f>
        <v>2293000</v>
      </c>
      <c r="S425" s="56" t="str">
        <f>TRIM(IF(AND(Assumptions!$L$147&lt;&gt;"",D425&lt;Assumptions!$L$147),"View blocked / roof in front ("&amp;Assumptions!$M$147&amp;"); view premium still loading until L"&amp;Assumptions!$L$147&amp;". ","")&amp;IF(D425=Assumptions!$AH$147,"Mid-floor view premium fully loaded. ","")&amp;IF(D425=Assumptions!$P$147,"High-floor view premium fully loaded. ","")&amp;IF(Q425&lt;=K425,"At developer starting price.",""))</f>
        <v/>
      </c>
      <c r="T425" s="57" t="str">
        <f>Assumptions!$AJ$147</f>
        <v>SW, same direction as the 5BR. Direct landed estate + nature reserve</v>
      </c>
    </row>
    <row r="426" spans="1:20" x14ac:dyDescent="0.2">
      <c r="A426" s="49" t="s">
        <v>565</v>
      </c>
      <c r="B426" s="29">
        <v>5</v>
      </c>
      <c r="C426" s="50">
        <v>21</v>
      </c>
      <c r="D426" s="50">
        <v>27</v>
      </c>
      <c r="E426" s="27" t="s">
        <v>43</v>
      </c>
      <c r="F426" s="29" t="s">
        <v>562</v>
      </c>
      <c r="G426" s="28">
        <v>678</v>
      </c>
      <c r="H426" s="29" t="s">
        <v>65</v>
      </c>
      <c r="I426" s="38" t="str">
        <f>Assumptions!$I$147</f>
        <v>A</v>
      </c>
      <c r="J426" s="29" t="str">
        <f>IF(D426&lt;=Assumptions!$V$147,"Low",IF(D426&lt;=Assumptions!$W$147,"Mid","High"))</f>
        <v>High</v>
      </c>
      <c r="K426" s="51">
        <f>Assumptions!$Q$147</f>
        <v>2613</v>
      </c>
      <c r="L426" s="52">
        <f>INDEX(Assumptions!$D$61:$D$90,D426)</f>
        <v>3295.9050000000002</v>
      </c>
      <c r="M426" s="53">
        <f>IF(D426&lt;=Assumptions!$G$147,Assumptions!$AK$147,IF(D426&lt;Assumptions!$AH$147,Assumptions!$AK$147+(Assumptions!$AL$147-Assumptions!$AK$147)*(D426-Assumptions!$G$147)/(Assumptions!$AH$147-Assumptions!$G$147),IF(D426&lt;Assumptions!$P$147,Assumptions!$AL$147+(Assumptions!$AM$147-Assumptions!$AL$147)*(D426-Assumptions!$AH$147)/(Assumptions!$P$147-Assumptions!$AH$147),Assumptions!$AM$147)))</f>
        <v>50000</v>
      </c>
      <c r="N426" s="54">
        <f t="shared" si="12"/>
        <v>73.746312684365776</v>
      </c>
      <c r="O426" s="55">
        <f t="shared" si="13"/>
        <v>3370</v>
      </c>
      <c r="P426" s="29" t="str">
        <f>IF(D426&gt;=Assumptions!$P$147,"High",IF(D426&gt;=Assumptions!$AH$147,"Mid",IF(D426&lt;=Assumptions!$G$147,"Low","Loading")))</f>
        <v>High</v>
      </c>
      <c r="Q426" s="39">
        <f>MAX(K426,MIN(Assumptions!$S$147,O426),Q427)</f>
        <v>3370</v>
      </c>
      <c r="R426" s="30">
        <f>IF(AND(Q426&lt;=K426,INDEX(Assumptions!$C$26:$C$36,MATCH(G426,Assumptions!$A$26:$A$36,0))&lt;&gt;""),INDEX(Assumptions!$C$26:$C$36,MATCH(G426,Assumptions!$A$26:$A$36,0)),ROUND(G426*Q426,-2))</f>
        <v>2284900</v>
      </c>
      <c r="S426" s="56" t="str">
        <f>TRIM(IF(AND(Assumptions!$L$147&lt;&gt;"",D426&lt;Assumptions!$L$147),"View blocked / roof in front ("&amp;Assumptions!$M$147&amp;"); view premium still loading until L"&amp;Assumptions!$L$147&amp;". ","")&amp;IF(D426=Assumptions!$AH$147,"Mid-floor view premium fully loaded. ","")&amp;IF(D426=Assumptions!$P$147,"High-floor view premium fully loaded. ","")&amp;IF(Q426&lt;=K426,"At developer starting price.",""))</f>
        <v/>
      </c>
      <c r="T426" s="57" t="str">
        <f>Assumptions!$AJ$147</f>
        <v>SW, same direction as the 5BR. Direct landed estate + nature reserve</v>
      </c>
    </row>
    <row r="427" spans="1:20" x14ac:dyDescent="0.2">
      <c r="A427" s="49" t="s">
        <v>566</v>
      </c>
      <c r="B427" s="29">
        <v>5</v>
      </c>
      <c r="C427" s="50">
        <v>21</v>
      </c>
      <c r="D427" s="50">
        <v>26</v>
      </c>
      <c r="E427" s="27" t="s">
        <v>43</v>
      </c>
      <c r="F427" s="29" t="s">
        <v>562</v>
      </c>
      <c r="G427" s="28">
        <v>678</v>
      </c>
      <c r="H427" s="29" t="s">
        <v>65</v>
      </c>
      <c r="I427" s="38" t="str">
        <f>Assumptions!$I$147</f>
        <v>A</v>
      </c>
      <c r="J427" s="29" t="str">
        <f>IF(D427&lt;=Assumptions!$V$147,"Low",IF(D427&lt;=Assumptions!$W$147,"Mid","High"))</f>
        <v>High</v>
      </c>
      <c r="K427" s="51">
        <f>Assumptions!$Q$147</f>
        <v>2613</v>
      </c>
      <c r="L427" s="52">
        <f>INDEX(Assumptions!$D$61:$D$90,D427)</f>
        <v>3283.13</v>
      </c>
      <c r="M427" s="53">
        <f>IF(D427&lt;=Assumptions!$G$147,Assumptions!$AK$147,IF(D427&lt;Assumptions!$AH$147,Assumptions!$AK$147+(Assumptions!$AL$147-Assumptions!$AK$147)*(D427-Assumptions!$G$147)/(Assumptions!$AH$147-Assumptions!$G$147),IF(D427&lt;Assumptions!$P$147,Assumptions!$AL$147+(Assumptions!$AM$147-Assumptions!$AL$147)*(D427-Assumptions!$AH$147)/(Assumptions!$P$147-Assumptions!$AH$147),Assumptions!$AM$147)))</f>
        <v>50000</v>
      </c>
      <c r="N427" s="54">
        <f t="shared" si="12"/>
        <v>73.746312684365776</v>
      </c>
      <c r="O427" s="55">
        <f t="shared" si="13"/>
        <v>3357</v>
      </c>
      <c r="P427" s="29" t="str">
        <f>IF(D427&gt;=Assumptions!$P$147,"High",IF(D427&gt;=Assumptions!$AH$147,"Mid",IF(D427&lt;=Assumptions!$G$147,"Low","Loading")))</f>
        <v>High</v>
      </c>
      <c r="Q427" s="39">
        <f>MAX(K427,MIN(Assumptions!$S$147,O427),Q428)</f>
        <v>3357</v>
      </c>
      <c r="R427" s="30">
        <f>IF(AND(Q427&lt;=K427,INDEX(Assumptions!$C$26:$C$36,MATCH(G427,Assumptions!$A$26:$A$36,0))&lt;&gt;""),INDEX(Assumptions!$C$26:$C$36,MATCH(G427,Assumptions!$A$26:$A$36,0)),ROUND(G427*Q427,-2))</f>
        <v>2276000</v>
      </c>
      <c r="S427" s="56" t="str">
        <f>TRIM(IF(AND(Assumptions!$L$147&lt;&gt;"",D427&lt;Assumptions!$L$147),"View blocked / roof in front ("&amp;Assumptions!$M$147&amp;"); view premium still loading until L"&amp;Assumptions!$L$147&amp;". ","")&amp;IF(D427=Assumptions!$AH$147,"Mid-floor view premium fully loaded. ","")&amp;IF(D427=Assumptions!$P$147,"High-floor view premium fully loaded. ","")&amp;IF(Q427&lt;=K427,"At developer starting price.",""))</f>
        <v/>
      </c>
      <c r="T427" s="57" t="str">
        <f>Assumptions!$AJ$147</f>
        <v>SW, same direction as the 5BR. Direct landed estate + nature reserve</v>
      </c>
    </row>
    <row r="428" spans="1:20" x14ac:dyDescent="0.2">
      <c r="A428" s="49" t="s">
        <v>567</v>
      </c>
      <c r="B428" s="29">
        <v>5</v>
      </c>
      <c r="C428" s="50">
        <v>21</v>
      </c>
      <c r="D428" s="50">
        <v>25</v>
      </c>
      <c r="E428" s="27" t="s">
        <v>43</v>
      </c>
      <c r="F428" s="29" t="s">
        <v>562</v>
      </c>
      <c r="G428" s="28">
        <v>678</v>
      </c>
      <c r="H428" s="29" t="s">
        <v>65</v>
      </c>
      <c r="I428" s="38" t="str">
        <f>Assumptions!$I$147</f>
        <v>A</v>
      </c>
      <c r="J428" s="29" t="str">
        <f>IF(D428&lt;=Assumptions!$V$147,"Low",IF(D428&lt;=Assumptions!$W$147,"Mid","High"))</f>
        <v>High</v>
      </c>
      <c r="K428" s="51">
        <f>Assumptions!$Q$147</f>
        <v>2613</v>
      </c>
      <c r="L428" s="52">
        <f>INDEX(Assumptions!$D$61:$D$90,D428)</f>
        <v>3270.355</v>
      </c>
      <c r="M428" s="53">
        <f>IF(D428&lt;=Assumptions!$G$147,Assumptions!$AK$147,IF(D428&lt;Assumptions!$AH$147,Assumptions!$AK$147+(Assumptions!$AL$147-Assumptions!$AK$147)*(D428-Assumptions!$G$147)/(Assumptions!$AH$147-Assumptions!$G$147),IF(D428&lt;Assumptions!$P$147,Assumptions!$AL$147+(Assumptions!$AM$147-Assumptions!$AL$147)*(D428-Assumptions!$AH$147)/(Assumptions!$P$147-Assumptions!$AH$147),Assumptions!$AM$147)))</f>
        <v>50000</v>
      </c>
      <c r="N428" s="54">
        <f t="shared" si="12"/>
        <v>73.746312684365776</v>
      </c>
      <c r="O428" s="55">
        <f t="shared" si="13"/>
        <v>3344</v>
      </c>
      <c r="P428" s="29" t="str">
        <f>IF(D428&gt;=Assumptions!$P$147,"High",IF(D428&gt;=Assumptions!$AH$147,"Mid",IF(D428&lt;=Assumptions!$G$147,"Low","Loading")))</f>
        <v>High</v>
      </c>
      <c r="Q428" s="39">
        <f>MAX(K428,MIN(Assumptions!$S$147,O428),Q429)</f>
        <v>3344</v>
      </c>
      <c r="R428" s="30">
        <f>IF(AND(Q428&lt;=K428,INDEX(Assumptions!$C$26:$C$36,MATCH(G428,Assumptions!$A$26:$A$36,0))&lt;&gt;""),INDEX(Assumptions!$C$26:$C$36,MATCH(G428,Assumptions!$A$26:$A$36,0)),ROUND(G428*Q428,-2))</f>
        <v>2267200</v>
      </c>
      <c r="S428" s="56" t="str">
        <f>TRIM(IF(AND(Assumptions!$L$147&lt;&gt;"",D428&lt;Assumptions!$L$147),"View blocked / roof in front ("&amp;Assumptions!$M$147&amp;"); view premium still loading until L"&amp;Assumptions!$L$147&amp;". ","")&amp;IF(D428=Assumptions!$AH$147,"Mid-floor view premium fully loaded. ","")&amp;IF(D428=Assumptions!$P$147,"High-floor view premium fully loaded. ","")&amp;IF(Q428&lt;=K428,"At developer starting price.",""))</f>
        <v/>
      </c>
      <c r="T428" s="57" t="str">
        <f>Assumptions!$AJ$147</f>
        <v>SW, same direction as the 5BR. Direct landed estate + nature reserve</v>
      </c>
    </row>
    <row r="429" spans="1:20" x14ac:dyDescent="0.2">
      <c r="A429" s="49" t="s">
        <v>568</v>
      </c>
      <c r="B429" s="29">
        <v>5</v>
      </c>
      <c r="C429" s="50">
        <v>21</v>
      </c>
      <c r="D429" s="50">
        <v>24</v>
      </c>
      <c r="E429" s="27" t="s">
        <v>43</v>
      </c>
      <c r="F429" s="29" t="s">
        <v>562</v>
      </c>
      <c r="G429" s="28">
        <v>678</v>
      </c>
      <c r="H429" s="29" t="s">
        <v>65</v>
      </c>
      <c r="I429" s="38" t="str">
        <f>Assumptions!$I$147</f>
        <v>A</v>
      </c>
      <c r="J429" s="29" t="str">
        <f>IF(D429&lt;=Assumptions!$V$147,"Low",IF(D429&lt;=Assumptions!$W$147,"Mid","High"))</f>
        <v>High</v>
      </c>
      <c r="K429" s="51">
        <f>Assumptions!$Q$147</f>
        <v>2613</v>
      </c>
      <c r="L429" s="52">
        <f>INDEX(Assumptions!$D$61:$D$90,D429)</f>
        <v>3257.58</v>
      </c>
      <c r="M429" s="53">
        <f>IF(D429&lt;=Assumptions!$G$147,Assumptions!$AK$147,IF(D429&lt;Assumptions!$AH$147,Assumptions!$AK$147+(Assumptions!$AL$147-Assumptions!$AK$147)*(D429-Assumptions!$G$147)/(Assumptions!$AH$147-Assumptions!$G$147),IF(D429&lt;Assumptions!$P$147,Assumptions!$AL$147+(Assumptions!$AM$147-Assumptions!$AL$147)*(D429-Assumptions!$AH$147)/(Assumptions!$P$147-Assumptions!$AH$147),Assumptions!$AM$147)))</f>
        <v>50000</v>
      </c>
      <c r="N429" s="54">
        <f t="shared" si="12"/>
        <v>73.746312684365776</v>
      </c>
      <c r="O429" s="55">
        <f t="shared" si="13"/>
        <v>3331</v>
      </c>
      <c r="P429" s="29" t="str">
        <f>IF(D429&gt;=Assumptions!$P$147,"High",IF(D429&gt;=Assumptions!$AH$147,"Mid",IF(D429&lt;=Assumptions!$G$147,"Low","Loading")))</f>
        <v>High</v>
      </c>
      <c r="Q429" s="39">
        <f>MAX(K429,MIN(Assumptions!$S$147,O429),Q430)</f>
        <v>3331</v>
      </c>
      <c r="R429" s="30">
        <f>IF(AND(Q429&lt;=K429,INDEX(Assumptions!$C$26:$C$36,MATCH(G429,Assumptions!$A$26:$A$36,0))&lt;&gt;""),INDEX(Assumptions!$C$26:$C$36,MATCH(G429,Assumptions!$A$26:$A$36,0)),ROUND(G429*Q429,-2))</f>
        <v>2258400</v>
      </c>
      <c r="S429" s="56" t="str">
        <f>TRIM(IF(AND(Assumptions!$L$147&lt;&gt;"",D429&lt;Assumptions!$L$147),"View blocked / roof in front ("&amp;Assumptions!$M$147&amp;"); view premium still loading until L"&amp;Assumptions!$L$147&amp;". ","")&amp;IF(D429=Assumptions!$AH$147,"Mid-floor view premium fully loaded. ","")&amp;IF(D429=Assumptions!$P$147,"High-floor view premium fully loaded. ","")&amp;IF(Q429&lt;=K429,"At developer starting price.",""))</f>
        <v/>
      </c>
      <c r="T429" s="57" t="str">
        <f>Assumptions!$AJ$147</f>
        <v>SW, same direction as the 5BR. Direct landed estate + nature reserve</v>
      </c>
    </row>
    <row r="430" spans="1:20" x14ac:dyDescent="0.2">
      <c r="A430" s="49" t="s">
        <v>569</v>
      </c>
      <c r="B430" s="29">
        <v>5</v>
      </c>
      <c r="C430" s="50">
        <v>21</v>
      </c>
      <c r="D430" s="50">
        <v>23</v>
      </c>
      <c r="E430" s="27" t="s">
        <v>43</v>
      </c>
      <c r="F430" s="29" t="s">
        <v>562</v>
      </c>
      <c r="G430" s="28">
        <v>678</v>
      </c>
      <c r="H430" s="29" t="s">
        <v>65</v>
      </c>
      <c r="I430" s="38" t="str">
        <f>Assumptions!$I$147</f>
        <v>A</v>
      </c>
      <c r="J430" s="29" t="str">
        <f>IF(D430&lt;=Assumptions!$V$147,"Low",IF(D430&lt;=Assumptions!$W$147,"Mid","High"))</f>
        <v>High</v>
      </c>
      <c r="K430" s="51">
        <f>Assumptions!$Q$147</f>
        <v>2613</v>
      </c>
      <c r="L430" s="52">
        <f>INDEX(Assumptions!$D$61:$D$90,D430)</f>
        <v>3244.8049999999998</v>
      </c>
      <c r="M430" s="53">
        <f>IF(D430&lt;=Assumptions!$G$147,Assumptions!$AK$147,IF(D430&lt;Assumptions!$AH$147,Assumptions!$AK$147+(Assumptions!$AL$147-Assumptions!$AK$147)*(D430-Assumptions!$G$147)/(Assumptions!$AH$147-Assumptions!$G$147),IF(D430&lt;Assumptions!$P$147,Assumptions!$AL$147+(Assumptions!$AM$147-Assumptions!$AL$147)*(D430-Assumptions!$AH$147)/(Assumptions!$P$147-Assumptions!$AH$147),Assumptions!$AM$147)))</f>
        <v>50000</v>
      </c>
      <c r="N430" s="54">
        <f t="shared" si="12"/>
        <v>73.746312684365776</v>
      </c>
      <c r="O430" s="55">
        <f t="shared" si="13"/>
        <v>3319</v>
      </c>
      <c r="P430" s="29" t="str">
        <f>IF(D430&gt;=Assumptions!$P$147,"High",IF(D430&gt;=Assumptions!$AH$147,"Mid",IF(D430&lt;=Assumptions!$G$147,"Low","Loading")))</f>
        <v>High</v>
      </c>
      <c r="Q430" s="39">
        <f>MAX(K430,MIN(Assumptions!$S$147,O430),Q431)</f>
        <v>3319</v>
      </c>
      <c r="R430" s="30">
        <f>IF(AND(Q430&lt;=K430,INDEX(Assumptions!$C$26:$C$36,MATCH(G430,Assumptions!$A$26:$A$36,0))&lt;&gt;""),INDEX(Assumptions!$C$26:$C$36,MATCH(G430,Assumptions!$A$26:$A$36,0)),ROUND(G430*Q430,-2))</f>
        <v>2250300</v>
      </c>
      <c r="S430" s="56" t="str">
        <f>TRIM(IF(AND(Assumptions!$L$147&lt;&gt;"",D430&lt;Assumptions!$L$147),"View blocked / roof in front ("&amp;Assumptions!$M$147&amp;"); view premium still loading until L"&amp;Assumptions!$L$147&amp;". ","")&amp;IF(D430=Assumptions!$AH$147,"Mid-floor view premium fully loaded. ","")&amp;IF(D430=Assumptions!$P$147,"High-floor view premium fully loaded. ","")&amp;IF(Q430&lt;=K430,"At developer starting price.",""))</f>
        <v/>
      </c>
      <c r="T430" s="57" t="str">
        <f>Assumptions!$AJ$147</f>
        <v>SW, same direction as the 5BR. Direct landed estate + nature reserve</v>
      </c>
    </row>
    <row r="431" spans="1:20" x14ac:dyDescent="0.2">
      <c r="A431" s="49" t="s">
        <v>570</v>
      </c>
      <c r="B431" s="29">
        <v>5</v>
      </c>
      <c r="C431" s="50">
        <v>21</v>
      </c>
      <c r="D431" s="50">
        <v>22</v>
      </c>
      <c r="E431" s="27" t="s">
        <v>43</v>
      </c>
      <c r="F431" s="29" t="s">
        <v>562</v>
      </c>
      <c r="G431" s="28">
        <v>678</v>
      </c>
      <c r="H431" s="29" t="s">
        <v>65</v>
      </c>
      <c r="I431" s="38" t="str">
        <f>Assumptions!$I$147</f>
        <v>A</v>
      </c>
      <c r="J431" s="29" t="str">
        <f>IF(D431&lt;=Assumptions!$V$147,"Low",IF(D431&lt;=Assumptions!$W$147,"Mid","High"))</f>
        <v>High</v>
      </c>
      <c r="K431" s="51">
        <f>Assumptions!$Q$147</f>
        <v>2613</v>
      </c>
      <c r="L431" s="52">
        <f>INDEX(Assumptions!$D$61:$D$90,D431)</f>
        <v>3232.03</v>
      </c>
      <c r="M431" s="53">
        <f>IF(D431&lt;=Assumptions!$G$147,Assumptions!$AK$147,IF(D431&lt;Assumptions!$AH$147,Assumptions!$AK$147+(Assumptions!$AL$147-Assumptions!$AK$147)*(D431-Assumptions!$G$147)/(Assumptions!$AH$147-Assumptions!$G$147),IF(D431&lt;Assumptions!$P$147,Assumptions!$AL$147+(Assumptions!$AM$147-Assumptions!$AL$147)*(D431-Assumptions!$AH$147)/(Assumptions!$P$147-Assumptions!$AH$147),Assumptions!$AM$147)))</f>
        <v>50000</v>
      </c>
      <c r="N431" s="54">
        <f t="shared" si="12"/>
        <v>73.746312684365776</v>
      </c>
      <c r="O431" s="55">
        <f t="shared" si="13"/>
        <v>3306</v>
      </c>
      <c r="P431" s="29" t="str">
        <f>IF(D431&gt;=Assumptions!$P$147,"High",IF(D431&gt;=Assumptions!$AH$147,"Mid",IF(D431&lt;=Assumptions!$G$147,"Low","Loading")))</f>
        <v>High</v>
      </c>
      <c r="Q431" s="39">
        <f>MAX(K431,MIN(Assumptions!$S$147,O431),Q432)</f>
        <v>3306</v>
      </c>
      <c r="R431" s="30">
        <f>IF(AND(Q431&lt;=K431,INDEX(Assumptions!$C$26:$C$36,MATCH(G431,Assumptions!$A$26:$A$36,0))&lt;&gt;""),INDEX(Assumptions!$C$26:$C$36,MATCH(G431,Assumptions!$A$26:$A$36,0)),ROUND(G431*Q431,-2))</f>
        <v>2241500</v>
      </c>
      <c r="S431" s="56" t="str">
        <f>TRIM(IF(AND(Assumptions!$L$147&lt;&gt;"",D431&lt;Assumptions!$L$147),"View blocked / roof in front ("&amp;Assumptions!$M$147&amp;"); view premium still loading until L"&amp;Assumptions!$L$147&amp;". ","")&amp;IF(D431=Assumptions!$AH$147,"Mid-floor view premium fully loaded. ","")&amp;IF(D431=Assumptions!$P$147,"High-floor view premium fully loaded. ","")&amp;IF(Q431&lt;=K431,"At developer starting price.",""))</f>
        <v>High-floor view premium fully loaded.</v>
      </c>
      <c r="T431" s="57" t="str">
        <f>Assumptions!$AJ$147</f>
        <v>SW, same direction as the 5BR. Direct landed estate + nature reserve</v>
      </c>
    </row>
    <row r="432" spans="1:20" x14ac:dyDescent="0.2">
      <c r="A432" s="49" t="s">
        <v>571</v>
      </c>
      <c r="B432" s="29">
        <v>5</v>
      </c>
      <c r="C432" s="50">
        <v>21</v>
      </c>
      <c r="D432" s="50">
        <v>21</v>
      </c>
      <c r="E432" s="27" t="s">
        <v>43</v>
      </c>
      <c r="F432" s="29" t="s">
        <v>562</v>
      </c>
      <c r="G432" s="28">
        <v>678</v>
      </c>
      <c r="H432" s="29" t="s">
        <v>65</v>
      </c>
      <c r="I432" s="38" t="str">
        <f>Assumptions!$I$147</f>
        <v>A</v>
      </c>
      <c r="J432" s="29" t="str">
        <f>IF(D432&lt;=Assumptions!$V$147,"Low",IF(D432&lt;=Assumptions!$W$147,"Mid","High"))</f>
        <v>Mid</v>
      </c>
      <c r="K432" s="51">
        <f>Assumptions!$Q$147</f>
        <v>2613</v>
      </c>
      <c r="L432" s="52">
        <f>INDEX(Assumptions!$D$61:$D$90,D432)</f>
        <v>3219.2550000000001</v>
      </c>
      <c r="M432" s="53">
        <f>IF(D432&lt;=Assumptions!$G$147,Assumptions!$AK$147,IF(D432&lt;Assumptions!$AH$147,Assumptions!$AK$147+(Assumptions!$AL$147-Assumptions!$AK$147)*(D432-Assumptions!$G$147)/(Assumptions!$AH$147-Assumptions!$G$147),IF(D432&lt;Assumptions!$P$147,Assumptions!$AL$147+(Assumptions!$AM$147-Assumptions!$AL$147)*(D432-Assumptions!$AH$147)/(Assumptions!$P$147-Assumptions!$AH$147),Assumptions!$AM$147)))</f>
        <v>50000</v>
      </c>
      <c r="N432" s="54">
        <f t="shared" si="12"/>
        <v>73.746312684365776</v>
      </c>
      <c r="O432" s="55">
        <f t="shared" si="13"/>
        <v>3293</v>
      </c>
      <c r="P432" s="29" t="str">
        <f>IF(D432&gt;=Assumptions!$P$147,"High",IF(D432&gt;=Assumptions!$AH$147,"Mid",IF(D432&lt;=Assumptions!$G$147,"Low","Loading")))</f>
        <v>Mid</v>
      </c>
      <c r="Q432" s="39">
        <f>MAX(K432,MIN(Assumptions!$S$147,O432),Q433)</f>
        <v>3293</v>
      </c>
      <c r="R432" s="30">
        <f>IF(AND(Q432&lt;=K432,INDEX(Assumptions!$C$26:$C$36,MATCH(G432,Assumptions!$A$26:$A$36,0))&lt;&gt;""),INDEX(Assumptions!$C$26:$C$36,MATCH(G432,Assumptions!$A$26:$A$36,0)),ROUND(G432*Q432,-2))</f>
        <v>2232700</v>
      </c>
      <c r="S432" s="56" t="str">
        <f>TRIM(IF(AND(Assumptions!$L$147&lt;&gt;"",D432&lt;Assumptions!$L$147),"View blocked / roof in front ("&amp;Assumptions!$M$147&amp;"); view premium still loading until L"&amp;Assumptions!$L$147&amp;". ","")&amp;IF(D432=Assumptions!$AH$147,"Mid-floor view premium fully loaded. ","")&amp;IF(D432=Assumptions!$P$147,"High-floor view premium fully loaded. ","")&amp;IF(Q432&lt;=K432,"At developer starting price.",""))</f>
        <v/>
      </c>
      <c r="T432" s="57" t="str">
        <f>Assumptions!$AJ$147</f>
        <v>SW, same direction as the 5BR. Direct landed estate + nature reserve</v>
      </c>
    </row>
    <row r="433" spans="1:20" x14ac:dyDescent="0.2">
      <c r="A433" s="49" t="s">
        <v>572</v>
      </c>
      <c r="B433" s="29">
        <v>5</v>
      </c>
      <c r="C433" s="50">
        <v>21</v>
      </c>
      <c r="D433" s="50">
        <v>20</v>
      </c>
      <c r="E433" s="27" t="s">
        <v>43</v>
      </c>
      <c r="F433" s="29" t="s">
        <v>562</v>
      </c>
      <c r="G433" s="28">
        <v>678</v>
      </c>
      <c r="H433" s="29" t="s">
        <v>65</v>
      </c>
      <c r="I433" s="38" t="str">
        <f>Assumptions!$I$147</f>
        <v>A</v>
      </c>
      <c r="J433" s="29" t="str">
        <f>IF(D433&lt;=Assumptions!$V$147,"Low",IF(D433&lt;=Assumptions!$W$147,"Mid","High"))</f>
        <v>Mid</v>
      </c>
      <c r="K433" s="51">
        <f>Assumptions!$Q$147</f>
        <v>2613</v>
      </c>
      <c r="L433" s="52">
        <f>INDEX(Assumptions!$D$61:$D$90,D433)</f>
        <v>3200.18</v>
      </c>
      <c r="M433" s="53">
        <f>IF(D433&lt;=Assumptions!$G$147,Assumptions!$AK$147,IF(D433&lt;Assumptions!$AH$147,Assumptions!$AK$147+(Assumptions!$AL$147-Assumptions!$AK$147)*(D433-Assumptions!$G$147)/(Assumptions!$AH$147-Assumptions!$G$147),IF(D433&lt;Assumptions!$P$147,Assumptions!$AL$147+(Assumptions!$AM$147-Assumptions!$AL$147)*(D433-Assumptions!$AH$147)/(Assumptions!$P$147-Assumptions!$AH$147),Assumptions!$AM$147)))</f>
        <v>50000</v>
      </c>
      <c r="N433" s="54">
        <f t="shared" si="12"/>
        <v>73.746312684365776</v>
      </c>
      <c r="O433" s="55">
        <f t="shared" si="13"/>
        <v>3274</v>
      </c>
      <c r="P433" s="29" t="str">
        <f>IF(D433&gt;=Assumptions!$P$147,"High",IF(D433&gt;=Assumptions!$AH$147,"Mid",IF(D433&lt;=Assumptions!$G$147,"Low","Loading")))</f>
        <v>Mid</v>
      </c>
      <c r="Q433" s="39">
        <f>MAX(K433,MIN(Assumptions!$S$147,O433),Q434)</f>
        <v>3274</v>
      </c>
      <c r="R433" s="30">
        <f>IF(AND(Q433&lt;=K433,INDEX(Assumptions!$C$26:$C$36,MATCH(G433,Assumptions!$A$26:$A$36,0))&lt;&gt;""),INDEX(Assumptions!$C$26:$C$36,MATCH(G433,Assumptions!$A$26:$A$36,0)),ROUND(G433*Q433,-2))</f>
        <v>2219800</v>
      </c>
      <c r="S433" s="56" t="str">
        <f>TRIM(IF(AND(Assumptions!$L$147&lt;&gt;"",D433&lt;Assumptions!$L$147),"View blocked / roof in front ("&amp;Assumptions!$M$147&amp;"); view premium still loading until L"&amp;Assumptions!$L$147&amp;". ","")&amp;IF(D433=Assumptions!$AH$147,"Mid-floor view premium fully loaded. ","")&amp;IF(D433=Assumptions!$P$147,"High-floor view premium fully loaded. ","")&amp;IF(Q433&lt;=K433,"At developer starting price.",""))</f>
        <v/>
      </c>
      <c r="T433" s="57" t="str">
        <f>Assumptions!$AJ$147</f>
        <v>SW, same direction as the 5BR. Direct landed estate + nature reserve</v>
      </c>
    </row>
    <row r="434" spans="1:20" x14ac:dyDescent="0.2">
      <c r="A434" s="49" t="s">
        <v>573</v>
      </c>
      <c r="B434" s="29">
        <v>5</v>
      </c>
      <c r="C434" s="50">
        <v>21</v>
      </c>
      <c r="D434" s="50">
        <v>19</v>
      </c>
      <c r="E434" s="27" t="s">
        <v>43</v>
      </c>
      <c r="F434" s="29" t="s">
        <v>562</v>
      </c>
      <c r="G434" s="28">
        <v>678</v>
      </c>
      <c r="H434" s="29" t="s">
        <v>65</v>
      </c>
      <c r="I434" s="38" t="str">
        <f>Assumptions!$I$147</f>
        <v>A</v>
      </c>
      <c r="J434" s="29" t="str">
        <f>IF(D434&lt;=Assumptions!$V$147,"Low",IF(D434&lt;=Assumptions!$W$147,"Mid","High"))</f>
        <v>Mid</v>
      </c>
      <c r="K434" s="51">
        <f>Assumptions!$Q$147</f>
        <v>2613</v>
      </c>
      <c r="L434" s="52">
        <f>INDEX(Assumptions!$D$61:$D$90,D434)</f>
        <v>3181.105</v>
      </c>
      <c r="M434" s="53">
        <f>IF(D434&lt;=Assumptions!$G$147,Assumptions!$AK$147,IF(D434&lt;Assumptions!$AH$147,Assumptions!$AK$147+(Assumptions!$AL$147-Assumptions!$AK$147)*(D434-Assumptions!$G$147)/(Assumptions!$AH$147-Assumptions!$G$147),IF(D434&lt;Assumptions!$P$147,Assumptions!$AL$147+(Assumptions!$AM$147-Assumptions!$AL$147)*(D434-Assumptions!$AH$147)/(Assumptions!$P$147-Assumptions!$AH$147),Assumptions!$AM$147)))</f>
        <v>50000</v>
      </c>
      <c r="N434" s="54">
        <f t="shared" si="12"/>
        <v>73.746312684365776</v>
      </c>
      <c r="O434" s="55">
        <f t="shared" si="13"/>
        <v>3255</v>
      </c>
      <c r="P434" s="29" t="str">
        <f>IF(D434&gt;=Assumptions!$P$147,"High",IF(D434&gt;=Assumptions!$AH$147,"Mid",IF(D434&lt;=Assumptions!$G$147,"Low","Loading")))</f>
        <v>Mid</v>
      </c>
      <c r="Q434" s="39">
        <f>MAX(K434,MIN(Assumptions!$S$147,O434),Q435)</f>
        <v>3255</v>
      </c>
      <c r="R434" s="30">
        <f>IF(AND(Q434&lt;=K434,INDEX(Assumptions!$C$26:$C$36,MATCH(G434,Assumptions!$A$26:$A$36,0))&lt;&gt;""),INDEX(Assumptions!$C$26:$C$36,MATCH(G434,Assumptions!$A$26:$A$36,0)),ROUND(G434*Q434,-2))</f>
        <v>2206900</v>
      </c>
      <c r="S434" s="56" t="str">
        <f>TRIM(IF(AND(Assumptions!$L$147&lt;&gt;"",D434&lt;Assumptions!$L$147),"View blocked / roof in front ("&amp;Assumptions!$M$147&amp;"); view premium still loading until L"&amp;Assumptions!$L$147&amp;". ","")&amp;IF(D434=Assumptions!$AH$147,"Mid-floor view premium fully loaded. ","")&amp;IF(D434=Assumptions!$P$147,"High-floor view premium fully loaded. ","")&amp;IF(Q434&lt;=K434,"At developer starting price.",""))</f>
        <v/>
      </c>
      <c r="T434" s="57" t="str">
        <f>Assumptions!$AJ$147</f>
        <v>SW, same direction as the 5BR. Direct landed estate + nature reserve</v>
      </c>
    </row>
    <row r="435" spans="1:20" x14ac:dyDescent="0.2">
      <c r="A435" s="49" t="s">
        <v>574</v>
      </c>
      <c r="B435" s="29">
        <v>5</v>
      </c>
      <c r="C435" s="50">
        <v>21</v>
      </c>
      <c r="D435" s="50">
        <v>18</v>
      </c>
      <c r="E435" s="27" t="s">
        <v>43</v>
      </c>
      <c r="F435" s="29" t="s">
        <v>562</v>
      </c>
      <c r="G435" s="28">
        <v>678</v>
      </c>
      <c r="H435" s="29" t="s">
        <v>65</v>
      </c>
      <c r="I435" s="38" t="str">
        <f>Assumptions!$I$147</f>
        <v>A</v>
      </c>
      <c r="J435" s="29" t="str">
        <f>IF(D435&lt;=Assumptions!$V$147,"Low",IF(D435&lt;=Assumptions!$W$147,"Mid","High"))</f>
        <v>Mid</v>
      </c>
      <c r="K435" s="51">
        <f>Assumptions!$Q$147</f>
        <v>2613</v>
      </c>
      <c r="L435" s="52">
        <f>INDEX(Assumptions!$D$61:$D$90,D435)</f>
        <v>3162.0299999999997</v>
      </c>
      <c r="M435" s="53">
        <f>IF(D435&lt;=Assumptions!$G$147,Assumptions!$AK$147,IF(D435&lt;Assumptions!$AH$147,Assumptions!$AK$147+(Assumptions!$AL$147-Assumptions!$AK$147)*(D435-Assumptions!$G$147)/(Assumptions!$AH$147-Assumptions!$G$147),IF(D435&lt;Assumptions!$P$147,Assumptions!$AL$147+(Assumptions!$AM$147-Assumptions!$AL$147)*(D435-Assumptions!$AH$147)/(Assumptions!$P$147-Assumptions!$AH$147),Assumptions!$AM$147)))</f>
        <v>50000</v>
      </c>
      <c r="N435" s="54">
        <f t="shared" si="12"/>
        <v>73.746312684365776</v>
      </c>
      <c r="O435" s="55">
        <f t="shared" si="13"/>
        <v>3236</v>
      </c>
      <c r="P435" s="29" t="str">
        <f>IF(D435&gt;=Assumptions!$P$147,"High",IF(D435&gt;=Assumptions!$AH$147,"Mid",IF(D435&lt;=Assumptions!$G$147,"Low","Loading")))</f>
        <v>Mid</v>
      </c>
      <c r="Q435" s="39">
        <f>MAX(K435,MIN(Assumptions!$S$147,O435),Q436)</f>
        <v>3236</v>
      </c>
      <c r="R435" s="30">
        <f>IF(AND(Q435&lt;=K435,INDEX(Assumptions!$C$26:$C$36,MATCH(G435,Assumptions!$A$26:$A$36,0))&lt;&gt;""),INDEX(Assumptions!$C$26:$C$36,MATCH(G435,Assumptions!$A$26:$A$36,0)),ROUND(G435*Q435,-2))</f>
        <v>2194000</v>
      </c>
      <c r="S435" s="56" t="str">
        <f>TRIM(IF(AND(Assumptions!$L$147&lt;&gt;"",D435&lt;Assumptions!$L$147),"View blocked / roof in front ("&amp;Assumptions!$M$147&amp;"); view premium still loading until L"&amp;Assumptions!$L$147&amp;". ","")&amp;IF(D435=Assumptions!$AH$147,"Mid-floor view premium fully loaded. ","")&amp;IF(D435=Assumptions!$P$147,"High-floor view premium fully loaded. ","")&amp;IF(Q435&lt;=K435,"At developer starting price.",""))</f>
        <v/>
      </c>
      <c r="T435" s="57" t="str">
        <f>Assumptions!$AJ$147</f>
        <v>SW, same direction as the 5BR. Direct landed estate + nature reserve</v>
      </c>
    </row>
    <row r="436" spans="1:20" x14ac:dyDescent="0.2">
      <c r="A436" s="49" t="s">
        <v>575</v>
      </c>
      <c r="B436" s="29">
        <v>5</v>
      </c>
      <c r="C436" s="50">
        <v>21</v>
      </c>
      <c r="D436" s="50">
        <v>17</v>
      </c>
      <c r="E436" s="27" t="s">
        <v>43</v>
      </c>
      <c r="F436" s="29" t="s">
        <v>562</v>
      </c>
      <c r="G436" s="28">
        <v>678</v>
      </c>
      <c r="H436" s="29" t="s">
        <v>65</v>
      </c>
      <c r="I436" s="38" t="str">
        <f>Assumptions!$I$147</f>
        <v>A</v>
      </c>
      <c r="J436" s="29" t="str">
        <f>IF(D436&lt;=Assumptions!$V$147,"Low",IF(D436&lt;=Assumptions!$W$147,"Mid","High"))</f>
        <v>Mid</v>
      </c>
      <c r="K436" s="51">
        <f>Assumptions!$Q$147</f>
        <v>2613</v>
      </c>
      <c r="L436" s="52">
        <f>INDEX(Assumptions!$D$61:$D$90,D436)</f>
        <v>3142.8252380952381</v>
      </c>
      <c r="M436" s="53">
        <f>IF(D436&lt;=Assumptions!$G$147,Assumptions!$AK$147,IF(D436&lt;Assumptions!$AH$147,Assumptions!$AK$147+(Assumptions!$AL$147-Assumptions!$AK$147)*(D436-Assumptions!$G$147)/(Assumptions!$AH$147-Assumptions!$G$147),IF(D436&lt;Assumptions!$P$147,Assumptions!$AL$147+(Assumptions!$AM$147-Assumptions!$AL$147)*(D436-Assumptions!$AH$147)/(Assumptions!$P$147-Assumptions!$AH$147),Assumptions!$AM$147)))</f>
        <v>50000</v>
      </c>
      <c r="N436" s="54">
        <f t="shared" si="12"/>
        <v>73.746312684365776</v>
      </c>
      <c r="O436" s="55">
        <f t="shared" si="13"/>
        <v>3217</v>
      </c>
      <c r="P436" s="29" t="str">
        <f>IF(D436&gt;=Assumptions!$P$147,"High",IF(D436&gt;=Assumptions!$AH$147,"Mid",IF(D436&lt;=Assumptions!$G$147,"Low","Loading")))</f>
        <v>Mid</v>
      </c>
      <c r="Q436" s="39">
        <f>MAX(K436,MIN(Assumptions!$S$147,O436),Q437)</f>
        <v>3217</v>
      </c>
      <c r="R436" s="30">
        <f>IF(AND(Q436&lt;=K436,INDEX(Assumptions!$C$26:$C$36,MATCH(G436,Assumptions!$A$26:$A$36,0))&lt;&gt;""),INDEX(Assumptions!$C$26:$C$36,MATCH(G436,Assumptions!$A$26:$A$36,0)),ROUND(G436*Q436,-2))</f>
        <v>2181100</v>
      </c>
      <c r="S436" s="56" t="str">
        <f>TRIM(IF(AND(Assumptions!$L$147&lt;&gt;"",D436&lt;Assumptions!$L$147),"View blocked / roof in front ("&amp;Assumptions!$M$147&amp;"); view premium still loading until L"&amp;Assumptions!$L$147&amp;". ","")&amp;IF(D436=Assumptions!$AH$147,"Mid-floor view premium fully loaded. ","")&amp;IF(D436=Assumptions!$P$147,"High-floor view premium fully loaded. ","")&amp;IF(Q436&lt;=K436,"At developer starting price.",""))</f>
        <v/>
      </c>
      <c r="T436" s="57" t="str">
        <f>Assumptions!$AJ$147</f>
        <v>SW, same direction as the 5BR. Direct landed estate + nature reserve</v>
      </c>
    </row>
    <row r="437" spans="1:20" x14ac:dyDescent="0.2">
      <c r="A437" s="49" t="s">
        <v>576</v>
      </c>
      <c r="B437" s="29">
        <v>5</v>
      </c>
      <c r="C437" s="50">
        <v>21</v>
      </c>
      <c r="D437" s="50">
        <v>16</v>
      </c>
      <c r="E437" s="27" t="s">
        <v>43</v>
      </c>
      <c r="F437" s="29" t="s">
        <v>562</v>
      </c>
      <c r="G437" s="28">
        <v>678</v>
      </c>
      <c r="H437" s="29" t="s">
        <v>65</v>
      </c>
      <c r="I437" s="38" t="str">
        <f>Assumptions!$I$147</f>
        <v>A</v>
      </c>
      <c r="J437" s="29" t="str">
        <f>IF(D437&lt;=Assumptions!$V$147,"Low",IF(D437&lt;=Assumptions!$W$147,"Mid","High"))</f>
        <v>Mid</v>
      </c>
      <c r="K437" s="51">
        <f>Assumptions!$Q$147</f>
        <v>2613</v>
      </c>
      <c r="L437" s="52">
        <f>INDEX(Assumptions!$D$61:$D$90,D437)</f>
        <v>3123.620476190476</v>
      </c>
      <c r="M437" s="53">
        <f>IF(D437&lt;=Assumptions!$G$147,Assumptions!$AK$147,IF(D437&lt;Assumptions!$AH$147,Assumptions!$AK$147+(Assumptions!$AL$147-Assumptions!$AK$147)*(D437-Assumptions!$G$147)/(Assumptions!$AH$147-Assumptions!$G$147),IF(D437&lt;Assumptions!$P$147,Assumptions!$AL$147+(Assumptions!$AM$147-Assumptions!$AL$147)*(D437-Assumptions!$AH$147)/(Assumptions!$P$147-Assumptions!$AH$147),Assumptions!$AM$147)))</f>
        <v>50000</v>
      </c>
      <c r="N437" s="54">
        <f t="shared" si="12"/>
        <v>73.746312684365776</v>
      </c>
      <c r="O437" s="55">
        <f t="shared" si="13"/>
        <v>3197</v>
      </c>
      <c r="P437" s="29" t="str">
        <f>IF(D437&gt;=Assumptions!$P$147,"High",IF(D437&gt;=Assumptions!$AH$147,"Mid",IF(D437&lt;=Assumptions!$G$147,"Low","Loading")))</f>
        <v>Mid</v>
      </c>
      <c r="Q437" s="39">
        <f>MAX(K437,MIN(Assumptions!$S$147,O437),Q438)</f>
        <v>3197</v>
      </c>
      <c r="R437" s="30">
        <f>IF(AND(Q437&lt;=K437,INDEX(Assumptions!$C$26:$C$36,MATCH(G437,Assumptions!$A$26:$A$36,0))&lt;&gt;""),INDEX(Assumptions!$C$26:$C$36,MATCH(G437,Assumptions!$A$26:$A$36,0)),ROUND(G437*Q437,-2))</f>
        <v>2167600</v>
      </c>
      <c r="S437" s="56" t="str">
        <f>TRIM(IF(AND(Assumptions!$L$147&lt;&gt;"",D437&lt;Assumptions!$L$147),"View blocked / roof in front ("&amp;Assumptions!$M$147&amp;"); view premium still loading until L"&amp;Assumptions!$L$147&amp;". ","")&amp;IF(D437=Assumptions!$AH$147,"Mid-floor view premium fully loaded. ","")&amp;IF(D437=Assumptions!$P$147,"High-floor view premium fully loaded. ","")&amp;IF(Q437&lt;=K437,"At developer starting price.",""))</f>
        <v/>
      </c>
      <c r="T437" s="57" t="str">
        <f>Assumptions!$AJ$147</f>
        <v>SW, same direction as the 5BR. Direct landed estate + nature reserve</v>
      </c>
    </row>
    <row r="438" spans="1:20" x14ac:dyDescent="0.2">
      <c r="A438" s="49" t="s">
        <v>577</v>
      </c>
      <c r="B438" s="29">
        <v>5</v>
      </c>
      <c r="C438" s="50">
        <v>21</v>
      </c>
      <c r="D438" s="50">
        <v>15</v>
      </c>
      <c r="E438" s="27" t="s">
        <v>43</v>
      </c>
      <c r="F438" s="29" t="s">
        <v>562</v>
      </c>
      <c r="G438" s="28">
        <v>678</v>
      </c>
      <c r="H438" s="29" t="s">
        <v>65</v>
      </c>
      <c r="I438" s="38" t="str">
        <f>Assumptions!$I$147</f>
        <v>A</v>
      </c>
      <c r="J438" s="29" t="str">
        <f>IF(D438&lt;=Assumptions!$V$147,"Low",IF(D438&lt;=Assumptions!$W$147,"Mid","High"))</f>
        <v>Mid</v>
      </c>
      <c r="K438" s="51">
        <f>Assumptions!$Q$147</f>
        <v>2613</v>
      </c>
      <c r="L438" s="52">
        <f>INDEX(Assumptions!$D$61:$D$90,D438)</f>
        <v>3104.4157142857139</v>
      </c>
      <c r="M438" s="53">
        <f>IF(D438&lt;=Assumptions!$G$147,Assumptions!$AK$147,IF(D438&lt;Assumptions!$AH$147,Assumptions!$AK$147+(Assumptions!$AL$147-Assumptions!$AK$147)*(D438-Assumptions!$G$147)/(Assumptions!$AH$147-Assumptions!$G$147),IF(D438&lt;Assumptions!$P$147,Assumptions!$AL$147+(Assumptions!$AM$147-Assumptions!$AL$147)*(D438-Assumptions!$AH$147)/(Assumptions!$P$147-Assumptions!$AH$147),Assumptions!$AM$147)))</f>
        <v>50000</v>
      </c>
      <c r="N438" s="54">
        <f t="shared" si="12"/>
        <v>73.746312684365776</v>
      </c>
      <c r="O438" s="55">
        <f t="shared" si="13"/>
        <v>3178</v>
      </c>
      <c r="P438" s="29" t="str">
        <f>IF(D438&gt;=Assumptions!$P$147,"High",IF(D438&gt;=Assumptions!$AH$147,"Mid",IF(D438&lt;=Assumptions!$G$147,"Low","Loading")))</f>
        <v>Mid</v>
      </c>
      <c r="Q438" s="39">
        <f>MAX(K438,MIN(Assumptions!$S$147,O438),Q439)</f>
        <v>3178</v>
      </c>
      <c r="R438" s="30">
        <f>IF(AND(Q438&lt;=K438,INDEX(Assumptions!$C$26:$C$36,MATCH(G438,Assumptions!$A$26:$A$36,0))&lt;&gt;""),INDEX(Assumptions!$C$26:$C$36,MATCH(G438,Assumptions!$A$26:$A$36,0)),ROUND(G438*Q438,-2))</f>
        <v>2154700</v>
      </c>
      <c r="S438" s="56" t="str">
        <f>TRIM(IF(AND(Assumptions!$L$147&lt;&gt;"",D438&lt;Assumptions!$L$147),"View blocked / roof in front ("&amp;Assumptions!$M$147&amp;"); view premium still loading until L"&amp;Assumptions!$L$147&amp;". ","")&amp;IF(D438=Assumptions!$AH$147,"Mid-floor view premium fully loaded. ","")&amp;IF(D438=Assumptions!$P$147,"High-floor view premium fully loaded. ","")&amp;IF(Q438&lt;=K438,"At developer starting price.",""))</f>
        <v>Mid-floor view premium fully loaded.</v>
      </c>
      <c r="T438" s="57" t="str">
        <f>Assumptions!$AJ$147</f>
        <v>SW, same direction as the 5BR. Direct landed estate + nature reserve</v>
      </c>
    </row>
    <row r="439" spans="1:20" x14ac:dyDescent="0.2">
      <c r="A439" s="49" t="s">
        <v>578</v>
      </c>
      <c r="B439" s="29">
        <v>5</v>
      </c>
      <c r="C439" s="50">
        <v>21</v>
      </c>
      <c r="D439" s="50">
        <v>14</v>
      </c>
      <c r="E439" s="27" t="s">
        <v>43</v>
      </c>
      <c r="F439" s="29" t="s">
        <v>562</v>
      </c>
      <c r="G439" s="28">
        <v>678</v>
      </c>
      <c r="H439" s="29" t="s">
        <v>65</v>
      </c>
      <c r="I439" s="38" t="str">
        <f>Assumptions!$I$147</f>
        <v>A</v>
      </c>
      <c r="J439" s="29" t="str">
        <f>IF(D439&lt;=Assumptions!$V$147,"Low",IF(D439&lt;=Assumptions!$W$147,"Mid","High"))</f>
        <v>Low</v>
      </c>
      <c r="K439" s="51">
        <f>Assumptions!$Q$147</f>
        <v>2613</v>
      </c>
      <c r="L439" s="52">
        <f>INDEX(Assumptions!$D$61:$D$90,D439)</f>
        <v>3085.2109523809522</v>
      </c>
      <c r="M439" s="53">
        <f>IF(D439&lt;=Assumptions!$G$147,Assumptions!$AK$147,IF(D439&lt;Assumptions!$AH$147,Assumptions!$AK$147+(Assumptions!$AL$147-Assumptions!$AK$147)*(D439-Assumptions!$G$147)/(Assumptions!$AH$147-Assumptions!$G$147),IF(D439&lt;Assumptions!$P$147,Assumptions!$AL$147+(Assumptions!$AM$147-Assumptions!$AL$147)*(D439-Assumptions!$AH$147)/(Assumptions!$P$147-Assumptions!$AH$147),Assumptions!$AM$147)))</f>
        <v>50000</v>
      </c>
      <c r="N439" s="54">
        <f t="shared" si="12"/>
        <v>73.746312684365776</v>
      </c>
      <c r="O439" s="55">
        <f t="shared" si="13"/>
        <v>3159</v>
      </c>
      <c r="P439" s="29" t="str">
        <f>IF(D439&gt;=Assumptions!$P$147,"High",IF(D439&gt;=Assumptions!$AH$147,"Mid",IF(D439&lt;=Assumptions!$G$147,"Low","Loading")))</f>
        <v>Loading</v>
      </c>
      <c r="Q439" s="39">
        <f>MAX(K439,MIN(Assumptions!$S$147,O439),Q440)</f>
        <v>3159</v>
      </c>
      <c r="R439" s="30">
        <f>IF(AND(Q439&lt;=K439,INDEX(Assumptions!$C$26:$C$36,MATCH(G439,Assumptions!$A$26:$A$36,0))&lt;&gt;""),INDEX(Assumptions!$C$26:$C$36,MATCH(G439,Assumptions!$A$26:$A$36,0)),ROUND(G439*Q439,-2))</f>
        <v>2141800</v>
      </c>
      <c r="S439" s="56" t="str">
        <f>TRIM(IF(AND(Assumptions!$L$147&lt;&gt;"",D439&lt;Assumptions!$L$147),"View blocked / roof in front ("&amp;Assumptions!$M$147&amp;"); view premium still loading until L"&amp;Assumptions!$L$147&amp;". ","")&amp;IF(D439=Assumptions!$AH$147,"Mid-floor view premium fully loaded. ","")&amp;IF(D439=Assumptions!$P$147,"High-floor view premium fully loaded. ","")&amp;IF(Q439&lt;=K439,"At developer starting price.",""))</f>
        <v/>
      </c>
      <c r="T439" s="57" t="str">
        <f>Assumptions!$AJ$147</f>
        <v>SW, same direction as the 5BR. Direct landed estate + nature reserve</v>
      </c>
    </row>
    <row r="440" spans="1:20" x14ac:dyDescent="0.2">
      <c r="A440" s="49" t="s">
        <v>579</v>
      </c>
      <c r="B440" s="29">
        <v>5</v>
      </c>
      <c r="C440" s="50">
        <v>21</v>
      </c>
      <c r="D440" s="50">
        <v>13</v>
      </c>
      <c r="E440" s="27" t="s">
        <v>43</v>
      </c>
      <c r="F440" s="29" t="s">
        <v>562</v>
      </c>
      <c r="G440" s="28">
        <v>678</v>
      </c>
      <c r="H440" s="29" t="s">
        <v>65</v>
      </c>
      <c r="I440" s="38" t="str">
        <f>Assumptions!$I$147</f>
        <v>A</v>
      </c>
      <c r="J440" s="29" t="str">
        <f>IF(D440&lt;=Assumptions!$V$147,"Low",IF(D440&lt;=Assumptions!$W$147,"Mid","High"))</f>
        <v>Low</v>
      </c>
      <c r="K440" s="51">
        <f>Assumptions!$Q$147</f>
        <v>2613</v>
      </c>
      <c r="L440" s="52">
        <f>INDEX(Assumptions!$D$61:$D$90,D440)</f>
        <v>3066.0061904761901</v>
      </c>
      <c r="M440" s="53">
        <f>IF(D440&lt;=Assumptions!$G$147,Assumptions!$AK$147,IF(D440&lt;Assumptions!$AH$147,Assumptions!$AK$147+(Assumptions!$AL$147-Assumptions!$AK$147)*(D440-Assumptions!$G$147)/(Assumptions!$AH$147-Assumptions!$G$147),IF(D440&lt;Assumptions!$P$147,Assumptions!$AL$147+(Assumptions!$AM$147-Assumptions!$AL$147)*(D440-Assumptions!$AH$147)/(Assumptions!$P$147-Assumptions!$AH$147),Assumptions!$AM$147)))</f>
        <v>50000</v>
      </c>
      <c r="N440" s="54">
        <f t="shared" si="12"/>
        <v>73.746312684365776</v>
      </c>
      <c r="O440" s="55">
        <f t="shared" si="13"/>
        <v>3140</v>
      </c>
      <c r="P440" s="29" t="str">
        <f>IF(D440&gt;=Assumptions!$P$147,"High",IF(D440&gt;=Assumptions!$AH$147,"Mid",IF(D440&lt;=Assumptions!$G$147,"Low","Loading")))</f>
        <v>Loading</v>
      </c>
      <c r="Q440" s="39">
        <f>MAX(K440,MIN(Assumptions!$S$147,O440),Q441)</f>
        <v>3140</v>
      </c>
      <c r="R440" s="30">
        <f>IF(AND(Q440&lt;=K440,INDEX(Assumptions!$C$26:$C$36,MATCH(G440,Assumptions!$A$26:$A$36,0))&lt;&gt;""),INDEX(Assumptions!$C$26:$C$36,MATCH(G440,Assumptions!$A$26:$A$36,0)),ROUND(G440*Q440,-2))</f>
        <v>2128900</v>
      </c>
      <c r="S440" s="56" t="str">
        <f>TRIM(IF(AND(Assumptions!$L$147&lt;&gt;"",D440&lt;Assumptions!$L$147),"View blocked / roof in front ("&amp;Assumptions!$M$147&amp;"); view premium still loading until L"&amp;Assumptions!$L$147&amp;". ","")&amp;IF(D440=Assumptions!$AH$147,"Mid-floor view premium fully loaded. ","")&amp;IF(D440=Assumptions!$P$147,"High-floor view premium fully loaded. ","")&amp;IF(Q440&lt;=K440,"At developer starting price.",""))</f>
        <v/>
      </c>
      <c r="T440" s="57" t="str">
        <f>Assumptions!$AJ$147</f>
        <v>SW, same direction as the 5BR. Direct landed estate + nature reserve</v>
      </c>
    </row>
    <row r="441" spans="1:20" x14ac:dyDescent="0.2">
      <c r="A441" s="49" t="s">
        <v>580</v>
      </c>
      <c r="B441" s="29">
        <v>5</v>
      </c>
      <c r="C441" s="50">
        <v>21</v>
      </c>
      <c r="D441" s="50">
        <v>12</v>
      </c>
      <c r="E441" s="27" t="s">
        <v>43</v>
      </c>
      <c r="F441" s="29" t="s">
        <v>562</v>
      </c>
      <c r="G441" s="28">
        <v>678</v>
      </c>
      <c r="H441" s="29" t="s">
        <v>65</v>
      </c>
      <c r="I441" s="38" t="str">
        <f>Assumptions!$I$147</f>
        <v>A</v>
      </c>
      <c r="J441" s="29" t="str">
        <f>IF(D441&lt;=Assumptions!$V$147,"Low",IF(D441&lt;=Assumptions!$W$147,"Mid","High"))</f>
        <v>Low</v>
      </c>
      <c r="K441" s="51">
        <f>Assumptions!$Q$147</f>
        <v>2613</v>
      </c>
      <c r="L441" s="52">
        <f>INDEX(Assumptions!$D$61:$D$90,D441)</f>
        <v>3046.8014285714285</v>
      </c>
      <c r="M441" s="53">
        <f>IF(D441&lt;=Assumptions!$G$147,Assumptions!$AK$147,IF(D441&lt;Assumptions!$AH$147,Assumptions!$AK$147+(Assumptions!$AL$147-Assumptions!$AK$147)*(D441-Assumptions!$G$147)/(Assumptions!$AH$147-Assumptions!$G$147),IF(D441&lt;Assumptions!$P$147,Assumptions!$AL$147+(Assumptions!$AM$147-Assumptions!$AL$147)*(D441-Assumptions!$AH$147)/(Assumptions!$P$147-Assumptions!$AH$147),Assumptions!$AM$147)))</f>
        <v>50000</v>
      </c>
      <c r="N441" s="54">
        <f t="shared" si="12"/>
        <v>73.746312684365776</v>
      </c>
      <c r="O441" s="55">
        <f t="shared" si="13"/>
        <v>3121</v>
      </c>
      <c r="P441" s="29" t="str">
        <f>IF(D441&gt;=Assumptions!$P$147,"High",IF(D441&gt;=Assumptions!$AH$147,"Mid",IF(D441&lt;=Assumptions!$G$147,"Low","Loading")))</f>
        <v>Loading</v>
      </c>
      <c r="Q441" s="39">
        <f>MAX(K441,MIN(Assumptions!$S$147,O441),Q442)</f>
        <v>3121</v>
      </c>
      <c r="R441" s="30">
        <f>IF(AND(Q441&lt;=K441,INDEX(Assumptions!$C$26:$C$36,MATCH(G441,Assumptions!$A$26:$A$36,0))&lt;&gt;""),INDEX(Assumptions!$C$26:$C$36,MATCH(G441,Assumptions!$A$26:$A$36,0)),ROUND(G441*Q441,-2))</f>
        <v>2116000</v>
      </c>
      <c r="S441" s="56" t="str">
        <f>TRIM(IF(AND(Assumptions!$L$147&lt;&gt;"",D441&lt;Assumptions!$L$147),"View blocked / roof in front ("&amp;Assumptions!$M$147&amp;"); view premium still loading until L"&amp;Assumptions!$L$147&amp;". ","")&amp;IF(D441=Assumptions!$AH$147,"Mid-floor view premium fully loaded. ","")&amp;IF(D441=Assumptions!$P$147,"High-floor view premium fully loaded. ","")&amp;IF(Q441&lt;=K441,"At developer starting price.",""))</f>
        <v/>
      </c>
      <c r="T441" s="57" t="str">
        <f>Assumptions!$AJ$147</f>
        <v>SW, same direction as the 5BR. Direct landed estate + nature reserve</v>
      </c>
    </row>
    <row r="442" spans="1:20" x14ac:dyDescent="0.2">
      <c r="A442" s="49" t="s">
        <v>581</v>
      </c>
      <c r="B442" s="29">
        <v>5</v>
      </c>
      <c r="C442" s="50">
        <v>21</v>
      </c>
      <c r="D442" s="50">
        <v>11</v>
      </c>
      <c r="E442" s="27" t="s">
        <v>43</v>
      </c>
      <c r="F442" s="29" t="s">
        <v>562</v>
      </c>
      <c r="G442" s="28">
        <v>678</v>
      </c>
      <c r="H442" s="29" t="s">
        <v>65</v>
      </c>
      <c r="I442" s="38" t="str">
        <f>Assumptions!$I$147</f>
        <v>A</v>
      </c>
      <c r="J442" s="29" t="str">
        <f>IF(D442&lt;=Assumptions!$V$147,"Low",IF(D442&lt;=Assumptions!$W$147,"Mid","High"))</f>
        <v>Low</v>
      </c>
      <c r="K442" s="51">
        <f>Assumptions!$Q$147</f>
        <v>2613</v>
      </c>
      <c r="L442" s="52">
        <f>INDEX(Assumptions!$D$61:$D$90,D442)</f>
        <v>3027.5966666666664</v>
      </c>
      <c r="M442" s="53">
        <f>IF(D442&lt;=Assumptions!$G$147,Assumptions!$AK$147,IF(D442&lt;Assumptions!$AH$147,Assumptions!$AK$147+(Assumptions!$AL$147-Assumptions!$AK$147)*(D442-Assumptions!$G$147)/(Assumptions!$AH$147-Assumptions!$G$147),IF(D442&lt;Assumptions!$P$147,Assumptions!$AL$147+(Assumptions!$AM$147-Assumptions!$AL$147)*(D442-Assumptions!$AH$147)/(Assumptions!$P$147-Assumptions!$AH$147),Assumptions!$AM$147)))</f>
        <v>50000</v>
      </c>
      <c r="N442" s="54">
        <f t="shared" si="12"/>
        <v>73.746312684365776</v>
      </c>
      <c r="O442" s="55">
        <f t="shared" si="13"/>
        <v>3101</v>
      </c>
      <c r="P442" s="29" t="str">
        <f>IF(D442&gt;=Assumptions!$P$147,"High",IF(D442&gt;=Assumptions!$AH$147,"Mid",IF(D442&lt;=Assumptions!$G$147,"Low","Loading")))</f>
        <v>Loading</v>
      </c>
      <c r="Q442" s="39">
        <f>MAX(K442,MIN(Assumptions!$S$147,O442),Q443)</f>
        <v>3101</v>
      </c>
      <c r="R442" s="30">
        <f>IF(AND(Q442&lt;=K442,INDEX(Assumptions!$C$26:$C$36,MATCH(G442,Assumptions!$A$26:$A$36,0))&lt;&gt;""),INDEX(Assumptions!$C$26:$C$36,MATCH(G442,Assumptions!$A$26:$A$36,0)),ROUND(G442*Q442,-2))</f>
        <v>2102500</v>
      </c>
      <c r="S442" s="56" t="str">
        <f>TRIM(IF(AND(Assumptions!$L$147&lt;&gt;"",D442&lt;Assumptions!$L$147),"View blocked / roof in front ("&amp;Assumptions!$M$147&amp;"); view premium still loading until L"&amp;Assumptions!$L$147&amp;". ","")&amp;IF(D442=Assumptions!$AH$147,"Mid-floor view premium fully loaded. ","")&amp;IF(D442=Assumptions!$P$147,"High-floor view premium fully loaded. ","")&amp;IF(Q442&lt;=K442,"At developer starting price.",""))</f>
        <v/>
      </c>
      <c r="T442" s="57" t="str">
        <f>Assumptions!$AJ$147</f>
        <v>SW, same direction as the 5BR. Direct landed estate + nature reserve</v>
      </c>
    </row>
    <row r="443" spans="1:20" x14ac:dyDescent="0.2">
      <c r="A443" s="49" t="s">
        <v>582</v>
      </c>
      <c r="B443" s="29">
        <v>5</v>
      </c>
      <c r="C443" s="50">
        <v>21</v>
      </c>
      <c r="D443" s="50">
        <v>10</v>
      </c>
      <c r="E443" s="27" t="s">
        <v>43</v>
      </c>
      <c r="F443" s="29" t="s">
        <v>562</v>
      </c>
      <c r="G443" s="28">
        <v>678</v>
      </c>
      <c r="H443" s="29" t="s">
        <v>65</v>
      </c>
      <c r="I443" s="38" t="str">
        <f>Assumptions!$I$147</f>
        <v>A</v>
      </c>
      <c r="J443" s="29" t="str">
        <f>IF(D443&lt;=Assumptions!$V$147,"Low",IF(D443&lt;=Assumptions!$W$147,"Mid","High"))</f>
        <v>Low</v>
      </c>
      <c r="K443" s="51">
        <f>Assumptions!$Q$147</f>
        <v>2613</v>
      </c>
      <c r="L443" s="52">
        <f>INDEX(Assumptions!$D$61:$D$90,D443)</f>
        <v>3008.3919047619042</v>
      </c>
      <c r="M443" s="53">
        <f>IF(D443&lt;=Assumptions!$G$147,Assumptions!$AK$147,IF(D443&lt;Assumptions!$AH$147,Assumptions!$AK$147+(Assumptions!$AL$147-Assumptions!$AK$147)*(D443-Assumptions!$G$147)/(Assumptions!$AH$147-Assumptions!$G$147),IF(D443&lt;Assumptions!$P$147,Assumptions!$AL$147+(Assumptions!$AM$147-Assumptions!$AL$147)*(D443-Assumptions!$AH$147)/(Assumptions!$P$147-Assumptions!$AH$147),Assumptions!$AM$147)))</f>
        <v>50000</v>
      </c>
      <c r="N443" s="54">
        <f t="shared" si="12"/>
        <v>73.746312684365776</v>
      </c>
      <c r="O443" s="55">
        <f t="shared" si="13"/>
        <v>3082</v>
      </c>
      <c r="P443" s="29" t="str">
        <f>IF(D443&gt;=Assumptions!$P$147,"High",IF(D443&gt;=Assumptions!$AH$147,"Mid",IF(D443&lt;=Assumptions!$G$147,"Low","Loading")))</f>
        <v>Loading</v>
      </c>
      <c r="Q443" s="39">
        <f>MAX(K443,MIN(Assumptions!$S$147,O443),Q444)</f>
        <v>3082</v>
      </c>
      <c r="R443" s="30">
        <f>IF(AND(Q443&lt;=K443,INDEX(Assumptions!$C$26:$C$36,MATCH(G443,Assumptions!$A$26:$A$36,0))&lt;&gt;""),INDEX(Assumptions!$C$26:$C$36,MATCH(G443,Assumptions!$A$26:$A$36,0)),ROUND(G443*Q443,-2))</f>
        <v>2089600</v>
      </c>
      <c r="S443" s="56" t="str">
        <f>TRIM(IF(AND(Assumptions!$L$147&lt;&gt;"",D443&lt;Assumptions!$L$147),"View blocked / roof in front ("&amp;Assumptions!$M$147&amp;"); view premium still loading until L"&amp;Assumptions!$L$147&amp;". ","")&amp;IF(D443=Assumptions!$AH$147,"Mid-floor view premium fully loaded. ","")&amp;IF(D443=Assumptions!$P$147,"High-floor view premium fully loaded. ","")&amp;IF(Q443&lt;=K443,"At developer starting price.",""))</f>
        <v/>
      </c>
      <c r="T443" s="57" t="str">
        <f>Assumptions!$AJ$147</f>
        <v>SW, same direction as the 5BR. Direct landed estate + nature reserve</v>
      </c>
    </row>
    <row r="444" spans="1:20" x14ac:dyDescent="0.2">
      <c r="A444" s="49" t="s">
        <v>583</v>
      </c>
      <c r="B444" s="29">
        <v>5</v>
      </c>
      <c r="C444" s="50">
        <v>21</v>
      </c>
      <c r="D444" s="50">
        <v>9</v>
      </c>
      <c r="E444" s="27" t="s">
        <v>43</v>
      </c>
      <c r="F444" s="29" t="s">
        <v>562</v>
      </c>
      <c r="G444" s="28">
        <v>678</v>
      </c>
      <c r="H444" s="29" t="s">
        <v>65</v>
      </c>
      <c r="I444" s="38" t="str">
        <f>Assumptions!$I$147</f>
        <v>A</v>
      </c>
      <c r="J444" s="29" t="str">
        <f>IF(D444&lt;=Assumptions!$V$147,"Low",IF(D444&lt;=Assumptions!$W$147,"Mid","High"))</f>
        <v>Low</v>
      </c>
      <c r="K444" s="51">
        <f>Assumptions!$Q$147</f>
        <v>2613</v>
      </c>
      <c r="L444" s="52">
        <f>INDEX(Assumptions!$D$61:$D$90,D444)</f>
        <v>2989.1871428571426</v>
      </c>
      <c r="M444" s="53">
        <f>IF(D444&lt;=Assumptions!$G$147,Assumptions!$AK$147,IF(D444&lt;Assumptions!$AH$147,Assumptions!$AK$147+(Assumptions!$AL$147-Assumptions!$AK$147)*(D444-Assumptions!$G$147)/(Assumptions!$AH$147-Assumptions!$G$147),IF(D444&lt;Assumptions!$P$147,Assumptions!$AL$147+(Assumptions!$AM$147-Assumptions!$AL$147)*(D444-Assumptions!$AH$147)/(Assumptions!$P$147-Assumptions!$AH$147),Assumptions!$AM$147)))</f>
        <v>50000</v>
      </c>
      <c r="N444" s="54">
        <f t="shared" si="12"/>
        <v>73.746312684365776</v>
      </c>
      <c r="O444" s="55">
        <f t="shared" si="13"/>
        <v>3063</v>
      </c>
      <c r="P444" s="29" t="str">
        <f>IF(D444&gt;=Assumptions!$P$147,"High",IF(D444&gt;=Assumptions!$AH$147,"Mid",IF(D444&lt;=Assumptions!$G$147,"Low","Loading")))</f>
        <v>Loading</v>
      </c>
      <c r="Q444" s="39">
        <f>MAX(K444,MIN(Assumptions!$S$147,O444),Q445)</f>
        <v>3063</v>
      </c>
      <c r="R444" s="30">
        <f>IF(AND(Q444&lt;=K444,INDEX(Assumptions!$C$26:$C$36,MATCH(G444,Assumptions!$A$26:$A$36,0))&lt;&gt;""),INDEX(Assumptions!$C$26:$C$36,MATCH(G444,Assumptions!$A$26:$A$36,0)),ROUND(G444*Q444,-2))</f>
        <v>2076700</v>
      </c>
      <c r="S444" s="56" t="str">
        <f>TRIM(IF(AND(Assumptions!$L$147&lt;&gt;"",D444&lt;Assumptions!$L$147),"View blocked / roof in front ("&amp;Assumptions!$M$147&amp;"); view premium still loading until L"&amp;Assumptions!$L$147&amp;". ","")&amp;IF(D444=Assumptions!$AH$147,"Mid-floor view premium fully loaded. ","")&amp;IF(D444=Assumptions!$P$147,"High-floor view premium fully loaded. ","")&amp;IF(Q444&lt;=K444,"At developer starting price.",""))</f>
        <v/>
      </c>
      <c r="T444" s="57" t="str">
        <f>Assumptions!$AJ$147</f>
        <v>SW, same direction as the 5BR. Direct landed estate + nature reserve</v>
      </c>
    </row>
    <row r="445" spans="1:20" x14ac:dyDescent="0.2">
      <c r="A445" s="49" t="s">
        <v>584</v>
      </c>
      <c r="B445" s="29">
        <v>5</v>
      </c>
      <c r="C445" s="50">
        <v>21</v>
      </c>
      <c r="D445" s="50">
        <v>8</v>
      </c>
      <c r="E445" s="27" t="s">
        <v>43</v>
      </c>
      <c r="F445" s="29" t="s">
        <v>562</v>
      </c>
      <c r="G445" s="28">
        <v>678</v>
      </c>
      <c r="H445" s="29" t="s">
        <v>65</v>
      </c>
      <c r="I445" s="38" t="str">
        <f>Assumptions!$I$147</f>
        <v>A</v>
      </c>
      <c r="J445" s="29" t="str">
        <f>IF(D445&lt;=Assumptions!$V$147,"Low",IF(D445&lt;=Assumptions!$W$147,"Mid","High"))</f>
        <v>Low</v>
      </c>
      <c r="K445" s="51">
        <f>Assumptions!$Q$147</f>
        <v>2613</v>
      </c>
      <c r="L445" s="52">
        <f>INDEX(Assumptions!$D$61:$D$90,D445)</f>
        <v>2969.9823809523805</v>
      </c>
      <c r="M445" s="53">
        <f>IF(D445&lt;=Assumptions!$G$147,Assumptions!$AK$147,IF(D445&lt;Assumptions!$AH$147,Assumptions!$AK$147+(Assumptions!$AL$147-Assumptions!$AK$147)*(D445-Assumptions!$G$147)/(Assumptions!$AH$147-Assumptions!$G$147),IF(D445&lt;Assumptions!$P$147,Assumptions!$AL$147+(Assumptions!$AM$147-Assumptions!$AL$147)*(D445-Assumptions!$AH$147)/(Assumptions!$P$147-Assumptions!$AH$147),Assumptions!$AM$147)))</f>
        <v>50000</v>
      </c>
      <c r="N445" s="54">
        <f t="shared" si="12"/>
        <v>73.746312684365776</v>
      </c>
      <c r="O445" s="55">
        <f t="shared" si="13"/>
        <v>3044</v>
      </c>
      <c r="P445" s="29" t="str">
        <f>IF(D445&gt;=Assumptions!$P$147,"High",IF(D445&gt;=Assumptions!$AH$147,"Mid",IF(D445&lt;=Assumptions!$G$147,"Low","Loading")))</f>
        <v>Loading</v>
      </c>
      <c r="Q445" s="39">
        <f>MAX(K445,MIN(Assumptions!$S$147,O445),Q446)</f>
        <v>3044</v>
      </c>
      <c r="R445" s="30">
        <f>IF(AND(Q445&lt;=K445,INDEX(Assumptions!$C$26:$C$36,MATCH(G445,Assumptions!$A$26:$A$36,0))&lt;&gt;""),INDEX(Assumptions!$C$26:$C$36,MATCH(G445,Assumptions!$A$26:$A$36,0)),ROUND(G445*Q445,-2))</f>
        <v>2063800</v>
      </c>
      <c r="S445" s="56" t="str">
        <f>TRIM(IF(AND(Assumptions!$L$147&lt;&gt;"",D445&lt;Assumptions!$L$147),"View blocked / roof in front ("&amp;Assumptions!$M$147&amp;"); view premium still loading until L"&amp;Assumptions!$L$147&amp;". ","")&amp;IF(D445=Assumptions!$AH$147,"Mid-floor view premium fully loaded. ","")&amp;IF(D445=Assumptions!$P$147,"High-floor view premium fully loaded. ","")&amp;IF(Q445&lt;=K445,"At developer starting price.",""))</f>
        <v/>
      </c>
      <c r="T445" s="57" t="str">
        <f>Assumptions!$AJ$147</f>
        <v>SW, same direction as the 5BR. Direct landed estate + nature reserve</v>
      </c>
    </row>
    <row r="446" spans="1:20" x14ac:dyDescent="0.2">
      <c r="A446" s="49" t="s">
        <v>585</v>
      </c>
      <c r="B446" s="29">
        <v>5</v>
      </c>
      <c r="C446" s="50">
        <v>21</v>
      </c>
      <c r="D446" s="50">
        <v>7</v>
      </c>
      <c r="E446" s="27" t="s">
        <v>43</v>
      </c>
      <c r="F446" s="29" t="s">
        <v>562</v>
      </c>
      <c r="G446" s="28">
        <v>678</v>
      </c>
      <c r="H446" s="29" t="s">
        <v>65</v>
      </c>
      <c r="I446" s="38" t="str">
        <f>Assumptions!$I$147</f>
        <v>A</v>
      </c>
      <c r="J446" s="29" t="str">
        <f>IF(D446&lt;=Assumptions!$V$147,"Low",IF(D446&lt;=Assumptions!$W$147,"Mid","High"))</f>
        <v>Low</v>
      </c>
      <c r="K446" s="51">
        <f>Assumptions!$Q$147</f>
        <v>2613</v>
      </c>
      <c r="L446" s="52">
        <f>INDEX(Assumptions!$D$61:$D$90,D446)</f>
        <v>2950.7776190476193</v>
      </c>
      <c r="M446" s="53">
        <f>IF(D446&lt;=Assumptions!$G$147,Assumptions!$AK$147,IF(D446&lt;Assumptions!$AH$147,Assumptions!$AK$147+(Assumptions!$AL$147-Assumptions!$AK$147)*(D446-Assumptions!$G$147)/(Assumptions!$AH$147-Assumptions!$G$147),IF(D446&lt;Assumptions!$P$147,Assumptions!$AL$147+(Assumptions!$AM$147-Assumptions!$AL$147)*(D446-Assumptions!$AH$147)/(Assumptions!$P$147-Assumptions!$AH$147),Assumptions!$AM$147)))</f>
        <v>50000</v>
      </c>
      <c r="N446" s="54">
        <f t="shared" si="12"/>
        <v>73.746312684365776</v>
      </c>
      <c r="O446" s="55">
        <f t="shared" si="13"/>
        <v>3025</v>
      </c>
      <c r="P446" s="29" t="str">
        <f>IF(D446&gt;=Assumptions!$P$147,"High",IF(D446&gt;=Assumptions!$AH$147,"Mid",IF(D446&lt;=Assumptions!$G$147,"Low","Loading")))</f>
        <v>Loading</v>
      </c>
      <c r="Q446" s="39">
        <f>MAX(K446,MIN(Assumptions!$S$147,O446),Q447)</f>
        <v>3025</v>
      </c>
      <c r="R446" s="30">
        <f>IF(AND(Q446&lt;=K446,INDEX(Assumptions!$C$26:$C$36,MATCH(G446,Assumptions!$A$26:$A$36,0))&lt;&gt;""),INDEX(Assumptions!$C$26:$C$36,MATCH(G446,Assumptions!$A$26:$A$36,0)),ROUND(G446*Q446,-2))</f>
        <v>2051000</v>
      </c>
      <c r="S446" s="56" t="str">
        <f>TRIM(IF(AND(Assumptions!$L$147&lt;&gt;"",D446&lt;Assumptions!$L$147),"View blocked / roof in front ("&amp;Assumptions!$M$147&amp;"); view premium still loading until L"&amp;Assumptions!$L$147&amp;". ","")&amp;IF(D446=Assumptions!$AH$147,"Mid-floor view premium fully loaded. ","")&amp;IF(D446=Assumptions!$P$147,"High-floor view premium fully loaded. ","")&amp;IF(Q446&lt;=K446,"At developer starting price.",""))</f>
        <v/>
      </c>
      <c r="T446" s="57" t="str">
        <f>Assumptions!$AJ$147</f>
        <v>SW, same direction as the 5BR. Direct landed estate + nature reserve</v>
      </c>
    </row>
    <row r="447" spans="1:20" x14ac:dyDescent="0.2">
      <c r="A447" s="49" t="s">
        <v>586</v>
      </c>
      <c r="B447" s="29">
        <v>5</v>
      </c>
      <c r="C447" s="50">
        <v>21</v>
      </c>
      <c r="D447" s="50">
        <v>6</v>
      </c>
      <c r="E447" s="27" t="s">
        <v>43</v>
      </c>
      <c r="F447" s="29" t="s">
        <v>562</v>
      </c>
      <c r="G447" s="28">
        <v>678</v>
      </c>
      <c r="H447" s="29" t="s">
        <v>65</v>
      </c>
      <c r="I447" s="38" t="str">
        <f>Assumptions!$I$147</f>
        <v>A</v>
      </c>
      <c r="J447" s="29" t="str">
        <f>IF(D447&lt;=Assumptions!$V$147,"Low",IF(D447&lt;=Assumptions!$W$147,"Mid","High"))</f>
        <v>Low</v>
      </c>
      <c r="K447" s="51">
        <f>Assumptions!$Q$147</f>
        <v>2613</v>
      </c>
      <c r="L447" s="52">
        <f>INDEX(Assumptions!$D$61:$D$90,D447)</f>
        <v>2931.5728571428572</v>
      </c>
      <c r="M447" s="53">
        <f>IF(D447&lt;=Assumptions!$G$147,Assumptions!$AK$147,IF(D447&lt;Assumptions!$AH$147,Assumptions!$AK$147+(Assumptions!$AL$147-Assumptions!$AK$147)*(D447-Assumptions!$G$147)/(Assumptions!$AH$147-Assumptions!$G$147),IF(D447&lt;Assumptions!$P$147,Assumptions!$AL$147+(Assumptions!$AM$147-Assumptions!$AL$147)*(D447-Assumptions!$AH$147)/(Assumptions!$P$147-Assumptions!$AH$147),Assumptions!$AM$147)))</f>
        <v>50000</v>
      </c>
      <c r="N447" s="54">
        <f t="shared" si="12"/>
        <v>73.746312684365776</v>
      </c>
      <c r="O447" s="55">
        <f t="shared" si="13"/>
        <v>3005</v>
      </c>
      <c r="P447" s="29" t="str">
        <f>IF(D447&gt;=Assumptions!$P$147,"High",IF(D447&gt;=Assumptions!$AH$147,"Mid",IF(D447&lt;=Assumptions!$G$147,"Low","Loading")))</f>
        <v>Loading</v>
      </c>
      <c r="Q447" s="39">
        <f>MAX(K447,MIN(Assumptions!$S$147,O447),Q448)</f>
        <v>3005</v>
      </c>
      <c r="R447" s="30">
        <f>IF(AND(Q447&lt;=K447,INDEX(Assumptions!$C$26:$C$36,MATCH(G447,Assumptions!$A$26:$A$36,0))&lt;&gt;""),INDEX(Assumptions!$C$26:$C$36,MATCH(G447,Assumptions!$A$26:$A$36,0)),ROUND(G447*Q447,-2))</f>
        <v>2037400</v>
      </c>
      <c r="S447" s="56" t="str">
        <f>TRIM(IF(AND(Assumptions!$L$147&lt;&gt;"",D447&lt;Assumptions!$L$147),"View blocked / roof in front ("&amp;Assumptions!$M$147&amp;"); view premium still loading until L"&amp;Assumptions!$L$147&amp;". ","")&amp;IF(D447=Assumptions!$AH$147,"Mid-floor view premium fully loaded. ","")&amp;IF(D447=Assumptions!$P$147,"High-floor view premium fully loaded. ","")&amp;IF(Q447&lt;=K447,"At developer starting price.",""))</f>
        <v/>
      </c>
      <c r="T447" s="57" t="str">
        <f>Assumptions!$AJ$147</f>
        <v>SW, same direction as the 5BR. Direct landed estate + nature reserve</v>
      </c>
    </row>
    <row r="448" spans="1:20" x14ac:dyDescent="0.2">
      <c r="A448" s="49" t="s">
        <v>587</v>
      </c>
      <c r="B448" s="29">
        <v>5</v>
      </c>
      <c r="C448" s="50">
        <v>21</v>
      </c>
      <c r="D448" s="50">
        <v>5</v>
      </c>
      <c r="E448" s="27" t="s">
        <v>43</v>
      </c>
      <c r="F448" s="29" t="s">
        <v>562</v>
      </c>
      <c r="G448" s="28">
        <v>678</v>
      </c>
      <c r="H448" s="29" t="s">
        <v>65</v>
      </c>
      <c r="I448" s="38" t="str">
        <f>Assumptions!$I$147</f>
        <v>A</v>
      </c>
      <c r="J448" s="29" t="str">
        <f>IF(D448&lt;=Assumptions!$V$147,"Low",IF(D448&lt;=Assumptions!$W$147,"Mid","High"))</f>
        <v>Low</v>
      </c>
      <c r="K448" s="51">
        <f>Assumptions!$Q$147</f>
        <v>2613</v>
      </c>
      <c r="L448" s="52">
        <f>INDEX(Assumptions!$D$61:$D$90,D448)</f>
        <v>2912.3680952380951</v>
      </c>
      <c r="M448" s="53">
        <f>IF(D448&lt;=Assumptions!$G$147,Assumptions!$AK$147,IF(D448&lt;Assumptions!$AH$147,Assumptions!$AK$147+(Assumptions!$AL$147-Assumptions!$AK$147)*(D448-Assumptions!$G$147)/(Assumptions!$AH$147-Assumptions!$G$147),IF(D448&lt;Assumptions!$P$147,Assumptions!$AL$147+(Assumptions!$AM$147-Assumptions!$AL$147)*(D448-Assumptions!$AH$147)/(Assumptions!$P$147-Assumptions!$AH$147),Assumptions!$AM$147)))</f>
        <v>50000</v>
      </c>
      <c r="N448" s="54">
        <f t="shared" si="12"/>
        <v>73.746312684365776</v>
      </c>
      <c r="O448" s="55">
        <f t="shared" si="13"/>
        <v>2986</v>
      </c>
      <c r="P448" s="29" t="str">
        <f>IF(D448&gt;=Assumptions!$P$147,"High",IF(D448&gt;=Assumptions!$AH$147,"Mid",IF(D448&lt;=Assumptions!$G$147,"Low","Loading")))</f>
        <v>Loading</v>
      </c>
      <c r="Q448" s="39">
        <f>MAX(K448,MIN(Assumptions!$S$147,O448),Q449)</f>
        <v>2986</v>
      </c>
      <c r="R448" s="30">
        <f>IF(AND(Q448&lt;=K448,INDEX(Assumptions!$C$26:$C$36,MATCH(G448,Assumptions!$A$26:$A$36,0))&lt;&gt;""),INDEX(Assumptions!$C$26:$C$36,MATCH(G448,Assumptions!$A$26:$A$36,0)),ROUND(G448*Q448,-2))</f>
        <v>2024500</v>
      </c>
      <c r="S448" s="56" t="str">
        <f>TRIM(IF(AND(Assumptions!$L$147&lt;&gt;"",D448&lt;Assumptions!$L$147),"View blocked / roof in front ("&amp;Assumptions!$M$147&amp;"); view premium still loading until L"&amp;Assumptions!$L$147&amp;". ","")&amp;IF(D448=Assumptions!$AH$147,"Mid-floor view premium fully loaded. ","")&amp;IF(D448=Assumptions!$P$147,"High-floor view premium fully loaded. ","")&amp;IF(Q448&lt;=K448,"At developer starting price.",""))</f>
        <v/>
      </c>
      <c r="T448" s="57" t="str">
        <f>Assumptions!$AJ$147</f>
        <v>SW, same direction as the 5BR. Direct landed estate + nature reserve</v>
      </c>
    </row>
    <row r="449" spans="1:20" x14ac:dyDescent="0.2">
      <c r="A449" s="49" t="s">
        <v>588</v>
      </c>
      <c r="B449" s="29">
        <v>5</v>
      </c>
      <c r="C449" s="50">
        <v>21</v>
      </c>
      <c r="D449" s="50">
        <v>4</v>
      </c>
      <c r="E449" s="27" t="s">
        <v>43</v>
      </c>
      <c r="F449" s="29" t="s">
        <v>562</v>
      </c>
      <c r="G449" s="28">
        <v>678</v>
      </c>
      <c r="H449" s="29" t="s">
        <v>65</v>
      </c>
      <c r="I449" s="38" t="str">
        <f>Assumptions!$I$147</f>
        <v>A</v>
      </c>
      <c r="J449" s="29" t="str">
        <f>IF(D449&lt;=Assumptions!$V$147,"Low",IF(D449&lt;=Assumptions!$W$147,"Mid","High"))</f>
        <v>Low</v>
      </c>
      <c r="K449" s="51">
        <f>Assumptions!$Q$147</f>
        <v>2613</v>
      </c>
      <c r="L449" s="52">
        <f>INDEX(Assumptions!$D$61:$D$90,D449)</f>
        <v>2893.1633333333334</v>
      </c>
      <c r="M449" s="53">
        <f>IF(D449&lt;=Assumptions!$G$147,Assumptions!$AK$147,IF(D449&lt;Assumptions!$AH$147,Assumptions!$AK$147+(Assumptions!$AL$147-Assumptions!$AK$147)*(D449-Assumptions!$G$147)/(Assumptions!$AH$147-Assumptions!$G$147),IF(D449&lt;Assumptions!$P$147,Assumptions!$AL$147+(Assumptions!$AM$147-Assumptions!$AL$147)*(D449-Assumptions!$AH$147)/(Assumptions!$P$147-Assumptions!$AH$147),Assumptions!$AM$147)))</f>
        <v>50000</v>
      </c>
      <c r="N449" s="54">
        <f t="shared" si="12"/>
        <v>73.746312684365776</v>
      </c>
      <c r="O449" s="55">
        <f t="shared" si="13"/>
        <v>2967</v>
      </c>
      <c r="P449" s="29" t="str">
        <f>IF(D449&gt;=Assumptions!$P$147,"High",IF(D449&gt;=Assumptions!$AH$147,"Mid",IF(D449&lt;=Assumptions!$G$147,"Low","Loading")))</f>
        <v>Loading</v>
      </c>
      <c r="Q449" s="39">
        <f>MAX(K449,MIN(Assumptions!$S$147,O449),Q450)</f>
        <v>2967</v>
      </c>
      <c r="R449" s="30">
        <f>IF(AND(Q449&lt;=K449,INDEX(Assumptions!$C$26:$C$36,MATCH(G449,Assumptions!$A$26:$A$36,0))&lt;&gt;""),INDEX(Assumptions!$C$26:$C$36,MATCH(G449,Assumptions!$A$26:$A$36,0)),ROUND(G449*Q449,-2))</f>
        <v>2011600</v>
      </c>
      <c r="S449" s="56" t="str">
        <f>TRIM(IF(AND(Assumptions!$L$147&lt;&gt;"",D449&lt;Assumptions!$L$147),"View blocked / roof in front ("&amp;Assumptions!$M$147&amp;"); view premium still loading until L"&amp;Assumptions!$L$147&amp;". ","")&amp;IF(D449=Assumptions!$AH$147,"Mid-floor view premium fully loaded. ","")&amp;IF(D449=Assumptions!$P$147,"High-floor view premium fully loaded. ","")&amp;IF(Q449&lt;=K449,"At developer starting price.",""))</f>
        <v/>
      </c>
      <c r="T449" s="57" t="str">
        <f>Assumptions!$AJ$147</f>
        <v>SW, same direction as the 5BR. Direct landed estate + nature reserve</v>
      </c>
    </row>
    <row r="450" spans="1:20" x14ac:dyDescent="0.2">
      <c r="A450" s="49" t="s">
        <v>589</v>
      </c>
      <c r="B450" s="29">
        <v>5</v>
      </c>
      <c r="C450" s="50">
        <v>21</v>
      </c>
      <c r="D450" s="50">
        <v>3</v>
      </c>
      <c r="E450" s="27" t="s">
        <v>43</v>
      </c>
      <c r="F450" s="29" t="s">
        <v>562</v>
      </c>
      <c r="G450" s="28">
        <v>678</v>
      </c>
      <c r="H450" s="29" t="s">
        <v>65</v>
      </c>
      <c r="I450" s="38" t="str">
        <f>Assumptions!$I$147</f>
        <v>A</v>
      </c>
      <c r="J450" s="29" t="str">
        <f>IF(D450&lt;=Assumptions!$V$147,"Low",IF(D450&lt;=Assumptions!$W$147,"Mid","High"))</f>
        <v>Low</v>
      </c>
      <c r="K450" s="51">
        <f>Assumptions!$Q$147</f>
        <v>2613</v>
      </c>
      <c r="L450" s="52">
        <f>INDEX(Assumptions!$D$61:$D$90,D450)</f>
        <v>2873.9585714285713</v>
      </c>
      <c r="M450" s="53">
        <f>IF(D450&lt;=Assumptions!$G$147,Assumptions!$AK$147,IF(D450&lt;Assumptions!$AH$147,Assumptions!$AK$147+(Assumptions!$AL$147-Assumptions!$AK$147)*(D450-Assumptions!$G$147)/(Assumptions!$AH$147-Assumptions!$G$147),IF(D450&lt;Assumptions!$P$147,Assumptions!$AL$147+(Assumptions!$AM$147-Assumptions!$AL$147)*(D450-Assumptions!$AH$147)/(Assumptions!$P$147-Assumptions!$AH$147),Assumptions!$AM$147)))</f>
        <v>50000</v>
      </c>
      <c r="N450" s="54">
        <f t="shared" si="12"/>
        <v>73.746312684365776</v>
      </c>
      <c r="O450" s="55">
        <f t="shared" si="13"/>
        <v>2948</v>
      </c>
      <c r="P450" s="29" t="str">
        <f>IF(D450&gt;=Assumptions!$P$147,"High",IF(D450&gt;=Assumptions!$AH$147,"Mid",IF(D450&lt;=Assumptions!$G$147,"Low","Loading")))</f>
        <v>Low</v>
      </c>
      <c r="Q450" s="39">
        <f>MAX(K450,MIN(Assumptions!$S$147,O450))</f>
        <v>2948</v>
      </c>
      <c r="R450" s="30">
        <f>IF(AND(Q450&lt;=K450,INDEX(Assumptions!$C$26:$C$36,MATCH(G450,Assumptions!$A$26:$A$36,0))&lt;&gt;""),INDEX(Assumptions!$C$26:$C$36,MATCH(G450,Assumptions!$A$26:$A$36,0)),ROUND(G450*Q450,-2))</f>
        <v>1998700</v>
      </c>
      <c r="S450" s="56" t="str">
        <f>TRIM(IF(AND(Assumptions!$L$147&lt;&gt;"",D450&lt;Assumptions!$L$147),"View blocked / roof in front ("&amp;Assumptions!$M$147&amp;"); view premium still loading until L"&amp;Assumptions!$L$147&amp;". ","")&amp;IF(D450=Assumptions!$AH$147,"Mid-floor view premium fully loaded. ","")&amp;IF(D450=Assumptions!$P$147,"High-floor view premium fully loaded. ","")&amp;IF(Q450&lt;=K450,"At developer starting price.",""))</f>
        <v/>
      </c>
      <c r="T450" s="57" t="str">
        <f>Assumptions!$AJ$147</f>
        <v>SW, same direction as the 5BR. Direct landed estate + nature reserve</v>
      </c>
    </row>
    <row r="451" spans="1:20" x14ac:dyDescent="0.2">
      <c r="A451" s="49" t="s">
        <v>590</v>
      </c>
      <c r="B451" s="29">
        <v>5</v>
      </c>
      <c r="C451" s="50">
        <v>22</v>
      </c>
      <c r="D451" s="50">
        <v>30</v>
      </c>
      <c r="E451" s="27" t="s">
        <v>50</v>
      </c>
      <c r="F451" s="29" t="s">
        <v>591</v>
      </c>
      <c r="G451" s="28">
        <v>1485</v>
      </c>
      <c r="H451" s="29" t="s">
        <v>65</v>
      </c>
      <c r="I451" s="38" t="str">
        <f>Assumptions!$I$148</f>
        <v>A</v>
      </c>
      <c r="J451" s="29" t="str">
        <f>IF(D451&lt;=Assumptions!$V$148,"Low",IF(D451&lt;=Assumptions!$W$148,"Mid","High"))</f>
        <v>High</v>
      </c>
      <c r="K451" s="51">
        <f>Assumptions!$Q$148</f>
        <v>2800</v>
      </c>
      <c r="L451" s="52">
        <f>INDEX(Assumptions!$Q$61:$Q$90,D451)</f>
        <v>3328.2263157894736</v>
      </c>
      <c r="M451" s="53">
        <f>IF(D451&lt;=Assumptions!$G$148,Assumptions!$AK$148,IF(D451&lt;Assumptions!$AH$148,Assumptions!$AK$148+(Assumptions!$AL$148-Assumptions!$AK$148)*(D451-Assumptions!$G$148)/(Assumptions!$AH$148-Assumptions!$G$148),IF(D451&lt;Assumptions!$P$148,Assumptions!$AL$148+(Assumptions!$AM$148-Assumptions!$AL$148)*(D451-Assumptions!$AH$148)/(Assumptions!$P$148-Assumptions!$AH$148),Assumptions!$AM$148)))</f>
        <v>0</v>
      </c>
      <c r="N451" s="54">
        <f t="shared" si="12"/>
        <v>0</v>
      </c>
      <c r="O451" s="55">
        <f t="shared" si="13"/>
        <v>3328</v>
      </c>
      <c r="P451" s="29" t="str">
        <f>IF(D451&gt;=Assumptions!$P$148,"High",IF(D451&gt;=Assumptions!$AH$148,"Mid",IF(D451&lt;=Assumptions!$G$148,"Low","Loading")))</f>
        <v>High</v>
      </c>
      <c r="Q451" s="39">
        <f>MAX(K451,MIN(Assumptions!$S$148,O451),Q452)</f>
        <v>3328</v>
      </c>
      <c r="R451" s="30">
        <f>IF(AND(Q451&lt;=K451,INDEX(Assumptions!$C$26:$C$36,MATCH(G451,Assumptions!$A$26:$A$36,0))&lt;&gt;""),INDEX(Assumptions!$C$26:$C$36,MATCH(G451,Assumptions!$A$26:$A$36,0)),ROUND(G451*Q451,-2))</f>
        <v>4942100</v>
      </c>
      <c r="S451" s="56" t="str">
        <f>TRIM(IF(AND(Assumptions!$L$148&lt;&gt;"",D451&lt;Assumptions!$L$148),"View blocked / roof in front ("&amp;Assumptions!$M$148&amp;"); view premium still loading until L"&amp;Assumptions!$L$148&amp;". ","")&amp;IF(D451=Assumptions!$AH$148,"Mid-floor view premium fully loaded. ","")&amp;IF(D451=Assumptions!$P$148,"High-floor view premium fully loaded. ","")&amp;IF(Q451&lt;=K451,"At developer starting price.",""))</f>
        <v/>
      </c>
      <c r="T451" s="57" t="str">
        <f>Assumptions!$AJ$148</f>
        <v>SW, same direction as the 5BR. Direct landed estate + nature reserve; private lift</v>
      </c>
    </row>
    <row r="452" spans="1:20" x14ac:dyDescent="0.2">
      <c r="A452" s="49" t="s">
        <v>592</v>
      </c>
      <c r="B452" s="29">
        <v>5</v>
      </c>
      <c r="C452" s="50">
        <v>22</v>
      </c>
      <c r="D452" s="50">
        <v>29</v>
      </c>
      <c r="E452" s="27" t="s">
        <v>50</v>
      </c>
      <c r="F452" s="29" t="s">
        <v>591</v>
      </c>
      <c r="G452" s="28">
        <v>1485</v>
      </c>
      <c r="H452" s="29" t="s">
        <v>65</v>
      </c>
      <c r="I452" s="38" t="str">
        <f>Assumptions!$I$148</f>
        <v>A</v>
      </c>
      <c r="J452" s="29" t="str">
        <f>IF(D452&lt;=Assumptions!$V$148,"Low",IF(D452&lt;=Assumptions!$W$148,"Mid","High"))</f>
        <v>High</v>
      </c>
      <c r="K452" s="51">
        <f>Assumptions!$Q$148</f>
        <v>2800</v>
      </c>
      <c r="L452" s="52">
        <f>INDEX(Assumptions!$Q$61:$Q$90,D452)</f>
        <v>3299.7315789473682</v>
      </c>
      <c r="M452" s="53">
        <f>IF(D452&lt;=Assumptions!$G$148,Assumptions!$AK$148,IF(D452&lt;Assumptions!$AH$148,Assumptions!$AK$148+(Assumptions!$AL$148-Assumptions!$AK$148)*(D452-Assumptions!$G$148)/(Assumptions!$AH$148-Assumptions!$G$148),IF(D452&lt;Assumptions!$P$148,Assumptions!$AL$148+(Assumptions!$AM$148-Assumptions!$AL$148)*(D452-Assumptions!$AH$148)/(Assumptions!$P$148-Assumptions!$AH$148),Assumptions!$AM$148)))</f>
        <v>0</v>
      </c>
      <c r="N452" s="54">
        <f t="shared" si="12"/>
        <v>0</v>
      </c>
      <c r="O452" s="55">
        <f t="shared" si="13"/>
        <v>3300</v>
      </c>
      <c r="P452" s="29" t="str">
        <f>IF(D452&gt;=Assumptions!$P$148,"High",IF(D452&gt;=Assumptions!$AH$148,"Mid",IF(D452&lt;=Assumptions!$G$148,"Low","Loading")))</f>
        <v>High</v>
      </c>
      <c r="Q452" s="39">
        <f>MAX(K452,MIN(Assumptions!$S$148,O452),Q453)</f>
        <v>3300</v>
      </c>
      <c r="R452" s="30">
        <f>IF(AND(Q452&lt;=K452,INDEX(Assumptions!$C$26:$C$36,MATCH(G452,Assumptions!$A$26:$A$36,0))&lt;&gt;""),INDEX(Assumptions!$C$26:$C$36,MATCH(G452,Assumptions!$A$26:$A$36,0)),ROUND(G452*Q452,-2))</f>
        <v>4900500</v>
      </c>
      <c r="S452" s="56" t="str">
        <f>TRIM(IF(AND(Assumptions!$L$148&lt;&gt;"",D452&lt;Assumptions!$L$148),"View blocked / roof in front ("&amp;Assumptions!$M$148&amp;"); view premium still loading until L"&amp;Assumptions!$L$148&amp;". ","")&amp;IF(D452=Assumptions!$AH$148,"Mid-floor view premium fully loaded. ","")&amp;IF(D452=Assumptions!$P$148,"High-floor view premium fully loaded. ","")&amp;IF(Q452&lt;=K452,"At developer starting price.",""))</f>
        <v/>
      </c>
      <c r="T452" s="57" t="str">
        <f>Assumptions!$AJ$148</f>
        <v>SW, same direction as the 5BR. Direct landed estate + nature reserve; private lift</v>
      </c>
    </row>
    <row r="453" spans="1:20" x14ac:dyDescent="0.2">
      <c r="A453" s="49" t="s">
        <v>593</v>
      </c>
      <c r="B453" s="29">
        <v>5</v>
      </c>
      <c r="C453" s="50">
        <v>22</v>
      </c>
      <c r="D453" s="50">
        <v>28</v>
      </c>
      <c r="E453" s="27" t="s">
        <v>50</v>
      </c>
      <c r="F453" s="29" t="s">
        <v>591</v>
      </c>
      <c r="G453" s="28">
        <v>1485</v>
      </c>
      <c r="H453" s="29" t="s">
        <v>65</v>
      </c>
      <c r="I453" s="38" t="str">
        <f>Assumptions!$I$148</f>
        <v>A</v>
      </c>
      <c r="J453" s="29" t="str">
        <f>IF(D453&lt;=Assumptions!$V$148,"Low",IF(D453&lt;=Assumptions!$W$148,"Mid","High"))</f>
        <v>High</v>
      </c>
      <c r="K453" s="51">
        <f>Assumptions!$Q$148</f>
        <v>2800</v>
      </c>
      <c r="L453" s="52">
        <f>INDEX(Assumptions!$Q$61:$Q$90,D453)</f>
        <v>3271.2368421052633</v>
      </c>
      <c r="M453" s="53">
        <f>IF(D453&lt;=Assumptions!$G$148,Assumptions!$AK$148,IF(D453&lt;Assumptions!$AH$148,Assumptions!$AK$148+(Assumptions!$AL$148-Assumptions!$AK$148)*(D453-Assumptions!$G$148)/(Assumptions!$AH$148-Assumptions!$G$148),IF(D453&lt;Assumptions!$P$148,Assumptions!$AL$148+(Assumptions!$AM$148-Assumptions!$AL$148)*(D453-Assumptions!$AH$148)/(Assumptions!$P$148-Assumptions!$AH$148),Assumptions!$AM$148)))</f>
        <v>0</v>
      </c>
      <c r="N453" s="54">
        <f t="shared" ref="N453:N516" si="14">M453/G453</f>
        <v>0</v>
      </c>
      <c r="O453" s="55">
        <f t="shared" ref="O453:O516" si="15">ROUND(L453+N453,0)</f>
        <v>3271</v>
      </c>
      <c r="P453" s="29" t="str">
        <f>IF(D453&gt;=Assumptions!$P$148,"High",IF(D453&gt;=Assumptions!$AH$148,"Mid",IF(D453&lt;=Assumptions!$G$148,"Low","Loading")))</f>
        <v>High</v>
      </c>
      <c r="Q453" s="39">
        <f>MAX(K453,MIN(Assumptions!$S$148,O453),Q454)</f>
        <v>3271</v>
      </c>
      <c r="R453" s="30">
        <f>IF(AND(Q453&lt;=K453,INDEX(Assumptions!$C$26:$C$36,MATCH(G453,Assumptions!$A$26:$A$36,0))&lt;&gt;""),INDEX(Assumptions!$C$26:$C$36,MATCH(G453,Assumptions!$A$26:$A$36,0)),ROUND(G453*Q453,-2))</f>
        <v>4857400</v>
      </c>
      <c r="S453" s="56" t="str">
        <f>TRIM(IF(AND(Assumptions!$L$148&lt;&gt;"",D453&lt;Assumptions!$L$148),"View blocked / roof in front ("&amp;Assumptions!$M$148&amp;"); view premium still loading until L"&amp;Assumptions!$L$148&amp;". ","")&amp;IF(D453=Assumptions!$AH$148,"Mid-floor view premium fully loaded. ","")&amp;IF(D453=Assumptions!$P$148,"High-floor view premium fully loaded. ","")&amp;IF(Q453&lt;=K453,"At developer starting price.",""))</f>
        <v/>
      </c>
      <c r="T453" s="57" t="str">
        <f>Assumptions!$AJ$148</f>
        <v>SW, same direction as the 5BR. Direct landed estate + nature reserve; private lift</v>
      </c>
    </row>
    <row r="454" spans="1:20" x14ac:dyDescent="0.2">
      <c r="A454" s="49" t="s">
        <v>594</v>
      </c>
      <c r="B454" s="29">
        <v>5</v>
      </c>
      <c r="C454" s="50">
        <v>22</v>
      </c>
      <c r="D454" s="50">
        <v>27</v>
      </c>
      <c r="E454" s="27" t="s">
        <v>50</v>
      </c>
      <c r="F454" s="29" t="s">
        <v>591</v>
      </c>
      <c r="G454" s="28">
        <v>1485</v>
      </c>
      <c r="H454" s="29" t="s">
        <v>65</v>
      </c>
      <c r="I454" s="38" t="str">
        <f>Assumptions!$I$148</f>
        <v>A</v>
      </c>
      <c r="J454" s="29" t="str">
        <f>IF(D454&lt;=Assumptions!$V$148,"Low",IF(D454&lt;=Assumptions!$W$148,"Mid","High"))</f>
        <v>High</v>
      </c>
      <c r="K454" s="51">
        <f>Assumptions!$Q$148</f>
        <v>2800</v>
      </c>
      <c r="L454" s="52">
        <f>INDEX(Assumptions!$Q$61:$Q$90,D454)</f>
        <v>3242.742105263158</v>
      </c>
      <c r="M454" s="53">
        <f>IF(D454&lt;=Assumptions!$G$148,Assumptions!$AK$148,IF(D454&lt;Assumptions!$AH$148,Assumptions!$AK$148+(Assumptions!$AL$148-Assumptions!$AK$148)*(D454-Assumptions!$G$148)/(Assumptions!$AH$148-Assumptions!$G$148),IF(D454&lt;Assumptions!$P$148,Assumptions!$AL$148+(Assumptions!$AM$148-Assumptions!$AL$148)*(D454-Assumptions!$AH$148)/(Assumptions!$P$148-Assumptions!$AH$148),Assumptions!$AM$148)))</f>
        <v>0</v>
      </c>
      <c r="N454" s="54">
        <f t="shared" si="14"/>
        <v>0</v>
      </c>
      <c r="O454" s="55">
        <f t="shared" si="15"/>
        <v>3243</v>
      </c>
      <c r="P454" s="29" t="str">
        <f>IF(D454&gt;=Assumptions!$P$148,"High",IF(D454&gt;=Assumptions!$AH$148,"Mid",IF(D454&lt;=Assumptions!$G$148,"Low","Loading")))</f>
        <v>High</v>
      </c>
      <c r="Q454" s="39">
        <f>MAX(K454,MIN(Assumptions!$S$148,O454),Q455)</f>
        <v>3243</v>
      </c>
      <c r="R454" s="30">
        <f>IF(AND(Q454&lt;=K454,INDEX(Assumptions!$C$26:$C$36,MATCH(G454,Assumptions!$A$26:$A$36,0))&lt;&gt;""),INDEX(Assumptions!$C$26:$C$36,MATCH(G454,Assumptions!$A$26:$A$36,0)),ROUND(G454*Q454,-2))</f>
        <v>4815900</v>
      </c>
      <c r="S454" s="56" t="str">
        <f>TRIM(IF(AND(Assumptions!$L$148&lt;&gt;"",D454&lt;Assumptions!$L$148),"View blocked / roof in front ("&amp;Assumptions!$M$148&amp;"); view premium still loading until L"&amp;Assumptions!$L$148&amp;". ","")&amp;IF(D454=Assumptions!$AH$148,"Mid-floor view premium fully loaded. ","")&amp;IF(D454=Assumptions!$P$148,"High-floor view premium fully loaded. ","")&amp;IF(Q454&lt;=K454,"At developer starting price.",""))</f>
        <v/>
      </c>
      <c r="T454" s="57" t="str">
        <f>Assumptions!$AJ$148</f>
        <v>SW, same direction as the 5BR. Direct landed estate + nature reserve; private lift</v>
      </c>
    </row>
    <row r="455" spans="1:20" x14ac:dyDescent="0.2">
      <c r="A455" s="49" t="s">
        <v>595</v>
      </c>
      <c r="B455" s="29">
        <v>5</v>
      </c>
      <c r="C455" s="50">
        <v>22</v>
      </c>
      <c r="D455" s="50">
        <v>26</v>
      </c>
      <c r="E455" s="27" t="s">
        <v>50</v>
      </c>
      <c r="F455" s="29" t="s">
        <v>591</v>
      </c>
      <c r="G455" s="28">
        <v>1485</v>
      </c>
      <c r="H455" s="29" t="s">
        <v>65</v>
      </c>
      <c r="I455" s="38" t="str">
        <f>Assumptions!$I$148</f>
        <v>A</v>
      </c>
      <c r="J455" s="29" t="str">
        <f>IF(D455&lt;=Assumptions!$V$148,"Low",IF(D455&lt;=Assumptions!$W$148,"Mid","High"))</f>
        <v>High</v>
      </c>
      <c r="K455" s="51">
        <f>Assumptions!$Q$148</f>
        <v>2800</v>
      </c>
      <c r="L455" s="52">
        <f>INDEX(Assumptions!$Q$61:$Q$90,D455)</f>
        <v>3214.2473684210527</v>
      </c>
      <c r="M455" s="53">
        <f>IF(D455&lt;=Assumptions!$G$148,Assumptions!$AK$148,IF(D455&lt;Assumptions!$AH$148,Assumptions!$AK$148+(Assumptions!$AL$148-Assumptions!$AK$148)*(D455-Assumptions!$G$148)/(Assumptions!$AH$148-Assumptions!$G$148),IF(D455&lt;Assumptions!$P$148,Assumptions!$AL$148+(Assumptions!$AM$148-Assumptions!$AL$148)*(D455-Assumptions!$AH$148)/(Assumptions!$P$148-Assumptions!$AH$148),Assumptions!$AM$148)))</f>
        <v>0</v>
      </c>
      <c r="N455" s="54">
        <f t="shared" si="14"/>
        <v>0</v>
      </c>
      <c r="O455" s="55">
        <f t="shared" si="15"/>
        <v>3214</v>
      </c>
      <c r="P455" s="29" t="str">
        <f>IF(D455&gt;=Assumptions!$P$148,"High",IF(D455&gt;=Assumptions!$AH$148,"Mid",IF(D455&lt;=Assumptions!$G$148,"Low","Loading")))</f>
        <v>High</v>
      </c>
      <c r="Q455" s="39">
        <f>MAX(K455,MIN(Assumptions!$S$148,O455),Q456)</f>
        <v>3214</v>
      </c>
      <c r="R455" s="30">
        <f>IF(AND(Q455&lt;=K455,INDEX(Assumptions!$C$26:$C$36,MATCH(G455,Assumptions!$A$26:$A$36,0))&lt;&gt;""),INDEX(Assumptions!$C$26:$C$36,MATCH(G455,Assumptions!$A$26:$A$36,0)),ROUND(G455*Q455,-2))</f>
        <v>4772800</v>
      </c>
      <c r="S455" s="56" t="str">
        <f>TRIM(IF(AND(Assumptions!$L$148&lt;&gt;"",D455&lt;Assumptions!$L$148),"View blocked / roof in front ("&amp;Assumptions!$M$148&amp;"); view premium still loading until L"&amp;Assumptions!$L$148&amp;". ","")&amp;IF(D455=Assumptions!$AH$148,"Mid-floor view premium fully loaded. ","")&amp;IF(D455=Assumptions!$P$148,"High-floor view premium fully loaded. ","")&amp;IF(Q455&lt;=K455,"At developer starting price.",""))</f>
        <v/>
      </c>
      <c r="T455" s="57" t="str">
        <f>Assumptions!$AJ$148</f>
        <v>SW, same direction as the 5BR. Direct landed estate + nature reserve; private lift</v>
      </c>
    </row>
    <row r="456" spans="1:20" x14ac:dyDescent="0.2">
      <c r="A456" s="49" t="s">
        <v>596</v>
      </c>
      <c r="B456" s="29">
        <v>5</v>
      </c>
      <c r="C456" s="50">
        <v>22</v>
      </c>
      <c r="D456" s="50">
        <v>25</v>
      </c>
      <c r="E456" s="27" t="s">
        <v>50</v>
      </c>
      <c r="F456" s="29" t="s">
        <v>591</v>
      </c>
      <c r="G456" s="28">
        <v>1485</v>
      </c>
      <c r="H456" s="29" t="s">
        <v>65</v>
      </c>
      <c r="I456" s="38" t="str">
        <f>Assumptions!$I$148</f>
        <v>A</v>
      </c>
      <c r="J456" s="29" t="str">
        <f>IF(D456&lt;=Assumptions!$V$148,"Low",IF(D456&lt;=Assumptions!$W$148,"Mid","High"))</f>
        <v>High</v>
      </c>
      <c r="K456" s="51">
        <f>Assumptions!$Q$148</f>
        <v>2800</v>
      </c>
      <c r="L456" s="52">
        <f>INDEX(Assumptions!$Q$61:$Q$90,D456)</f>
        <v>3185.7526315789473</v>
      </c>
      <c r="M456" s="53">
        <f>IF(D456&lt;=Assumptions!$G$148,Assumptions!$AK$148,IF(D456&lt;Assumptions!$AH$148,Assumptions!$AK$148+(Assumptions!$AL$148-Assumptions!$AK$148)*(D456-Assumptions!$G$148)/(Assumptions!$AH$148-Assumptions!$G$148),IF(D456&lt;Assumptions!$P$148,Assumptions!$AL$148+(Assumptions!$AM$148-Assumptions!$AL$148)*(D456-Assumptions!$AH$148)/(Assumptions!$P$148-Assumptions!$AH$148),Assumptions!$AM$148)))</f>
        <v>0</v>
      </c>
      <c r="N456" s="54">
        <f t="shared" si="14"/>
        <v>0</v>
      </c>
      <c r="O456" s="55">
        <f t="shared" si="15"/>
        <v>3186</v>
      </c>
      <c r="P456" s="29" t="str">
        <f>IF(D456&gt;=Assumptions!$P$148,"High",IF(D456&gt;=Assumptions!$AH$148,"Mid",IF(D456&lt;=Assumptions!$G$148,"Low","Loading")))</f>
        <v>High</v>
      </c>
      <c r="Q456" s="39">
        <f>MAX(K456,MIN(Assumptions!$S$148,O456),Q457)</f>
        <v>3186</v>
      </c>
      <c r="R456" s="30">
        <f>IF(AND(Q456&lt;=K456,INDEX(Assumptions!$C$26:$C$36,MATCH(G456,Assumptions!$A$26:$A$36,0))&lt;&gt;""),INDEX(Assumptions!$C$26:$C$36,MATCH(G456,Assumptions!$A$26:$A$36,0)),ROUND(G456*Q456,-2))</f>
        <v>4731200</v>
      </c>
      <c r="S456" s="56" t="str">
        <f>TRIM(IF(AND(Assumptions!$L$148&lt;&gt;"",D456&lt;Assumptions!$L$148),"View blocked / roof in front ("&amp;Assumptions!$M$148&amp;"); view premium still loading until L"&amp;Assumptions!$L$148&amp;". ","")&amp;IF(D456=Assumptions!$AH$148,"Mid-floor view premium fully loaded. ","")&amp;IF(D456=Assumptions!$P$148,"High-floor view premium fully loaded. ","")&amp;IF(Q456&lt;=K456,"At developer starting price.",""))</f>
        <v/>
      </c>
      <c r="T456" s="57" t="str">
        <f>Assumptions!$AJ$148</f>
        <v>SW, same direction as the 5BR. Direct landed estate + nature reserve; private lift</v>
      </c>
    </row>
    <row r="457" spans="1:20" x14ac:dyDescent="0.2">
      <c r="A457" s="49" t="s">
        <v>597</v>
      </c>
      <c r="B457" s="29">
        <v>5</v>
      </c>
      <c r="C457" s="50">
        <v>22</v>
      </c>
      <c r="D457" s="50">
        <v>24</v>
      </c>
      <c r="E457" s="27" t="s">
        <v>50</v>
      </c>
      <c r="F457" s="29" t="s">
        <v>591</v>
      </c>
      <c r="G457" s="28">
        <v>1485</v>
      </c>
      <c r="H457" s="29" t="s">
        <v>65</v>
      </c>
      <c r="I457" s="38" t="str">
        <f>Assumptions!$I$148</f>
        <v>A</v>
      </c>
      <c r="J457" s="29" t="str">
        <f>IF(D457&lt;=Assumptions!$V$148,"Low",IF(D457&lt;=Assumptions!$W$148,"Mid","High"))</f>
        <v>High</v>
      </c>
      <c r="K457" s="51">
        <f>Assumptions!$Q$148</f>
        <v>2800</v>
      </c>
      <c r="L457" s="52">
        <f>INDEX(Assumptions!$Q$61:$Q$90,D457)</f>
        <v>3157.257894736842</v>
      </c>
      <c r="M457" s="53">
        <f>IF(D457&lt;=Assumptions!$G$148,Assumptions!$AK$148,IF(D457&lt;Assumptions!$AH$148,Assumptions!$AK$148+(Assumptions!$AL$148-Assumptions!$AK$148)*(D457-Assumptions!$G$148)/(Assumptions!$AH$148-Assumptions!$G$148),IF(D457&lt;Assumptions!$P$148,Assumptions!$AL$148+(Assumptions!$AM$148-Assumptions!$AL$148)*(D457-Assumptions!$AH$148)/(Assumptions!$P$148-Assumptions!$AH$148),Assumptions!$AM$148)))</f>
        <v>0</v>
      </c>
      <c r="N457" s="54">
        <f t="shared" si="14"/>
        <v>0</v>
      </c>
      <c r="O457" s="55">
        <f t="shared" si="15"/>
        <v>3157</v>
      </c>
      <c r="P457" s="29" t="str">
        <f>IF(D457&gt;=Assumptions!$P$148,"High",IF(D457&gt;=Assumptions!$AH$148,"Mid",IF(D457&lt;=Assumptions!$G$148,"Low","Loading")))</f>
        <v>High</v>
      </c>
      <c r="Q457" s="39">
        <f>MAX(K457,MIN(Assumptions!$S$148,O457),Q458)</f>
        <v>3157</v>
      </c>
      <c r="R457" s="30">
        <f>IF(AND(Q457&lt;=K457,INDEX(Assumptions!$C$26:$C$36,MATCH(G457,Assumptions!$A$26:$A$36,0))&lt;&gt;""),INDEX(Assumptions!$C$26:$C$36,MATCH(G457,Assumptions!$A$26:$A$36,0)),ROUND(G457*Q457,-2))</f>
        <v>4688100</v>
      </c>
      <c r="S457" s="56" t="str">
        <f>TRIM(IF(AND(Assumptions!$L$148&lt;&gt;"",D457&lt;Assumptions!$L$148),"View blocked / roof in front ("&amp;Assumptions!$M$148&amp;"); view premium still loading until L"&amp;Assumptions!$L$148&amp;". ","")&amp;IF(D457=Assumptions!$AH$148,"Mid-floor view premium fully loaded. ","")&amp;IF(D457=Assumptions!$P$148,"High-floor view premium fully loaded. ","")&amp;IF(Q457&lt;=K457,"At developer starting price.",""))</f>
        <v/>
      </c>
      <c r="T457" s="57" t="str">
        <f>Assumptions!$AJ$148</f>
        <v>SW, same direction as the 5BR. Direct landed estate + nature reserve; private lift</v>
      </c>
    </row>
    <row r="458" spans="1:20" x14ac:dyDescent="0.2">
      <c r="A458" s="49" t="s">
        <v>598</v>
      </c>
      <c r="B458" s="29">
        <v>5</v>
      </c>
      <c r="C458" s="50">
        <v>22</v>
      </c>
      <c r="D458" s="50">
        <v>23</v>
      </c>
      <c r="E458" s="27" t="s">
        <v>50</v>
      </c>
      <c r="F458" s="29" t="s">
        <v>591</v>
      </c>
      <c r="G458" s="28">
        <v>1485</v>
      </c>
      <c r="H458" s="29" t="s">
        <v>65</v>
      </c>
      <c r="I458" s="38" t="str">
        <f>Assumptions!$I$148</f>
        <v>A</v>
      </c>
      <c r="J458" s="29" t="str">
        <f>IF(D458&lt;=Assumptions!$V$148,"Low",IF(D458&lt;=Assumptions!$W$148,"Mid","High"))</f>
        <v>High</v>
      </c>
      <c r="K458" s="51">
        <f>Assumptions!$Q$148</f>
        <v>2800</v>
      </c>
      <c r="L458" s="52">
        <f>INDEX(Assumptions!$Q$61:$Q$90,D458)</f>
        <v>3128.7631578947367</v>
      </c>
      <c r="M458" s="53">
        <f>IF(D458&lt;=Assumptions!$G$148,Assumptions!$AK$148,IF(D458&lt;Assumptions!$AH$148,Assumptions!$AK$148+(Assumptions!$AL$148-Assumptions!$AK$148)*(D458-Assumptions!$G$148)/(Assumptions!$AH$148-Assumptions!$G$148),IF(D458&lt;Assumptions!$P$148,Assumptions!$AL$148+(Assumptions!$AM$148-Assumptions!$AL$148)*(D458-Assumptions!$AH$148)/(Assumptions!$P$148-Assumptions!$AH$148),Assumptions!$AM$148)))</f>
        <v>0</v>
      </c>
      <c r="N458" s="54">
        <f t="shared" si="14"/>
        <v>0</v>
      </c>
      <c r="O458" s="55">
        <f t="shared" si="15"/>
        <v>3129</v>
      </c>
      <c r="P458" s="29" t="str">
        <f>IF(D458&gt;=Assumptions!$P$148,"High",IF(D458&gt;=Assumptions!$AH$148,"Mid",IF(D458&lt;=Assumptions!$G$148,"Low","Loading")))</f>
        <v>High</v>
      </c>
      <c r="Q458" s="39">
        <f>MAX(K458,MIN(Assumptions!$S$148,O458),Q459)</f>
        <v>3129</v>
      </c>
      <c r="R458" s="30">
        <f>IF(AND(Q458&lt;=K458,INDEX(Assumptions!$C$26:$C$36,MATCH(G458,Assumptions!$A$26:$A$36,0))&lt;&gt;""),INDEX(Assumptions!$C$26:$C$36,MATCH(G458,Assumptions!$A$26:$A$36,0)),ROUND(G458*Q458,-2))</f>
        <v>4646600</v>
      </c>
      <c r="S458" s="56" t="str">
        <f>TRIM(IF(AND(Assumptions!$L$148&lt;&gt;"",D458&lt;Assumptions!$L$148),"View blocked / roof in front ("&amp;Assumptions!$M$148&amp;"); view premium still loading until L"&amp;Assumptions!$L$148&amp;". ","")&amp;IF(D458=Assumptions!$AH$148,"Mid-floor view premium fully loaded. ","")&amp;IF(D458=Assumptions!$P$148,"High-floor view premium fully loaded. ","")&amp;IF(Q458&lt;=K458,"At developer starting price.",""))</f>
        <v/>
      </c>
      <c r="T458" s="57" t="str">
        <f>Assumptions!$AJ$148</f>
        <v>SW, same direction as the 5BR. Direct landed estate + nature reserve; private lift</v>
      </c>
    </row>
    <row r="459" spans="1:20" x14ac:dyDescent="0.2">
      <c r="A459" s="49" t="s">
        <v>599</v>
      </c>
      <c r="B459" s="29">
        <v>5</v>
      </c>
      <c r="C459" s="50">
        <v>22</v>
      </c>
      <c r="D459" s="50">
        <v>22</v>
      </c>
      <c r="E459" s="27" t="s">
        <v>50</v>
      </c>
      <c r="F459" s="29" t="s">
        <v>591</v>
      </c>
      <c r="G459" s="28">
        <v>1485</v>
      </c>
      <c r="H459" s="29" t="s">
        <v>65</v>
      </c>
      <c r="I459" s="38" t="str">
        <f>Assumptions!$I$148</f>
        <v>A</v>
      </c>
      <c r="J459" s="29" t="str">
        <f>IF(D459&lt;=Assumptions!$V$148,"Low",IF(D459&lt;=Assumptions!$W$148,"Mid","High"))</f>
        <v>High</v>
      </c>
      <c r="K459" s="51">
        <f>Assumptions!$Q$148</f>
        <v>2800</v>
      </c>
      <c r="L459" s="52">
        <f>INDEX(Assumptions!$Q$61:$Q$90,D459)</f>
        <v>3100.2684210526318</v>
      </c>
      <c r="M459" s="53">
        <f>IF(D459&lt;=Assumptions!$G$148,Assumptions!$AK$148,IF(D459&lt;Assumptions!$AH$148,Assumptions!$AK$148+(Assumptions!$AL$148-Assumptions!$AK$148)*(D459-Assumptions!$G$148)/(Assumptions!$AH$148-Assumptions!$G$148),IF(D459&lt;Assumptions!$P$148,Assumptions!$AL$148+(Assumptions!$AM$148-Assumptions!$AL$148)*(D459-Assumptions!$AH$148)/(Assumptions!$P$148-Assumptions!$AH$148),Assumptions!$AM$148)))</f>
        <v>0</v>
      </c>
      <c r="N459" s="54">
        <f t="shared" si="14"/>
        <v>0</v>
      </c>
      <c r="O459" s="55">
        <f t="shared" si="15"/>
        <v>3100</v>
      </c>
      <c r="P459" s="29" t="str">
        <f>IF(D459&gt;=Assumptions!$P$148,"High",IF(D459&gt;=Assumptions!$AH$148,"Mid",IF(D459&lt;=Assumptions!$G$148,"Low","Loading")))</f>
        <v>High</v>
      </c>
      <c r="Q459" s="39">
        <f>MAX(K459,MIN(Assumptions!$S$148,O459),Q460)</f>
        <v>3100</v>
      </c>
      <c r="R459" s="30">
        <f>IF(AND(Q459&lt;=K459,INDEX(Assumptions!$C$26:$C$36,MATCH(G459,Assumptions!$A$26:$A$36,0))&lt;&gt;""),INDEX(Assumptions!$C$26:$C$36,MATCH(G459,Assumptions!$A$26:$A$36,0)),ROUND(G459*Q459,-2))</f>
        <v>4603500</v>
      </c>
      <c r="S459" s="56" t="str">
        <f>TRIM(IF(AND(Assumptions!$L$148&lt;&gt;"",D459&lt;Assumptions!$L$148),"View blocked / roof in front ("&amp;Assumptions!$M$148&amp;"); view premium still loading until L"&amp;Assumptions!$L$148&amp;". ","")&amp;IF(D459=Assumptions!$AH$148,"Mid-floor view premium fully loaded. ","")&amp;IF(D459=Assumptions!$P$148,"High-floor view premium fully loaded. ","")&amp;IF(Q459&lt;=K459,"At developer starting price.",""))</f>
        <v/>
      </c>
      <c r="T459" s="57" t="str">
        <f>Assumptions!$AJ$148</f>
        <v>SW, same direction as the 5BR. Direct landed estate + nature reserve; private lift</v>
      </c>
    </row>
    <row r="460" spans="1:20" x14ac:dyDescent="0.2">
      <c r="A460" s="49" t="s">
        <v>600</v>
      </c>
      <c r="B460" s="29">
        <v>5</v>
      </c>
      <c r="C460" s="50">
        <v>22</v>
      </c>
      <c r="D460" s="50">
        <v>21</v>
      </c>
      <c r="E460" s="27" t="s">
        <v>50</v>
      </c>
      <c r="F460" s="29" t="s">
        <v>591</v>
      </c>
      <c r="G460" s="28">
        <v>1485</v>
      </c>
      <c r="H460" s="29" t="s">
        <v>65</v>
      </c>
      <c r="I460" s="38" t="str">
        <f>Assumptions!$I$148</f>
        <v>A</v>
      </c>
      <c r="J460" s="29" t="str">
        <f>IF(D460&lt;=Assumptions!$V$148,"Low",IF(D460&lt;=Assumptions!$W$148,"Mid","High"))</f>
        <v>High</v>
      </c>
      <c r="K460" s="51">
        <f>Assumptions!$Q$148</f>
        <v>2800</v>
      </c>
      <c r="L460" s="52">
        <f>INDEX(Assumptions!$Q$61:$Q$90,D460)</f>
        <v>3071.7736842105264</v>
      </c>
      <c r="M460" s="53">
        <f>IF(D460&lt;=Assumptions!$G$148,Assumptions!$AK$148,IF(D460&lt;Assumptions!$AH$148,Assumptions!$AK$148+(Assumptions!$AL$148-Assumptions!$AK$148)*(D460-Assumptions!$G$148)/(Assumptions!$AH$148-Assumptions!$G$148),IF(D460&lt;Assumptions!$P$148,Assumptions!$AL$148+(Assumptions!$AM$148-Assumptions!$AL$148)*(D460-Assumptions!$AH$148)/(Assumptions!$P$148-Assumptions!$AH$148),Assumptions!$AM$148)))</f>
        <v>0</v>
      </c>
      <c r="N460" s="54">
        <f t="shared" si="14"/>
        <v>0</v>
      </c>
      <c r="O460" s="55">
        <f t="shared" si="15"/>
        <v>3072</v>
      </c>
      <c r="P460" s="29" t="str">
        <f>IF(D460&gt;=Assumptions!$P$148,"High",IF(D460&gt;=Assumptions!$AH$148,"Mid",IF(D460&lt;=Assumptions!$G$148,"Low","Loading")))</f>
        <v>High</v>
      </c>
      <c r="Q460" s="39">
        <f>MAX(K460,MIN(Assumptions!$S$148,O460),Q461)</f>
        <v>3072</v>
      </c>
      <c r="R460" s="30">
        <f>IF(AND(Q460&lt;=K460,INDEX(Assumptions!$C$26:$C$36,MATCH(G460,Assumptions!$A$26:$A$36,0))&lt;&gt;""),INDEX(Assumptions!$C$26:$C$36,MATCH(G460,Assumptions!$A$26:$A$36,0)),ROUND(G460*Q460,-2))</f>
        <v>4561900</v>
      </c>
      <c r="S460" s="56" t="str">
        <f>TRIM(IF(AND(Assumptions!$L$148&lt;&gt;"",D460&lt;Assumptions!$L$148),"View blocked / roof in front ("&amp;Assumptions!$M$148&amp;"); view premium still loading until L"&amp;Assumptions!$L$148&amp;". ","")&amp;IF(D460=Assumptions!$AH$148,"Mid-floor view premium fully loaded. ","")&amp;IF(D460=Assumptions!$P$148,"High-floor view premium fully loaded. ","")&amp;IF(Q460&lt;=K460,"At developer starting price.",""))</f>
        <v>High-floor view premium fully loaded.</v>
      </c>
      <c r="T460" s="57" t="str">
        <f>Assumptions!$AJ$148</f>
        <v>SW, same direction as the 5BR. Direct landed estate + nature reserve; private lift</v>
      </c>
    </row>
    <row r="461" spans="1:20" x14ac:dyDescent="0.2">
      <c r="A461" s="49" t="s">
        <v>601</v>
      </c>
      <c r="B461" s="29">
        <v>5</v>
      </c>
      <c r="C461" s="50">
        <v>22</v>
      </c>
      <c r="D461" s="50">
        <v>20</v>
      </c>
      <c r="E461" s="27" t="s">
        <v>50</v>
      </c>
      <c r="F461" s="29" t="s">
        <v>591</v>
      </c>
      <c r="G461" s="28">
        <v>1485</v>
      </c>
      <c r="H461" s="29" t="s">
        <v>65</v>
      </c>
      <c r="I461" s="38" t="str">
        <f>Assumptions!$I$148</f>
        <v>A</v>
      </c>
      <c r="J461" s="29" t="str">
        <f>IF(D461&lt;=Assumptions!$V$148,"Low",IF(D461&lt;=Assumptions!$W$148,"Mid","High"))</f>
        <v>Mid</v>
      </c>
      <c r="K461" s="51">
        <f>Assumptions!$Q$148</f>
        <v>2800</v>
      </c>
      <c r="L461" s="52">
        <f>INDEX(Assumptions!$Q$61:$Q$90,D461)</f>
        <v>3043.2789473684211</v>
      </c>
      <c r="M461" s="53">
        <f>IF(D461&lt;=Assumptions!$G$148,Assumptions!$AK$148,IF(D461&lt;Assumptions!$AH$148,Assumptions!$AK$148+(Assumptions!$AL$148-Assumptions!$AK$148)*(D461-Assumptions!$G$148)/(Assumptions!$AH$148-Assumptions!$G$148),IF(D461&lt;Assumptions!$P$148,Assumptions!$AL$148+(Assumptions!$AM$148-Assumptions!$AL$148)*(D461-Assumptions!$AH$148)/(Assumptions!$P$148-Assumptions!$AH$148),Assumptions!$AM$148)))</f>
        <v>0</v>
      </c>
      <c r="N461" s="54">
        <f t="shared" si="14"/>
        <v>0</v>
      </c>
      <c r="O461" s="55">
        <f t="shared" si="15"/>
        <v>3043</v>
      </c>
      <c r="P461" s="29" t="str">
        <f>IF(D461&gt;=Assumptions!$P$148,"High",IF(D461&gt;=Assumptions!$AH$148,"Mid",IF(D461&lt;=Assumptions!$G$148,"Low","Loading")))</f>
        <v>Mid</v>
      </c>
      <c r="Q461" s="39">
        <f>MAX(K461,MIN(Assumptions!$S$148,O461),Q462)</f>
        <v>3043</v>
      </c>
      <c r="R461" s="30">
        <f>IF(AND(Q461&lt;=K461,INDEX(Assumptions!$C$26:$C$36,MATCH(G461,Assumptions!$A$26:$A$36,0))&lt;&gt;""),INDEX(Assumptions!$C$26:$C$36,MATCH(G461,Assumptions!$A$26:$A$36,0)),ROUND(G461*Q461,-2))</f>
        <v>4518900</v>
      </c>
      <c r="S461" s="56" t="str">
        <f>TRIM(IF(AND(Assumptions!$L$148&lt;&gt;"",D461&lt;Assumptions!$L$148),"View blocked / roof in front ("&amp;Assumptions!$M$148&amp;"); view premium still loading until L"&amp;Assumptions!$L$148&amp;". ","")&amp;IF(D461=Assumptions!$AH$148,"Mid-floor view premium fully loaded. ","")&amp;IF(D461=Assumptions!$P$148,"High-floor view premium fully loaded. ","")&amp;IF(Q461&lt;=K461,"At developer starting price.",""))</f>
        <v/>
      </c>
      <c r="T461" s="57" t="str">
        <f>Assumptions!$AJ$148</f>
        <v>SW, same direction as the 5BR. Direct landed estate + nature reserve; private lift</v>
      </c>
    </row>
    <row r="462" spans="1:20" x14ac:dyDescent="0.2">
      <c r="A462" s="49" t="s">
        <v>602</v>
      </c>
      <c r="B462" s="29">
        <v>5</v>
      </c>
      <c r="C462" s="50">
        <v>22</v>
      </c>
      <c r="D462" s="50">
        <v>19</v>
      </c>
      <c r="E462" s="27" t="s">
        <v>50</v>
      </c>
      <c r="F462" s="29" t="s">
        <v>591</v>
      </c>
      <c r="G462" s="28">
        <v>1485</v>
      </c>
      <c r="H462" s="29" t="s">
        <v>65</v>
      </c>
      <c r="I462" s="38" t="str">
        <f>Assumptions!$I$148</f>
        <v>A</v>
      </c>
      <c r="J462" s="29" t="str">
        <f>IF(D462&lt;=Assumptions!$V$148,"Low",IF(D462&lt;=Assumptions!$W$148,"Mid","High"))</f>
        <v>Mid</v>
      </c>
      <c r="K462" s="51">
        <f>Assumptions!$Q$148</f>
        <v>2800</v>
      </c>
      <c r="L462" s="52">
        <f>INDEX(Assumptions!$Q$61:$Q$90,D462)</f>
        <v>3014.7842105263157</v>
      </c>
      <c r="M462" s="53">
        <f>IF(D462&lt;=Assumptions!$G$148,Assumptions!$AK$148,IF(D462&lt;Assumptions!$AH$148,Assumptions!$AK$148+(Assumptions!$AL$148-Assumptions!$AK$148)*(D462-Assumptions!$G$148)/(Assumptions!$AH$148-Assumptions!$G$148),IF(D462&lt;Assumptions!$P$148,Assumptions!$AL$148+(Assumptions!$AM$148-Assumptions!$AL$148)*(D462-Assumptions!$AH$148)/(Assumptions!$P$148-Assumptions!$AH$148),Assumptions!$AM$148)))</f>
        <v>0</v>
      </c>
      <c r="N462" s="54">
        <f t="shared" si="14"/>
        <v>0</v>
      </c>
      <c r="O462" s="55">
        <f t="shared" si="15"/>
        <v>3015</v>
      </c>
      <c r="P462" s="29" t="str">
        <f>IF(D462&gt;=Assumptions!$P$148,"High",IF(D462&gt;=Assumptions!$AH$148,"Mid",IF(D462&lt;=Assumptions!$G$148,"Low","Loading")))</f>
        <v>Mid</v>
      </c>
      <c r="Q462" s="39">
        <f>MAX(K462,MIN(Assumptions!$S$148,O462),Q463)</f>
        <v>3015</v>
      </c>
      <c r="R462" s="30">
        <f>IF(AND(Q462&lt;=K462,INDEX(Assumptions!$C$26:$C$36,MATCH(G462,Assumptions!$A$26:$A$36,0))&lt;&gt;""),INDEX(Assumptions!$C$26:$C$36,MATCH(G462,Assumptions!$A$26:$A$36,0)),ROUND(G462*Q462,-2))</f>
        <v>4477300</v>
      </c>
      <c r="S462" s="56" t="str">
        <f>TRIM(IF(AND(Assumptions!$L$148&lt;&gt;"",D462&lt;Assumptions!$L$148),"View blocked / roof in front ("&amp;Assumptions!$M$148&amp;"); view premium still loading until L"&amp;Assumptions!$L$148&amp;". ","")&amp;IF(D462=Assumptions!$AH$148,"Mid-floor view premium fully loaded. ","")&amp;IF(D462=Assumptions!$P$148,"High-floor view premium fully loaded. ","")&amp;IF(Q462&lt;=K462,"At developer starting price.",""))</f>
        <v/>
      </c>
      <c r="T462" s="57" t="str">
        <f>Assumptions!$AJ$148</f>
        <v>SW, same direction as the 5BR. Direct landed estate + nature reserve; private lift</v>
      </c>
    </row>
    <row r="463" spans="1:20" x14ac:dyDescent="0.2">
      <c r="A463" s="49" t="s">
        <v>603</v>
      </c>
      <c r="B463" s="29">
        <v>5</v>
      </c>
      <c r="C463" s="50">
        <v>22</v>
      </c>
      <c r="D463" s="50">
        <v>18</v>
      </c>
      <c r="E463" s="27" t="s">
        <v>50</v>
      </c>
      <c r="F463" s="29" t="s">
        <v>591</v>
      </c>
      <c r="G463" s="28">
        <v>1485</v>
      </c>
      <c r="H463" s="29" t="s">
        <v>65</v>
      </c>
      <c r="I463" s="38" t="str">
        <f>Assumptions!$I$148</f>
        <v>A</v>
      </c>
      <c r="J463" s="29" t="str">
        <f>IF(D463&lt;=Assumptions!$V$148,"Low",IF(D463&lt;=Assumptions!$W$148,"Mid","High"))</f>
        <v>Mid</v>
      </c>
      <c r="K463" s="51">
        <f>Assumptions!$Q$148</f>
        <v>2800</v>
      </c>
      <c r="L463" s="52">
        <f>INDEX(Assumptions!$Q$61:$Q$90,D463)</f>
        <v>2986.2894736842109</v>
      </c>
      <c r="M463" s="53">
        <f>IF(D463&lt;=Assumptions!$G$148,Assumptions!$AK$148,IF(D463&lt;Assumptions!$AH$148,Assumptions!$AK$148+(Assumptions!$AL$148-Assumptions!$AK$148)*(D463-Assumptions!$G$148)/(Assumptions!$AH$148-Assumptions!$G$148),IF(D463&lt;Assumptions!$P$148,Assumptions!$AL$148+(Assumptions!$AM$148-Assumptions!$AL$148)*(D463-Assumptions!$AH$148)/(Assumptions!$P$148-Assumptions!$AH$148),Assumptions!$AM$148)))</f>
        <v>0</v>
      </c>
      <c r="N463" s="54">
        <f t="shared" si="14"/>
        <v>0</v>
      </c>
      <c r="O463" s="55">
        <f t="shared" si="15"/>
        <v>2986</v>
      </c>
      <c r="P463" s="29" t="str">
        <f>IF(D463&gt;=Assumptions!$P$148,"High",IF(D463&gt;=Assumptions!$AH$148,"Mid",IF(D463&lt;=Assumptions!$G$148,"Low","Loading")))</f>
        <v>Mid</v>
      </c>
      <c r="Q463" s="39">
        <f>MAX(K463,MIN(Assumptions!$S$148,O463),Q464)</f>
        <v>2986</v>
      </c>
      <c r="R463" s="30">
        <f>IF(AND(Q463&lt;=K463,INDEX(Assumptions!$C$26:$C$36,MATCH(G463,Assumptions!$A$26:$A$36,0))&lt;&gt;""),INDEX(Assumptions!$C$26:$C$36,MATCH(G463,Assumptions!$A$26:$A$36,0)),ROUND(G463*Q463,-2))</f>
        <v>4434200</v>
      </c>
      <c r="S463" s="56" t="str">
        <f>TRIM(IF(AND(Assumptions!$L$148&lt;&gt;"",D463&lt;Assumptions!$L$148),"View blocked / roof in front ("&amp;Assumptions!$M$148&amp;"); view premium still loading until L"&amp;Assumptions!$L$148&amp;". ","")&amp;IF(D463=Assumptions!$AH$148,"Mid-floor view premium fully loaded. ","")&amp;IF(D463=Assumptions!$P$148,"High-floor view premium fully loaded. ","")&amp;IF(Q463&lt;=K463,"At developer starting price.",""))</f>
        <v/>
      </c>
      <c r="T463" s="57" t="str">
        <f>Assumptions!$AJ$148</f>
        <v>SW, same direction as the 5BR. Direct landed estate + nature reserve; private lift</v>
      </c>
    </row>
    <row r="464" spans="1:20" x14ac:dyDescent="0.2">
      <c r="A464" s="49" t="s">
        <v>604</v>
      </c>
      <c r="B464" s="29">
        <v>5</v>
      </c>
      <c r="C464" s="50">
        <v>22</v>
      </c>
      <c r="D464" s="50">
        <v>17</v>
      </c>
      <c r="E464" s="27" t="s">
        <v>50</v>
      </c>
      <c r="F464" s="29" t="s">
        <v>591</v>
      </c>
      <c r="G464" s="28">
        <v>1485</v>
      </c>
      <c r="H464" s="29" t="s">
        <v>65</v>
      </c>
      <c r="I464" s="38" t="str">
        <f>Assumptions!$I$148</f>
        <v>A</v>
      </c>
      <c r="J464" s="29" t="str">
        <f>IF(D464&lt;=Assumptions!$V$148,"Low",IF(D464&lt;=Assumptions!$W$148,"Mid","High"))</f>
        <v>Mid</v>
      </c>
      <c r="K464" s="51">
        <f>Assumptions!$Q$148</f>
        <v>2800</v>
      </c>
      <c r="L464" s="52">
        <f>INDEX(Assumptions!$Q$61:$Q$90,D464)</f>
        <v>2957.7947368421055</v>
      </c>
      <c r="M464" s="53">
        <f>IF(D464&lt;=Assumptions!$G$148,Assumptions!$AK$148,IF(D464&lt;Assumptions!$AH$148,Assumptions!$AK$148+(Assumptions!$AL$148-Assumptions!$AK$148)*(D464-Assumptions!$G$148)/(Assumptions!$AH$148-Assumptions!$G$148),IF(D464&lt;Assumptions!$P$148,Assumptions!$AL$148+(Assumptions!$AM$148-Assumptions!$AL$148)*(D464-Assumptions!$AH$148)/(Assumptions!$P$148-Assumptions!$AH$148),Assumptions!$AM$148)))</f>
        <v>0</v>
      </c>
      <c r="N464" s="54">
        <f t="shared" si="14"/>
        <v>0</v>
      </c>
      <c r="O464" s="55">
        <f t="shared" si="15"/>
        <v>2958</v>
      </c>
      <c r="P464" s="29" t="str">
        <f>IF(D464&gt;=Assumptions!$P$148,"High",IF(D464&gt;=Assumptions!$AH$148,"Mid",IF(D464&lt;=Assumptions!$G$148,"Low","Loading")))</f>
        <v>Mid</v>
      </c>
      <c r="Q464" s="39">
        <f>MAX(K464,MIN(Assumptions!$S$148,O464),Q465)</f>
        <v>2958</v>
      </c>
      <c r="R464" s="30">
        <f>IF(AND(Q464&lt;=K464,INDEX(Assumptions!$C$26:$C$36,MATCH(G464,Assumptions!$A$26:$A$36,0))&lt;&gt;""),INDEX(Assumptions!$C$26:$C$36,MATCH(G464,Assumptions!$A$26:$A$36,0)),ROUND(G464*Q464,-2))</f>
        <v>4392600</v>
      </c>
      <c r="S464" s="56" t="str">
        <f>TRIM(IF(AND(Assumptions!$L$148&lt;&gt;"",D464&lt;Assumptions!$L$148),"View blocked / roof in front ("&amp;Assumptions!$M$148&amp;"); view premium still loading until L"&amp;Assumptions!$L$148&amp;". ","")&amp;IF(D464=Assumptions!$AH$148,"Mid-floor view premium fully loaded. ","")&amp;IF(D464=Assumptions!$P$148,"High-floor view premium fully loaded. ","")&amp;IF(Q464&lt;=K464,"At developer starting price.",""))</f>
        <v/>
      </c>
      <c r="T464" s="57" t="str">
        <f>Assumptions!$AJ$148</f>
        <v>SW, same direction as the 5BR. Direct landed estate + nature reserve; private lift</v>
      </c>
    </row>
    <row r="465" spans="1:20" x14ac:dyDescent="0.2">
      <c r="A465" s="49" t="s">
        <v>605</v>
      </c>
      <c r="B465" s="29">
        <v>5</v>
      </c>
      <c r="C465" s="50">
        <v>22</v>
      </c>
      <c r="D465" s="50">
        <v>16</v>
      </c>
      <c r="E465" s="27" t="s">
        <v>50</v>
      </c>
      <c r="F465" s="29" t="s">
        <v>591</v>
      </c>
      <c r="G465" s="28">
        <v>1485</v>
      </c>
      <c r="H465" s="29" t="s">
        <v>65</v>
      </c>
      <c r="I465" s="38" t="str">
        <f>Assumptions!$I$148</f>
        <v>A</v>
      </c>
      <c r="J465" s="29" t="str">
        <f>IF(D465&lt;=Assumptions!$V$148,"Low",IF(D465&lt;=Assumptions!$W$148,"Mid","High"))</f>
        <v>Mid</v>
      </c>
      <c r="K465" s="51">
        <f>Assumptions!$Q$148</f>
        <v>2800</v>
      </c>
      <c r="L465" s="52">
        <f>INDEX(Assumptions!$Q$61:$Q$90,D465)</f>
        <v>2929.3</v>
      </c>
      <c r="M465" s="53">
        <f>IF(D465&lt;=Assumptions!$G$148,Assumptions!$AK$148,IF(D465&lt;Assumptions!$AH$148,Assumptions!$AK$148+(Assumptions!$AL$148-Assumptions!$AK$148)*(D465-Assumptions!$G$148)/(Assumptions!$AH$148-Assumptions!$G$148),IF(D465&lt;Assumptions!$P$148,Assumptions!$AL$148+(Assumptions!$AM$148-Assumptions!$AL$148)*(D465-Assumptions!$AH$148)/(Assumptions!$P$148-Assumptions!$AH$148),Assumptions!$AM$148)))</f>
        <v>0</v>
      </c>
      <c r="N465" s="54">
        <f t="shared" si="14"/>
        <v>0</v>
      </c>
      <c r="O465" s="55">
        <f t="shared" si="15"/>
        <v>2929</v>
      </c>
      <c r="P465" s="29" t="str">
        <f>IF(D465&gt;=Assumptions!$P$148,"High",IF(D465&gt;=Assumptions!$AH$148,"Mid",IF(D465&lt;=Assumptions!$G$148,"Low","Loading")))</f>
        <v>Mid</v>
      </c>
      <c r="Q465" s="39">
        <f>MAX(K465,MIN(Assumptions!$S$148,O465),Q466)</f>
        <v>2929</v>
      </c>
      <c r="R465" s="30">
        <f>IF(AND(Q465&lt;=K465,INDEX(Assumptions!$C$26:$C$36,MATCH(G465,Assumptions!$A$26:$A$36,0))&lt;&gt;""),INDEX(Assumptions!$C$26:$C$36,MATCH(G465,Assumptions!$A$26:$A$36,0)),ROUND(G465*Q465,-2))</f>
        <v>4349600</v>
      </c>
      <c r="S465" s="56" t="str">
        <f>TRIM(IF(AND(Assumptions!$L$148&lt;&gt;"",D465&lt;Assumptions!$L$148),"View blocked / roof in front ("&amp;Assumptions!$M$148&amp;"); view premium still loading until L"&amp;Assumptions!$L$148&amp;". ","")&amp;IF(D465=Assumptions!$AH$148,"Mid-floor view premium fully loaded. ","")&amp;IF(D465=Assumptions!$P$148,"High-floor view premium fully loaded. ","")&amp;IF(Q465&lt;=K465,"At developer starting price.",""))</f>
        <v/>
      </c>
      <c r="T465" s="57" t="str">
        <f>Assumptions!$AJ$148</f>
        <v>SW, same direction as the 5BR. Direct landed estate + nature reserve; private lift</v>
      </c>
    </row>
    <row r="466" spans="1:20" x14ac:dyDescent="0.2">
      <c r="A466" s="49" t="s">
        <v>606</v>
      </c>
      <c r="B466" s="29">
        <v>5</v>
      </c>
      <c r="C466" s="50">
        <v>22</v>
      </c>
      <c r="D466" s="50">
        <v>15</v>
      </c>
      <c r="E466" s="27" t="s">
        <v>50</v>
      </c>
      <c r="F466" s="29" t="s">
        <v>591</v>
      </c>
      <c r="G466" s="28">
        <v>1485</v>
      </c>
      <c r="H466" s="29" t="s">
        <v>65</v>
      </c>
      <c r="I466" s="38" t="str">
        <f>Assumptions!$I$148</f>
        <v>A</v>
      </c>
      <c r="J466" s="29" t="str">
        <f>IF(D466&lt;=Assumptions!$V$148,"Low",IF(D466&lt;=Assumptions!$W$148,"Mid","High"))</f>
        <v>Mid</v>
      </c>
      <c r="K466" s="51">
        <f>Assumptions!$Q$148</f>
        <v>2800</v>
      </c>
      <c r="L466" s="52">
        <f>INDEX(Assumptions!$Q$61:$Q$90,D466)</f>
        <v>2919.3538461538465</v>
      </c>
      <c r="M466" s="53">
        <f>IF(D466&lt;=Assumptions!$G$148,Assumptions!$AK$148,IF(D466&lt;Assumptions!$AH$148,Assumptions!$AK$148+(Assumptions!$AL$148-Assumptions!$AK$148)*(D466-Assumptions!$G$148)/(Assumptions!$AH$148-Assumptions!$G$148),IF(D466&lt;Assumptions!$P$148,Assumptions!$AL$148+(Assumptions!$AM$148-Assumptions!$AL$148)*(D466-Assumptions!$AH$148)/(Assumptions!$P$148-Assumptions!$AH$148),Assumptions!$AM$148)))</f>
        <v>0</v>
      </c>
      <c r="N466" s="54">
        <f t="shared" si="14"/>
        <v>0</v>
      </c>
      <c r="O466" s="55">
        <f t="shared" si="15"/>
        <v>2919</v>
      </c>
      <c r="P466" s="29" t="str">
        <f>IF(D466&gt;=Assumptions!$P$148,"High",IF(D466&gt;=Assumptions!$AH$148,"Mid",IF(D466&lt;=Assumptions!$G$148,"Low","Loading")))</f>
        <v>Mid</v>
      </c>
      <c r="Q466" s="39">
        <f>MAX(K466,MIN(Assumptions!$S$148,O466),Q467)</f>
        <v>2919</v>
      </c>
      <c r="R466" s="30">
        <f>IF(AND(Q466&lt;=K466,INDEX(Assumptions!$C$26:$C$36,MATCH(G466,Assumptions!$A$26:$A$36,0))&lt;&gt;""),INDEX(Assumptions!$C$26:$C$36,MATCH(G466,Assumptions!$A$26:$A$36,0)),ROUND(G466*Q466,-2))</f>
        <v>4334700</v>
      </c>
      <c r="S466" s="56" t="str">
        <f>TRIM(IF(AND(Assumptions!$L$148&lt;&gt;"",D466&lt;Assumptions!$L$148),"View blocked / roof in front ("&amp;Assumptions!$M$148&amp;"); view premium still loading until L"&amp;Assumptions!$L$148&amp;". ","")&amp;IF(D466=Assumptions!$AH$148,"Mid-floor view premium fully loaded. ","")&amp;IF(D466=Assumptions!$P$148,"High-floor view premium fully loaded. ","")&amp;IF(Q466&lt;=K466,"At developer starting price.",""))</f>
        <v/>
      </c>
      <c r="T466" s="57" t="str">
        <f>Assumptions!$AJ$148</f>
        <v>SW, same direction as the 5BR. Direct landed estate + nature reserve; private lift</v>
      </c>
    </row>
    <row r="467" spans="1:20" x14ac:dyDescent="0.2">
      <c r="A467" s="49" t="s">
        <v>607</v>
      </c>
      <c r="B467" s="29">
        <v>5</v>
      </c>
      <c r="C467" s="50">
        <v>22</v>
      </c>
      <c r="D467" s="50">
        <v>14</v>
      </c>
      <c r="E467" s="27" t="s">
        <v>50</v>
      </c>
      <c r="F467" s="29" t="s">
        <v>591</v>
      </c>
      <c r="G467" s="28">
        <v>1485</v>
      </c>
      <c r="H467" s="29" t="s">
        <v>65</v>
      </c>
      <c r="I467" s="38" t="str">
        <f>Assumptions!$I$148</f>
        <v>A</v>
      </c>
      <c r="J467" s="29" t="str">
        <f>IF(D467&lt;=Assumptions!$V$148,"Low",IF(D467&lt;=Assumptions!$W$148,"Mid","High"))</f>
        <v>Mid</v>
      </c>
      <c r="K467" s="51">
        <f>Assumptions!$Q$148</f>
        <v>2800</v>
      </c>
      <c r="L467" s="52">
        <f>INDEX(Assumptions!$Q$61:$Q$90,D467)</f>
        <v>2909.4076923076923</v>
      </c>
      <c r="M467" s="53">
        <f>IF(D467&lt;=Assumptions!$G$148,Assumptions!$AK$148,IF(D467&lt;Assumptions!$AH$148,Assumptions!$AK$148+(Assumptions!$AL$148-Assumptions!$AK$148)*(D467-Assumptions!$G$148)/(Assumptions!$AH$148-Assumptions!$G$148),IF(D467&lt;Assumptions!$P$148,Assumptions!$AL$148+(Assumptions!$AM$148-Assumptions!$AL$148)*(D467-Assumptions!$AH$148)/(Assumptions!$P$148-Assumptions!$AH$148),Assumptions!$AM$148)))</f>
        <v>0</v>
      </c>
      <c r="N467" s="54">
        <f t="shared" si="14"/>
        <v>0</v>
      </c>
      <c r="O467" s="55">
        <f t="shared" si="15"/>
        <v>2909</v>
      </c>
      <c r="P467" s="29" t="str">
        <f>IF(D467&gt;=Assumptions!$P$148,"High",IF(D467&gt;=Assumptions!$AH$148,"Mid",IF(D467&lt;=Assumptions!$G$148,"Low","Loading")))</f>
        <v>Mid</v>
      </c>
      <c r="Q467" s="39">
        <f>MAX(K467,MIN(Assumptions!$S$148,O467),Q468)</f>
        <v>2909</v>
      </c>
      <c r="R467" s="30">
        <f>IF(AND(Q467&lt;=K467,INDEX(Assumptions!$C$26:$C$36,MATCH(G467,Assumptions!$A$26:$A$36,0))&lt;&gt;""),INDEX(Assumptions!$C$26:$C$36,MATCH(G467,Assumptions!$A$26:$A$36,0)),ROUND(G467*Q467,-2))</f>
        <v>4319900</v>
      </c>
      <c r="S467" s="56" t="str">
        <f>TRIM(IF(AND(Assumptions!$L$148&lt;&gt;"",D467&lt;Assumptions!$L$148),"View blocked / roof in front ("&amp;Assumptions!$M$148&amp;"); view premium still loading until L"&amp;Assumptions!$L$148&amp;". ","")&amp;IF(D467=Assumptions!$AH$148,"Mid-floor view premium fully loaded. ","")&amp;IF(D467=Assumptions!$P$148,"High-floor view premium fully loaded. ","")&amp;IF(Q467&lt;=K467,"At developer starting price.",""))</f>
        <v/>
      </c>
      <c r="T467" s="57" t="str">
        <f>Assumptions!$AJ$148</f>
        <v>SW, same direction as the 5BR. Direct landed estate + nature reserve; private lift</v>
      </c>
    </row>
    <row r="468" spans="1:20" x14ac:dyDescent="0.2">
      <c r="A468" s="49" t="s">
        <v>608</v>
      </c>
      <c r="B468" s="29">
        <v>5</v>
      </c>
      <c r="C468" s="50">
        <v>22</v>
      </c>
      <c r="D468" s="50">
        <v>13</v>
      </c>
      <c r="E468" s="27" t="s">
        <v>50</v>
      </c>
      <c r="F468" s="29" t="s">
        <v>591</v>
      </c>
      <c r="G468" s="28">
        <v>1485</v>
      </c>
      <c r="H468" s="29" t="s">
        <v>65</v>
      </c>
      <c r="I468" s="38" t="str">
        <f>Assumptions!$I$148</f>
        <v>A</v>
      </c>
      <c r="J468" s="29" t="str">
        <f>IF(D468&lt;=Assumptions!$V$148,"Low",IF(D468&lt;=Assumptions!$W$148,"Mid","High"))</f>
        <v>Mid</v>
      </c>
      <c r="K468" s="51">
        <f>Assumptions!$Q$148</f>
        <v>2800</v>
      </c>
      <c r="L468" s="52">
        <f>INDEX(Assumptions!$Q$61:$Q$90,D468)</f>
        <v>2899.4615384615386</v>
      </c>
      <c r="M468" s="53">
        <f>IF(D468&lt;=Assumptions!$G$148,Assumptions!$AK$148,IF(D468&lt;Assumptions!$AH$148,Assumptions!$AK$148+(Assumptions!$AL$148-Assumptions!$AK$148)*(D468-Assumptions!$G$148)/(Assumptions!$AH$148-Assumptions!$G$148),IF(D468&lt;Assumptions!$P$148,Assumptions!$AL$148+(Assumptions!$AM$148-Assumptions!$AL$148)*(D468-Assumptions!$AH$148)/(Assumptions!$P$148-Assumptions!$AH$148),Assumptions!$AM$148)))</f>
        <v>0</v>
      </c>
      <c r="N468" s="54">
        <f t="shared" si="14"/>
        <v>0</v>
      </c>
      <c r="O468" s="55">
        <f t="shared" si="15"/>
        <v>2899</v>
      </c>
      <c r="P468" s="29" t="str">
        <f>IF(D468&gt;=Assumptions!$P$148,"High",IF(D468&gt;=Assumptions!$AH$148,"Mid",IF(D468&lt;=Assumptions!$G$148,"Low","Loading")))</f>
        <v>Mid</v>
      </c>
      <c r="Q468" s="39">
        <f>MAX(K468,MIN(Assumptions!$S$148,O468),Q469)</f>
        <v>2899</v>
      </c>
      <c r="R468" s="30">
        <f>IF(AND(Q468&lt;=K468,INDEX(Assumptions!$C$26:$C$36,MATCH(G468,Assumptions!$A$26:$A$36,0))&lt;&gt;""),INDEX(Assumptions!$C$26:$C$36,MATCH(G468,Assumptions!$A$26:$A$36,0)),ROUND(G468*Q468,-2))</f>
        <v>4305000</v>
      </c>
      <c r="S468" s="56" t="str">
        <f>TRIM(IF(AND(Assumptions!$L$148&lt;&gt;"",D468&lt;Assumptions!$L$148),"View blocked / roof in front ("&amp;Assumptions!$M$148&amp;"); view premium still loading until L"&amp;Assumptions!$L$148&amp;". ","")&amp;IF(D468=Assumptions!$AH$148,"Mid-floor view premium fully loaded. ","")&amp;IF(D468=Assumptions!$P$148,"High-floor view premium fully loaded. ","")&amp;IF(Q468&lt;=K468,"At developer starting price.",""))</f>
        <v/>
      </c>
      <c r="T468" s="57" t="str">
        <f>Assumptions!$AJ$148</f>
        <v>SW, same direction as the 5BR. Direct landed estate + nature reserve; private lift</v>
      </c>
    </row>
    <row r="469" spans="1:20" x14ac:dyDescent="0.2">
      <c r="A469" s="49" t="s">
        <v>609</v>
      </c>
      <c r="B469" s="29">
        <v>5</v>
      </c>
      <c r="C469" s="50">
        <v>22</v>
      </c>
      <c r="D469" s="50">
        <v>12</v>
      </c>
      <c r="E469" s="27" t="s">
        <v>50</v>
      </c>
      <c r="F469" s="29" t="s">
        <v>591</v>
      </c>
      <c r="G469" s="28">
        <v>1485</v>
      </c>
      <c r="H469" s="29" t="s">
        <v>65</v>
      </c>
      <c r="I469" s="38" t="str">
        <f>Assumptions!$I$148</f>
        <v>A</v>
      </c>
      <c r="J469" s="29" t="str">
        <f>IF(D469&lt;=Assumptions!$V$148,"Low",IF(D469&lt;=Assumptions!$W$148,"Mid","High"))</f>
        <v>Mid</v>
      </c>
      <c r="K469" s="51">
        <f>Assumptions!$Q$148</f>
        <v>2800</v>
      </c>
      <c r="L469" s="52">
        <f>INDEX(Assumptions!$Q$61:$Q$90,D469)</f>
        <v>2889.5153846153848</v>
      </c>
      <c r="M469" s="53">
        <f>IF(D469&lt;=Assumptions!$G$148,Assumptions!$AK$148,IF(D469&lt;Assumptions!$AH$148,Assumptions!$AK$148+(Assumptions!$AL$148-Assumptions!$AK$148)*(D469-Assumptions!$G$148)/(Assumptions!$AH$148-Assumptions!$G$148),IF(D469&lt;Assumptions!$P$148,Assumptions!$AL$148+(Assumptions!$AM$148-Assumptions!$AL$148)*(D469-Assumptions!$AH$148)/(Assumptions!$P$148-Assumptions!$AH$148),Assumptions!$AM$148)))</f>
        <v>0</v>
      </c>
      <c r="N469" s="54">
        <f t="shared" si="14"/>
        <v>0</v>
      </c>
      <c r="O469" s="55">
        <f t="shared" si="15"/>
        <v>2890</v>
      </c>
      <c r="P469" s="29" t="str">
        <f>IF(D469&gt;=Assumptions!$P$148,"High",IF(D469&gt;=Assumptions!$AH$148,"Mid",IF(D469&lt;=Assumptions!$G$148,"Low","Loading")))</f>
        <v>Mid</v>
      </c>
      <c r="Q469" s="39">
        <f>MAX(K469,MIN(Assumptions!$S$148,O469),Q470)</f>
        <v>2890</v>
      </c>
      <c r="R469" s="30">
        <f>IF(AND(Q469&lt;=K469,INDEX(Assumptions!$C$26:$C$36,MATCH(G469,Assumptions!$A$26:$A$36,0))&lt;&gt;""),INDEX(Assumptions!$C$26:$C$36,MATCH(G469,Assumptions!$A$26:$A$36,0)),ROUND(G469*Q469,-2))</f>
        <v>4291700</v>
      </c>
      <c r="S469" s="56" t="str">
        <f>TRIM(IF(AND(Assumptions!$L$148&lt;&gt;"",D469&lt;Assumptions!$L$148),"View blocked / roof in front ("&amp;Assumptions!$M$148&amp;"); view premium still loading until L"&amp;Assumptions!$L$148&amp;". ","")&amp;IF(D469=Assumptions!$AH$148,"Mid-floor view premium fully loaded. ","")&amp;IF(D469=Assumptions!$P$148,"High-floor view premium fully loaded. ","")&amp;IF(Q469&lt;=K469,"At developer starting price.",""))</f>
        <v>Mid-floor view premium fully loaded.</v>
      </c>
      <c r="T469" s="57" t="str">
        <f>Assumptions!$AJ$148</f>
        <v>SW, same direction as the 5BR. Direct landed estate + nature reserve; private lift</v>
      </c>
    </row>
    <row r="470" spans="1:20" x14ac:dyDescent="0.2">
      <c r="A470" s="49" t="s">
        <v>610</v>
      </c>
      <c r="B470" s="29">
        <v>5</v>
      </c>
      <c r="C470" s="50">
        <v>22</v>
      </c>
      <c r="D470" s="50">
        <v>11</v>
      </c>
      <c r="E470" s="27" t="s">
        <v>50</v>
      </c>
      <c r="F470" s="29" t="s">
        <v>591</v>
      </c>
      <c r="G470" s="28">
        <v>1485</v>
      </c>
      <c r="H470" s="29" t="s">
        <v>65</v>
      </c>
      <c r="I470" s="38" t="str">
        <f>Assumptions!$I$148</f>
        <v>A</v>
      </c>
      <c r="J470" s="29" t="str">
        <f>IF(D470&lt;=Assumptions!$V$148,"Low",IF(D470&lt;=Assumptions!$W$148,"Mid","High"))</f>
        <v>Low</v>
      </c>
      <c r="K470" s="51">
        <f>Assumptions!$Q$148</f>
        <v>2800</v>
      </c>
      <c r="L470" s="52">
        <f>INDEX(Assumptions!$Q$61:$Q$90,D470)</f>
        <v>2879.5692307692307</v>
      </c>
      <c r="M470" s="53">
        <f>IF(D470&lt;=Assumptions!$G$148,Assumptions!$AK$148,IF(D470&lt;Assumptions!$AH$148,Assumptions!$AK$148+(Assumptions!$AL$148-Assumptions!$AK$148)*(D470-Assumptions!$G$148)/(Assumptions!$AH$148-Assumptions!$G$148),IF(D470&lt;Assumptions!$P$148,Assumptions!$AL$148+(Assumptions!$AM$148-Assumptions!$AL$148)*(D470-Assumptions!$AH$148)/(Assumptions!$P$148-Assumptions!$AH$148),Assumptions!$AM$148)))</f>
        <v>0</v>
      </c>
      <c r="N470" s="54">
        <f t="shared" si="14"/>
        <v>0</v>
      </c>
      <c r="O470" s="55">
        <f t="shared" si="15"/>
        <v>2880</v>
      </c>
      <c r="P470" s="29" t="str">
        <f>IF(D470&gt;=Assumptions!$P$148,"High",IF(D470&gt;=Assumptions!$AH$148,"Mid",IF(D470&lt;=Assumptions!$G$148,"Low","Loading")))</f>
        <v>Loading</v>
      </c>
      <c r="Q470" s="39">
        <f>MAX(K470,MIN(Assumptions!$S$148,O470),Q471)</f>
        <v>2880</v>
      </c>
      <c r="R470" s="30">
        <f>IF(AND(Q470&lt;=K470,INDEX(Assumptions!$C$26:$C$36,MATCH(G470,Assumptions!$A$26:$A$36,0))&lt;&gt;""),INDEX(Assumptions!$C$26:$C$36,MATCH(G470,Assumptions!$A$26:$A$36,0)),ROUND(G470*Q470,-2))</f>
        <v>4276800</v>
      </c>
      <c r="S470" s="56" t="str">
        <f>TRIM(IF(AND(Assumptions!$L$148&lt;&gt;"",D470&lt;Assumptions!$L$148),"View blocked / roof in front ("&amp;Assumptions!$M$148&amp;"); view premium still loading until L"&amp;Assumptions!$L$148&amp;". ","")&amp;IF(D470=Assumptions!$AH$148,"Mid-floor view premium fully loaded. ","")&amp;IF(D470=Assumptions!$P$148,"High-floor view premium fully loaded. ","")&amp;IF(Q470&lt;=K470,"At developer starting price.",""))</f>
        <v/>
      </c>
      <c r="T470" s="57" t="str">
        <f>Assumptions!$AJ$148</f>
        <v>SW, same direction as the 5BR. Direct landed estate + nature reserve; private lift</v>
      </c>
    </row>
    <row r="471" spans="1:20" x14ac:dyDescent="0.2">
      <c r="A471" s="49" t="s">
        <v>611</v>
      </c>
      <c r="B471" s="29">
        <v>5</v>
      </c>
      <c r="C471" s="50">
        <v>22</v>
      </c>
      <c r="D471" s="50">
        <v>10</v>
      </c>
      <c r="E471" s="27" t="s">
        <v>50</v>
      </c>
      <c r="F471" s="29" t="s">
        <v>591</v>
      </c>
      <c r="G471" s="28">
        <v>1485</v>
      </c>
      <c r="H471" s="29" t="s">
        <v>65</v>
      </c>
      <c r="I471" s="38" t="str">
        <f>Assumptions!$I$148</f>
        <v>A</v>
      </c>
      <c r="J471" s="29" t="str">
        <f>IF(D471&lt;=Assumptions!$V$148,"Low",IF(D471&lt;=Assumptions!$W$148,"Mid","High"))</f>
        <v>Low</v>
      </c>
      <c r="K471" s="51">
        <f>Assumptions!$Q$148</f>
        <v>2800</v>
      </c>
      <c r="L471" s="52">
        <f>INDEX(Assumptions!$Q$61:$Q$90,D471)</f>
        <v>2869.623076923077</v>
      </c>
      <c r="M471" s="53">
        <f>IF(D471&lt;=Assumptions!$G$148,Assumptions!$AK$148,IF(D471&lt;Assumptions!$AH$148,Assumptions!$AK$148+(Assumptions!$AL$148-Assumptions!$AK$148)*(D471-Assumptions!$G$148)/(Assumptions!$AH$148-Assumptions!$G$148),IF(D471&lt;Assumptions!$P$148,Assumptions!$AL$148+(Assumptions!$AM$148-Assumptions!$AL$148)*(D471-Assumptions!$AH$148)/(Assumptions!$P$148-Assumptions!$AH$148),Assumptions!$AM$148)))</f>
        <v>0</v>
      </c>
      <c r="N471" s="54">
        <f t="shared" si="14"/>
        <v>0</v>
      </c>
      <c r="O471" s="55">
        <f t="shared" si="15"/>
        <v>2870</v>
      </c>
      <c r="P471" s="29" t="str">
        <f>IF(D471&gt;=Assumptions!$P$148,"High",IF(D471&gt;=Assumptions!$AH$148,"Mid",IF(D471&lt;=Assumptions!$G$148,"Low","Loading")))</f>
        <v>Loading</v>
      </c>
      <c r="Q471" s="39">
        <f>MAX(K471,MIN(Assumptions!$S$148,O471),Q472)</f>
        <v>2870</v>
      </c>
      <c r="R471" s="30">
        <f>IF(AND(Q471&lt;=K471,INDEX(Assumptions!$C$26:$C$36,MATCH(G471,Assumptions!$A$26:$A$36,0))&lt;&gt;""),INDEX(Assumptions!$C$26:$C$36,MATCH(G471,Assumptions!$A$26:$A$36,0)),ROUND(G471*Q471,-2))</f>
        <v>4262000</v>
      </c>
      <c r="S471" s="56" t="str">
        <f>TRIM(IF(AND(Assumptions!$L$148&lt;&gt;"",D471&lt;Assumptions!$L$148),"View blocked / roof in front ("&amp;Assumptions!$M$148&amp;"); view premium still loading until L"&amp;Assumptions!$L$148&amp;". ","")&amp;IF(D471=Assumptions!$AH$148,"Mid-floor view premium fully loaded. ","")&amp;IF(D471=Assumptions!$P$148,"High-floor view premium fully loaded. ","")&amp;IF(Q471&lt;=K471,"At developer starting price.",""))</f>
        <v/>
      </c>
      <c r="T471" s="57" t="str">
        <f>Assumptions!$AJ$148</f>
        <v>SW, same direction as the 5BR. Direct landed estate + nature reserve; private lift</v>
      </c>
    </row>
    <row r="472" spans="1:20" x14ac:dyDescent="0.2">
      <c r="A472" s="49" t="s">
        <v>612</v>
      </c>
      <c r="B472" s="29">
        <v>5</v>
      </c>
      <c r="C472" s="50">
        <v>22</v>
      </c>
      <c r="D472" s="50">
        <v>9</v>
      </c>
      <c r="E472" s="27" t="s">
        <v>50</v>
      </c>
      <c r="F472" s="29" t="s">
        <v>591</v>
      </c>
      <c r="G472" s="28">
        <v>1485</v>
      </c>
      <c r="H472" s="29" t="s">
        <v>65</v>
      </c>
      <c r="I472" s="38" t="str">
        <f>Assumptions!$I$148</f>
        <v>A</v>
      </c>
      <c r="J472" s="29" t="str">
        <f>IF(D472&lt;=Assumptions!$V$148,"Low",IF(D472&lt;=Assumptions!$W$148,"Mid","High"))</f>
        <v>Low</v>
      </c>
      <c r="K472" s="51">
        <f>Assumptions!$Q$148</f>
        <v>2800</v>
      </c>
      <c r="L472" s="52">
        <f>INDEX(Assumptions!$Q$61:$Q$90,D472)</f>
        <v>2859.6769230769232</v>
      </c>
      <c r="M472" s="53">
        <f>IF(D472&lt;=Assumptions!$G$148,Assumptions!$AK$148,IF(D472&lt;Assumptions!$AH$148,Assumptions!$AK$148+(Assumptions!$AL$148-Assumptions!$AK$148)*(D472-Assumptions!$G$148)/(Assumptions!$AH$148-Assumptions!$G$148),IF(D472&lt;Assumptions!$P$148,Assumptions!$AL$148+(Assumptions!$AM$148-Assumptions!$AL$148)*(D472-Assumptions!$AH$148)/(Assumptions!$P$148-Assumptions!$AH$148),Assumptions!$AM$148)))</f>
        <v>0</v>
      </c>
      <c r="N472" s="54">
        <f t="shared" si="14"/>
        <v>0</v>
      </c>
      <c r="O472" s="55">
        <f t="shared" si="15"/>
        <v>2860</v>
      </c>
      <c r="P472" s="29" t="str">
        <f>IF(D472&gt;=Assumptions!$P$148,"High",IF(D472&gt;=Assumptions!$AH$148,"Mid",IF(D472&lt;=Assumptions!$G$148,"Low","Loading")))</f>
        <v>Loading</v>
      </c>
      <c r="Q472" s="39">
        <f>MAX(K472,MIN(Assumptions!$S$148,O472),Q473)</f>
        <v>2860</v>
      </c>
      <c r="R472" s="30">
        <f>IF(AND(Q472&lt;=K472,INDEX(Assumptions!$C$26:$C$36,MATCH(G472,Assumptions!$A$26:$A$36,0))&lt;&gt;""),INDEX(Assumptions!$C$26:$C$36,MATCH(G472,Assumptions!$A$26:$A$36,0)),ROUND(G472*Q472,-2))</f>
        <v>4247100</v>
      </c>
      <c r="S472" s="56" t="str">
        <f>TRIM(IF(AND(Assumptions!$L$148&lt;&gt;"",D472&lt;Assumptions!$L$148),"View blocked / roof in front ("&amp;Assumptions!$M$148&amp;"); view premium still loading until L"&amp;Assumptions!$L$148&amp;". ","")&amp;IF(D472=Assumptions!$AH$148,"Mid-floor view premium fully loaded. ","")&amp;IF(D472=Assumptions!$P$148,"High-floor view premium fully loaded. ","")&amp;IF(Q472&lt;=K472,"At developer starting price.",""))</f>
        <v/>
      </c>
      <c r="T472" s="57" t="str">
        <f>Assumptions!$AJ$148</f>
        <v>SW, same direction as the 5BR. Direct landed estate + nature reserve; private lift</v>
      </c>
    </row>
    <row r="473" spans="1:20" x14ac:dyDescent="0.2">
      <c r="A473" s="49" t="s">
        <v>613</v>
      </c>
      <c r="B473" s="29">
        <v>5</v>
      </c>
      <c r="C473" s="50">
        <v>22</v>
      </c>
      <c r="D473" s="50">
        <v>8</v>
      </c>
      <c r="E473" s="27" t="s">
        <v>50</v>
      </c>
      <c r="F473" s="29" t="s">
        <v>591</v>
      </c>
      <c r="G473" s="28">
        <v>1485</v>
      </c>
      <c r="H473" s="29" t="s">
        <v>65</v>
      </c>
      <c r="I473" s="38" t="str">
        <f>Assumptions!$I$148</f>
        <v>A</v>
      </c>
      <c r="J473" s="29" t="str">
        <f>IF(D473&lt;=Assumptions!$V$148,"Low",IF(D473&lt;=Assumptions!$W$148,"Mid","High"))</f>
        <v>Low</v>
      </c>
      <c r="K473" s="51">
        <f>Assumptions!$Q$148</f>
        <v>2800</v>
      </c>
      <c r="L473" s="52">
        <f>INDEX(Assumptions!$Q$61:$Q$90,D473)</f>
        <v>2849.7307692307695</v>
      </c>
      <c r="M473" s="53">
        <f>IF(D473&lt;=Assumptions!$G$148,Assumptions!$AK$148,IF(D473&lt;Assumptions!$AH$148,Assumptions!$AK$148+(Assumptions!$AL$148-Assumptions!$AK$148)*(D473-Assumptions!$G$148)/(Assumptions!$AH$148-Assumptions!$G$148),IF(D473&lt;Assumptions!$P$148,Assumptions!$AL$148+(Assumptions!$AM$148-Assumptions!$AL$148)*(D473-Assumptions!$AH$148)/(Assumptions!$P$148-Assumptions!$AH$148),Assumptions!$AM$148)))</f>
        <v>0</v>
      </c>
      <c r="N473" s="54">
        <f t="shared" si="14"/>
        <v>0</v>
      </c>
      <c r="O473" s="55">
        <f t="shared" si="15"/>
        <v>2850</v>
      </c>
      <c r="P473" s="29" t="str">
        <f>IF(D473&gt;=Assumptions!$P$148,"High",IF(D473&gt;=Assumptions!$AH$148,"Mid",IF(D473&lt;=Assumptions!$G$148,"Low","Loading")))</f>
        <v>Loading</v>
      </c>
      <c r="Q473" s="39">
        <f>MAX(K473,MIN(Assumptions!$S$148,O473),Q474)</f>
        <v>2850</v>
      </c>
      <c r="R473" s="30">
        <f>IF(AND(Q473&lt;=K473,INDEX(Assumptions!$C$26:$C$36,MATCH(G473,Assumptions!$A$26:$A$36,0))&lt;&gt;""),INDEX(Assumptions!$C$26:$C$36,MATCH(G473,Assumptions!$A$26:$A$36,0)),ROUND(G473*Q473,-2))</f>
        <v>4232300</v>
      </c>
      <c r="S473" s="56" t="str">
        <f>TRIM(IF(AND(Assumptions!$L$148&lt;&gt;"",D473&lt;Assumptions!$L$148),"View blocked / roof in front ("&amp;Assumptions!$M$148&amp;"); view premium still loading until L"&amp;Assumptions!$L$148&amp;". ","")&amp;IF(D473=Assumptions!$AH$148,"Mid-floor view premium fully loaded. ","")&amp;IF(D473=Assumptions!$P$148,"High-floor view premium fully loaded. ","")&amp;IF(Q473&lt;=K473,"At developer starting price.",""))</f>
        <v/>
      </c>
      <c r="T473" s="57" t="str">
        <f>Assumptions!$AJ$148</f>
        <v>SW, same direction as the 5BR. Direct landed estate + nature reserve; private lift</v>
      </c>
    </row>
    <row r="474" spans="1:20" x14ac:dyDescent="0.2">
      <c r="A474" s="49" t="s">
        <v>614</v>
      </c>
      <c r="B474" s="29">
        <v>5</v>
      </c>
      <c r="C474" s="50">
        <v>22</v>
      </c>
      <c r="D474" s="50">
        <v>7</v>
      </c>
      <c r="E474" s="27" t="s">
        <v>50</v>
      </c>
      <c r="F474" s="29" t="s">
        <v>591</v>
      </c>
      <c r="G474" s="28">
        <v>1485</v>
      </c>
      <c r="H474" s="29" t="s">
        <v>65</v>
      </c>
      <c r="I474" s="38" t="str">
        <f>Assumptions!$I$148</f>
        <v>A</v>
      </c>
      <c r="J474" s="29" t="str">
        <f>IF(D474&lt;=Assumptions!$V$148,"Low",IF(D474&lt;=Assumptions!$W$148,"Mid","High"))</f>
        <v>Low</v>
      </c>
      <c r="K474" s="51">
        <f>Assumptions!$Q$148</f>
        <v>2800</v>
      </c>
      <c r="L474" s="52">
        <f>INDEX(Assumptions!$Q$61:$Q$90,D474)</f>
        <v>2839.7846153846153</v>
      </c>
      <c r="M474" s="53">
        <f>IF(D474&lt;=Assumptions!$G$148,Assumptions!$AK$148,IF(D474&lt;Assumptions!$AH$148,Assumptions!$AK$148+(Assumptions!$AL$148-Assumptions!$AK$148)*(D474-Assumptions!$G$148)/(Assumptions!$AH$148-Assumptions!$G$148),IF(D474&lt;Assumptions!$P$148,Assumptions!$AL$148+(Assumptions!$AM$148-Assumptions!$AL$148)*(D474-Assumptions!$AH$148)/(Assumptions!$P$148-Assumptions!$AH$148),Assumptions!$AM$148)))</f>
        <v>0</v>
      </c>
      <c r="N474" s="54">
        <f t="shared" si="14"/>
        <v>0</v>
      </c>
      <c r="O474" s="55">
        <f t="shared" si="15"/>
        <v>2840</v>
      </c>
      <c r="P474" s="29" t="str">
        <f>IF(D474&gt;=Assumptions!$P$148,"High",IF(D474&gt;=Assumptions!$AH$148,"Mid",IF(D474&lt;=Assumptions!$G$148,"Low","Loading")))</f>
        <v>Loading</v>
      </c>
      <c r="Q474" s="39">
        <f>MAX(K474,MIN(Assumptions!$S$148,O474),Q475)</f>
        <v>2840</v>
      </c>
      <c r="R474" s="30">
        <f>IF(AND(Q474&lt;=K474,INDEX(Assumptions!$C$26:$C$36,MATCH(G474,Assumptions!$A$26:$A$36,0))&lt;&gt;""),INDEX(Assumptions!$C$26:$C$36,MATCH(G474,Assumptions!$A$26:$A$36,0)),ROUND(G474*Q474,-2))</f>
        <v>4217400</v>
      </c>
      <c r="S474" s="56" t="str">
        <f>TRIM(IF(AND(Assumptions!$L$148&lt;&gt;"",D474&lt;Assumptions!$L$148),"View blocked / roof in front ("&amp;Assumptions!$M$148&amp;"); view premium still loading until L"&amp;Assumptions!$L$148&amp;". ","")&amp;IF(D474=Assumptions!$AH$148,"Mid-floor view premium fully loaded. ","")&amp;IF(D474=Assumptions!$P$148,"High-floor view premium fully loaded. ","")&amp;IF(Q474&lt;=K474,"At developer starting price.",""))</f>
        <v/>
      </c>
      <c r="T474" s="57" t="str">
        <f>Assumptions!$AJ$148</f>
        <v>SW, same direction as the 5BR. Direct landed estate + nature reserve; private lift</v>
      </c>
    </row>
    <row r="475" spans="1:20" x14ac:dyDescent="0.2">
      <c r="A475" s="49" t="s">
        <v>615</v>
      </c>
      <c r="B475" s="29">
        <v>5</v>
      </c>
      <c r="C475" s="50">
        <v>22</v>
      </c>
      <c r="D475" s="50">
        <v>6</v>
      </c>
      <c r="E475" s="27" t="s">
        <v>50</v>
      </c>
      <c r="F475" s="29" t="s">
        <v>591</v>
      </c>
      <c r="G475" s="28">
        <v>1485</v>
      </c>
      <c r="H475" s="29" t="s">
        <v>65</v>
      </c>
      <c r="I475" s="38" t="str">
        <f>Assumptions!$I$148</f>
        <v>A</v>
      </c>
      <c r="J475" s="29" t="str">
        <f>IF(D475&lt;=Assumptions!$V$148,"Low",IF(D475&lt;=Assumptions!$W$148,"Mid","High"))</f>
        <v>Low</v>
      </c>
      <c r="K475" s="51">
        <f>Assumptions!$Q$148</f>
        <v>2800</v>
      </c>
      <c r="L475" s="52">
        <f>INDEX(Assumptions!$Q$61:$Q$90,D475)</f>
        <v>2829.8384615384616</v>
      </c>
      <c r="M475" s="53">
        <f>IF(D475&lt;=Assumptions!$G$148,Assumptions!$AK$148,IF(D475&lt;Assumptions!$AH$148,Assumptions!$AK$148+(Assumptions!$AL$148-Assumptions!$AK$148)*(D475-Assumptions!$G$148)/(Assumptions!$AH$148-Assumptions!$G$148),IF(D475&lt;Assumptions!$P$148,Assumptions!$AL$148+(Assumptions!$AM$148-Assumptions!$AL$148)*(D475-Assumptions!$AH$148)/(Assumptions!$P$148-Assumptions!$AH$148),Assumptions!$AM$148)))</f>
        <v>0</v>
      </c>
      <c r="N475" s="54">
        <f t="shared" si="14"/>
        <v>0</v>
      </c>
      <c r="O475" s="55">
        <f t="shared" si="15"/>
        <v>2830</v>
      </c>
      <c r="P475" s="29" t="str">
        <f>IF(D475&gt;=Assumptions!$P$148,"High",IF(D475&gt;=Assumptions!$AH$148,"Mid",IF(D475&lt;=Assumptions!$G$148,"Low","Loading")))</f>
        <v>Loading</v>
      </c>
      <c r="Q475" s="39">
        <f>MAX(K475,MIN(Assumptions!$S$148,O475),Q476)</f>
        <v>2830</v>
      </c>
      <c r="R475" s="30">
        <f>IF(AND(Q475&lt;=K475,INDEX(Assumptions!$C$26:$C$36,MATCH(G475,Assumptions!$A$26:$A$36,0))&lt;&gt;""),INDEX(Assumptions!$C$26:$C$36,MATCH(G475,Assumptions!$A$26:$A$36,0)),ROUND(G475*Q475,-2))</f>
        <v>4202600</v>
      </c>
      <c r="S475" s="56" t="str">
        <f>TRIM(IF(AND(Assumptions!$L$148&lt;&gt;"",D475&lt;Assumptions!$L$148),"View blocked / roof in front ("&amp;Assumptions!$M$148&amp;"); view premium still loading until L"&amp;Assumptions!$L$148&amp;". ","")&amp;IF(D475=Assumptions!$AH$148,"Mid-floor view premium fully loaded. ","")&amp;IF(D475=Assumptions!$P$148,"High-floor view premium fully loaded. ","")&amp;IF(Q475&lt;=K475,"At developer starting price.",""))</f>
        <v/>
      </c>
      <c r="T475" s="57" t="str">
        <f>Assumptions!$AJ$148</f>
        <v>SW, same direction as the 5BR. Direct landed estate + nature reserve; private lift</v>
      </c>
    </row>
    <row r="476" spans="1:20" x14ac:dyDescent="0.2">
      <c r="A476" s="49" t="s">
        <v>616</v>
      </c>
      <c r="B476" s="29">
        <v>5</v>
      </c>
      <c r="C476" s="50">
        <v>22</v>
      </c>
      <c r="D476" s="50">
        <v>5</v>
      </c>
      <c r="E476" s="27" t="s">
        <v>50</v>
      </c>
      <c r="F476" s="29" t="s">
        <v>591</v>
      </c>
      <c r="G476" s="28">
        <v>1485</v>
      </c>
      <c r="H476" s="29" t="s">
        <v>65</v>
      </c>
      <c r="I476" s="38" t="str">
        <f>Assumptions!$I$148</f>
        <v>A</v>
      </c>
      <c r="J476" s="29" t="str">
        <f>IF(D476&lt;=Assumptions!$V$148,"Low",IF(D476&lt;=Assumptions!$W$148,"Mid","High"))</f>
        <v>Low</v>
      </c>
      <c r="K476" s="51">
        <f>Assumptions!$Q$148</f>
        <v>2800</v>
      </c>
      <c r="L476" s="52">
        <f>INDEX(Assumptions!$Q$61:$Q$90,D476)</f>
        <v>2819.8923076923079</v>
      </c>
      <c r="M476" s="53">
        <f>IF(D476&lt;=Assumptions!$G$148,Assumptions!$AK$148,IF(D476&lt;Assumptions!$AH$148,Assumptions!$AK$148+(Assumptions!$AL$148-Assumptions!$AK$148)*(D476-Assumptions!$G$148)/(Assumptions!$AH$148-Assumptions!$G$148),IF(D476&lt;Assumptions!$P$148,Assumptions!$AL$148+(Assumptions!$AM$148-Assumptions!$AL$148)*(D476-Assumptions!$AH$148)/(Assumptions!$P$148-Assumptions!$AH$148),Assumptions!$AM$148)))</f>
        <v>0</v>
      </c>
      <c r="N476" s="54">
        <f t="shared" si="14"/>
        <v>0</v>
      </c>
      <c r="O476" s="55">
        <f t="shared" si="15"/>
        <v>2820</v>
      </c>
      <c r="P476" s="29" t="str">
        <f>IF(D476&gt;=Assumptions!$P$148,"High",IF(D476&gt;=Assumptions!$AH$148,"Mid",IF(D476&lt;=Assumptions!$G$148,"Low","Loading")))</f>
        <v>Loading</v>
      </c>
      <c r="Q476" s="39">
        <f>MAX(K476,MIN(Assumptions!$S$148,O476),Q477)</f>
        <v>2820</v>
      </c>
      <c r="R476" s="30">
        <f>IF(AND(Q476&lt;=K476,INDEX(Assumptions!$C$26:$C$36,MATCH(G476,Assumptions!$A$26:$A$36,0))&lt;&gt;""),INDEX(Assumptions!$C$26:$C$36,MATCH(G476,Assumptions!$A$26:$A$36,0)),ROUND(G476*Q476,-2))</f>
        <v>4187700</v>
      </c>
      <c r="S476" s="56" t="str">
        <f>TRIM(IF(AND(Assumptions!$L$148&lt;&gt;"",D476&lt;Assumptions!$L$148),"View blocked / roof in front ("&amp;Assumptions!$M$148&amp;"); view premium still loading until L"&amp;Assumptions!$L$148&amp;". ","")&amp;IF(D476=Assumptions!$AH$148,"Mid-floor view premium fully loaded. ","")&amp;IF(D476=Assumptions!$P$148,"High-floor view premium fully loaded. ","")&amp;IF(Q476&lt;=K476,"At developer starting price.",""))</f>
        <v/>
      </c>
      <c r="T476" s="57" t="str">
        <f>Assumptions!$AJ$148</f>
        <v>SW, same direction as the 5BR. Direct landed estate + nature reserve; private lift</v>
      </c>
    </row>
    <row r="477" spans="1:20" x14ac:dyDescent="0.2">
      <c r="A477" s="49" t="s">
        <v>617</v>
      </c>
      <c r="B477" s="29">
        <v>5</v>
      </c>
      <c r="C477" s="50">
        <v>22</v>
      </c>
      <c r="D477" s="50">
        <v>4</v>
      </c>
      <c r="E477" s="27" t="s">
        <v>50</v>
      </c>
      <c r="F477" s="29" t="s">
        <v>591</v>
      </c>
      <c r="G477" s="28">
        <v>1485</v>
      </c>
      <c r="H477" s="29" t="s">
        <v>65</v>
      </c>
      <c r="I477" s="38" t="str">
        <f>Assumptions!$I$148</f>
        <v>A</v>
      </c>
      <c r="J477" s="29" t="str">
        <f>IF(D477&lt;=Assumptions!$V$148,"Low",IF(D477&lt;=Assumptions!$W$148,"Mid","High"))</f>
        <v>Low</v>
      </c>
      <c r="K477" s="51">
        <f>Assumptions!$Q$148</f>
        <v>2800</v>
      </c>
      <c r="L477" s="52">
        <f>INDEX(Assumptions!$Q$61:$Q$90,D477)</f>
        <v>2809.9461538461537</v>
      </c>
      <c r="M477" s="53">
        <f>IF(D477&lt;=Assumptions!$G$148,Assumptions!$AK$148,IF(D477&lt;Assumptions!$AH$148,Assumptions!$AK$148+(Assumptions!$AL$148-Assumptions!$AK$148)*(D477-Assumptions!$G$148)/(Assumptions!$AH$148-Assumptions!$G$148),IF(D477&lt;Assumptions!$P$148,Assumptions!$AL$148+(Assumptions!$AM$148-Assumptions!$AL$148)*(D477-Assumptions!$AH$148)/(Assumptions!$P$148-Assumptions!$AH$148),Assumptions!$AM$148)))</f>
        <v>0</v>
      </c>
      <c r="N477" s="54">
        <f t="shared" si="14"/>
        <v>0</v>
      </c>
      <c r="O477" s="55">
        <f t="shared" si="15"/>
        <v>2810</v>
      </c>
      <c r="P477" s="29" t="str">
        <f>IF(D477&gt;=Assumptions!$P$148,"High",IF(D477&gt;=Assumptions!$AH$148,"Mid",IF(D477&lt;=Assumptions!$G$148,"Low","Loading")))</f>
        <v>Loading</v>
      </c>
      <c r="Q477" s="39">
        <f>MAX(K477,MIN(Assumptions!$S$148,O477),Q478)</f>
        <v>2810</v>
      </c>
      <c r="R477" s="30">
        <f>IF(AND(Q477&lt;=K477,INDEX(Assumptions!$C$26:$C$36,MATCH(G477,Assumptions!$A$26:$A$36,0))&lt;&gt;""),INDEX(Assumptions!$C$26:$C$36,MATCH(G477,Assumptions!$A$26:$A$36,0)),ROUND(G477*Q477,-2))</f>
        <v>4172900</v>
      </c>
      <c r="S477" s="56" t="str">
        <f>TRIM(IF(AND(Assumptions!$L$148&lt;&gt;"",D477&lt;Assumptions!$L$148),"View blocked / roof in front ("&amp;Assumptions!$M$148&amp;"); view premium still loading until L"&amp;Assumptions!$L$148&amp;". ","")&amp;IF(D477=Assumptions!$AH$148,"Mid-floor view premium fully loaded. ","")&amp;IF(D477=Assumptions!$P$148,"High-floor view premium fully loaded. ","")&amp;IF(Q477&lt;=K477,"At developer starting price.",""))</f>
        <v/>
      </c>
      <c r="T477" s="57" t="str">
        <f>Assumptions!$AJ$148</f>
        <v>SW, same direction as the 5BR. Direct landed estate + nature reserve; private lift</v>
      </c>
    </row>
    <row r="478" spans="1:20" x14ac:dyDescent="0.2">
      <c r="A478" s="49" t="s">
        <v>618</v>
      </c>
      <c r="B478" s="29">
        <v>5</v>
      </c>
      <c r="C478" s="50">
        <v>22</v>
      </c>
      <c r="D478" s="50">
        <v>3</v>
      </c>
      <c r="E478" s="27" t="s">
        <v>50</v>
      </c>
      <c r="F478" s="29" t="s">
        <v>591</v>
      </c>
      <c r="G478" s="28">
        <v>1485</v>
      </c>
      <c r="H478" s="29" t="s">
        <v>65</v>
      </c>
      <c r="I478" s="38" t="str">
        <f>Assumptions!$I$148</f>
        <v>A</v>
      </c>
      <c r="J478" s="29" t="str">
        <f>IF(D478&lt;=Assumptions!$V$148,"Low",IF(D478&lt;=Assumptions!$W$148,"Mid","High"))</f>
        <v>Low</v>
      </c>
      <c r="K478" s="51">
        <f>Assumptions!$Q$148</f>
        <v>2800</v>
      </c>
      <c r="L478" s="52">
        <f>INDEX(Assumptions!$Q$61:$Q$90,D478)</f>
        <v>2800</v>
      </c>
      <c r="M478" s="53">
        <f>IF(D478&lt;=Assumptions!$G$148,Assumptions!$AK$148,IF(D478&lt;Assumptions!$AH$148,Assumptions!$AK$148+(Assumptions!$AL$148-Assumptions!$AK$148)*(D478-Assumptions!$G$148)/(Assumptions!$AH$148-Assumptions!$G$148),IF(D478&lt;Assumptions!$P$148,Assumptions!$AL$148+(Assumptions!$AM$148-Assumptions!$AL$148)*(D478-Assumptions!$AH$148)/(Assumptions!$P$148-Assumptions!$AH$148),Assumptions!$AM$148)))</f>
        <v>0</v>
      </c>
      <c r="N478" s="54">
        <f t="shared" si="14"/>
        <v>0</v>
      </c>
      <c r="O478" s="55">
        <f t="shared" si="15"/>
        <v>2800</v>
      </c>
      <c r="P478" s="29" t="str">
        <f>IF(D478&gt;=Assumptions!$P$148,"High",IF(D478&gt;=Assumptions!$AH$148,"Mid",IF(D478&lt;=Assumptions!$G$148,"Low","Loading")))</f>
        <v>Low</v>
      </c>
      <c r="Q478" s="39">
        <f>MAX(K478,MIN(Assumptions!$S$148,O478))</f>
        <v>2800</v>
      </c>
      <c r="R478" s="30">
        <f>IF(AND(Q478&lt;=K478,INDEX(Assumptions!$C$26:$C$36,MATCH(G478,Assumptions!$A$26:$A$36,0))&lt;&gt;""),INDEX(Assumptions!$C$26:$C$36,MATCH(G478,Assumptions!$A$26:$A$36,0)),ROUND(G478*Q478,-2))</f>
        <v>4158000</v>
      </c>
      <c r="S478" s="56" t="str">
        <f>TRIM(IF(AND(Assumptions!$L$148&lt;&gt;"",D478&lt;Assumptions!$L$148),"View blocked / roof in front ("&amp;Assumptions!$M$148&amp;"); view premium still loading until L"&amp;Assumptions!$L$148&amp;". ","")&amp;IF(D478=Assumptions!$AH$148,"Mid-floor view premium fully loaded. ","")&amp;IF(D478=Assumptions!$P$148,"High-floor view premium fully loaded. ","")&amp;IF(Q478&lt;=K478,"At developer starting price.",""))</f>
        <v>At developer starting price.</v>
      </c>
      <c r="T478" s="57" t="str">
        <f>Assumptions!$AJ$148</f>
        <v>SW, same direction as the 5BR. Direct landed estate + nature reserve; private lift</v>
      </c>
    </row>
    <row r="479" spans="1:20" x14ac:dyDescent="0.2">
      <c r="A479" s="49" t="s">
        <v>619</v>
      </c>
      <c r="B479" s="29">
        <v>5</v>
      </c>
      <c r="C479" s="50">
        <v>23</v>
      </c>
      <c r="D479" s="50">
        <v>30</v>
      </c>
      <c r="E479" s="27" t="s">
        <v>45</v>
      </c>
      <c r="F479" s="29" t="s">
        <v>620</v>
      </c>
      <c r="G479" s="28">
        <v>947</v>
      </c>
      <c r="H479" s="29" t="s">
        <v>65</v>
      </c>
      <c r="I479" s="38" t="str">
        <f>Assumptions!$I$149</f>
        <v>B</v>
      </c>
      <c r="J479" s="29" t="str">
        <f>IF(D479&lt;=Assumptions!$V$149,"Low",IF(D479&lt;=Assumptions!$W$149,"Mid","High"))</f>
        <v>High</v>
      </c>
      <c r="K479" s="51">
        <f>Assumptions!$Q$149</f>
        <v>2642</v>
      </c>
      <c r="L479" s="52">
        <f>INDEX(Assumptions!$J$61:$J$90,D479)</f>
        <v>3280.7973684210524</v>
      </c>
      <c r="M479" s="53">
        <f>IF(D479&lt;=Assumptions!$G$149,Assumptions!$AK$149,IF(D479&lt;Assumptions!$AH$149,Assumptions!$AK$149+(Assumptions!$AL$149-Assumptions!$AK$149)*(D479-Assumptions!$G$149)/(Assumptions!$AH$149-Assumptions!$G$149),IF(D479&lt;Assumptions!$P$149,Assumptions!$AL$149+(Assumptions!$AM$149-Assumptions!$AL$149)*(D479-Assumptions!$AH$149)/(Assumptions!$P$149-Assumptions!$AH$149),Assumptions!$AM$149)))</f>
        <v>0</v>
      </c>
      <c r="N479" s="54">
        <f t="shared" si="14"/>
        <v>0</v>
      </c>
      <c r="O479" s="55">
        <f t="shared" si="15"/>
        <v>3281</v>
      </c>
      <c r="P479" s="29" t="str">
        <f>IF(D479&gt;=Assumptions!$P$149,"High",IF(D479&gt;=Assumptions!$AH$149,"Mid",IF(D479&lt;=Assumptions!$G$149,"Low","Loading")))</f>
        <v>High</v>
      </c>
      <c r="Q479" s="39">
        <f>MAX(K479,MIN(Assumptions!$S$149,O479),Q480)</f>
        <v>3281</v>
      </c>
      <c r="R479" s="30">
        <f>IF(AND(Q479&lt;=K479,INDEX(Assumptions!$C$26:$C$36,MATCH(G479,Assumptions!$A$26:$A$36,0))&lt;&gt;""),INDEX(Assumptions!$C$26:$C$36,MATCH(G479,Assumptions!$A$26:$A$36,0)),ROUND(G479*Q479,-2))</f>
        <v>3107100</v>
      </c>
      <c r="S479" s="56" t="str">
        <f>TRIM(IF(AND(Assumptions!$L$149&lt;&gt;"",D479&lt;Assumptions!$L$149),"View blocked / roof in front ("&amp;Assumptions!$M$149&amp;"); view premium still loading until L"&amp;Assumptions!$L$149&amp;". ","")&amp;IF(D479=Assumptions!$AH$149,"Mid-floor view premium fully loaded. ","")&amp;IF(D479=Assumptions!$P$149,"High-floor view premium fully loaded. ","")&amp;IF(Q479&lt;=K479,"At developer starting price.",""))</f>
        <v/>
      </c>
      <c r="T479" s="57" t="str">
        <f>Assumptions!$AJ$149</f>
        <v>NE. Inner pool &amp; landscape (Canopy Lap Pool); Olive Lounge / function rooms in front of low floors</v>
      </c>
    </row>
    <row r="480" spans="1:20" x14ac:dyDescent="0.2">
      <c r="A480" s="49" t="s">
        <v>621</v>
      </c>
      <c r="B480" s="29">
        <v>5</v>
      </c>
      <c r="C480" s="50">
        <v>23</v>
      </c>
      <c r="D480" s="50">
        <v>29</v>
      </c>
      <c r="E480" s="27" t="s">
        <v>45</v>
      </c>
      <c r="F480" s="29" t="s">
        <v>620</v>
      </c>
      <c r="G480" s="28">
        <v>947</v>
      </c>
      <c r="H480" s="29" t="s">
        <v>65</v>
      </c>
      <c r="I480" s="38" t="str">
        <f>Assumptions!$I$149</f>
        <v>B</v>
      </c>
      <c r="J480" s="29" t="str">
        <f>IF(D480&lt;=Assumptions!$V$149,"Low",IF(D480&lt;=Assumptions!$W$149,"Mid","High"))</f>
        <v>High</v>
      </c>
      <c r="K480" s="51">
        <f>Assumptions!$Q$149</f>
        <v>2642</v>
      </c>
      <c r="L480" s="52">
        <f>INDEX(Assumptions!$J$61:$J$90,D480)</f>
        <v>3264.9868421052633</v>
      </c>
      <c r="M480" s="53">
        <f>IF(D480&lt;=Assumptions!$G$149,Assumptions!$AK$149,IF(D480&lt;Assumptions!$AH$149,Assumptions!$AK$149+(Assumptions!$AL$149-Assumptions!$AK$149)*(D480-Assumptions!$G$149)/(Assumptions!$AH$149-Assumptions!$G$149),IF(D480&lt;Assumptions!$P$149,Assumptions!$AL$149+(Assumptions!$AM$149-Assumptions!$AL$149)*(D480-Assumptions!$AH$149)/(Assumptions!$P$149-Assumptions!$AH$149),Assumptions!$AM$149)))</f>
        <v>0</v>
      </c>
      <c r="N480" s="54">
        <f t="shared" si="14"/>
        <v>0</v>
      </c>
      <c r="O480" s="55">
        <f t="shared" si="15"/>
        <v>3265</v>
      </c>
      <c r="P480" s="29" t="str">
        <f>IF(D480&gt;=Assumptions!$P$149,"High",IF(D480&gt;=Assumptions!$AH$149,"Mid",IF(D480&lt;=Assumptions!$G$149,"Low","Loading")))</f>
        <v>High</v>
      </c>
      <c r="Q480" s="39">
        <f>MAX(K480,MIN(Assumptions!$S$149,O480),Q481)</f>
        <v>3265</v>
      </c>
      <c r="R480" s="30">
        <f>IF(AND(Q480&lt;=K480,INDEX(Assumptions!$C$26:$C$36,MATCH(G480,Assumptions!$A$26:$A$36,0))&lt;&gt;""),INDEX(Assumptions!$C$26:$C$36,MATCH(G480,Assumptions!$A$26:$A$36,0)),ROUND(G480*Q480,-2))</f>
        <v>3092000</v>
      </c>
      <c r="S480" s="56" t="str">
        <f>TRIM(IF(AND(Assumptions!$L$149&lt;&gt;"",D480&lt;Assumptions!$L$149),"View blocked / roof in front ("&amp;Assumptions!$M$149&amp;"); view premium still loading until L"&amp;Assumptions!$L$149&amp;". ","")&amp;IF(D480=Assumptions!$AH$149,"Mid-floor view premium fully loaded. ","")&amp;IF(D480=Assumptions!$P$149,"High-floor view premium fully loaded. ","")&amp;IF(Q480&lt;=K480,"At developer starting price.",""))</f>
        <v/>
      </c>
      <c r="T480" s="57" t="str">
        <f>Assumptions!$AJ$149</f>
        <v>NE. Inner pool &amp; landscape (Canopy Lap Pool); Olive Lounge / function rooms in front of low floors</v>
      </c>
    </row>
    <row r="481" spans="1:20" x14ac:dyDescent="0.2">
      <c r="A481" s="49" t="s">
        <v>622</v>
      </c>
      <c r="B481" s="29">
        <v>5</v>
      </c>
      <c r="C481" s="50">
        <v>23</v>
      </c>
      <c r="D481" s="50">
        <v>28</v>
      </c>
      <c r="E481" s="27" t="s">
        <v>45</v>
      </c>
      <c r="F481" s="29" t="s">
        <v>620</v>
      </c>
      <c r="G481" s="28">
        <v>947</v>
      </c>
      <c r="H481" s="29" t="s">
        <v>65</v>
      </c>
      <c r="I481" s="38" t="str">
        <f>Assumptions!$I$149</f>
        <v>B</v>
      </c>
      <c r="J481" s="29" t="str">
        <f>IF(D481&lt;=Assumptions!$V$149,"Low",IF(D481&lt;=Assumptions!$W$149,"Mid","High"))</f>
        <v>High</v>
      </c>
      <c r="K481" s="51">
        <f>Assumptions!$Q$149</f>
        <v>2642</v>
      </c>
      <c r="L481" s="52">
        <f>INDEX(Assumptions!$J$61:$J$90,D481)</f>
        <v>3249.1763157894738</v>
      </c>
      <c r="M481" s="53">
        <f>IF(D481&lt;=Assumptions!$G$149,Assumptions!$AK$149,IF(D481&lt;Assumptions!$AH$149,Assumptions!$AK$149+(Assumptions!$AL$149-Assumptions!$AK$149)*(D481-Assumptions!$G$149)/(Assumptions!$AH$149-Assumptions!$G$149),IF(D481&lt;Assumptions!$P$149,Assumptions!$AL$149+(Assumptions!$AM$149-Assumptions!$AL$149)*(D481-Assumptions!$AH$149)/(Assumptions!$P$149-Assumptions!$AH$149),Assumptions!$AM$149)))</f>
        <v>0</v>
      </c>
      <c r="N481" s="54">
        <f t="shared" si="14"/>
        <v>0</v>
      </c>
      <c r="O481" s="55">
        <f t="shared" si="15"/>
        <v>3249</v>
      </c>
      <c r="P481" s="29" t="str">
        <f>IF(D481&gt;=Assumptions!$P$149,"High",IF(D481&gt;=Assumptions!$AH$149,"Mid",IF(D481&lt;=Assumptions!$G$149,"Low","Loading")))</f>
        <v>High</v>
      </c>
      <c r="Q481" s="39">
        <f>MAX(K481,MIN(Assumptions!$S$149,O481),Q482)</f>
        <v>3249</v>
      </c>
      <c r="R481" s="30">
        <f>IF(AND(Q481&lt;=K481,INDEX(Assumptions!$C$26:$C$36,MATCH(G481,Assumptions!$A$26:$A$36,0))&lt;&gt;""),INDEX(Assumptions!$C$26:$C$36,MATCH(G481,Assumptions!$A$26:$A$36,0)),ROUND(G481*Q481,-2))</f>
        <v>3076800</v>
      </c>
      <c r="S481" s="56" t="str">
        <f>TRIM(IF(AND(Assumptions!$L$149&lt;&gt;"",D481&lt;Assumptions!$L$149),"View blocked / roof in front ("&amp;Assumptions!$M$149&amp;"); view premium still loading until L"&amp;Assumptions!$L$149&amp;". ","")&amp;IF(D481=Assumptions!$AH$149,"Mid-floor view premium fully loaded. ","")&amp;IF(D481=Assumptions!$P$149,"High-floor view premium fully loaded. ","")&amp;IF(Q481&lt;=K481,"At developer starting price.",""))</f>
        <v/>
      </c>
      <c r="T481" s="57" t="str">
        <f>Assumptions!$AJ$149</f>
        <v>NE. Inner pool &amp; landscape (Canopy Lap Pool); Olive Lounge / function rooms in front of low floors</v>
      </c>
    </row>
    <row r="482" spans="1:20" x14ac:dyDescent="0.2">
      <c r="A482" s="49" t="s">
        <v>623</v>
      </c>
      <c r="B482" s="29">
        <v>5</v>
      </c>
      <c r="C482" s="50">
        <v>23</v>
      </c>
      <c r="D482" s="50">
        <v>27</v>
      </c>
      <c r="E482" s="27" t="s">
        <v>45</v>
      </c>
      <c r="F482" s="29" t="s">
        <v>620</v>
      </c>
      <c r="G482" s="28">
        <v>947</v>
      </c>
      <c r="H482" s="29" t="s">
        <v>65</v>
      </c>
      <c r="I482" s="38" t="str">
        <f>Assumptions!$I$149</f>
        <v>B</v>
      </c>
      <c r="J482" s="29" t="str">
        <f>IF(D482&lt;=Assumptions!$V$149,"Low",IF(D482&lt;=Assumptions!$W$149,"Mid","High"))</f>
        <v>High</v>
      </c>
      <c r="K482" s="51">
        <f>Assumptions!$Q$149</f>
        <v>2642</v>
      </c>
      <c r="L482" s="52">
        <f>INDEX(Assumptions!$J$61:$J$90,D482)</f>
        <v>3233.3657894736843</v>
      </c>
      <c r="M482" s="53">
        <f>IF(D482&lt;=Assumptions!$G$149,Assumptions!$AK$149,IF(D482&lt;Assumptions!$AH$149,Assumptions!$AK$149+(Assumptions!$AL$149-Assumptions!$AK$149)*(D482-Assumptions!$G$149)/(Assumptions!$AH$149-Assumptions!$G$149),IF(D482&lt;Assumptions!$P$149,Assumptions!$AL$149+(Assumptions!$AM$149-Assumptions!$AL$149)*(D482-Assumptions!$AH$149)/(Assumptions!$P$149-Assumptions!$AH$149),Assumptions!$AM$149)))</f>
        <v>0</v>
      </c>
      <c r="N482" s="54">
        <f t="shared" si="14"/>
        <v>0</v>
      </c>
      <c r="O482" s="55">
        <f t="shared" si="15"/>
        <v>3233</v>
      </c>
      <c r="P482" s="29" t="str">
        <f>IF(D482&gt;=Assumptions!$P$149,"High",IF(D482&gt;=Assumptions!$AH$149,"Mid",IF(D482&lt;=Assumptions!$G$149,"Low","Loading")))</f>
        <v>High</v>
      </c>
      <c r="Q482" s="39">
        <f>MAX(K482,MIN(Assumptions!$S$149,O482),Q483)</f>
        <v>3233</v>
      </c>
      <c r="R482" s="30">
        <f>IF(AND(Q482&lt;=K482,INDEX(Assumptions!$C$26:$C$36,MATCH(G482,Assumptions!$A$26:$A$36,0))&lt;&gt;""),INDEX(Assumptions!$C$26:$C$36,MATCH(G482,Assumptions!$A$26:$A$36,0)),ROUND(G482*Q482,-2))</f>
        <v>3061700</v>
      </c>
      <c r="S482" s="56" t="str">
        <f>TRIM(IF(AND(Assumptions!$L$149&lt;&gt;"",D482&lt;Assumptions!$L$149),"View blocked / roof in front ("&amp;Assumptions!$M$149&amp;"); view premium still loading until L"&amp;Assumptions!$L$149&amp;". ","")&amp;IF(D482=Assumptions!$AH$149,"Mid-floor view premium fully loaded. ","")&amp;IF(D482=Assumptions!$P$149,"High-floor view premium fully loaded. ","")&amp;IF(Q482&lt;=K482,"At developer starting price.",""))</f>
        <v/>
      </c>
      <c r="T482" s="57" t="str">
        <f>Assumptions!$AJ$149</f>
        <v>NE. Inner pool &amp; landscape (Canopy Lap Pool); Olive Lounge / function rooms in front of low floors</v>
      </c>
    </row>
    <row r="483" spans="1:20" x14ac:dyDescent="0.2">
      <c r="A483" s="49" t="s">
        <v>624</v>
      </c>
      <c r="B483" s="29">
        <v>5</v>
      </c>
      <c r="C483" s="50">
        <v>23</v>
      </c>
      <c r="D483" s="50">
        <v>26</v>
      </c>
      <c r="E483" s="27" t="s">
        <v>45</v>
      </c>
      <c r="F483" s="29" t="s">
        <v>620</v>
      </c>
      <c r="G483" s="28">
        <v>947</v>
      </c>
      <c r="H483" s="29" t="s">
        <v>65</v>
      </c>
      <c r="I483" s="38" t="str">
        <f>Assumptions!$I$149</f>
        <v>B</v>
      </c>
      <c r="J483" s="29" t="str">
        <f>IF(D483&lt;=Assumptions!$V$149,"Low",IF(D483&lt;=Assumptions!$W$149,"Mid","High"))</f>
        <v>High</v>
      </c>
      <c r="K483" s="51">
        <f>Assumptions!$Q$149</f>
        <v>2642</v>
      </c>
      <c r="L483" s="52">
        <f>INDEX(Assumptions!$J$61:$J$90,D483)</f>
        <v>3217.5552631578948</v>
      </c>
      <c r="M483" s="53">
        <f>IF(D483&lt;=Assumptions!$G$149,Assumptions!$AK$149,IF(D483&lt;Assumptions!$AH$149,Assumptions!$AK$149+(Assumptions!$AL$149-Assumptions!$AK$149)*(D483-Assumptions!$G$149)/(Assumptions!$AH$149-Assumptions!$G$149),IF(D483&lt;Assumptions!$P$149,Assumptions!$AL$149+(Assumptions!$AM$149-Assumptions!$AL$149)*(D483-Assumptions!$AH$149)/(Assumptions!$P$149-Assumptions!$AH$149),Assumptions!$AM$149)))</f>
        <v>0</v>
      </c>
      <c r="N483" s="54">
        <f t="shared" si="14"/>
        <v>0</v>
      </c>
      <c r="O483" s="55">
        <f t="shared" si="15"/>
        <v>3218</v>
      </c>
      <c r="P483" s="29" t="str">
        <f>IF(D483&gt;=Assumptions!$P$149,"High",IF(D483&gt;=Assumptions!$AH$149,"Mid",IF(D483&lt;=Assumptions!$G$149,"Low","Loading")))</f>
        <v>High</v>
      </c>
      <c r="Q483" s="39">
        <f>MAX(K483,MIN(Assumptions!$S$149,O483),Q484)</f>
        <v>3218</v>
      </c>
      <c r="R483" s="30">
        <f>IF(AND(Q483&lt;=K483,INDEX(Assumptions!$C$26:$C$36,MATCH(G483,Assumptions!$A$26:$A$36,0))&lt;&gt;""),INDEX(Assumptions!$C$26:$C$36,MATCH(G483,Assumptions!$A$26:$A$36,0)),ROUND(G483*Q483,-2))</f>
        <v>3047400</v>
      </c>
      <c r="S483" s="56" t="str">
        <f>TRIM(IF(AND(Assumptions!$L$149&lt;&gt;"",D483&lt;Assumptions!$L$149),"View blocked / roof in front ("&amp;Assumptions!$M$149&amp;"); view premium still loading until L"&amp;Assumptions!$L$149&amp;". ","")&amp;IF(D483=Assumptions!$AH$149,"Mid-floor view premium fully loaded. ","")&amp;IF(D483=Assumptions!$P$149,"High-floor view premium fully loaded. ","")&amp;IF(Q483&lt;=K483,"At developer starting price.",""))</f>
        <v/>
      </c>
      <c r="T483" s="57" t="str">
        <f>Assumptions!$AJ$149</f>
        <v>NE. Inner pool &amp; landscape (Canopy Lap Pool); Olive Lounge / function rooms in front of low floors</v>
      </c>
    </row>
    <row r="484" spans="1:20" x14ac:dyDescent="0.2">
      <c r="A484" s="49" t="s">
        <v>625</v>
      </c>
      <c r="B484" s="29">
        <v>5</v>
      </c>
      <c r="C484" s="50">
        <v>23</v>
      </c>
      <c r="D484" s="50">
        <v>25</v>
      </c>
      <c r="E484" s="27" t="s">
        <v>45</v>
      </c>
      <c r="F484" s="29" t="s">
        <v>620</v>
      </c>
      <c r="G484" s="28">
        <v>947</v>
      </c>
      <c r="H484" s="29" t="s">
        <v>65</v>
      </c>
      <c r="I484" s="38" t="str">
        <f>Assumptions!$I$149</f>
        <v>B</v>
      </c>
      <c r="J484" s="29" t="str">
        <f>IF(D484&lt;=Assumptions!$V$149,"Low",IF(D484&lt;=Assumptions!$W$149,"Mid","High"))</f>
        <v>High</v>
      </c>
      <c r="K484" s="51">
        <f>Assumptions!$Q$149</f>
        <v>2642</v>
      </c>
      <c r="L484" s="52">
        <f>INDEX(Assumptions!$J$61:$J$90,D484)</f>
        <v>3201.7447368421053</v>
      </c>
      <c r="M484" s="53">
        <f>IF(D484&lt;=Assumptions!$G$149,Assumptions!$AK$149,IF(D484&lt;Assumptions!$AH$149,Assumptions!$AK$149+(Assumptions!$AL$149-Assumptions!$AK$149)*(D484-Assumptions!$G$149)/(Assumptions!$AH$149-Assumptions!$G$149),IF(D484&lt;Assumptions!$P$149,Assumptions!$AL$149+(Assumptions!$AM$149-Assumptions!$AL$149)*(D484-Assumptions!$AH$149)/(Assumptions!$P$149-Assumptions!$AH$149),Assumptions!$AM$149)))</f>
        <v>0</v>
      </c>
      <c r="N484" s="54">
        <f t="shared" si="14"/>
        <v>0</v>
      </c>
      <c r="O484" s="55">
        <f t="shared" si="15"/>
        <v>3202</v>
      </c>
      <c r="P484" s="29" t="str">
        <f>IF(D484&gt;=Assumptions!$P$149,"High",IF(D484&gt;=Assumptions!$AH$149,"Mid",IF(D484&lt;=Assumptions!$G$149,"Low","Loading")))</f>
        <v>High</v>
      </c>
      <c r="Q484" s="39">
        <f>MAX(K484,MIN(Assumptions!$S$149,O484),Q485)</f>
        <v>3202</v>
      </c>
      <c r="R484" s="30">
        <f>IF(AND(Q484&lt;=K484,INDEX(Assumptions!$C$26:$C$36,MATCH(G484,Assumptions!$A$26:$A$36,0))&lt;&gt;""),INDEX(Assumptions!$C$26:$C$36,MATCH(G484,Assumptions!$A$26:$A$36,0)),ROUND(G484*Q484,-2))</f>
        <v>3032300</v>
      </c>
      <c r="S484" s="56" t="str">
        <f>TRIM(IF(AND(Assumptions!$L$149&lt;&gt;"",D484&lt;Assumptions!$L$149),"View blocked / roof in front ("&amp;Assumptions!$M$149&amp;"); view premium still loading until L"&amp;Assumptions!$L$149&amp;". ","")&amp;IF(D484=Assumptions!$AH$149,"Mid-floor view premium fully loaded. ","")&amp;IF(D484=Assumptions!$P$149,"High-floor view premium fully loaded. ","")&amp;IF(Q484&lt;=K484,"At developer starting price.",""))</f>
        <v/>
      </c>
      <c r="T484" s="57" t="str">
        <f>Assumptions!$AJ$149</f>
        <v>NE. Inner pool &amp; landscape (Canopy Lap Pool); Olive Lounge / function rooms in front of low floors</v>
      </c>
    </row>
    <row r="485" spans="1:20" x14ac:dyDescent="0.2">
      <c r="A485" s="49" t="s">
        <v>626</v>
      </c>
      <c r="B485" s="29">
        <v>5</v>
      </c>
      <c r="C485" s="50">
        <v>23</v>
      </c>
      <c r="D485" s="50">
        <v>24</v>
      </c>
      <c r="E485" s="27" t="s">
        <v>45</v>
      </c>
      <c r="F485" s="29" t="s">
        <v>620</v>
      </c>
      <c r="G485" s="28">
        <v>947</v>
      </c>
      <c r="H485" s="29" t="s">
        <v>65</v>
      </c>
      <c r="I485" s="38" t="str">
        <f>Assumptions!$I$149</f>
        <v>B</v>
      </c>
      <c r="J485" s="29" t="str">
        <f>IF(D485&lt;=Assumptions!$V$149,"Low",IF(D485&lt;=Assumptions!$W$149,"Mid","High"))</f>
        <v>High</v>
      </c>
      <c r="K485" s="51">
        <f>Assumptions!$Q$149</f>
        <v>2642</v>
      </c>
      <c r="L485" s="52">
        <f>INDEX(Assumptions!$J$61:$J$90,D485)</f>
        <v>3185.9342105263158</v>
      </c>
      <c r="M485" s="53">
        <f>IF(D485&lt;=Assumptions!$G$149,Assumptions!$AK$149,IF(D485&lt;Assumptions!$AH$149,Assumptions!$AK$149+(Assumptions!$AL$149-Assumptions!$AK$149)*(D485-Assumptions!$G$149)/(Assumptions!$AH$149-Assumptions!$G$149),IF(D485&lt;Assumptions!$P$149,Assumptions!$AL$149+(Assumptions!$AM$149-Assumptions!$AL$149)*(D485-Assumptions!$AH$149)/(Assumptions!$P$149-Assumptions!$AH$149),Assumptions!$AM$149)))</f>
        <v>0</v>
      </c>
      <c r="N485" s="54">
        <f t="shared" si="14"/>
        <v>0</v>
      </c>
      <c r="O485" s="55">
        <f t="shared" si="15"/>
        <v>3186</v>
      </c>
      <c r="P485" s="29" t="str">
        <f>IF(D485&gt;=Assumptions!$P$149,"High",IF(D485&gt;=Assumptions!$AH$149,"Mid",IF(D485&lt;=Assumptions!$G$149,"Low","Loading")))</f>
        <v>High</v>
      </c>
      <c r="Q485" s="39">
        <f>MAX(K485,MIN(Assumptions!$S$149,O485),Q486)</f>
        <v>3186</v>
      </c>
      <c r="R485" s="30">
        <f>IF(AND(Q485&lt;=K485,INDEX(Assumptions!$C$26:$C$36,MATCH(G485,Assumptions!$A$26:$A$36,0))&lt;&gt;""),INDEX(Assumptions!$C$26:$C$36,MATCH(G485,Assumptions!$A$26:$A$36,0)),ROUND(G485*Q485,-2))</f>
        <v>3017100</v>
      </c>
      <c r="S485" s="56" t="str">
        <f>TRIM(IF(AND(Assumptions!$L$149&lt;&gt;"",D485&lt;Assumptions!$L$149),"View blocked / roof in front ("&amp;Assumptions!$M$149&amp;"); view premium still loading until L"&amp;Assumptions!$L$149&amp;". ","")&amp;IF(D485=Assumptions!$AH$149,"Mid-floor view premium fully loaded. ","")&amp;IF(D485=Assumptions!$P$149,"High-floor view premium fully loaded. ","")&amp;IF(Q485&lt;=K485,"At developer starting price.",""))</f>
        <v/>
      </c>
      <c r="T485" s="57" t="str">
        <f>Assumptions!$AJ$149</f>
        <v>NE. Inner pool &amp; landscape (Canopy Lap Pool); Olive Lounge / function rooms in front of low floors</v>
      </c>
    </row>
    <row r="486" spans="1:20" x14ac:dyDescent="0.2">
      <c r="A486" s="49" t="s">
        <v>627</v>
      </c>
      <c r="B486" s="29">
        <v>5</v>
      </c>
      <c r="C486" s="50">
        <v>23</v>
      </c>
      <c r="D486" s="50">
        <v>23</v>
      </c>
      <c r="E486" s="27" t="s">
        <v>45</v>
      </c>
      <c r="F486" s="29" t="s">
        <v>620</v>
      </c>
      <c r="G486" s="28">
        <v>947</v>
      </c>
      <c r="H486" s="29" t="s">
        <v>65</v>
      </c>
      <c r="I486" s="38" t="str">
        <f>Assumptions!$I$149</f>
        <v>B</v>
      </c>
      <c r="J486" s="29" t="str">
        <f>IF(D486&lt;=Assumptions!$V$149,"Low",IF(D486&lt;=Assumptions!$W$149,"Mid","High"))</f>
        <v>High</v>
      </c>
      <c r="K486" s="51">
        <f>Assumptions!$Q$149</f>
        <v>2642</v>
      </c>
      <c r="L486" s="52">
        <f>INDEX(Assumptions!$J$61:$J$90,D486)</f>
        <v>3170.1236842105263</v>
      </c>
      <c r="M486" s="53">
        <f>IF(D486&lt;=Assumptions!$G$149,Assumptions!$AK$149,IF(D486&lt;Assumptions!$AH$149,Assumptions!$AK$149+(Assumptions!$AL$149-Assumptions!$AK$149)*(D486-Assumptions!$G$149)/(Assumptions!$AH$149-Assumptions!$G$149),IF(D486&lt;Assumptions!$P$149,Assumptions!$AL$149+(Assumptions!$AM$149-Assumptions!$AL$149)*(D486-Assumptions!$AH$149)/(Assumptions!$P$149-Assumptions!$AH$149),Assumptions!$AM$149)))</f>
        <v>0</v>
      </c>
      <c r="N486" s="54">
        <f t="shared" si="14"/>
        <v>0</v>
      </c>
      <c r="O486" s="55">
        <f t="shared" si="15"/>
        <v>3170</v>
      </c>
      <c r="P486" s="29" t="str">
        <f>IF(D486&gt;=Assumptions!$P$149,"High",IF(D486&gt;=Assumptions!$AH$149,"Mid",IF(D486&lt;=Assumptions!$G$149,"Low","Loading")))</f>
        <v>High</v>
      </c>
      <c r="Q486" s="39">
        <f>MAX(K486,MIN(Assumptions!$S$149,O486),Q487)</f>
        <v>3170</v>
      </c>
      <c r="R486" s="30">
        <f>IF(AND(Q486&lt;=K486,INDEX(Assumptions!$C$26:$C$36,MATCH(G486,Assumptions!$A$26:$A$36,0))&lt;&gt;""),INDEX(Assumptions!$C$26:$C$36,MATCH(G486,Assumptions!$A$26:$A$36,0)),ROUND(G486*Q486,-2))</f>
        <v>3002000</v>
      </c>
      <c r="S486" s="56" t="str">
        <f>TRIM(IF(AND(Assumptions!$L$149&lt;&gt;"",D486&lt;Assumptions!$L$149),"View blocked / roof in front ("&amp;Assumptions!$M$149&amp;"); view premium still loading until L"&amp;Assumptions!$L$149&amp;". ","")&amp;IF(D486=Assumptions!$AH$149,"Mid-floor view premium fully loaded. ","")&amp;IF(D486=Assumptions!$P$149,"High-floor view premium fully loaded. ","")&amp;IF(Q486&lt;=K486,"At developer starting price.",""))</f>
        <v/>
      </c>
      <c r="T486" s="57" t="str">
        <f>Assumptions!$AJ$149</f>
        <v>NE. Inner pool &amp; landscape (Canopy Lap Pool); Olive Lounge / function rooms in front of low floors</v>
      </c>
    </row>
    <row r="487" spans="1:20" x14ac:dyDescent="0.2">
      <c r="A487" s="49" t="s">
        <v>628</v>
      </c>
      <c r="B487" s="29">
        <v>5</v>
      </c>
      <c r="C487" s="50">
        <v>23</v>
      </c>
      <c r="D487" s="50">
        <v>22</v>
      </c>
      <c r="E487" s="27" t="s">
        <v>45</v>
      </c>
      <c r="F487" s="29" t="s">
        <v>620</v>
      </c>
      <c r="G487" s="28">
        <v>947</v>
      </c>
      <c r="H487" s="29" t="s">
        <v>65</v>
      </c>
      <c r="I487" s="38" t="str">
        <f>Assumptions!$I$149</f>
        <v>B</v>
      </c>
      <c r="J487" s="29" t="str">
        <f>IF(D487&lt;=Assumptions!$V$149,"Low",IF(D487&lt;=Assumptions!$W$149,"Mid","High"))</f>
        <v>High</v>
      </c>
      <c r="K487" s="51">
        <f>Assumptions!$Q$149</f>
        <v>2642</v>
      </c>
      <c r="L487" s="52">
        <f>INDEX(Assumptions!$J$61:$J$90,D487)</f>
        <v>3154.3131578947368</v>
      </c>
      <c r="M487" s="53">
        <f>IF(D487&lt;=Assumptions!$G$149,Assumptions!$AK$149,IF(D487&lt;Assumptions!$AH$149,Assumptions!$AK$149+(Assumptions!$AL$149-Assumptions!$AK$149)*(D487-Assumptions!$G$149)/(Assumptions!$AH$149-Assumptions!$G$149),IF(D487&lt;Assumptions!$P$149,Assumptions!$AL$149+(Assumptions!$AM$149-Assumptions!$AL$149)*(D487-Assumptions!$AH$149)/(Assumptions!$P$149-Assumptions!$AH$149),Assumptions!$AM$149)))</f>
        <v>0</v>
      </c>
      <c r="N487" s="54">
        <f t="shared" si="14"/>
        <v>0</v>
      </c>
      <c r="O487" s="55">
        <f t="shared" si="15"/>
        <v>3154</v>
      </c>
      <c r="P487" s="29" t="str">
        <f>IF(D487&gt;=Assumptions!$P$149,"High",IF(D487&gt;=Assumptions!$AH$149,"Mid",IF(D487&lt;=Assumptions!$G$149,"Low","Loading")))</f>
        <v>High</v>
      </c>
      <c r="Q487" s="39">
        <f>MAX(K487,MIN(Assumptions!$S$149,O487),Q488)</f>
        <v>3154</v>
      </c>
      <c r="R487" s="30">
        <f>IF(AND(Q487&lt;=K487,INDEX(Assumptions!$C$26:$C$36,MATCH(G487,Assumptions!$A$26:$A$36,0))&lt;&gt;""),INDEX(Assumptions!$C$26:$C$36,MATCH(G487,Assumptions!$A$26:$A$36,0)),ROUND(G487*Q487,-2))</f>
        <v>2986800</v>
      </c>
      <c r="S487" s="56" t="str">
        <f>TRIM(IF(AND(Assumptions!$L$149&lt;&gt;"",D487&lt;Assumptions!$L$149),"View blocked / roof in front ("&amp;Assumptions!$M$149&amp;"); view premium still loading until L"&amp;Assumptions!$L$149&amp;". ","")&amp;IF(D487=Assumptions!$AH$149,"Mid-floor view premium fully loaded. ","")&amp;IF(D487=Assumptions!$P$149,"High-floor view premium fully loaded. ","")&amp;IF(Q487&lt;=K487,"At developer starting price.",""))</f>
        <v/>
      </c>
      <c r="T487" s="57" t="str">
        <f>Assumptions!$AJ$149</f>
        <v>NE. Inner pool &amp; landscape (Canopy Lap Pool); Olive Lounge / function rooms in front of low floors</v>
      </c>
    </row>
    <row r="488" spans="1:20" x14ac:dyDescent="0.2">
      <c r="A488" s="49" t="s">
        <v>629</v>
      </c>
      <c r="B488" s="29">
        <v>5</v>
      </c>
      <c r="C488" s="50">
        <v>23</v>
      </c>
      <c r="D488" s="50">
        <v>21</v>
      </c>
      <c r="E488" s="27" t="s">
        <v>45</v>
      </c>
      <c r="F488" s="29" t="s">
        <v>620</v>
      </c>
      <c r="G488" s="28">
        <v>947</v>
      </c>
      <c r="H488" s="29" t="s">
        <v>65</v>
      </c>
      <c r="I488" s="38" t="str">
        <f>Assumptions!$I$149</f>
        <v>B</v>
      </c>
      <c r="J488" s="29" t="str">
        <f>IF(D488&lt;=Assumptions!$V$149,"Low",IF(D488&lt;=Assumptions!$W$149,"Mid","High"))</f>
        <v>High</v>
      </c>
      <c r="K488" s="51">
        <f>Assumptions!$Q$149</f>
        <v>2642</v>
      </c>
      <c r="L488" s="52">
        <f>INDEX(Assumptions!$J$61:$J$90,D488)</f>
        <v>3138.5026315789473</v>
      </c>
      <c r="M488" s="53">
        <f>IF(D488&lt;=Assumptions!$G$149,Assumptions!$AK$149,IF(D488&lt;Assumptions!$AH$149,Assumptions!$AK$149+(Assumptions!$AL$149-Assumptions!$AK$149)*(D488-Assumptions!$G$149)/(Assumptions!$AH$149-Assumptions!$G$149),IF(D488&lt;Assumptions!$P$149,Assumptions!$AL$149+(Assumptions!$AM$149-Assumptions!$AL$149)*(D488-Assumptions!$AH$149)/(Assumptions!$P$149-Assumptions!$AH$149),Assumptions!$AM$149)))</f>
        <v>0</v>
      </c>
      <c r="N488" s="54">
        <f t="shared" si="14"/>
        <v>0</v>
      </c>
      <c r="O488" s="55">
        <f t="shared" si="15"/>
        <v>3139</v>
      </c>
      <c r="P488" s="29" t="str">
        <f>IF(D488&gt;=Assumptions!$P$149,"High",IF(D488&gt;=Assumptions!$AH$149,"Mid",IF(D488&lt;=Assumptions!$G$149,"Low","Loading")))</f>
        <v>High</v>
      </c>
      <c r="Q488" s="39">
        <f>MAX(K488,MIN(Assumptions!$S$149,O488),Q489)</f>
        <v>3139</v>
      </c>
      <c r="R488" s="30">
        <f>IF(AND(Q488&lt;=K488,INDEX(Assumptions!$C$26:$C$36,MATCH(G488,Assumptions!$A$26:$A$36,0))&lt;&gt;""),INDEX(Assumptions!$C$26:$C$36,MATCH(G488,Assumptions!$A$26:$A$36,0)),ROUND(G488*Q488,-2))</f>
        <v>2972600</v>
      </c>
      <c r="S488" s="56" t="str">
        <f>TRIM(IF(AND(Assumptions!$L$149&lt;&gt;"",D488&lt;Assumptions!$L$149),"View blocked / roof in front ("&amp;Assumptions!$M$149&amp;"); view premium still loading until L"&amp;Assumptions!$L$149&amp;". ","")&amp;IF(D488=Assumptions!$AH$149,"Mid-floor view premium fully loaded. ","")&amp;IF(D488=Assumptions!$P$149,"High-floor view premium fully loaded. ","")&amp;IF(Q488&lt;=K488,"At developer starting price.",""))</f>
        <v>High-floor view premium fully loaded.</v>
      </c>
      <c r="T488" s="57" t="str">
        <f>Assumptions!$AJ$149</f>
        <v>NE. Inner pool &amp; landscape (Canopy Lap Pool); Olive Lounge / function rooms in front of low floors</v>
      </c>
    </row>
    <row r="489" spans="1:20" x14ac:dyDescent="0.2">
      <c r="A489" s="49" t="s">
        <v>630</v>
      </c>
      <c r="B489" s="29">
        <v>5</v>
      </c>
      <c r="C489" s="50">
        <v>23</v>
      </c>
      <c r="D489" s="50">
        <v>20</v>
      </c>
      <c r="E489" s="27" t="s">
        <v>45</v>
      </c>
      <c r="F489" s="29" t="s">
        <v>620</v>
      </c>
      <c r="G489" s="28">
        <v>947</v>
      </c>
      <c r="H489" s="29" t="s">
        <v>65</v>
      </c>
      <c r="I489" s="38" t="str">
        <f>Assumptions!$I$149</f>
        <v>B</v>
      </c>
      <c r="J489" s="29" t="str">
        <f>IF(D489&lt;=Assumptions!$V$149,"Low",IF(D489&lt;=Assumptions!$W$149,"Mid","High"))</f>
        <v>Mid</v>
      </c>
      <c r="K489" s="51">
        <f>Assumptions!$Q$149</f>
        <v>2642</v>
      </c>
      <c r="L489" s="52">
        <f>INDEX(Assumptions!$J$61:$J$90,D489)</f>
        <v>3121.1921052631583</v>
      </c>
      <c r="M489" s="53">
        <f>IF(D489&lt;=Assumptions!$G$149,Assumptions!$AK$149,IF(D489&lt;Assumptions!$AH$149,Assumptions!$AK$149+(Assumptions!$AL$149-Assumptions!$AK$149)*(D489-Assumptions!$G$149)/(Assumptions!$AH$149-Assumptions!$G$149),IF(D489&lt;Assumptions!$P$149,Assumptions!$AL$149+(Assumptions!$AM$149-Assumptions!$AL$149)*(D489-Assumptions!$AH$149)/(Assumptions!$P$149-Assumptions!$AH$149),Assumptions!$AM$149)))</f>
        <v>0</v>
      </c>
      <c r="N489" s="54">
        <f t="shared" si="14"/>
        <v>0</v>
      </c>
      <c r="O489" s="55">
        <f t="shared" si="15"/>
        <v>3121</v>
      </c>
      <c r="P489" s="29" t="str">
        <f>IF(D489&gt;=Assumptions!$P$149,"High",IF(D489&gt;=Assumptions!$AH$149,"Mid",IF(D489&lt;=Assumptions!$G$149,"Low","Loading")))</f>
        <v>Mid</v>
      </c>
      <c r="Q489" s="39">
        <f>MAX(K489,MIN(Assumptions!$S$149,O489),Q490)</f>
        <v>3121</v>
      </c>
      <c r="R489" s="30">
        <f>IF(AND(Q489&lt;=K489,INDEX(Assumptions!$C$26:$C$36,MATCH(G489,Assumptions!$A$26:$A$36,0))&lt;&gt;""),INDEX(Assumptions!$C$26:$C$36,MATCH(G489,Assumptions!$A$26:$A$36,0)),ROUND(G489*Q489,-2))</f>
        <v>2955600</v>
      </c>
      <c r="S489" s="56" t="str">
        <f>TRIM(IF(AND(Assumptions!$L$149&lt;&gt;"",D489&lt;Assumptions!$L$149),"View blocked / roof in front ("&amp;Assumptions!$M$149&amp;"); view premium still loading until L"&amp;Assumptions!$L$149&amp;". ","")&amp;IF(D489=Assumptions!$AH$149,"Mid-floor view premium fully loaded. ","")&amp;IF(D489=Assumptions!$P$149,"High-floor view premium fully loaded. ","")&amp;IF(Q489&lt;=K489,"At developer starting price.",""))</f>
        <v/>
      </c>
      <c r="T489" s="57" t="str">
        <f>Assumptions!$AJ$149</f>
        <v>NE. Inner pool &amp; landscape (Canopy Lap Pool); Olive Lounge / function rooms in front of low floors</v>
      </c>
    </row>
    <row r="490" spans="1:20" x14ac:dyDescent="0.2">
      <c r="A490" s="49" t="s">
        <v>631</v>
      </c>
      <c r="B490" s="29">
        <v>5</v>
      </c>
      <c r="C490" s="50">
        <v>23</v>
      </c>
      <c r="D490" s="50">
        <v>19</v>
      </c>
      <c r="E490" s="27" t="s">
        <v>45</v>
      </c>
      <c r="F490" s="29" t="s">
        <v>620</v>
      </c>
      <c r="G490" s="28">
        <v>947</v>
      </c>
      <c r="H490" s="29" t="s">
        <v>65</v>
      </c>
      <c r="I490" s="38" t="str">
        <f>Assumptions!$I$149</f>
        <v>B</v>
      </c>
      <c r="J490" s="29" t="str">
        <f>IF(D490&lt;=Assumptions!$V$149,"Low",IF(D490&lt;=Assumptions!$W$149,"Mid","High"))</f>
        <v>Mid</v>
      </c>
      <c r="K490" s="51">
        <f>Assumptions!$Q$149</f>
        <v>2642</v>
      </c>
      <c r="L490" s="52">
        <f>INDEX(Assumptions!$J$61:$J$90,D490)</f>
        <v>3103.8815789473688</v>
      </c>
      <c r="M490" s="53">
        <f>IF(D490&lt;=Assumptions!$G$149,Assumptions!$AK$149,IF(D490&lt;Assumptions!$AH$149,Assumptions!$AK$149+(Assumptions!$AL$149-Assumptions!$AK$149)*(D490-Assumptions!$G$149)/(Assumptions!$AH$149-Assumptions!$G$149),IF(D490&lt;Assumptions!$P$149,Assumptions!$AL$149+(Assumptions!$AM$149-Assumptions!$AL$149)*(D490-Assumptions!$AH$149)/(Assumptions!$P$149-Assumptions!$AH$149),Assumptions!$AM$149)))</f>
        <v>0</v>
      </c>
      <c r="N490" s="54">
        <f t="shared" si="14"/>
        <v>0</v>
      </c>
      <c r="O490" s="55">
        <f t="shared" si="15"/>
        <v>3104</v>
      </c>
      <c r="P490" s="29" t="str">
        <f>IF(D490&gt;=Assumptions!$P$149,"High",IF(D490&gt;=Assumptions!$AH$149,"Mid",IF(D490&lt;=Assumptions!$G$149,"Low","Loading")))</f>
        <v>Mid</v>
      </c>
      <c r="Q490" s="39">
        <f>MAX(K490,MIN(Assumptions!$S$149,O490),Q491)</f>
        <v>3104</v>
      </c>
      <c r="R490" s="30">
        <f>IF(AND(Q490&lt;=K490,INDEX(Assumptions!$C$26:$C$36,MATCH(G490,Assumptions!$A$26:$A$36,0))&lt;&gt;""),INDEX(Assumptions!$C$26:$C$36,MATCH(G490,Assumptions!$A$26:$A$36,0)),ROUND(G490*Q490,-2))</f>
        <v>2939500</v>
      </c>
      <c r="S490" s="56" t="str">
        <f>TRIM(IF(AND(Assumptions!$L$149&lt;&gt;"",D490&lt;Assumptions!$L$149),"View blocked / roof in front ("&amp;Assumptions!$M$149&amp;"); view premium still loading until L"&amp;Assumptions!$L$149&amp;". ","")&amp;IF(D490=Assumptions!$AH$149,"Mid-floor view premium fully loaded. ","")&amp;IF(D490=Assumptions!$P$149,"High-floor view premium fully loaded. ","")&amp;IF(Q490&lt;=K490,"At developer starting price.",""))</f>
        <v/>
      </c>
      <c r="T490" s="57" t="str">
        <f>Assumptions!$AJ$149</f>
        <v>NE. Inner pool &amp; landscape (Canopy Lap Pool); Olive Lounge / function rooms in front of low floors</v>
      </c>
    </row>
    <row r="491" spans="1:20" x14ac:dyDescent="0.2">
      <c r="A491" s="49" t="s">
        <v>632</v>
      </c>
      <c r="B491" s="29">
        <v>5</v>
      </c>
      <c r="C491" s="50">
        <v>23</v>
      </c>
      <c r="D491" s="50">
        <v>18</v>
      </c>
      <c r="E491" s="27" t="s">
        <v>45</v>
      </c>
      <c r="F491" s="29" t="s">
        <v>620</v>
      </c>
      <c r="G491" s="28">
        <v>947</v>
      </c>
      <c r="H491" s="29" t="s">
        <v>65</v>
      </c>
      <c r="I491" s="38" t="str">
        <f>Assumptions!$I$149</f>
        <v>B</v>
      </c>
      <c r="J491" s="29" t="str">
        <f>IF(D491&lt;=Assumptions!$V$149,"Low",IF(D491&lt;=Assumptions!$W$149,"Mid","High"))</f>
        <v>Mid</v>
      </c>
      <c r="K491" s="51">
        <f>Assumptions!$Q$149</f>
        <v>2642</v>
      </c>
      <c r="L491" s="52">
        <f>INDEX(Assumptions!$J$61:$J$90,D491)</f>
        <v>3086.5710526315793</v>
      </c>
      <c r="M491" s="53">
        <f>IF(D491&lt;=Assumptions!$G$149,Assumptions!$AK$149,IF(D491&lt;Assumptions!$AH$149,Assumptions!$AK$149+(Assumptions!$AL$149-Assumptions!$AK$149)*(D491-Assumptions!$G$149)/(Assumptions!$AH$149-Assumptions!$G$149),IF(D491&lt;Assumptions!$P$149,Assumptions!$AL$149+(Assumptions!$AM$149-Assumptions!$AL$149)*(D491-Assumptions!$AH$149)/(Assumptions!$P$149-Assumptions!$AH$149),Assumptions!$AM$149)))</f>
        <v>0</v>
      </c>
      <c r="N491" s="54">
        <f t="shared" si="14"/>
        <v>0</v>
      </c>
      <c r="O491" s="55">
        <f t="shared" si="15"/>
        <v>3087</v>
      </c>
      <c r="P491" s="29" t="str">
        <f>IF(D491&gt;=Assumptions!$P$149,"High",IF(D491&gt;=Assumptions!$AH$149,"Mid",IF(D491&lt;=Assumptions!$G$149,"Low","Loading")))</f>
        <v>Mid</v>
      </c>
      <c r="Q491" s="39">
        <f>MAX(K491,MIN(Assumptions!$S$149,O491),Q492)</f>
        <v>3087</v>
      </c>
      <c r="R491" s="30">
        <f>IF(AND(Q491&lt;=K491,INDEX(Assumptions!$C$26:$C$36,MATCH(G491,Assumptions!$A$26:$A$36,0))&lt;&gt;""),INDEX(Assumptions!$C$26:$C$36,MATCH(G491,Assumptions!$A$26:$A$36,0)),ROUND(G491*Q491,-2))</f>
        <v>2923400</v>
      </c>
      <c r="S491" s="56" t="str">
        <f>TRIM(IF(AND(Assumptions!$L$149&lt;&gt;"",D491&lt;Assumptions!$L$149),"View blocked / roof in front ("&amp;Assumptions!$M$149&amp;"); view premium still loading until L"&amp;Assumptions!$L$149&amp;". ","")&amp;IF(D491=Assumptions!$AH$149,"Mid-floor view premium fully loaded. ","")&amp;IF(D491=Assumptions!$P$149,"High-floor view premium fully loaded. ","")&amp;IF(Q491&lt;=K491,"At developer starting price.",""))</f>
        <v/>
      </c>
      <c r="T491" s="57" t="str">
        <f>Assumptions!$AJ$149</f>
        <v>NE. Inner pool &amp; landscape (Canopy Lap Pool); Olive Lounge / function rooms in front of low floors</v>
      </c>
    </row>
    <row r="492" spans="1:20" x14ac:dyDescent="0.2">
      <c r="A492" s="49" t="s">
        <v>633</v>
      </c>
      <c r="B492" s="29">
        <v>5</v>
      </c>
      <c r="C492" s="50">
        <v>23</v>
      </c>
      <c r="D492" s="50">
        <v>17</v>
      </c>
      <c r="E492" s="27" t="s">
        <v>45</v>
      </c>
      <c r="F492" s="29" t="s">
        <v>620</v>
      </c>
      <c r="G492" s="28">
        <v>947</v>
      </c>
      <c r="H492" s="29" t="s">
        <v>65</v>
      </c>
      <c r="I492" s="38" t="str">
        <f>Assumptions!$I$149</f>
        <v>B</v>
      </c>
      <c r="J492" s="29" t="str">
        <f>IF(D492&lt;=Assumptions!$V$149,"Low",IF(D492&lt;=Assumptions!$W$149,"Mid","High"))</f>
        <v>Mid</v>
      </c>
      <c r="K492" s="51">
        <f>Assumptions!$Q$149</f>
        <v>2642</v>
      </c>
      <c r="L492" s="52">
        <f>INDEX(Assumptions!$J$61:$J$90,D492)</f>
        <v>3069.2605263157898</v>
      </c>
      <c r="M492" s="53">
        <f>IF(D492&lt;=Assumptions!$G$149,Assumptions!$AK$149,IF(D492&lt;Assumptions!$AH$149,Assumptions!$AK$149+(Assumptions!$AL$149-Assumptions!$AK$149)*(D492-Assumptions!$G$149)/(Assumptions!$AH$149-Assumptions!$G$149),IF(D492&lt;Assumptions!$P$149,Assumptions!$AL$149+(Assumptions!$AM$149-Assumptions!$AL$149)*(D492-Assumptions!$AH$149)/(Assumptions!$P$149-Assumptions!$AH$149),Assumptions!$AM$149)))</f>
        <v>0</v>
      </c>
      <c r="N492" s="54">
        <f t="shared" si="14"/>
        <v>0</v>
      </c>
      <c r="O492" s="55">
        <f t="shared" si="15"/>
        <v>3069</v>
      </c>
      <c r="P492" s="29" t="str">
        <f>IF(D492&gt;=Assumptions!$P$149,"High",IF(D492&gt;=Assumptions!$AH$149,"Mid",IF(D492&lt;=Assumptions!$G$149,"Low","Loading")))</f>
        <v>Mid</v>
      </c>
      <c r="Q492" s="39">
        <f>MAX(K492,MIN(Assumptions!$S$149,O492),Q493)</f>
        <v>3069</v>
      </c>
      <c r="R492" s="30">
        <f>IF(AND(Q492&lt;=K492,INDEX(Assumptions!$C$26:$C$36,MATCH(G492,Assumptions!$A$26:$A$36,0))&lt;&gt;""),INDEX(Assumptions!$C$26:$C$36,MATCH(G492,Assumptions!$A$26:$A$36,0)),ROUND(G492*Q492,-2))</f>
        <v>2906300</v>
      </c>
      <c r="S492" s="56" t="str">
        <f>TRIM(IF(AND(Assumptions!$L$149&lt;&gt;"",D492&lt;Assumptions!$L$149),"View blocked / roof in front ("&amp;Assumptions!$M$149&amp;"); view premium still loading until L"&amp;Assumptions!$L$149&amp;". ","")&amp;IF(D492=Assumptions!$AH$149,"Mid-floor view premium fully loaded. ","")&amp;IF(D492=Assumptions!$P$149,"High-floor view premium fully loaded. ","")&amp;IF(Q492&lt;=K492,"At developer starting price.",""))</f>
        <v/>
      </c>
      <c r="T492" s="57" t="str">
        <f>Assumptions!$AJ$149</f>
        <v>NE. Inner pool &amp; landscape (Canopy Lap Pool); Olive Lounge / function rooms in front of low floors</v>
      </c>
    </row>
    <row r="493" spans="1:20" x14ac:dyDescent="0.2">
      <c r="A493" s="49" t="s">
        <v>634</v>
      </c>
      <c r="B493" s="29">
        <v>5</v>
      </c>
      <c r="C493" s="50">
        <v>23</v>
      </c>
      <c r="D493" s="50">
        <v>16</v>
      </c>
      <c r="E493" s="27" t="s">
        <v>45</v>
      </c>
      <c r="F493" s="29" t="s">
        <v>620</v>
      </c>
      <c r="G493" s="28">
        <v>947</v>
      </c>
      <c r="H493" s="29" t="s">
        <v>65</v>
      </c>
      <c r="I493" s="38" t="str">
        <f>Assumptions!$I$149</f>
        <v>B</v>
      </c>
      <c r="J493" s="29" t="str">
        <f>IF(D493&lt;=Assumptions!$V$149,"Low",IF(D493&lt;=Assumptions!$W$149,"Mid","High"))</f>
        <v>Mid</v>
      </c>
      <c r="K493" s="51">
        <f>Assumptions!$Q$149</f>
        <v>2642</v>
      </c>
      <c r="L493" s="52">
        <f>INDEX(Assumptions!$J$61:$J$90,D493)</f>
        <v>3051.9500000000003</v>
      </c>
      <c r="M493" s="53">
        <f>IF(D493&lt;=Assumptions!$G$149,Assumptions!$AK$149,IF(D493&lt;Assumptions!$AH$149,Assumptions!$AK$149+(Assumptions!$AL$149-Assumptions!$AK$149)*(D493-Assumptions!$G$149)/(Assumptions!$AH$149-Assumptions!$G$149),IF(D493&lt;Assumptions!$P$149,Assumptions!$AL$149+(Assumptions!$AM$149-Assumptions!$AL$149)*(D493-Assumptions!$AH$149)/(Assumptions!$P$149-Assumptions!$AH$149),Assumptions!$AM$149)))</f>
        <v>0</v>
      </c>
      <c r="N493" s="54">
        <f t="shared" si="14"/>
        <v>0</v>
      </c>
      <c r="O493" s="55">
        <f t="shared" si="15"/>
        <v>3052</v>
      </c>
      <c r="P493" s="29" t="str">
        <f>IF(D493&gt;=Assumptions!$P$149,"High",IF(D493&gt;=Assumptions!$AH$149,"Mid",IF(D493&lt;=Assumptions!$G$149,"Low","Loading")))</f>
        <v>Mid</v>
      </c>
      <c r="Q493" s="39">
        <f>MAX(K493,MIN(Assumptions!$S$149,O493),Q494)</f>
        <v>3052</v>
      </c>
      <c r="R493" s="30">
        <f>IF(AND(Q493&lt;=K493,INDEX(Assumptions!$C$26:$C$36,MATCH(G493,Assumptions!$A$26:$A$36,0))&lt;&gt;""),INDEX(Assumptions!$C$26:$C$36,MATCH(G493,Assumptions!$A$26:$A$36,0)),ROUND(G493*Q493,-2))</f>
        <v>2890200</v>
      </c>
      <c r="S493" s="56" t="str">
        <f>TRIM(IF(AND(Assumptions!$L$149&lt;&gt;"",D493&lt;Assumptions!$L$149),"View blocked / roof in front ("&amp;Assumptions!$M$149&amp;"); view premium still loading until L"&amp;Assumptions!$L$149&amp;". ","")&amp;IF(D493=Assumptions!$AH$149,"Mid-floor view premium fully loaded. ","")&amp;IF(D493=Assumptions!$P$149,"High-floor view premium fully loaded. ","")&amp;IF(Q493&lt;=K493,"At developer starting price.",""))</f>
        <v/>
      </c>
      <c r="T493" s="57" t="str">
        <f>Assumptions!$AJ$149</f>
        <v>NE. Inner pool &amp; landscape (Canopy Lap Pool); Olive Lounge / function rooms in front of low floors</v>
      </c>
    </row>
    <row r="494" spans="1:20" x14ac:dyDescent="0.2">
      <c r="A494" s="49" t="s">
        <v>635</v>
      </c>
      <c r="B494" s="29">
        <v>5</v>
      </c>
      <c r="C494" s="50">
        <v>23</v>
      </c>
      <c r="D494" s="50">
        <v>15</v>
      </c>
      <c r="E494" s="27" t="s">
        <v>45</v>
      </c>
      <c r="F494" s="29" t="s">
        <v>620</v>
      </c>
      <c r="G494" s="28">
        <v>947</v>
      </c>
      <c r="H494" s="29" t="s">
        <v>65</v>
      </c>
      <c r="I494" s="38" t="str">
        <f>Assumptions!$I$149</f>
        <v>B</v>
      </c>
      <c r="J494" s="29" t="str">
        <f>IF(D494&lt;=Assumptions!$V$149,"Low",IF(D494&lt;=Assumptions!$W$149,"Mid","High"))</f>
        <v>Mid</v>
      </c>
      <c r="K494" s="51">
        <f>Assumptions!$Q$149</f>
        <v>2642</v>
      </c>
      <c r="L494" s="52">
        <f>INDEX(Assumptions!$J$61:$J$90,D494)</f>
        <v>3034.8700000000003</v>
      </c>
      <c r="M494" s="53">
        <f>IF(D494&lt;=Assumptions!$G$149,Assumptions!$AK$149,IF(D494&lt;Assumptions!$AH$149,Assumptions!$AK$149+(Assumptions!$AL$149-Assumptions!$AK$149)*(D494-Assumptions!$G$149)/(Assumptions!$AH$149-Assumptions!$G$149),IF(D494&lt;Assumptions!$P$149,Assumptions!$AL$149+(Assumptions!$AM$149-Assumptions!$AL$149)*(D494-Assumptions!$AH$149)/(Assumptions!$P$149-Assumptions!$AH$149),Assumptions!$AM$149)))</f>
        <v>0</v>
      </c>
      <c r="N494" s="54">
        <f t="shared" si="14"/>
        <v>0</v>
      </c>
      <c r="O494" s="55">
        <f t="shared" si="15"/>
        <v>3035</v>
      </c>
      <c r="P494" s="29" t="str">
        <f>IF(D494&gt;=Assumptions!$P$149,"High",IF(D494&gt;=Assumptions!$AH$149,"Mid",IF(D494&lt;=Assumptions!$G$149,"Low","Loading")))</f>
        <v>Mid</v>
      </c>
      <c r="Q494" s="39">
        <f>MAX(K494,MIN(Assumptions!$S$149,O494),Q495)</f>
        <v>3035</v>
      </c>
      <c r="R494" s="30">
        <f>IF(AND(Q494&lt;=K494,INDEX(Assumptions!$C$26:$C$36,MATCH(G494,Assumptions!$A$26:$A$36,0))&lt;&gt;""),INDEX(Assumptions!$C$26:$C$36,MATCH(G494,Assumptions!$A$26:$A$36,0)),ROUND(G494*Q494,-2))</f>
        <v>2874100</v>
      </c>
      <c r="S494" s="56" t="str">
        <f>TRIM(IF(AND(Assumptions!$L$149&lt;&gt;"",D494&lt;Assumptions!$L$149),"View blocked / roof in front ("&amp;Assumptions!$M$149&amp;"); view premium still loading until L"&amp;Assumptions!$L$149&amp;". ","")&amp;IF(D494=Assumptions!$AH$149,"Mid-floor view premium fully loaded. ","")&amp;IF(D494=Assumptions!$P$149,"High-floor view premium fully loaded. ","")&amp;IF(Q494&lt;=K494,"At developer starting price.",""))</f>
        <v/>
      </c>
      <c r="T494" s="57" t="str">
        <f>Assumptions!$AJ$149</f>
        <v>NE. Inner pool &amp; landscape (Canopy Lap Pool); Olive Lounge / function rooms in front of low floors</v>
      </c>
    </row>
    <row r="495" spans="1:20" x14ac:dyDescent="0.2">
      <c r="A495" s="49" t="s">
        <v>636</v>
      </c>
      <c r="B495" s="29">
        <v>5</v>
      </c>
      <c r="C495" s="50">
        <v>23</v>
      </c>
      <c r="D495" s="50">
        <v>14</v>
      </c>
      <c r="E495" s="27" t="s">
        <v>45</v>
      </c>
      <c r="F495" s="29" t="s">
        <v>620</v>
      </c>
      <c r="G495" s="28">
        <v>947</v>
      </c>
      <c r="H495" s="29" t="s">
        <v>65</v>
      </c>
      <c r="I495" s="38" t="str">
        <f>Assumptions!$I$149</f>
        <v>B</v>
      </c>
      <c r="J495" s="29" t="str">
        <f>IF(D495&lt;=Assumptions!$V$149,"Low",IF(D495&lt;=Assumptions!$W$149,"Mid","High"))</f>
        <v>Mid</v>
      </c>
      <c r="K495" s="51">
        <f>Assumptions!$Q$149</f>
        <v>2642</v>
      </c>
      <c r="L495" s="52">
        <f>INDEX(Assumptions!$J$61:$J$90,D495)</f>
        <v>3017.7900000000004</v>
      </c>
      <c r="M495" s="53">
        <f>IF(D495&lt;=Assumptions!$G$149,Assumptions!$AK$149,IF(D495&lt;Assumptions!$AH$149,Assumptions!$AK$149+(Assumptions!$AL$149-Assumptions!$AK$149)*(D495-Assumptions!$G$149)/(Assumptions!$AH$149-Assumptions!$G$149),IF(D495&lt;Assumptions!$P$149,Assumptions!$AL$149+(Assumptions!$AM$149-Assumptions!$AL$149)*(D495-Assumptions!$AH$149)/(Assumptions!$P$149-Assumptions!$AH$149),Assumptions!$AM$149)))</f>
        <v>0</v>
      </c>
      <c r="N495" s="54">
        <f t="shared" si="14"/>
        <v>0</v>
      </c>
      <c r="O495" s="55">
        <f t="shared" si="15"/>
        <v>3018</v>
      </c>
      <c r="P495" s="29" t="str">
        <f>IF(D495&gt;=Assumptions!$P$149,"High",IF(D495&gt;=Assumptions!$AH$149,"Mid",IF(D495&lt;=Assumptions!$G$149,"Low","Loading")))</f>
        <v>Mid</v>
      </c>
      <c r="Q495" s="39">
        <f>MAX(K495,MIN(Assumptions!$S$149,O495),Q496)</f>
        <v>3018</v>
      </c>
      <c r="R495" s="30">
        <f>IF(AND(Q495&lt;=K495,INDEX(Assumptions!$C$26:$C$36,MATCH(G495,Assumptions!$A$26:$A$36,0))&lt;&gt;""),INDEX(Assumptions!$C$26:$C$36,MATCH(G495,Assumptions!$A$26:$A$36,0)),ROUND(G495*Q495,-2))</f>
        <v>2858000</v>
      </c>
      <c r="S495" s="56" t="str">
        <f>TRIM(IF(AND(Assumptions!$L$149&lt;&gt;"",D495&lt;Assumptions!$L$149),"View blocked / roof in front ("&amp;Assumptions!$M$149&amp;"); view premium still loading until L"&amp;Assumptions!$L$149&amp;". ","")&amp;IF(D495=Assumptions!$AH$149,"Mid-floor view premium fully loaded. ","")&amp;IF(D495=Assumptions!$P$149,"High-floor view premium fully loaded. ","")&amp;IF(Q495&lt;=K495,"At developer starting price.",""))</f>
        <v/>
      </c>
      <c r="T495" s="57" t="str">
        <f>Assumptions!$AJ$149</f>
        <v>NE. Inner pool &amp; landscape (Canopy Lap Pool); Olive Lounge / function rooms in front of low floors</v>
      </c>
    </row>
    <row r="496" spans="1:20" x14ac:dyDescent="0.2">
      <c r="A496" s="49" t="s">
        <v>637</v>
      </c>
      <c r="B496" s="29">
        <v>5</v>
      </c>
      <c r="C496" s="50">
        <v>23</v>
      </c>
      <c r="D496" s="50">
        <v>13</v>
      </c>
      <c r="E496" s="27" t="s">
        <v>45</v>
      </c>
      <c r="F496" s="29" t="s">
        <v>620</v>
      </c>
      <c r="G496" s="28">
        <v>947</v>
      </c>
      <c r="H496" s="29" t="s">
        <v>65</v>
      </c>
      <c r="I496" s="38" t="str">
        <f>Assumptions!$I$149</f>
        <v>B</v>
      </c>
      <c r="J496" s="29" t="str">
        <f>IF(D496&lt;=Assumptions!$V$149,"Low",IF(D496&lt;=Assumptions!$W$149,"Mid","High"))</f>
        <v>Mid</v>
      </c>
      <c r="K496" s="51">
        <f>Assumptions!$Q$149</f>
        <v>2642</v>
      </c>
      <c r="L496" s="52">
        <f>INDEX(Assumptions!$J$61:$J$90,D496)</f>
        <v>3000.71</v>
      </c>
      <c r="M496" s="53">
        <f>IF(D496&lt;=Assumptions!$G$149,Assumptions!$AK$149,IF(D496&lt;Assumptions!$AH$149,Assumptions!$AK$149+(Assumptions!$AL$149-Assumptions!$AK$149)*(D496-Assumptions!$G$149)/(Assumptions!$AH$149-Assumptions!$G$149),IF(D496&lt;Assumptions!$P$149,Assumptions!$AL$149+(Assumptions!$AM$149-Assumptions!$AL$149)*(D496-Assumptions!$AH$149)/(Assumptions!$P$149-Assumptions!$AH$149),Assumptions!$AM$149)))</f>
        <v>0</v>
      </c>
      <c r="N496" s="54">
        <f t="shared" si="14"/>
        <v>0</v>
      </c>
      <c r="O496" s="55">
        <f t="shared" si="15"/>
        <v>3001</v>
      </c>
      <c r="P496" s="29" t="str">
        <f>IF(D496&gt;=Assumptions!$P$149,"High",IF(D496&gt;=Assumptions!$AH$149,"Mid",IF(D496&lt;=Assumptions!$G$149,"Low","Loading")))</f>
        <v>Mid</v>
      </c>
      <c r="Q496" s="39">
        <f>MAX(K496,MIN(Assumptions!$S$149,O496),Q497)</f>
        <v>3001</v>
      </c>
      <c r="R496" s="30">
        <f>IF(AND(Q496&lt;=K496,INDEX(Assumptions!$C$26:$C$36,MATCH(G496,Assumptions!$A$26:$A$36,0))&lt;&gt;""),INDEX(Assumptions!$C$26:$C$36,MATCH(G496,Assumptions!$A$26:$A$36,0)),ROUND(G496*Q496,-2))</f>
        <v>2841900</v>
      </c>
      <c r="S496" s="56" t="str">
        <f>TRIM(IF(AND(Assumptions!$L$149&lt;&gt;"",D496&lt;Assumptions!$L$149),"View blocked / roof in front ("&amp;Assumptions!$M$149&amp;"); view premium still loading until L"&amp;Assumptions!$L$149&amp;". ","")&amp;IF(D496=Assumptions!$AH$149,"Mid-floor view premium fully loaded. ","")&amp;IF(D496=Assumptions!$P$149,"High-floor view premium fully loaded. ","")&amp;IF(Q496&lt;=K496,"At developer starting price.",""))</f>
        <v/>
      </c>
      <c r="T496" s="57" t="str">
        <f>Assumptions!$AJ$149</f>
        <v>NE. Inner pool &amp; landscape (Canopy Lap Pool); Olive Lounge / function rooms in front of low floors</v>
      </c>
    </row>
    <row r="497" spans="1:20" x14ac:dyDescent="0.2">
      <c r="A497" s="49" t="s">
        <v>638</v>
      </c>
      <c r="B497" s="29">
        <v>5</v>
      </c>
      <c r="C497" s="50">
        <v>23</v>
      </c>
      <c r="D497" s="50">
        <v>12</v>
      </c>
      <c r="E497" s="27" t="s">
        <v>45</v>
      </c>
      <c r="F497" s="29" t="s">
        <v>620</v>
      </c>
      <c r="G497" s="28">
        <v>947</v>
      </c>
      <c r="H497" s="29" t="s">
        <v>65</v>
      </c>
      <c r="I497" s="38" t="str">
        <f>Assumptions!$I$149</f>
        <v>B</v>
      </c>
      <c r="J497" s="29" t="str">
        <f>IF(D497&lt;=Assumptions!$V$149,"Low",IF(D497&lt;=Assumptions!$W$149,"Mid","High"))</f>
        <v>Mid</v>
      </c>
      <c r="K497" s="51">
        <f>Assumptions!$Q$149</f>
        <v>2642</v>
      </c>
      <c r="L497" s="52">
        <f>INDEX(Assumptions!$J$61:$J$90,D497)</f>
        <v>2983.63</v>
      </c>
      <c r="M497" s="53">
        <f>IF(D497&lt;=Assumptions!$G$149,Assumptions!$AK$149,IF(D497&lt;Assumptions!$AH$149,Assumptions!$AK$149+(Assumptions!$AL$149-Assumptions!$AK$149)*(D497-Assumptions!$G$149)/(Assumptions!$AH$149-Assumptions!$G$149),IF(D497&lt;Assumptions!$P$149,Assumptions!$AL$149+(Assumptions!$AM$149-Assumptions!$AL$149)*(D497-Assumptions!$AH$149)/(Assumptions!$P$149-Assumptions!$AH$149),Assumptions!$AM$149)))</f>
        <v>0</v>
      </c>
      <c r="N497" s="54">
        <f t="shared" si="14"/>
        <v>0</v>
      </c>
      <c r="O497" s="55">
        <f t="shared" si="15"/>
        <v>2984</v>
      </c>
      <c r="P497" s="29" t="str">
        <f>IF(D497&gt;=Assumptions!$P$149,"High",IF(D497&gt;=Assumptions!$AH$149,"Mid",IF(D497&lt;=Assumptions!$G$149,"Low","Loading")))</f>
        <v>Mid</v>
      </c>
      <c r="Q497" s="39">
        <f>MAX(K497,MIN(Assumptions!$S$149,O497),Q498)</f>
        <v>2984</v>
      </c>
      <c r="R497" s="30">
        <f>IF(AND(Q497&lt;=K497,INDEX(Assumptions!$C$26:$C$36,MATCH(G497,Assumptions!$A$26:$A$36,0))&lt;&gt;""),INDEX(Assumptions!$C$26:$C$36,MATCH(G497,Assumptions!$A$26:$A$36,0)),ROUND(G497*Q497,-2))</f>
        <v>2825800</v>
      </c>
      <c r="S497" s="56" t="str">
        <f>TRIM(IF(AND(Assumptions!$L$149&lt;&gt;"",D497&lt;Assumptions!$L$149),"View blocked / roof in front ("&amp;Assumptions!$M$149&amp;"); view premium still loading until L"&amp;Assumptions!$L$149&amp;". ","")&amp;IF(D497=Assumptions!$AH$149,"Mid-floor view premium fully loaded. ","")&amp;IF(D497=Assumptions!$P$149,"High-floor view premium fully loaded. ","")&amp;IF(Q497&lt;=K497,"At developer starting price.",""))</f>
        <v/>
      </c>
      <c r="T497" s="57" t="str">
        <f>Assumptions!$AJ$149</f>
        <v>NE. Inner pool &amp; landscape (Canopy Lap Pool); Olive Lounge / function rooms in front of low floors</v>
      </c>
    </row>
    <row r="498" spans="1:20" x14ac:dyDescent="0.2">
      <c r="A498" s="49" t="s">
        <v>639</v>
      </c>
      <c r="B498" s="29">
        <v>5</v>
      </c>
      <c r="C498" s="50">
        <v>23</v>
      </c>
      <c r="D498" s="50">
        <v>11</v>
      </c>
      <c r="E498" s="27" t="s">
        <v>45</v>
      </c>
      <c r="F498" s="29" t="s">
        <v>620</v>
      </c>
      <c r="G498" s="28">
        <v>947</v>
      </c>
      <c r="H498" s="29" t="s">
        <v>65</v>
      </c>
      <c r="I498" s="38" t="str">
        <f>Assumptions!$I$149</f>
        <v>B</v>
      </c>
      <c r="J498" s="29" t="str">
        <f>IF(D498&lt;=Assumptions!$V$149,"Low",IF(D498&lt;=Assumptions!$W$149,"Mid","High"))</f>
        <v>Low</v>
      </c>
      <c r="K498" s="51">
        <f>Assumptions!$Q$149</f>
        <v>2642</v>
      </c>
      <c r="L498" s="52">
        <f>INDEX(Assumptions!$J$61:$J$90,D498)</f>
        <v>2966.55</v>
      </c>
      <c r="M498" s="53">
        <f>IF(D498&lt;=Assumptions!$G$149,Assumptions!$AK$149,IF(D498&lt;Assumptions!$AH$149,Assumptions!$AK$149+(Assumptions!$AL$149-Assumptions!$AK$149)*(D498-Assumptions!$G$149)/(Assumptions!$AH$149-Assumptions!$G$149),IF(D498&lt;Assumptions!$P$149,Assumptions!$AL$149+(Assumptions!$AM$149-Assumptions!$AL$149)*(D498-Assumptions!$AH$149)/(Assumptions!$P$149-Assumptions!$AH$149),Assumptions!$AM$149)))</f>
        <v>0</v>
      </c>
      <c r="N498" s="54">
        <f t="shared" si="14"/>
        <v>0</v>
      </c>
      <c r="O498" s="55">
        <f t="shared" si="15"/>
        <v>2967</v>
      </c>
      <c r="P498" s="29" t="str">
        <f>IF(D498&gt;=Assumptions!$P$149,"High",IF(D498&gt;=Assumptions!$AH$149,"Mid",IF(D498&lt;=Assumptions!$G$149,"Low","Loading")))</f>
        <v>Mid</v>
      </c>
      <c r="Q498" s="39">
        <f>MAX(K498,MIN(Assumptions!$S$149,O498),Q499)</f>
        <v>2967</v>
      </c>
      <c r="R498" s="30">
        <f>IF(AND(Q498&lt;=K498,INDEX(Assumptions!$C$26:$C$36,MATCH(G498,Assumptions!$A$26:$A$36,0))&lt;&gt;""),INDEX(Assumptions!$C$26:$C$36,MATCH(G498,Assumptions!$A$26:$A$36,0)),ROUND(G498*Q498,-2))</f>
        <v>2809700</v>
      </c>
      <c r="S498" s="56" t="str">
        <f>TRIM(IF(AND(Assumptions!$L$149&lt;&gt;"",D498&lt;Assumptions!$L$149),"View blocked / roof in front ("&amp;Assumptions!$M$149&amp;"); view premium still loading until L"&amp;Assumptions!$L$149&amp;". ","")&amp;IF(D498=Assumptions!$AH$149,"Mid-floor view premium fully loaded. ","")&amp;IF(D498=Assumptions!$P$149,"High-floor view premium fully loaded. ","")&amp;IF(Q498&lt;=K498,"At developer starting price.",""))</f>
        <v/>
      </c>
      <c r="T498" s="57" t="str">
        <f>Assumptions!$AJ$149</f>
        <v>NE. Inner pool &amp; landscape (Canopy Lap Pool); Olive Lounge / function rooms in front of low floors</v>
      </c>
    </row>
    <row r="499" spans="1:20" x14ac:dyDescent="0.2">
      <c r="A499" s="49" t="s">
        <v>640</v>
      </c>
      <c r="B499" s="29">
        <v>5</v>
      </c>
      <c r="C499" s="50">
        <v>23</v>
      </c>
      <c r="D499" s="50">
        <v>10</v>
      </c>
      <c r="E499" s="27" t="s">
        <v>45</v>
      </c>
      <c r="F499" s="29" t="s">
        <v>620</v>
      </c>
      <c r="G499" s="28">
        <v>947</v>
      </c>
      <c r="H499" s="29" t="s">
        <v>65</v>
      </c>
      <c r="I499" s="38" t="str">
        <f>Assumptions!$I$149</f>
        <v>B</v>
      </c>
      <c r="J499" s="29" t="str">
        <f>IF(D499&lt;=Assumptions!$V$149,"Low",IF(D499&lt;=Assumptions!$W$149,"Mid","High"))</f>
        <v>Low</v>
      </c>
      <c r="K499" s="51">
        <f>Assumptions!$Q$149</f>
        <v>2642</v>
      </c>
      <c r="L499" s="52">
        <f>INDEX(Assumptions!$J$61:$J$90,D499)</f>
        <v>2949.4700000000003</v>
      </c>
      <c r="M499" s="53">
        <f>IF(D499&lt;=Assumptions!$G$149,Assumptions!$AK$149,IF(D499&lt;Assumptions!$AH$149,Assumptions!$AK$149+(Assumptions!$AL$149-Assumptions!$AK$149)*(D499-Assumptions!$G$149)/(Assumptions!$AH$149-Assumptions!$G$149),IF(D499&lt;Assumptions!$P$149,Assumptions!$AL$149+(Assumptions!$AM$149-Assumptions!$AL$149)*(D499-Assumptions!$AH$149)/(Assumptions!$P$149-Assumptions!$AH$149),Assumptions!$AM$149)))</f>
        <v>0</v>
      </c>
      <c r="N499" s="54">
        <f t="shared" si="14"/>
        <v>0</v>
      </c>
      <c r="O499" s="55">
        <f t="shared" si="15"/>
        <v>2949</v>
      </c>
      <c r="P499" s="29" t="str">
        <f>IF(D499&gt;=Assumptions!$P$149,"High",IF(D499&gt;=Assumptions!$AH$149,"Mid",IF(D499&lt;=Assumptions!$G$149,"Low","Loading")))</f>
        <v>Mid</v>
      </c>
      <c r="Q499" s="39">
        <f>MAX(K499,MIN(Assumptions!$S$149,O499),Q500)</f>
        <v>2949</v>
      </c>
      <c r="R499" s="30">
        <f>IF(AND(Q499&lt;=K499,INDEX(Assumptions!$C$26:$C$36,MATCH(G499,Assumptions!$A$26:$A$36,0))&lt;&gt;""),INDEX(Assumptions!$C$26:$C$36,MATCH(G499,Assumptions!$A$26:$A$36,0)),ROUND(G499*Q499,-2))</f>
        <v>2792700</v>
      </c>
      <c r="S499" s="56" t="str">
        <f>TRIM(IF(AND(Assumptions!$L$149&lt;&gt;"",D499&lt;Assumptions!$L$149),"View blocked / roof in front ("&amp;Assumptions!$M$149&amp;"); view premium still loading until L"&amp;Assumptions!$L$149&amp;". ","")&amp;IF(D499=Assumptions!$AH$149,"Mid-floor view premium fully loaded. ","")&amp;IF(D499=Assumptions!$P$149,"High-floor view premium fully loaded. ","")&amp;IF(Q499&lt;=K499,"At developer starting price.",""))</f>
        <v/>
      </c>
      <c r="T499" s="57" t="str">
        <f>Assumptions!$AJ$149</f>
        <v>NE. Inner pool &amp; landscape (Canopy Lap Pool); Olive Lounge / function rooms in front of low floors</v>
      </c>
    </row>
    <row r="500" spans="1:20" x14ac:dyDescent="0.2">
      <c r="A500" s="49" t="s">
        <v>641</v>
      </c>
      <c r="B500" s="29">
        <v>5</v>
      </c>
      <c r="C500" s="50">
        <v>23</v>
      </c>
      <c r="D500" s="50">
        <v>9</v>
      </c>
      <c r="E500" s="27" t="s">
        <v>45</v>
      </c>
      <c r="F500" s="29" t="s">
        <v>620</v>
      </c>
      <c r="G500" s="28">
        <v>947</v>
      </c>
      <c r="H500" s="29" t="s">
        <v>65</v>
      </c>
      <c r="I500" s="38" t="str">
        <f>Assumptions!$I$149</f>
        <v>B</v>
      </c>
      <c r="J500" s="29" t="str">
        <f>IF(D500&lt;=Assumptions!$V$149,"Low",IF(D500&lt;=Assumptions!$W$149,"Mid","High"))</f>
        <v>Low</v>
      </c>
      <c r="K500" s="51">
        <f>Assumptions!$Q$149</f>
        <v>2642</v>
      </c>
      <c r="L500" s="52">
        <f>INDEX(Assumptions!$J$61:$J$90,D500)</f>
        <v>2932.3900000000003</v>
      </c>
      <c r="M500" s="53">
        <f>IF(D500&lt;=Assumptions!$G$149,Assumptions!$AK$149,IF(D500&lt;Assumptions!$AH$149,Assumptions!$AK$149+(Assumptions!$AL$149-Assumptions!$AK$149)*(D500-Assumptions!$G$149)/(Assumptions!$AH$149-Assumptions!$G$149),IF(D500&lt;Assumptions!$P$149,Assumptions!$AL$149+(Assumptions!$AM$149-Assumptions!$AL$149)*(D500-Assumptions!$AH$149)/(Assumptions!$P$149-Assumptions!$AH$149),Assumptions!$AM$149)))</f>
        <v>0</v>
      </c>
      <c r="N500" s="54">
        <f t="shared" si="14"/>
        <v>0</v>
      </c>
      <c r="O500" s="55">
        <f t="shared" si="15"/>
        <v>2932</v>
      </c>
      <c r="P500" s="29" t="str">
        <f>IF(D500&gt;=Assumptions!$P$149,"High",IF(D500&gt;=Assumptions!$AH$149,"Mid",IF(D500&lt;=Assumptions!$G$149,"Low","Loading")))</f>
        <v>Mid</v>
      </c>
      <c r="Q500" s="39">
        <f>MAX(K500,MIN(Assumptions!$S$149,O500),Q501)</f>
        <v>2932</v>
      </c>
      <c r="R500" s="30">
        <f>IF(AND(Q500&lt;=K500,INDEX(Assumptions!$C$26:$C$36,MATCH(G500,Assumptions!$A$26:$A$36,0))&lt;&gt;""),INDEX(Assumptions!$C$26:$C$36,MATCH(G500,Assumptions!$A$26:$A$36,0)),ROUND(G500*Q500,-2))</f>
        <v>2776600</v>
      </c>
      <c r="S500" s="56" t="str">
        <f>TRIM(IF(AND(Assumptions!$L$149&lt;&gt;"",D500&lt;Assumptions!$L$149),"View blocked / roof in front ("&amp;Assumptions!$M$149&amp;"); view premium still loading until L"&amp;Assumptions!$L$149&amp;". ","")&amp;IF(D500=Assumptions!$AH$149,"Mid-floor view premium fully loaded. ","")&amp;IF(D500=Assumptions!$P$149,"High-floor view premium fully loaded. ","")&amp;IF(Q500&lt;=K500,"At developer starting price.",""))</f>
        <v/>
      </c>
      <c r="T500" s="57" t="str">
        <f>Assumptions!$AJ$149</f>
        <v>NE. Inner pool &amp; landscape (Canopy Lap Pool); Olive Lounge / function rooms in front of low floors</v>
      </c>
    </row>
    <row r="501" spans="1:20" x14ac:dyDescent="0.2">
      <c r="A501" s="49" t="s">
        <v>642</v>
      </c>
      <c r="B501" s="29">
        <v>5</v>
      </c>
      <c r="C501" s="50">
        <v>23</v>
      </c>
      <c r="D501" s="50">
        <v>8</v>
      </c>
      <c r="E501" s="27" t="s">
        <v>45</v>
      </c>
      <c r="F501" s="29" t="s">
        <v>620</v>
      </c>
      <c r="G501" s="28">
        <v>947</v>
      </c>
      <c r="H501" s="29" t="s">
        <v>65</v>
      </c>
      <c r="I501" s="38" t="str">
        <f>Assumptions!$I$149</f>
        <v>B</v>
      </c>
      <c r="J501" s="29" t="str">
        <f>IF(D501&lt;=Assumptions!$V$149,"Low",IF(D501&lt;=Assumptions!$W$149,"Mid","High"))</f>
        <v>Low</v>
      </c>
      <c r="K501" s="51">
        <f>Assumptions!$Q$149</f>
        <v>2642</v>
      </c>
      <c r="L501" s="52">
        <f>INDEX(Assumptions!$J$61:$J$90,D501)</f>
        <v>2915.31</v>
      </c>
      <c r="M501" s="53">
        <f>IF(D501&lt;=Assumptions!$G$149,Assumptions!$AK$149,IF(D501&lt;Assumptions!$AH$149,Assumptions!$AK$149+(Assumptions!$AL$149-Assumptions!$AK$149)*(D501-Assumptions!$G$149)/(Assumptions!$AH$149-Assumptions!$G$149),IF(D501&lt;Assumptions!$P$149,Assumptions!$AL$149+(Assumptions!$AM$149-Assumptions!$AL$149)*(D501-Assumptions!$AH$149)/(Assumptions!$P$149-Assumptions!$AH$149),Assumptions!$AM$149)))</f>
        <v>0</v>
      </c>
      <c r="N501" s="54">
        <f t="shared" si="14"/>
        <v>0</v>
      </c>
      <c r="O501" s="55">
        <f t="shared" si="15"/>
        <v>2915</v>
      </c>
      <c r="P501" s="29" t="str">
        <f>IF(D501&gt;=Assumptions!$P$149,"High",IF(D501&gt;=Assumptions!$AH$149,"Mid",IF(D501&lt;=Assumptions!$G$149,"Low","Loading")))</f>
        <v>Mid</v>
      </c>
      <c r="Q501" s="39">
        <f>MAX(K501,MIN(Assumptions!$S$149,O501),Q502)</f>
        <v>2915</v>
      </c>
      <c r="R501" s="30">
        <f>IF(AND(Q501&lt;=K501,INDEX(Assumptions!$C$26:$C$36,MATCH(G501,Assumptions!$A$26:$A$36,0))&lt;&gt;""),INDEX(Assumptions!$C$26:$C$36,MATCH(G501,Assumptions!$A$26:$A$36,0)),ROUND(G501*Q501,-2))</f>
        <v>2760500</v>
      </c>
      <c r="S501" s="56" t="str">
        <f>TRIM(IF(AND(Assumptions!$L$149&lt;&gt;"",D501&lt;Assumptions!$L$149),"View blocked / roof in front ("&amp;Assumptions!$M$149&amp;"); view premium still loading until L"&amp;Assumptions!$L$149&amp;". ","")&amp;IF(D501=Assumptions!$AH$149,"Mid-floor view premium fully loaded. ","")&amp;IF(D501=Assumptions!$P$149,"High-floor view premium fully loaded. ","")&amp;IF(Q501&lt;=K501,"At developer starting price.",""))</f>
        <v/>
      </c>
      <c r="T501" s="57" t="str">
        <f>Assumptions!$AJ$149</f>
        <v>NE. Inner pool &amp; landscape (Canopy Lap Pool); Olive Lounge / function rooms in front of low floors</v>
      </c>
    </row>
    <row r="502" spans="1:20" x14ac:dyDescent="0.2">
      <c r="A502" s="49" t="s">
        <v>643</v>
      </c>
      <c r="B502" s="29">
        <v>5</v>
      </c>
      <c r="C502" s="50">
        <v>23</v>
      </c>
      <c r="D502" s="50">
        <v>7</v>
      </c>
      <c r="E502" s="27" t="s">
        <v>45</v>
      </c>
      <c r="F502" s="29" t="s">
        <v>620</v>
      </c>
      <c r="G502" s="28">
        <v>947</v>
      </c>
      <c r="H502" s="29" t="s">
        <v>65</v>
      </c>
      <c r="I502" s="38" t="str">
        <f>Assumptions!$I$149</f>
        <v>B</v>
      </c>
      <c r="J502" s="29" t="str">
        <f>IF(D502&lt;=Assumptions!$V$149,"Low",IF(D502&lt;=Assumptions!$W$149,"Mid","High"))</f>
        <v>Low</v>
      </c>
      <c r="K502" s="51">
        <f>Assumptions!$Q$149</f>
        <v>2642</v>
      </c>
      <c r="L502" s="52">
        <f>INDEX(Assumptions!$J$61:$J$90,D502)</f>
        <v>2898.23</v>
      </c>
      <c r="M502" s="53">
        <f>IF(D502&lt;=Assumptions!$G$149,Assumptions!$AK$149,IF(D502&lt;Assumptions!$AH$149,Assumptions!$AK$149+(Assumptions!$AL$149-Assumptions!$AK$149)*(D502-Assumptions!$G$149)/(Assumptions!$AH$149-Assumptions!$G$149),IF(D502&lt;Assumptions!$P$149,Assumptions!$AL$149+(Assumptions!$AM$149-Assumptions!$AL$149)*(D502-Assumptions!$AH$149)/(Assumptions!$P$149-Assumptions!$AH$149),Assumptions!$AM$149)))</f>
        <v>0</v>
      </c>
      <c r="N502" s="54">
        <f t="shared" si="14"/>
        <v>0</v>
      </c>
      <c r="O502" s="55">
        <f t="shared" si="15"/>
        <v>2898</v>
      </c>
      <c r="P502" s="29" t="str">
        <f>IF(D502&gt;=Assumptions!$P$149,"High",IF(D502&gt;=Assumptions!$AH$149,"Mid",IF(D502&lt;=Assumptions!$G$149,"Low","Loading")))</f>
        <v>Mid</v>
      </c>
      <c r="Q502" s="39">
        <f>MAX(K502,MIN(Assumptions!$S$149,O502),Q503)</f>
        <v>2898</v>
      </c>
      <c r="R502" s="30">
        <f>IF(AND(Q502&lt;=K502,INDEX(Assumptions!$C$26:$C$36,MATCH(G502,Assumptions!$A$26:$A$36,0))&lt;&gt;""),INDEX(Assumptions!$C$26:$C$36,MATCH(G502,Assumptions!$A$26:$A$36,0)),ROUND(G502*Q502,-2))</f>
        <v>2744400</v>
      </c>
      <c r="S502" s="56" t="str">
        <f>TRIM(IF(AND(Assumptions!$L$149&lt;&gt;"",D502&lt;Assumptions!$L$149),"View blocked / roof in front ("&amp;Assumptions!$M$149&amp;"); view premium still loading until L"&amp;Assumptions!$L$149&amp;". ","")&amp;IF(D502=Assumptions!$AH$149,"Mid-floor view premium fully loaded. ","")&amp;IF(D502=Assumptions!$P$149,"High-floor view premium fully loaded. ","")&amp;IF(Q502&lt;=K502,"At developer starting price.",""))</f>
        <v>Mid-floor view premium fully loaded.</v>
      </c>
      <c r="T502" s="57" t="str">
        <f>Assumptions!$AJ$149</f>
        <v>NE. Inner pool &amp; landscape (Canopy Lap Pool); Olive Lounge / function rooms in front of low floors</v>
      </c>
    </row>
    <row r="503" spans="1:20" x14ac:dyDescent="0.2">
      <c r="A503" s="49" t="s">
        <v>644</v>
      </c>
      <c r="B503" s="29">
        <v>5</v>
      </c>
      <c r="C503" s="50">
        <v>23</v>
      </c>
      <c r="D503" s="50">
        <v>6</v>
      </c>
      <c r="E503" s="27" t="s">
        <v>45</v>
      </c>
      <c r="F503" s="29" t="s">
        <v>620</v>
      </c>
      <c r="G503" s="28">
        <v>947</v>
      </c>
      <c r="H503" s="29" t="s">
        <v>65</v>
      </c>
      <c r="I503" s="38" t="str">
        <f>Assumptions!$I$149</f>
        <v>B</v>
      </c>
      <c r="J503" s="29" t="str">
        <f>IF(D503&lt;=Assumptions!$V$149,"Low",IF(D503&lt;=Assumptions!$W$149,"Mid","High"))</f>
        <v>Low</v>
      </c>
      <c r="K503" s="51">
        <f>Assumptions!$Q$149</f>
        <v>2642</v>
      </c>
      <c r="L503" s="52">
        <f>INDEX(Assumptions!$J$61:$J$90,D503)</f>
        <v>2881.15</v>
      </c>
      <c r="M503" s="53">
        <f>IF(D503&lt;=Assumptions!$G$149,Assumptions!$AK$149,IF(D503&lt;Assumptions!$AH$149,Assumptions!$AK$149+(Assumptions!$AL$149-Assumptions!$AK$149)*(D503-Assumptions!$G$149)/(Assumptions!$AH$149-Assumptions!$G$149),IF(D503&lt;Assumptions!$P$149,Assumptions!$AL$149+(Assumptions!$AM$149-Assumptions!$AL$149)*(D503-Assumptions!$AH$149)/(Assumptions!$P$149-Assumptions!$AH$149),Assumptions!$AM$149)))</f>
        <v>-8333.3333333333358</v>
      </c>
      <c r="N503" s="54">
        <f t="shared" si="14"/>
        <v>-8.7997184090109144</v>
      </c>
      <c r="O503" s="55">
        <f t="shared" si="15"/>
        <v>2872</v>
      </c>
      <c r="P503" s="29" t="str">
        <f>IF(D503&gt;=Assumptions!$P$149,"High",IF(D503&gt;=Assumptions!$AH$149,"Mid",IF(D503&lt;=Assumptions!$G$149,"Low","Loading")))</f>
        <v>Loading</v>
      </c>
      <c r="Q503" s="39">
        <f>MAX(K503,MIN(Assumptions!$S$149,O503),Q504)</f>
        <v>2872</v>
      </c>
      <c r="R503" s="30">
        <f>IF(AND(Q503&lt;=K503,INDEX(Assumptions!$C$26:$C$36,MATCH(G503,Assumptions!$A$26:$A$36,0))&lt;&gt;""),INDEX(Assumptions!$C$26:$C$36,MATCH(G503,Assumptions!$A$26:$A$36,0)),ROUND(G503*Q503,-2))</f>
        <v>2719800</v>
      </c>
      <c r="S503" s="56" t="str">
        <f>TRIM(IF(AND(Assumptions!$L$149&lt;&gt;"",D503&lt;Assumptions!$L$149),"View blocked / roof in front ("&amp;Assumptions!$M$149&amp;"); view premium still loading until L"&amp;Assumptions!$L$149&amp;". ","")&amp;IF(D503=Assumptions!$AH$149,"Mid-floor view premium fully loaded. ","")&amp;IF(D503=Assumptions!$P$149,"High-floor view premium fully loaded. ","")&amp;IF(Q503&lt;=K503,"At developer starting price.",""))</f>
        <v>View blocked / roof in front (Olive Lounge / function rooms (Canopy Lap Pool): 52% of view, 39.1 to 45.3m away); view premium still loading until L7.</v>
      </c>
      <c r="T503" s="57" t="str">
        <f>Assumptions!$AJ$149</f>
        <v>NE. Inner pool &amp; landscape (Canopy Lap Pool); Olive Lounge / function rooms in front of low floors</v>
      </c>
    </row>
    <row r="504" spans="1:20" x14ac:dyDescent="0.2">
      <c r="A504" s="49" t="s">
        <v>645</v>
      </c>
      <c r="B504" s="29">
        <v>5</v>
      </c>
      <c r="C504" s="50">
        <v>23</v>
      </c>
      <c r="D504" s="50">
        <v>5</v>
      </c>
      <c r="E504" s="27" t="s">
        <v>45</v>
      </c>
      <c r="F504" s="29" t="s">
        <v>620</v>
      </c>
      <c r="G504" s="28">
        <v>947</v>
      </c>
      <c r="H504" s="29" t="s">
        <v>65</v>
      </c>
      <c r="I504" s="38" t="str">
        <f>Assumptions!$I$149</f>
        <v>B</v>
      </c>
      <c r="J504" s="29" t="str">
        <f>IF(D504&lt;=Assumptions!$V$149,"Low",IF(D504&lt;=Assumptions!$W$149,"Mid","High"))</f>
        <v>Low</v>
      </c>
      <c r="K504" s="51">
        <f>Assumptions!$Q$149</f>
        <v>2642</v>
      </c>
      <c r="L504" s="52">
        <f>INDEX(Assumptions!$J$61:$J$90,D504)</f>
        <v>2864.07</v>
      </c>
      <c r="M504" s="53">
        <f>IF(D504&lt;=Assumptions!$G$149,Assumptions!$AK$149,IF(D504&lt;Assumptions!$AH$149,Assumptions!$AK$149+(Assumptions!$AL$149-Assumptions!$AK$149)*(D504-Assumptions!$G$149)/(Assumptions!$AH$149-Assumptions!$G$149),IF(D504&lt;Assumptions!$P$149,Assumptions!$AL$149+(Assumptions!$AM$149-Assumptions!$AL$149)*(D504-Assumptions!$AH$149)/(Assumptions!$P$149-Assumptions!$AH$149),Assumptions!$AM$149)))</f>
        <v>-16666.666666666664</v>
      </c>
      <c r="N504" s="54">
        <f t="shared" si="14"/>
        <v>-17.599436818021822</v>
      </c>
      <c r="O504" s="55">
        <f t="shared" si="15"/>
        <v>2846</v>
      </c>
      <c r="P504" s="29" t="str">
        <f>IF(D504&gt;=Assumptions!$P$149,"High",IF(D504&gt;=Assumptions!$AH$149,"Mid",IF(D504&lt;=Assumptions!$G$149,"Low","Loading")))</f>
        <v>Loading</v>
      </c>
      <c r="Q504" s="39">
        <f>MAX(K504,MIN(Assumptions!$S$149,O504),Q505)</f>
        <v>2846</v>
      </c>
      <c r="R504" s="30">
        <f>IF(AND(Q504&lt;=K504,INDEX(Assumptions!$C$26:$C$36,MATCH(G504,Assumptions!$A$26:$A$36,0))&lt;&gt;""),INDEX(Assumptions!$C$26:$C$36,MATCH(G504,Assumptions!$A$26:$A$36,0)),ROUND(G504*Q504,-2))</f>
        <v>2695200</v>
      </c>
      <c r="S504" s="56" t="str">
        <f>TRIM(IF(AND(Assumptions!$L$149&lt;&gt;"",D504&lt;Assumptions!$L$149),"View blocked / roof in front ("&amp;Assumptions!$M$149&amp;"); view premium still loading until L"&amp;Assumptions!$L$149&amp;". ","")&amp;IF(D504=Assumptions!$AH$149,"Mid-floor view premium fully loaded. ","")&amp;IF(D504=Assumptions!$P$149,"High-floor view premium fully loaded. ","")&amp;IF(Q504&lt;=K504,"At developer starting price.",""))</f>
        <v>View blocked / roof in front (Olive Lounge / function rooms (Canopy Lap Pool): 52% of view, 39.1 to 45.3m away); view premium still loading until L7.</v>
      </c>
      <c r="T504" s="57" t="str">
        <f>Assumptions!$AJ$149</f>
        <v>NE. Inner pool &amp; landscape (Canopy Lap Pool); Olive Lounge / function rooms in front of low floors</v>
      </c>
    </row>
    <row r="505" spans="1:20" x14ac:dyDescent="0.2">
      <c r="A505" s="49" t="s">
        <v>646</v>
      </c>
      <c r="B505" s="29">
        <v>5</v>
      </c>
      <c r="C505" s="50">
        <v>23</v>
      </c>
      <c r="D505" s="50">
        <v>4</v>
      </c>
      <c r="E505" s="27" t="s">
        <v>45</v>
      </c>
      <c r="F505" s="29" t="s">
        <v>620</v>
      </c>
      <c r="G505" s="28">
        <v>947</v>
      </c>
      <c r="H505" s="29" t="s">
        <v>65</v>
      </c>
      <c r="I505" s="38" t="str">
        <f>Assumptions!$I$149</f>
        <v>B</v>
      </c>
      <c r="J505" s="29" t="str">
        <f>IF(D505&lt;=Assumptions!$V$149,"Low",IF(D505&lt;=Assumptions!$W$149,"Mid","High"))</f>
        <v>Low</v>
      </c>
      <c r="K505" s="51">
        <f>Assumptions!$Q$149</f>
        <v>2642</v>
      </c>
      <c r="L505" s="52">
        <f>INDEX(Assumptions!$J$61:$J$90,D505)</f>
        <v>2846.9900000000002</v>
      </c>
      <c r="M505" s="53">
        <f>IF(D505&lt;=Assumptions!$G$149,Assumptions!$AK$149,IF(D505&lt;Assumptions!$AH$149,Assumptions!$AK$149+(Assumptions!$AL$149-Assumptions!$AK$149)*(D505-Assumptions!$G$149)/(Assumptions!$AH$149-Assumptions!$G$149),IF(D505&lt;Assumptions!$P$149,Assumptions!$AL$149+(Assumptions!$AM$149-Assumptions!$AL$149)*(D505-Assumptions!$AH$149)/(Assumptions!$P$149-Assumptions!$AH$149),Assumptions!$AM$149)))</f>
        <v>-25000</v>
      </c>
      <c r="N505" s="54">
        <f t="shared" si="14"/>
        <v>-26.399155227032736</v>
      </c>
      <c r="O505" s="55">
        <f t="shared" si="15"/>
        <v>2821</v>
      </c>
      <c r="P505" s="29" t="str">
        <f>IF(D505&gt;=Assumptions!$P$149,"High",IF(D505&gt;=Assumptions!$AH$149,"Mid",IF(D505&lt;=Assumptions!$G$149,"Low","Loading")))</f>
        <v>Loading</v>
      </c>
      <c r="Q505" s="39">
        <f>MAX(K505,MIN(Assumptions!$S$149,O505),Q506)</f>
        <v>2821</v>
      </c>
      <c r="R505" s="30">
        <f>IF(AND(Q505&lt;=K505,INDEX(Assumptions!$C$26:$C$36,MATCH(G505,Assumptions!$A$26:$A$36,0))&lt;&gt;""),INDEX(Assumptions!$C$26:$C$36,MATCH(G505,Assumptions!$A$26:$A$36,0)),ROUND(G505*Q505,-2))</f>
        <v>2671500</v>
      </c>
      <c r="S505" s="56" t="str">
        <f>TRIM(IF(AND(Assumptions!$L$149&lt;&gt;"",D505&lt;Assumptions!$L$149),"View blocked / roof in front ("&amp;Assumptions!$M$149&amp;"); view premium still loading until L"&amp;Assumptions!$L$149&amp;". ","")&amp;IF(D505=Assumptions!$AH$149,"Mid-floor view premium fully loaded. ","")&amp;IF(D505=Assumptions!$P$149,"High-floor view premium fully loaded. ","")&amp;IF(Q505&lt;=K505,"At developer starting price.",""))</f>
        <v>View blocked / roof in front (Olive Lounge / function rooms (Canopy Lap Pool): 52% of view, 39.1 to 45.3m away); view premium still loading until L7.</v>
      </c>
      <c r="T505" s="57" t="str">
        <f>Assumptions!$AJ$149</f>
        <v>NE. Inner pool &amp; landscape (Canopy Lap Pool); Olive Lounge / function rooms in front of low floors</v>
      </c>
    </row>
    <row r="506" spans="1:20" x14ac:dyDescent="0.2">
      <c r="A506" s="49" t="s">
        <v>647</v>
      </c>
      <c r="B506" s="29">
        <v>5</v>
      </c>
      <c r="C506" s="50">
        <v>23</v>
      </c>
      <c r="D506" s="50">
        <v>3</v>
      </c>
      <c r="E506" s="27" t="s">
        <v>45</v>
      </c>
      <c r="F506" s="29" t="s">
        <v>620</v>
      </c>
      <c r="G506" s="28">
        <v>947</v>
      </c>
      <c r="H506" s="29" t="s">
        <v>65</v>
      </c>
      <c r="I506" s="38" t="str">
        <f>Assumptions!$I$149</f>
        <v>B</v>
      </c>
      <c r="J506" s="29" t="str">
        <f>IF(D506&lt;=Assumptions!$V$149,"Low",IF(D506&lt;=Assumptions!$W$149,"Mid","High"))</f>
        <v>Low</v>
      </c>
      <c r="K506" s="51">
        <f>Assumptions!$Q$149</f>
        <v>2642</v>
      </c>
      <c r="L506" s="52">
        <f>INDEX(Assumptions!$J$61:$J$90,D506)</f>
        <v>2829.91</v>
      </c>
      <c r="M506" s="53">
        <f>IF(D506&lt;=Assumptions!$G$149,Assumptions!$AK$149,IF(D506&lt;Assumptions!$AH$149,Assumptions!$AK$149+(Assumptions!$AL$149-Assumptions!$AK$149)*(D506-Assumptions!$G$149)/(Assumptions!$AH$149-Assumptions!$G$149),IF(D506&lt;Assumptions!$P$149,Assumptions!$AL$149+(Assumptions!$AM$149-Assumptions!$AL$149)*(D506-Assumptions!$AH$149)/(Assumptions!$P$149-Assumptions!$AH$149),Assumptions!$AM$149)))</f>
        <v>-33333.333333333328</v>
      </c>
      <c r="N506" s="54">
        <f t="shared" si="14"/>
        <v>-35.198873636043643</v>
      </c>
      <c r="O506" s="55">
        <f t="shared" si="15"/>
        <v>2795</v>
      </c>
      <c r="P506" s="29" t="str">
        <f>IF(D506&gt;=Assumptions!$P$149,"High",IF(D506&gt;=Assumptions!$AH$149,"Mid",IF(D506&lt;=Assumptions!$G$149,"Low","Loading")))</f>
        <v>Loading</v>
      </c>
      <c r="Q506" s="39">
        <f>MAX(K506,MIN(Assumptions!$S$149,O506),Q507)</f>
        <v>2795</v>
      </c>
      <c r="R506" s="30">
        <f>IF(AND(Q506&lt;=K506,INDEX(Assumptions!$C$26:$C$36,MATCH(G506,Assumptions!$A$26:$A$36,0))&lt;&gt;""),INDEX(Assumptions!$C$26:$C$36,MATCH(G506,Assumptions!$A$26:$A$36,0)),ROUND(G506*Q506,-2))</f>
        <v>2646900</v>
      </c>
      <c r="S506" s="56" t="str">
        <f>TRIM(IF(AND(Assumptions!$L$149&lt;&gt;"",D506&lt;Assumptions!$L$149),"View blocked / roof in front ("&amp;Assumptions!$M$149&amp;"); view premium still loading until L"&amp;Assumptions!$L$149&amp;". ","")&amp;IF(D506=Assumptions!$AH$149,"Mid-floor view premium fully loaded. ","")&amp;IF(D506=Assumptions!$P$149,"High-floor view premium fully loaded. ","")&amp;IF(Q506&lt;=K506,"At developer starting price.",""))</f>
        <v>View blocked / roof in front (Olive Lounge / function rooms (Canopy Lap Pool): 52% of view, 39.1 to 45.3m away); view premium still loading until L7.</v>
      </c>
      <c r="T506" s="57" t="str">
        <f>Assumptions!$AJ$149</f>
        <v>NE. Inner pool &amp; landscape (Canopy Lap Pool); Olive Lounge / function rooms in front of low floors</v>
      </c>
    </row>
    <row r="507" spans="1:20" x14ac:dyDescent="0.2">
      <c r="A507" s="49" t="s">
        <v>648</v>
      </c>
      <c r="B507" s="29">
        <v>5</v>
      </c>
      <c r="C507" s="50">
        <v>23</v>
      </c>
      <c r="D507" s="50">
        <v>2</v>
      </c>
      <c r="E507" s="27" t="s">
        <v>45</v>
      </c>
      <c r="F507" s="29" t="s">
        <v>620</v>
      </c>
      <c r="G507" s="28">
        <v>947</v>
      </c>
      <c r="H507" s="29" t="s">
        <v>65</v>
      </c>
      <c r="I507" s="38" t="str">
        <f>Assumptions!$I$149</f>
        <v>B</v>
      </c>
      <c r="J507" s="29" t="str">
        <f>IF(D507&lt;=Assumptions!$V$149,"Low",IF(D507&lt;=Assumptions!$W$149,"Mid","High"))</f>
        <v>Low</v>
      </c>
      <c r="K507" s="51">
        <f>Assumptions!$Q$149</f>
        <v>2642</v>
      </c>
      <c r="L507" s="52">
        <f>INDEX(Assumptions!$J$61:$J$90,D507)</f>
        <v>2812.83</v>
      </c>
      <c r="M507" s="53">
        <f>IF(D507&lt;=Assumptions!$G$149,Assumptions!$AK$149,IF(D507&lt;Assumptions!$AH$149,Assumptions!$AK$149+(Assumptions!$AL$149-Assumptions!$AK$149)*(D507-Assumptions!$G$149)/(Assumptions!$AH$149-Assumptions!$G$149),IF(D507&lt;Assumptions!$P$149,Assumptions!$AL$149+(Assumptions!$AM$149-Assumptions!$AL$149)*(D507-Assumptions!$AH$149)/(Assumptions!$P$149-Assumptions!$AH$149),Assumptions!$AM$149)))</f>
        <v>-41666.666666666664</v>
      </c>
      <c r="N507" s="54">
        <f t="shared" si="14"/>
        <v>-43.998592045054558</v>
      </c>
      <c r="O507" s="55">
        <f t="shared" si="15"/>
        <v>2769</v>
      </c>
      <c r="P507" s="29" t="str">
        <f>IF(D507&gt;=Assumptions!$P$149,"High",IF(D507&gt;=Assumptions!$AH$149,"Mid",IF(D507&lt;=Assumptions!$G$149,"Low","Loading")))</f>
        <v>Loading</v>
      </c>
      <c r="Q507" s="39">
        <f>MAX(K507,MIN(Assumptions!$S$149,O507),Q508)</f>
        <v>2769</v>
      </c>
      <c r="R507" s="30">
        <f>IF(AND(Q507&lt;=K507,INDEX(Assumptions!$C$26:$C$36,MATCH(G507,Assumptions!$A$26:$A$36,0))&lt;&gt;""),INDEX(Assumptions!$C$26:$C$36,MATCH(G507,Assumptions!$A$26:$A$36,0)),ROUND(G507*Q507,-2))</f>
        <v>2622200</v>
      </c>
      <c r="S507" s="56" t="str">
        <f>TRIM(IF(AND(Assumptions!$L$149&lt;&gt;"",D507&lt;Assumptions!$L$149),"View blocked / roof in front ("&amp;Assumptions!$M$149&amp;"); view premium still loading until L"&amp;Assumptions!$L$149&amp;". ","")&amp;IF(D507=Assumptions!$AH$149,"Mid-floor view premium fully loaded. ","")&amp;IF(D507=Assumptions!$P$149,"High-floor view premium fully loaded. ","")&amp;IF(Q507&lt;=K507,"At developer starting price.",""))</f>
        <v>View blocked / roof in front (Olive Lounge / function rooms (Canopy Lap Pool): 52% of view, 39.1 to 45.3m away); view premium still loading until L7.</v>
      </c>
      <c r="T507" s="57" t="str">
        <f>Assumptions!$AJ$149</f>
        <v>NE. Inner pool &amp; landscape (Canopy Lap Pool); Olive Lounge / function rooms in front of low floors</v>
      </c>
    </row>
    <row r="508" spans="1:20" x14ac:dyDescent="0.2">
      <c r="A508" s="49" t="s">
        <v>649</v>
      </c>
      <c r="B508" s="29">
        <v>5</v>
      </c>
      <c r="C508" s="50">
        <v>23</v>
      </c>
      <c r="D508" s="50">
        <v>1</v>
      </c>
      <c r="E508" s="27" t="s">
        <v>45</v>
      </c>
      <c r="F508" s="29" t="s">
        <v>650</v>
      </c>
      <c r="G508" s="28">
        <v>947</v>
      </c>
      <c r="H508" s="29" t="s">
        <v>65</v>
      </c>
      <c r="I508" s="38" t="str">
        <f>Assumptions!$I$149</f>
        <v>B</v>
      </c>
      <c r="J508" s="29" t="str">
        <f>IF(D508&lt;=Assumptions!$V$149,"Low",IF(D508&lt;=Assumptions!$W$149,"Mid","High"))</f>
        <v>Low</v>
      </c>
      <c r="K508" s="51">
        <f>Assumptions!$Q$149</f>
        <v>2642</v>
      </c>
      <c r="L508" s="52">
        <f>INDEX(Assumptions!$J$61:$J$90,D508)</f>
        <v>2795.75</v>
      </c>
      <c r="M508" s="53">
        <f>IF(D508&lt;=Assumptions!$G$149,Assumptions!$AK$149,IF(D508&lt;Assumptions!$AH$149,Assumptions!$AK$149+(Assumptions!$AL$149-Assumptions!$AK$149)*(D508-Assumptions!$G$149)/(Assumptions!$AH$149-Assumptions!$G$149),IF(D508&lt;Assumptions!$P$149,Assumptions!$AL$149+(Assumptions!$AM$149-Assumptions!$AL$149)*(D508-Assumptions!$AH$149)/(Assumptions!$P$149-Assumptions!$AH$149),Assumptions!$AM$149)))</f>
        <v>-50000</v>
      </c>
      <c r="N508" s="54">
        <f t="shared" si="14"/>
        <v>-52.798310454065472</v>
      </c>
      <c r="O508" s="55">
        <f t="shared" si="15"/>
        <v>2743</v>
      </c>
      <c r="P508" s="29" t="str">
        <f>IF(D508&gt;=Assumptions!$P$149,"High",IF(D508&gt;=Assumptions!$AH$149,"Mid",IF(D508&lt;=Assumptions!$G$149,"Low","Loading")))</f>
        <v>Low</v>
      </c>
      <c r="Q508" s="39">
        <f>MAX(K508,MIN(Assumptions!$S$149,O508))</f>
        <v>2743</v>
      </c>
      <c r="R508" s="30">
        <f>IF(AND(Q508&lt;=K508,INDEX(Assumptions!$C$26:$C$36,MATCH(G508,Assumptions!$A$26:$A$36,0))&lt;&gt;""),INDEX(Assumptions!$C$26:$C$36,MATCH(G508,Assumptions!$A$26:$A$36,0)),ROUND(G508*Q508,-2))</f>
        <v>2597600</v>
      </c>
      <c r="S508" s="56" t="str">
        <f>TRIM(IF(AND(Assumptions!$L$149&lt;&gt;"",D508&lt;Assumptions!$L$149),"View blocked / roof in front ("&amp;Assumptions!$M$149&amp;"); view premium still loading until L"&amp;Assumptions!$L$149&amp;". ","")&amp;IF(D508=Assumptions!$AH$149,"Mid-floor view premium fully loaded. ","")&amp;IF(D508=Assumptions!$P$149,"High-floor view premium fully loaded. ","")&amp;IF(Q508&lt;=K508,"At developer starting price.",""))</f>
        <v>View blocked / roof in front (Olive Lounge / function rooms (Canopy Lap Pool): 52% of view, 39.1 to 45.3m away); view premium still loading until L7.</v>
      </c>
      <c r="T508" s="57" t="str">
        <f>Assumptions!$AJ$149</f>
        <v>NE. Inner pool &amp; landscape (Canopy Lap Pool); Olive Lounge / function rooms in front of low floors</v>
      </c>
    </row>
    <row r="509" spans="1:20" x14ac:dyDescent="0.2">
      <c r="A509" s="49" t="s">
        <v>651</v>
      </c>
      <c r="B509" s="29">
        <v>5</v>
      </c>
      <c r="C509" s="50">
        <v>24</v>
      </c>
      <c r="D509" s="50">
        <v>30</v>
      </c>
      <c r="E509" s="27" t="s">
        <v>44</v>
      </c>
      <c r="F509" s="29" t="s">
        <v>652</v>
      </c>
      <c r="G509" s="28">
        <v>732</v>
      </c>
      <c r="H509" s="29" t="s">
        <v>65</v>
      </c>
      <c r="I509" s="38" t="str">
        <f>Assumptions!$I$150</f>
        <v>B</v>
      </c>
      <c r="J509" s="29" t="str">
        <f>IF(D509&lt;=Assumptions!$V$150,"Low",IF(D509&lt;=Assumptions!$W$150,"Mid","High"))</f>
        <v>High</v>
      </c>
      <c r="K509" s="51">
        <f>Assumptions!$Q$150</f>
        <v>2630</v>
      </c>
      <c r="L509" s="52">
        <f>INDEX(Assumptions!$F$61:$F$90,D509)</f>
        <v>3320.9647368421051</v>
      </c>
      <c r="M509" s="53">
        <f>IF(D509&lt;=Assumptions!$G$150,Assumptions!$AK$150,IF(D509&lt;Assumptions!$AH$150,Assumptions!$AK$150+(Assumptions!$AL$150-Assumptions!$AK$150)*(D509-Assumptions!$G$150)/(Assumptions!$AH$150-Assumptions!$G$150),IF(D509&lt;Assumptions!$P$150,Assumptions!$AL$150+(Assumptions!$AM$150-Assumptions!$AL$150)*(D509-Assumptions!$AH$150)/(Assumptions!$P$150-Assumptions!$AH$150),Assumptions!$AM$150)))</f>
        <v>-50000</v>
      </c>
      <c r="N509" s="54">
        <f t="shared" si="14"/>
        <v>-68.306010928961754</v>
      </c>
      <c r="O509" s="55">
        <f t="shared" si="15"/>
        <v>3253</v>
      </c>
      <c r="P509" s="29" t="str">
        <f>IF(D509&gt;=Assumptions!$P$150,"High",IF(D509&gt;=Assumptions!$AH$150,"Mid",IF(D509&lt;=Assumptions!$G$150,"Low","Loading")))</f>
        <v>High</v>
      </c>
      <c r="Q509" s="39">
        <f>MAX(K509,MIN(Assumptions!$S$150,O509),Q510)</f>
        <v>3253</v>
      </c>
      <c r="R509" s="30">
        <f>IF(AND(Q509&lt;=K509,INDEX(Assumptions!$C$26:$C$36,MATCH(G509,Assumptions!$A$26:$A$36,0))&lt;&gt;""),INDEX(Assumptions!$C$26:$C$36,MATCH(G509,Assumptions!$A$26:$A$36,0)),ROUND(G509*Q509,-2))</f>
        <v>2381200</v>
      </c>
      <c r="S509" s="56" t="str">
        <f>TRIM(IF(AND(Assumptions!$L$150&lt;&gt;"",D509&lt;Assumptions!$L$150),"View blocked / roof in front ("&amp;Assumptions!$M$150&amp;"); view premium still loading until L"&amp;Assumptions!$L$150&amp;". ","")&amp;IF(D509=Assumptions!$AH$150,"Mid-floor view premium fully loaded. ","")&amp;IF(D509=Assumptions!$P$150,"High-floor view premium fully loaded. ","")&amp;IF(Q509&lt;=K509,"At developer starting price.",""))</f>
        <v/>
      </c>
      <c r="T509" s="57" t="str">
        <f>Assumptions!$AJ$150</f>
        <v>NE. 55m setback; inner pool &amp; landscape; Olive Lounge / function rooms in front of low floors</v>
      </c>
    </row>
    <row r="510" spans="1:20" x14ac:dyDescent="0.2">
      <c r="A510" s="49" t="s">
        <v>653</v>
      </c>
      <c r="B510" s="29">
        <v>5</v>
      </c>
      <c r="C510" s="50">
        <v>24</v>
      </c>
      <c r="D510" s="50">
        <v>29</v>
      </c>
      <c r="E510" s="27" t="s">
        <v>44</v>
      </c>
      <c r="F510" s="29" t="s">
        <v>652</v>
      </c>
      <c r="G510" s="28">
        <v>732</v>
      </c>
      <c r="H510" s="29" t="s">
        <v>65</v>
      </c>
      <c r="I510" s="38" t="str">
        <f>Assumptions!$I$150</f>
        <v>B</v>
      </c>
      <c r="J510" s="29" t="str">
        <f>IF(D510&lt;=Assumptions!$V$150,"Low",IF(D510&lt;=Assumptions!$W$150,"Mid","High"))</f>
        <v>High</v>
      </c>
      <c r="K510" s="51">
        <f>Assumptions!$Q$150</f>
        <v>2630</v>
      </c>
      <c r="L510" s="52">
        <f>INDEX(Assumptions!$F$61:$F$90,D510)</f>
        <v>3311.7436842105262</v>
      </c>
      <c r="M510" s="53">
        <f>IF(D510&lt;=Assumptions!$G$150,Assumptions!$AK$150,IF(D510&lt;Assumptions!$AH$150,Assumptions!$AK$150+(Assumptions!$AL$150-Assumptions!$AK$150)*(D510-Assumptions!$G$150)/(Assumptions!$AH$150-Assumptions!$G$150),IF(D510&lt;Assumptions!$P$150,Assumptions!$AL$150+(Assumptions!$AM$150-Assumptions!$AL$150)*(D510-Assumptions!$AH$150)/(Assumptions!$P$150-Assumptions!$AH$150),Assumptions!$AM$150)))</f>
        <v>-50000</v>
      </c>
      <c r="N510" s="54">
        <f t="shared" si="14"/>
        <v>-68.306010928961754</v>
      </c>
      <c r="O510" s="55">
        <f t="shared" si="15"/>
        <v>3243</v>
      </c>
      <c r="P510" s="29" t="str">
        <f>IF(D510&gt;=Assumptions!$P$150,"High",IF(D510&gt;=Assumptions!$AH$150,"Mid",IF(D510&lt;=Assumptions!$G$150,"Low","Loading")))</f>
        <v>High</v>
      </c>
      <c r="Q510" s="39">
        <f>MAX(K510,MIN(Assumptions!$S$150,O510),Q511)</f>
        <v>3243</v>
      </c>
      <c r="R510" s="30">
        <f>IF(AND(Q510&lt;=K510,INDEX(Assumptions!$C$26:$C$36,MATCH(G510,Assumptions!$A$26:$A$36,0))&lt;&gt;""),INDEX(Assumptions!$C$26:$C$36,MATCH(G510,Assumptions!$A$26:$A$36,0)),ROUND(G510*Q510,-2))</f>
        <v>2373900</v>
      </c>
      <c r="S510" s="56" t="str">
        <f>TRIM(IF(AND(Assumptions!$L$150&lt;&gt;"",D510&lt;Assumptions!$L$150),"View blocked / roof in front ("&amp;Assumptions!$M$150&amp;"); view premium still loading until L"&amp;Assumptions!$L$150&amp;". ","")&amp;IF(D510=Assumptions!$AH$150,"Mid-floor view premium fully loaded. ","")&amp;IF(D510=Assumptions!$P$150,"High-floor view premium fully loaded. ","")&amp;IF(Q510&lt;=K510,"At developer starting price.",""))</f>
        <v/>
      </c>
      <c r="T510" s="57" t="str">
        <f>Assumptions!$AJ$150</f>
        <v>NE. 55m setback; inner pool &amp; landscape; Olive Lounge / function rooms in front of low floors</v>
      </c>
    </row>
    <row r="511" spans="1:20" x14ac:dyDescent="0.2">
      <c r="A511" s="49" t="s">
        <v>654</v>
      </c>
      <c r="B511" s="29">
        <v>5</v>
      </c>
      <c r="C511" s="50">
        <v>24</v>
      </c>
      <c r="D511" s="50">
        <v>28</v>
      </c>
      <c r="E511" s="27" t="s">
        <v>44</v>
      </c>
      <c r="F511" s="29" t="s">
        <v>652</v>
      </c>
      <c r="G511" s="28">
        <v>732</v>
      </c>
      <c r="H511" s="29" t="s">
        <v>65</v>
      </c>
      <c r="I511" s="38" t="str">
        <f>Assumptions!$I$150</f>
        <v>B</v>
      </c>
      <c r="J511" s="29" t="str">
        <f>IF(D511&lt;=Assumptions!$V$150,"Low",IF(D511&lt;=Assumptions!$W$150,"Mid","High"))</f>
        <v>High</v>
      </c>
      <c r="K511" s="51">
        <f>Assumptions!$Q$150</f>
        <v>2630</v>
      </c>
      <c r="L511" s="52">
        <f>INDEX(Assumptions!$F$61:$F$90,D511)</f>
        <v>3302.5226315789473</v>
      </c>
      <c r="M511" s="53">
        <f>IF(D511&lt;=Assumptions!$G$150,Assumptions!$AK$150,IF(D511&lt;Assumptions!$AH$150,Assumptions!$AK$150+(Assumptions!$AL$150-Assumptions!$AK$150)*(D511-Assumptions!$G$150)/(Assumptions!$AH$150-Assumptions!$G$150),IF(D511&lt;Assumptions!$P$150,Assumptions!$AL$150+(Assumptions!$AM$150-Assumptions!$AL$150)*(D511-Assumptions!$AH$150)/(Assumptions!$P$150-Assumptions!$AH$150),Assumptions!$AM$150)))</f>
        <v>-50000</v>
      </c>
      <c r="N511" s="54">
        <f t="shared" si="14"/>
        <v>-68.306010928961754</v>
      </c>
      <c r="O511" s="55">
        <f t="shared" si="15"/>
        <v>3234</v>
      </c>
      <c r="P511" s="29" t="str">
        <f>IF(D511&gt;=Assumptions!$P$150,"High",IF(D511&gt;=Assumptions!$AH$150,"Mid",IF(D511&lt;=Assumptions!$G$150,"Low","Loading")))</f>
        <v>High</v>
      </c>
      <c r="Q511" s="39">
        <f>MAX(K511,MIN(Assumptions!$S$150,O511),Q512)</f>
        <v>3234</v>
      </c>
      <c r="R511" s="30">
        <f>IF(AND(Q511&lt;=K511,INDEX(Assumptions!$C$26:$C$36,MATCH(G511,Assumptions!$A$26:$A$36,0))&lt;&gt;""),INDEX(Assumptions!$C$26:$C$36,MATCH(G511,Assumptions!$A$26:$A$36,0)),ROUND(G511*Q511,-2))</f>
        <v>2367300</v>
      </c>
      <c r="S511" s="56" t="str">
        <f>TRIM(IF(AND(Assumptions!$L$150&lt;&gt;"",D511&lt;Assumptions!$L$150),"View blocked / roof in front ("&amp;Assumptions!$M$150&amp;"); view premium still loading until L"&amp;Assumptions!$L$150&amp;". ","")&amp;IF(D511=Assumptions!$AH$150,"Mid-floor view premium fully loaded. ","")&amp;IF(D511=Assumptions!$P$150,"High-floor view premium fully loaded. ","")&amp;IF(Q511&lt;=K511,"At developer starting price.",""))</f>
        <v/>
      </c>
      <c r="T511" s="57" t="str">
        <f>Assumptions!$AJ$150</f>
        <v>NE. 55m setback; inner pool &amp; landscape; Olive Lounge / function rooms in front of low floors</v>
      </c>
    </row>
    <row r="512" spans="1:20" x14ac:dyDescent="0.2">
      <c r="A512" s="49" t="s">
        <v>655</v>
      </c>
      <c r="B512" s="29">
        <v>5</v>
      </c>
      <c r="C512" s="50">
        <v>24</v>
      </c>
      <c r="D512" s="50">
        <v>27</v>
      </c>
      <c r="E512" s="27" t="s">
        <v>44</v>
      </c>
      <c r="F512" s="29" t="s">
        <v>652</v>
      </c>
      <c r="G512" s="28">
        <v>732</v>
      </c>
      <c r="H512" s="29" t="s">
        <v>65</v>
      </c>
      <c r="I512" s="38" t="str">
        <f>Assumptions!$I$150</f>
        <v>B</v>
      </c>
      <c r="J512" s="29" t="str">
        <f>IF(D512&lt;=Assumptions!$V$150,"Low",IF(D512&lt;=Assumptions!$W$150,"Mid","High"))</f>
        <v>High</v>
      </c>
      <c r="K512" s="51">
        <f>Assumptions!$Q$150</f>
        <v>2630</v>
      </c>
      <c r="L512" s="52">
        <f>INDEX(Assumptions!$F$61:$F$90,D512)</f>
        <v>3293.3015789473684</v>
      </c>
      <c r="M512" s="53">
        <f>IF(D512&lt;=Assumptions!$G$150,Assumptions!$AK$150,IF(D512&lt;Assumptions!$AH$150,Assumptions!$AK$150+(Assumptions!$AL$150-Assumptions!$AK$150)*(D512-Assumptions!$G$150)/(Assumptions!$AH$150-Assumptions!$G$150),IF(D512&lt;Assumptions!$P$150,Assumptions!$AL$150+(Assumptions!$AM$150-Assumptions!$AL$150)*(D512-Assumptions!$AH$150)/(Assumptions!$P$150-Assumptions!$AH$150),Assumptions!$AM$150)))</f>
        <v>-50000</v>
      </c>
      <c r="N512" s="54">
        <f t="shared" si="14"/>
        <v>-68.306010928961754</v>
      </c>
      <c r="O512" s="55">
        <f t="shared" si="15"/>
        <v>3225</v>
      </c>
      <c r="P512" s="29" t="str">
        <f>IF(D512&gt;=Assumptions!$P$150,"High",IF(D512&gt;=Assumptions!$AH$150,"Mid",IF(D512&lt;=Assumptions!$G$150,"Low","Loading")))</f>
        <v>High</v>
      </c>
      <c r="Q512" s="39">
        <f>MAX(K512,MIN(Assumptions!$S$150,O512),Q513)</f>
        <v>3225</v>
      </c>
      <c r="R512" s="30">
        <f>IF(AND(Q512&lt;=K512,INDEX(Assumptions!$C$26:$C$36,MATCH(G512,Assumptions!$A$26:$A$36,0))&lt;&gt;""),INDEX(Assumptions!$C$26:$C$36,MATCH(G512,Assumptions!$A$26:$A$36,0)),ROUND(G512*Q512,-2))</f>
        <v>2360700</v>
      </c>
      <c r="S512" s="56" t="str">
        <f>TRIM(IF(AND(Assumptions!$L$150&lt;&gt;"",D512&lt;Assumptions!$L$150),"View blocked / roof in front ("&amp;Assumptions!$M$150&amp;"); view premium still loading until L"&amp;Assumptions!$L$150&amp;". ","")&amp;IF(D512=Assumptions!$AH$150,"Mid-floor view premium fully loaded. ","")&amp;IF(D512=Assumptions!$P$150,"High-floor view premium fully loaded. ","")&amp;IF(Q512&lt;=K512,"At developer starting price.",""))</f>
        <v/>
      </c>
      <c r="T512" s="57" t="str">
        <f>Assumptions!$AJ$150</f>
        <v>NE. 55m setback; inner pool &amp; landscape; Olive Lounge / function rooms in front of low floors</v>
      </c>
    </row>
    <row r="513" spans="1:20" x14ac:dyDescent="0.2">
      <c r="A513" s="49" t="s">
        <v>656</v>
      </c>
      <c r="B513" s="29">
        <v>5</v>
      </c>
      <c r="C513" s="50">
        <v>24</v>
      </c>
      <c r="D513" s="50">
        <v>26</v>
      </c>
      <c r="E513" s="27" t="s">
        <v>44</v>
      </c>
      <c r="F513" s="29" t="s">
        <v>652</v>
      </c>
      <c r="G513" s="28">
        <v>732</v>
      </c>
      <c r="H513" s="29" t="s">
        <v>65</v>
      </c>
      <c r="I513" s="38" t="str">
        <f>Assumptions!$I$150</f>
        <v>B</v>
      </c>
      <c r="J513" s="29" t="str">
        <f>IF(D513&lt;=Assumptions!$V$150,"Low",IF(D513&lt;=Assumptions!$W$150,"Mid","High"))</f>
        <v>High</v>
      </c>
      <c r="K513" s="51">
        <f>Assumptions!$Q$150</f>
        <v>2630</v>
      </c>
      <c r="L513" s="52">
        <f>INDEX(Assumptions!$F$61:$F$90,D513)</f>
        <v>3284.0805263157895</v>
      </c>
      <c r="M513" s="53">
        <f>IF(D513&lt;=Assumptions!$G$150,Assumptions!$AK$150,IF(D513&lt;Assumptions!$AH$150,Assumptions!$AK$150+(Assumptions!$AL$150-Assumptions!$AK$150)*(D513-Assumptions!$G$150)/(Assumptions!$AH$150-Assumptions!$G$150),IF(D513&lt;Assumptions!$P$150,Assumptions!$AL$150+(Assumptions!$AM$150-Assumptions!$AL$150)*(D513-Assumptions!$AH$150)/(Assumptions!$P$150-Assumptions!$AH$150),Assumptions!$AM$150)))</f>
        <v>-50000</v>
      </c>
      <c r="N513" s="54">
        <f t="shared" si="14"/>
        <v>-68.306010928961754</v>
      </c>
      <c r="O513" s="55">
        <f t="shared" si="15"/>
        <v>3216</v>
      </c>
      <c r="P513" s="29" t="str">
        <f>IF(D513&gt;=Assumptions!$P$150,"High",IF(D513&gt;=Assumptions!$AH$150,"Mid",IF(D513&lt;=Assumptions!$G$150,"Low","Loading")))</f>
        <v>High</v>
      </c>
      <c r="Q513" s="39">
        <f>MAX(K513,MIN(Assumptions!$S$150,O513),Q514)</f>
        <v>3216</v>
      </c>
      <c r="R513" s="30">
        <f>IF(AND(Q513&lt;=K513,INDEX(Assumptions!$C$26:$C$36,MATCH(G513,Assumptions!$A$26:$A$36,0))&lt;&gt;""),INDEX(Assumptions!$C$26:$C$36,MATCH(G513,Assumptions!$A$26:$A$36,0)),ROUND(G513*Q513,-2))</f>
        <v>2354100</v>
      </c>
      <c r="S513" s="56" t="str">
        <f>TRIM(IF(AND(Assumptions!$L$150&lt;&gt;"",D513&lt;Assumptions!$L$150),"View blocked / roof in front ("&amp;Assumptions!$M$150&amp;"); view premium still loading until L"&amp;Assumptions!$L$150&amp;". ","")&amp;IF(D513=Assumptions!$AH$150,"Mid-floor view premium fully loaded. ","")&amp;IF(D513=Assumptions!$P$150,"High-floor view premium fully loaded. ","")&amp;IF(Q513&lt;=K513,"At developer starting price.",""))</f>
        <v/>
      </c>
      <c r="T513" s="57" t="str">
        <f>Assumptions!$AJ$150</f>
        <v>NE. 55m setback; inner pool &amp; landscape; Olive Lounge / function rooms in front of low floors</v>
      </c>
    </row>
    <row r="514" spans="1:20" x14ac:dyDescent="0.2">
      <c r="A514" s="49" t="s">
        <v>657</v>
      </c>
      <c r="B514" s="29">
        <v>5</v>
      </c>
      <c r="C514" s="50">
        <v>24</v>
      </c>
      <c r="D514" s="50">
        <v>25</v>
      </c>
      <c r="E514" s="27" t="s">
        <v>44</v>
      </c>
      <c r="F514" s="29" t="s">
        <v>652</v>
      </c>
      <c r="G514" s="28">
        <v>732</v>
      </c>
      <c r="H514" s="29" t="s">
        <v>65</v>
      </c>
      <c r="I514" s="38" t="str">
        <f>Assumptions!$I$150</f>
        <v>B</v>
      </c>
      <c r="J514" s="29" t="str">
        <f>IF(D514&lt;=Assumptions!$V$150,"Low",IF(D514&lt;=Assumptions!$W$150,"Mid","High"))</f>
        <v>High</v>
      </c>
      <c r="K514" s="51">
        <f>Assumptions!$Q$150</f>
        <v>2630</v>
      </c>
      <c r="L514" s="52">
        <f>INDEX(Assumptions!$F$61:$F$90,D514)</f>
        <v>3274.8594736842101</v>
      </c>
      <c r="M514" s="53">
        <f>IF(D514&lt;=Assumptions!$G$150,Assumptions!$AK$150,IF(D514&lt;Assumptions!$AH$150,Assumptions!$AK$150+(Assumptions!$AL$150-Assumptions!$AK$150)*(D514-Assumptions!$G$150)/(Assumptions!$AH$150-Assumptions!$G$150),IF(D514&lt;Assumptions!$P$150,Assumptions!$AL$150+(Assumptions!$AM$150-Assumptions!$AL$150)*(D514-Assumptions!$AH$150)/(Assumptions!$P$150-Assumptions!$AH$150),Assumptions!$AM$150)))</f>
        <v>-50000</v>
      </c>
      <c r="N514" s="54">
        <f t="shared" si="14"/>
        <v>-68.306010928961754</v>
      </c>
      <c r="O514" s="55">
        <f t="shared" si="15"/>
        <v>3207</v>
      </c>
      <c r="P514" s="29" t="str">
        <f>IF(D514&gt;=Assumptions!$P$150,"High",IF(D514&gt;=Assumptions!$AH$150,"Mid",IF(D514&lt;=Assumptions!$G$150,"Low","Loading")))</f>
        <v>High</v>
      </c>
      <c r="Q514" s="39">
        <f>MAX(K514,MIN(Assumptions!$S$150,O514),Q515)</f>
        <v>3207</v>
      </c>
      <c r="R514" s="30">
        <f>IF(AND(Q514&lt;=K514,INDEX(Assumptions!$C$26:$C$36,MATCH(G514,Assumptions!$A$26:$A$36,0))&lt;&gt;""),INDEX(Assumptions!$C$26:$C$36,MATCH(G514,Assumptions!$A$26:$A$36,0)),ROUND(G514*Q514,-2))</f>
        <v>2347500</v>
      </c>
      <c r="S514" s="56" t="str">
        <f>TRIM(IF(AND(Assumptions!$L$150&lt;&gt;"",D514&lt;Assumptions!$L$150),"View blocked / roof in front ("&amp;Assumptions!$M$150&amp;"); view premium still loading until L"&amp;Assumptions!$L$150&amp;". ","")&amp;IF(D514=Assumptions!$AH$150,"Mid-floor view premium fully loaded. ","")&amp;IF(D514=Assumptions!$P$150,"High-floor view premium fully loaded. ","")&amp;IF(Q514&lt;=K514,"At developer starting price.",""))</f>
        <v/>
      </c>
      <c r="T514" s="57" t="str">
        <f>Assumptions!$AJ$150</f>
        <v>NE. 55m setback; inner pool &amp; landscape; Olive Lounge / function rooms in front of low floors</v>
      </c>
    </row>
    <row r="515" spans="1:20" x14ac:dyDescent="0.2">
      <c r="A515" s="49" t="s">
        <v>658</v>
      </c>
      <c r="B515" s="29">
        <v>5</v>
      </c>
      <c r="C515" s="50">
        <v>24</v>
      </c>
      <c r="D515" s="50">
        <v>24</v>
      </c>
      <c r="E515" s="27" t="s">
        <v>44</v>
      </c>
      <c r="F515" s="29" t="s">
        <v>652</v>
      </c>
      <c r="G515" s="28">
        <v>732</v>
      </c>
      <c r="H515" s="29" t="s">
        <v>65</v>
      </c>
      <c r="I515" s="38" t="str">
        <f>Assumptions!$I$150</f>
        <v>B</v>
      </c>
      <c r="J515" s="29" t="str">
        <f>IF(D515&lt;=Assumptions!$V$150,"Low",IF(D515&lt;=Assumptions!$W$150,"Mid","High"))</f>
        <v>High</v>
      </c>
      <c r="K515" s="51">
        <f>Assumptions!$Q$150</f>
        <v>2630</v>
      </c>
      <c r="L515" s="52">
        <f>INDEX(Assumptions!$F$61:$F$90,D515)</f>
        <v>3265.6384210526312</v>
      </c>
      <c r="M515" s="53">
        <f>IF(D515&lt;=Assumptions!$G$150,Assumptions!$AK$150,IF(D515&lt;Assumptions!$AH$150,Assumptions!$AK$150+(Assumptions!$AL$150-Assumptions!$AK$150)*(D515-Assumptions!$G$150)/(Assumptions!$AH$150-Assumptions!$G$150),IF(D515&lt;Assumptions!$P$150,Assumptions!$AL$150+(Assumptions!$AM$150-Assumptions!$AL$150)*(D515-Assumptions!$AH$150)/(Assumptions!$P$150-Assumptions!$AH$150),Assumptions!$AM$150)))</f>
        <v>-50000</v>
      </c>
      <c r="N515" s="54">
        <f t="shared" si="14"/>
        <v>-68.306010928961754</v>
      </c>
      <c r="O515" s="55">
        <f t="shared" si="15"/>
        <v>3197</v>
      </c>
      <c r="P515" s="29" t="str">
        <f>IF(D515&gt;=Assumptions!$P$150,"High",IF(D515&gt;=Assumptions!$AH$150,"Mid",IF(D515&lt;=Assumptions!$G$150,"Low","Loading")))</f>
        <v>High</v>
      </c>
      <c r="Q515" s="39">
        <f>MAX(K515,MIN(Assumptions!$S$150,O515),Q516)</f>
        <v>3197</v>
      </c>
      <c r="R515" s="30">
        <f>IF(AND(Q515&lt;=K515,INDEX(Assumptions!$C$26:$C$36,MATCH(G515,Assumptions!$A$26:$A$36,0))&lt;&gt;""),INDEX(Assumptions!$C$26:$C$36,MATCH(G515,Assumptions!$A$26:$A$36,0)),ROUND(G515*Q515,-2))</f>
        <v>2340200</v>
      </c>
      <c r="S515" s="56" t="str">
        <f>TRIM(IF(AND(Assumptions!$L$150&lt;&gt;"",D515&lt;Assumptions!$L$150),"View blocked / roof in front ("&amp;Assumptions!$M$150&amp;"); view premium still loading until L"&amp;Assumptions!$L$150&amp;". ","")&amp;IF(D515=Assumptions!$AH$150,"Mid-floor view premium fully loaded. ","")&amp;IF(D515=Assumptions!$P$150,"High-floor view premium fully loaded. ","")&amp;IF(Q515&lt;=K515,"At developer starting price.",""))</f>
        <v/>
      </c>
      <c r="T515" s="57" t="str">
        <f>Assumptions!$AJ$150</f>
        <v>NE. 55m setback; inner pool &amp; landscape; Olive Lounge / function rooms in front of low floors</v>
      </c>
    </row>
    <row r="516" spans="1:20" x14ac:dyDescent="0.2">
      <c r="A516" s="49" t="s">
        <v>659</v>
      </c>
      <c r="B516" s="29">
        <v>5</v>
      </c>
      <c r="C516" s="50">
        <v>24</v>
      </c>
      <c r="D516" s="50">
        <v>23</v>
      </c>
      <c r="E516" s="27" t="s">
        <v>44</v>
      </c>
      <c r="F516" s="29" t="s">
        <v>652</v>
      </c>
      <c r="G516" s="28">
        <v>732</v>
      </c>
      <c r="H516" s="29" t="s">
        <v>65</v>
      </c>
      <c r="I516" s="38" t="str">
        <f>Assumptions!$I$150</f>
        <v>B</v>
      </c>
      <c r="J516" s="29" t="str">
        <f>IF(D516&lt;=Assumptions!$V$150,"Low",IF(D516&lt;=Assumptions!$W$150,"Mid","High"))</f>
        <v>High</v>
      </c>
      <c r="K516" s="51">
        <f>Assumptions!$Q$150</f>
        <v>2630</v>
      </c>
      <c r="L516" s="52">
        <f>INDEX(Assumptions!$F$61:$F$90,D516)</f>
        <v>3256.4173684210523</v>
      </c>
      <c r="M516" s="53">
        <f>IF(D516&lt;=Assumptions!$G$150,Assumptions!$AK$150,IF(D516&lt;Assumptions!$AH$150,Assumptions!$AK$150+(Assumptions!$AL$150-Assumptions!$AK$150)*(D516-Assumptions!$G$150)/(Assumptions!$AH$150-Assumptions!$G$150),IF(D516&lt;Assumptions!$P$150,Assumptions!$AL$150+(Assumptions!$AM$150-Assumptions!$AL$150)*(D516-Assumptions!$AH$150)/(Assumptions!$P$150-Assumptions!$AH$150),Assumptions!$AM$150)))</f>
        <v>-50000</v>
      </c>
      <c r="N516" s="54">
        <f t="shared" si="14"/>
        <v>-68.306010928961754</v>
      </c>
      <c r="O516" s="55">
        <f t="shared" si="15"/>
        <v>3188</v>
      </c>
      <c r="P516" s="29" t="str">
        <f>IF(D516&gt;=Assumptions!$P$150,"High",IF(D516&gt;=Assumptions!$AH$150,"Mid",IF(D516&lt;=Assumptions!$G$150,"Low","Loading")))</f>
        <v>High</v>
      </c>
      <c r="Q516" s="39">
        <f>MAX(K516,MIN(Assumptions!$S$150,O516),Q517)</f>
        <v>3188</v>
      </c>
      <c r="R516" s="30">
        <f>IF(AND(Q516&lt;=K516,INDEX(Assumptions!$C$26:$C$36,MATCH(G516,Assumptions!$A$26:$A$36,0))&lt;&gt;""),INDEX(Assumptions!$C$26:$C$36,MATCH(G516,Assumptions!$A$26:$A$36,0)),ROUND(G516*Q516,-2))</f>
        <v>2333600</v>
      </c>
      <c r="S516" s="56" t="str">
        <f>TRIM(IF(AND(Assumptions!$L$150&lt;&gt;"",D516&lt;Assumptions!$L$150),"View blocked / roof in front ("&amp;Assumptions!$M$150&amp;"); view premium still loading until L"&amp;Assumptions!$L$150&amp;". ","")&amp;IF(D516=Assumptions!$AH$150,"Mid-floor view premium fully loaded. ","")&amp;IF(D516=Assumptions!$P$150,"High-floor view premium fully loaded. ","")&amp;IF(Q516&lt;=K516,"At developer starting price.",""))</f>
        <v/>
      </c>
      <c r="T516" s="57" t="str">
        <f>Assumptions!$AJ$150</f>
        <v>NE. 55m setback; inner pool &amp; landscape; Olive Lounge / function rooms in front of low floors</v>
      </c>
    </row>
    <row r="517" spans="1:20" x14ac:dyDescent="0.2">
      <c r="A517" s="49" t="s">
        <v>660</v>
      </c>
      <c r="B517" s="29">
        <v>5</v>
      </c>
      <c r="C517" s="50">
        <v>24</v>
      </c>
      <c r="D517" s="50">
        <v>22</v>
      </c>
      <c r="E517" s="27" t="s">
        <v>44</v>
      </c>
      <c r="F517" s="29" t="s">
        <v>652</v>
      </c>
      <c r="G517" s="28">
        <v>732</v>
      </c>
      <c r="H517" s="29" t="s">
        <v>65</v>
      </c>
      <c r="I517" s="38" t="str">
        <f>Assumptions!$I$150</f>
        <v>B</v>
      </c>
      <c r="J517" s="29" t="str">
        <f>IF(D517&lt;=Assumptions!$V$150,"Low",IF(D517&lt;=Assumptions!$W$150,"Mid","High"))</f>
        <v>High</v>
      </c>
      <c r="K517" s="51">
        <f>Assumptions!$Q$150</f>
        <v>2630</v>
      </c>
      <c r="L517" s="52">
        <f>INDEX(Assumptions!$F$61:$F$90,D517)</f>
        <v>3247.1963157894734</v>
      </c>
      <c r="M517" s="53">
        <f>IF(D517&lt;=Assumptions!$G$150,Assumptions!$AK$150,IF(D517&lt;Assumptions!$AH$150,Assumptions!$AK$150+(Assumptions!$AL$150-Assumptions!$AK$150)*(D517-Assumptions!$G$150)/(Assumptions!$AH$150-Assumptions!$G$150),IF(D517&lt;Assumptions!$P$150,Assumptions!$AL$150+(Assumptions!$AM$150-Assumptions!$AL$150)*(D517-Assumptions!$AH$150)/(Assumptions!$P$150-Assumptions!$AH$150),Assumptions!$AM$150)))</f>
        <v>-50000</v>
      </c>
      <c r="N517" s="54">
        <f t="shared" ref="N517:N580" si="16">M517/G517</f>
        <v>-68.306010928961754</v>
      </c>
      <c r="O517" s="55">
        <f t="shared" ref="O517:O580" si="17">ROUND(L517+N517,0)</f>
        <v>3179</v>
      </c>
      <c r="P517" s="29" t="str">
        <f>IF(D517&gt;=Assumptions!$P$150,"High",IF(D517&gt;=Assumptions!$AH$150,"Mid",IF(D517&lt;=Assumptions!$G$150,"Low","Loading")))</f>
        <v>High</v>
      </c>
      <c r="Q517" s="39">
        <f>MAX(K517,MIN(Assumptions!$S$150,O517),Q518)</f>
        <v>3179</v>
      </c>
      <c r="R517" s="30">
        <f>IF(AND(Q517&lt;=K517,INDEX(Assumptions!$C$26:$C$36,MATCH(G517,Assumptions!$A$26:$A$36,0))&lt;&gt;""),INDEX(Assumptions!$C$26:$C$36,MATCH(G517,Assumptions!$A$26:$A$36,0)),ROUND(G517*Q517,-2))</f>
        <v>2327000</v>
      </c>
      <c r="S517" s="56" t="str">
        <f>TRIM(IF(AND(Assumptions!$L$150&lt;&gt;"",D517&lt;Assumptions!$L$150),"View blocked / roof in front ("&amp;Assumptions!$M$150&amp;"); view premium still loading until L"&amp;Assumptions!$L$150&amp;". ","")&amp;IF(D517=Assumptions!$AH$150,"Mid-floor view premium fully loaded. ","")&amp;IF(D517=Assumptions!$P$150,"High-floor view premium fully loaded. ","")&amp;IF(Q517&lt;=K517,"At developer starting price.",""))</f>
        <v/>
      </c>
      <c r="T517" s="57" t="str">
        <f>Assumptions!$AJ$150</f>
        <v>NE. 55m setback; inner pool &amp; landscape; Olive Lounge / function rooms in front of low floors</v>
      </c>
    </row>
    <row r="518" spans="1:20" x14ac:dyDescent="0.2">
      <c r="A518" s="49" t="s">
        <v>661</v>
      </c>
      <c r="B518" s="29">
        <v>5</v>
      </c>
      <c r="C518" s="50">
        <v>24</v>
      </c>
      <c r="D518" s="50">
        <v>21</v>
      </c>
      <c r="E518" s="27" t="s">
        <v>44</v>
      </c>
      <c r="F518" s="29" t="s">
        <v>652</v>
      </c>
      <c r="G518" s="28">
        <v>732</v>
      </c>
      <c r="H518" s="29" t="s">
        <v>65</v>
      </c>
      <c r="I518" s="38" t="str">
        <f>Assumptions!$I$150</f>
        <v>B</v>
      </c>
      <c r="J518" s="29" t="str">
        <f>IF(D518&lt;=Assumptions!$V$150,"Low",IF(D518&lt;=Assumptions!$W$150,"Mid","High"))</f>
        <v>High</v>
      </c>
      <c r="K518" s="51">
        <f>Assumptions!$Q$150</f>
        <v>2630</v>
      </c>
      <c r="L518" s="52">
        <f>INDEX(Assumptions!$F$61:$F$90,D518)</f>
        <v>3237.9752631578945</v>
      </c>
      <c r="M518" s="53">
        <f>IF(D518&lt;=Assumptions!$G$150,Assumptions!$AK$150,IF(D518&lt;Assumptions!$AH$150,Assumptions!$AK$150+(Assumptions!$AL$150-Assumptions!$AK$150)*(D518-Assumptions!$G$150)/(Assumptions!$AH$150-Assumptions!$G$150),IF(D518&lt;Assumptions!$P$150,Assumptions!$AL$150+(Assumptions!$AM$150-Assumptions!$AL$150)*(D518-Assumptions!$AH$150)/(Assumptions!$P$150-Assumptions!$AH$150),Assumptions!$AM$150)))</f>
        <v>-50000</v>
      </c>
      <c r="N518" s="54">
        <f t="shared" si="16"/>
        <v>-68.306010928961754</v>
      </c>
      <c r="O518" s="55">
        <f t="shared" si="17"/>
        <v>3170</v>
      </c>
      <c r="P518" s="29" t="str">
        <f>IF(D518&gt;=Assumptions!$P$150,"High",IF(D518&gt;=Assumptions!$AH$150,"Mid",IF(D518&lt;=Assumptions!$G$150,"Low","Loading")))</f>
        <v>High</v>
      </c>
      <c r="Q518" s="39">
        <f>MAX(K518,MIN(Assumptions!$S$150,O518),Q519)</f>
        <v>3170</v>
      </c>
      <c r="R518" s="30">
        <f>IF(AND(Q518&lt;=K518,INDEX(Assumptions!$C$26:$C$36,MATCH(G518,Assumptions!$A$26:$A$36,0))&lt;&gt;""),INDEX(Assumptions!$C$26:$C$36,MATCH(G518,Assumptions!$A$26:$A$36,0)),ROUND(G518*Q518,-2))</f>
        <v>2320400</v>
      </c>
      <c r="S518" s="56" t="str">
        <f>TRIM(IF(AND(Assumptions!$L$150&lt;&gt;"",D518&lt;Assumptions!$L$150),"View blocked / roof in front ("&amp;Assumptions!$M$150&amp;"); view premium still loading until L"&amp;Assumptions!$L$150&amp;". ","")&amp;IF(D518=Assumptions!$AH$150,"Mid-floor view premium fully loaded. ","")&amp;IF(D518=Assumptions!$P$150,"High-floor view premium fully loaded. ","")&amp;IF(Q518&lt;=K518,"At developer starting price.",""))</f>
        <v>High-floor view premium fully loaded.</v>
      </c>
      <c r="T518" s="57" t="str">
        <f>Assumptions!$AJ$150</f>
        <v>NE. 55m setback; inner pool &amp; landscape; Olive Lounge / function rooms in front of low floors</v>
      </c>
    </row>
    <row r="519" spans="1:20" x14ac:dyDescent="0.2">
      <c r="A519" s="49" t="s">
        <v>662</v>
      </c>
      <c r="B519" s="29">
        <v>5</v>
      </c>
      <c r="C519" s="50">
        <v>24</v>
      </c>
      <c r="D519" s="50">
        <v>20</v>
      </c>
      <c r="E519" s="27" t="s">
        <v>44</v>
      </c>
      <c r="F519" s="29" t="s">
        <v>652</v>
      </c>
      <c r="G519" s="28">
        <v>732</v>
      </c>
      <c r="H519" s="29" t="s">
        <v>65</v>
      </c>
      <c r="I519" s="38" t="str">
        <f>Assumptions!$I$150</f>
        <v>B</v>
      </c>
      <c r="J519" s="29" t="str">
        <f>IF(D519&lt;=Assumptions!$V$150,"Low",IF(D519&lt;=Assumptions!$W$150,"Mid","High"))</f>
        <v>Mid</v>
      </c>
      <c r="K519" s="51">
        <f>Assumptions!$Q$150</f>
        <v>2630</v>
      </c>
      <c r="L519" s="52">
        <f>INDEX(Assumptions!$F$61:$F$90,D519)</f>
        <v>3219.2542105263155</v>
      </c>
      <c r="M519" s="53">
        <f>IF(D519&lt;=Assumptions!$G$150,Assumptions!$AK$150,IF(D519&lt;Assumptions!$AH$150,Assumptions!$AK$150+(Assumptions!$AL$150-Assumptions!$AK$150)*(D519-Assumptions!$G$150)/(Assumptions!$AH$150-Assumptions!$G$150),IF(D519&lt;Assumptions!$P$150,Assumptions!$AL$150+(Assumptions!$AM$150-Assumptions!$AL$150)*(D519-Assumptions!$AH$150)/(Assumptions!$P$150-Assumptions!$AH$150),Assumptions!$AM$150)))</f>
        <v>-46428.571428571428</v>
      </c>
      <c r="N519" s="54">
        <f t="shared" si="16"/>
        <v>-63.427010148321621</v>
      </c>
      <c r="O519" s="55">
        <f t="shared" si="17"/>
        <v>3156</v>
      </c>
      <c r="P519" s="29" t="str">
        <f>IF(D519&gt;=Assumptions!$P$150,"High",IF(D519&gt;=Assumptions!$AH$150,"Mid",IF(D519&lt;=Assumptions!$G$150,"Low","Loading")))</f>
        <v>Mid</v>
      </c>
      <c r="Q519" s="39">
        <f>MAX(K519,MIN(Assumptions!$S$150,O519),Q520)</f>
        <v>3156</v>
      </c>
      <c r="R519" s="30">
        <f>IF(AND(Q519&lt;=K519,INDEX(Assumptions!$C$26:$C$36,MATCH(G519,Assumptions!$A$26:$A$36,0))&lt;&gt;""),INDEX(Assumptions!$C$26:$C$36,MATCH(G519,Assumptions!$A$26:$A$36,0)),ROUND(G519*Q519,-2))</f>
        <v>2310200</v>
      </c>
      <c r="S519" s="56" t="str">
        <f>TRIM(IF(AND(Assumptions!$L$150&lt;&gt;"",D519&lt;Assumptions!$L$150),"View blocked / roof in front ("&amp;Assumptions!$M$150&amp;"); view premium still loading until L"&amp;Assumptions!$L$150&amp;". ","")&amp;IF(D519=Assumptions!$AH$150,"Mid-floor view premium fully loaded. ","")&amp;IF(D519=Assumptions!$P$150,"High-floor view premium fully loaded. ","")&amp;IF(Q519&lt;=K519,"At developer starting price.",""))</f>
        <v/>
      </c>
      <c r="T519" s="57" t="str">
        <f>Assumptions!$AJ$150</f>
        <v>NE. 55m setback; inner pool &amp; landscape; Olive Lounge / function rooms in front of low floors</v>
      </c>
    </row>
    <row r="520" spans="1:20" x14ac:dyDescent="0.2">
      <c r="A520" s="49" t="s">
        <v>663</v>
      </c>
      <c r="B520" s="29">
        <v>5</v>
      </c>
      <c r="C520" s="50">
        <v>24</v>
      </c>
      <c r="D520" s="50">
        <v>19</v>
      </c>
      <c r="E520" s="27" t="s">
        <v>44</v>
      </c>
      <c r="F520" s="29" t="s">
        <v>652</v>
      </c>
      <c r="G520" s="28">
        <v>732</v>
      </c>
      <c r="H520" s="29" t="s">
        <v>65</v>
      </c>
      <c r="I520" s="38" t="str">
        <f>Assumptions!$I$150</f>
        <v>B</v>
      </c>
      <c r="J520" s="29" t="str">
        <f>IF(D520&lt;=Assumptions!$V$150,"Low",IF(D520&lt;=Assumptions!$W$150,"Mid","High"))</f>
        <v>Mid</v>
      </c>
      <c r="K520" s="51">
        <f>Assumptions!$Q$150</f>
        <v>2630</v>
      </c>
      <c r="L520" s="52">
        <f>INDEX(Assumptions!$F$61:$F$90,D520)</f>
        <v>3200.5331578947366</v>
      </c>
      <c r="M520" s="53">
        <f>IF(D520&lt;=Assumptions!$G$150,Assumptions!$AK$150,IF(D520&lt;Assumptions!$AH$150,Assumptions!$AK$150+(Assumptions!$AL$150-Assumptions!$AK$150)*(D520-Assumptions!$G$150)/(Assumptions!$AH$150-Assumptions!$G$150),IF(D520&lt;Assumptions!$P$150,Assumptions!$AL$150+(Assumptions!$AM$150-Assumptions!$AL$150)*(D520-Assumptions!$AH$150)/(Assumptions!$P$150-Assumptions!$AH$150),Assumptions!$AM$150)))</f>
        <v>-42857.142857142855</v>
      </c>
      <c r="N520" s="54">
        <f t="shared" si="16"/>
        <v>-58.548009367681495</v>
      </c>
      <c r="O520" s="55">
        <f t="shared" si="17"/>
        <v>3142</v>
      </c>
      <c r="P520" s="29" t="str">
        <f>IF(D520&gt;=Assumptions!$P$150,"High",IF(D520&gt;=Assumptions!$AH$150,"Mid",IF(D520&lt;=Assumptions!$G$150,"Low","Loading")))</f>
        <v>Mid</v>
      </c>
      <c r="Q520" s="39">
        <f>MAX(K520,MIN(Assumptions!$S$150,O520),Q521)</f>
        <v>3142</v>
      </c>
      <c r="R520" s="30">
        <f>IF(AND(Q520&lt;=K520,INDEX(Assumptions!$C$26:$C$36,MATCH(G520,Assumptions!$A$26:$A$36,0))&lt;&gt;""),INDEX(Assumptions!$C$26:$C$36,MATCH(G520,Assumptions!$A$26:$A$36,0)),ROUND(G520*Q520,-2))</f>
        <v>2299900</v>
      </c>
      <c r="S520" s="56" t="str">
        <f>TRIM(IF(AND(Assumptions!$L$150&lt;&gt;"",D520&lt;Assumptions!$L$150),"View blocked / roof in front ("&amp;Assumptions!$M$150&amp;"); view premium still loading until L"&amp;Assumptions!$L$150&amp;". ","")&amp;IF(D520=Assumptions!$AH$150,"Mid-floor view premium fully loaded. ","")&amp;IF(D520=Assumptions!$P$150,"High-floor view premium fully loaded. ","")&amp;IF(Q520&lt;=K520,"At developer starting price.",""))</f>
        <v/>
      </c>
      <c r="T520" s="57" t="str">
        <f>Assumptions!$AJ$150</f>
        <v>NE. 55m setback; inner pool &amp; landscape; Olive Lounge / function rooms in front of low floors</v>
      </c>
    </row>
    <row r="521" spans="1:20" x14ac:dyDescent="0.2">
      <c r="A521" s="49" t="s">
        <v>664</v>
      </c>
      <c r="B521" s="29">
        <v>5</v>
      </c>
      <c r="C521" s="50">
        <v>24</v>
      </c>
      <c r="D521" s="50">
        <v>18</v>
      </c>
      <c r="E521" s="27" t="s">
        <v>44</v>
      </c>
      <c r="F521" s="29" t="s">
        <v>652</v>
      </c>
      <c r="G521" s="28">
        <v>732</v>
      </c>
      <c r="H521" s="29" t="s">
        <v>65</v>
      </c>
      <c r="I521" s="38" t="str">
        <f>Assumptions!$I$150</f>
        <v>B</v>
      </c>
      <c r="J521" s="29" t="str">
        <f>IF(D521&lt;=Assumptions!$V$150,"Low",IF(D521&lt;=Assumptions!$W$150,"Mid","High"))</f>
        <v>Mid</v>
      </c>
      <c r="K521" s="51">
        <f>Assumptions!$Q$150</f>
        <v>2630</v>
      </c>
      <c r="L521" s="52">
        <f>INDEX(Assumptions!$F$61:$F$90,D521)</f>
        <v>3181.8121052631577</v>
      </c>
      <c r="M521" s="53">
        <f>IF(D521&lt;=Assumptions!$G$150,Assumptions!$AK$150,IF(D521&lt;Assumptions!$AH$150,Assumptions!$AK$150+(Assumptions!$AL$150-Assumptions!$AK$150)*(D521-Assumptions!$G$150)/(Assumptions!$AH$150-Assumptions!$G$150),IF(D521&lt;Assumptions!$P$150,Assumptions!$AL$150+(Assumptions!$AM$150-Assumptions!$AL$150)*(D521-Assumptions!$AH$150)/(Assumptions!$P$150-Assumptions!$AH$150),Assumptions!$AM$150)))</f>
        <v>-39285.714285714283</v>
      </c>
      <c r="N521" s="54">
        <f t="shared" si="16"/>
        <v>-53.669008587041368</v>
      </c>
      <c r="O521" s="55">
        <f t="shared" si="17"/>
        <v>3128</v>
      </c>
      <c r="P521" s="29" t="str">
        <f>IF(D521&gt;=Assumptions!$P$150,"High",IF(D521&gt;=Assumptions!$AH$150,"Mid",IF(D521&lt;=Assumptions!$G$150,"Low","Loading")))</f>
        <v>Mid</v>
      </c>
      <c r="Q521" s="39">
        <f>MAX(K521,MIN(Assumptions!$S$150,O521),Q522)</f>
        <v>3128</v>
      </c>
      <c r="R521" s="30">
        <f>IF(AND(Q521&lt;=K521,INDEX(Assumptions!$C$26:$C$36,MATCH(G521,Assumptions!$A$26:$A$36,0))&lt;&gt;""),INDEX(Assumptions!$C$26:$C$36,MATCH(G521,Assumptions!$A$26:$A$36,0)),ROUND(G521*Q521,-2))</f>
        <v>2289700</v>
      </c>
      <c r="S521" s="56" t="str">
        <f>TRIM(IF(AND(Assumptions!$L$150&lt;&gt;"",D521&lt;Assumptions!$L$150),"View blocked / roof in front ("&amp;Assumptions!$M$150&amp;"); view premium still loading until L"&amp;Assumptions!$L$150&amp;". ","")&amp;IF(D521=Assumptions!$AH$150,"Mid-floor view premium fully loaded. ","")&amp;IF(D521=Assumptions!$P$150,"High-floor view premium fully loaded. ","")&amp;IF(Q521&lt;=K521,"At developer starting price.",""))</f>
        <v/>
      </c>
      <c r="T521" s="57" t="str">
        <f>Assumptions!$AJ$150</f>
        <v>NE. 55m setback; inner pool &amp; landscape; Olive Lounge / function rooms in front of low floors</v>
      </c>
    </row>
    <row r="522" spans="1:20" x14ac:dyDescent="0.2">
      <c r="A522" s="49" t="s">
        <v>665</v>
      </c>
      <c r="B522" s="29">
        <v>5</v>
      </c>
      <c r="C522" s="50">
        <v>24</v>
      </c>
      <c r="D522" s="50">
        <v>17</v>
      </c>
      <c r="E522" s="27" t="s">
        <v>44</v>
      </c>
      <c r="F522" s="29" t="s">
        <v>652</v>
      </c>
      <c r="G522" s="28">
        <v>732</v>
      </c>
      <c r="H522" s="29" t="s">
        <v>65</v>
      </c>
      <c r="I522" s="38" t="str">
        <f>Assumptions!$I$150</f>
        <v>B</v>
      </c>
      <c r="J522" s="29" t="str">
        <f>IF(D522&lt;=Assumptions!$V$150,"Low",IF(D522&lt;=Assumptions!$W$150,"Mid","High"))</f>
        <v>Mid</v>
      </c>
      <c r="K522" s="51">
        <f>Assumptions!$Q$150</f>
        <v>2630</v>
      </c>
      <c r="L522" s="52">
        <f>INDEX(Assumptions!$F$61:$F$90,D522)</f>
        <v>3163.0910526315788</v>
      </c>
      <c r="M522" s="53">
        <f>IF(D522&lt;=Assumptions!$G$150,Assumptions!$AK$150,IF(D522&lt;Assumptions!$AH$150,Assumptions!$AK$150+(Assumptions!$AL$150-Assumptions!$AK$150)*(D522-Assumptions!$G$150)/(Assumptions!$AH$150-Assumptions!$G$150),IF(D522&lt;Assumptions!$P$150,Assumptions!$AL$150+(Assumptions!$AM$150-Assumptions!$AL$150)*(D522-Assumptions!$AH$150)/(Assumptions!$P$150-Assumptions!$AH$150),Assumptions!$AM$150)))</f>
        <v>-35714.285714285717</v>
      </c>
      <c r="N522" s="54">
        <f t="shared" si="16"/>
        <v>-48.790007806401256</v>
      </c>
      <c r="O522" s="55">
        <f t="shared" si="17"/>
        <v>3114</v>
      </c>
      <c r="P522" s="29" t="str">
        <f>IF(D522&gt;=Assumptions!$P$150,"High",IF(D522&gt;=Assumptions!$AH$150,"Mid",IF(D522&lt;=Assumptions!$G$150,"Low","Loading")))</f>
        <v>Mid</v>
      </c>
      <c r="Q522" s="39">
        <f>MAX(K522,MIN(Assumptions!$S$150,O522),Q523)</f>
        <v>3114</v>
      </c>
      <c r="R522" s="30">
        <f>IF(AND(Q522&lt;=K522,INDEX(Assumptions!$C$26:$C$36,MATCH(G522,Assumptions!$A$26:$A$36,0))&lt;&gt;""),INDEX(Assumptions!$C$26:$C$36,MATCH(G522,Assumptions!$A$26:$A$36,0)),ROUND(G522*Q522,-2))</f>
        <v>2279400</v>
      </c>
      <c r="S522" s="56" t="str">
        <f>TRIM(IF(AND(Assumptions!$L$150&lt;&gt;"",D522&lt;Assumptions!$L$150),"View blocked / roof in front ("&amp;Assumptions!$M$150&amp;"); view premium still loading until L"&amp;Assumptions!$L$150&amp;". ","")&amp;IF(D522=Assumptions!$AH$150,"Mid-floor view premium fully loaded. ","")&amp;IF(D522=Assumptions!$P$150,"High-floor view premium fully loaded. ","")&amp;IF(Q522&lt;=K522,"At developer starting price.",""))</f>
        <v/>
      </c>
      <c r="T522" s="57" t="str">
        <f>Assumptions!$AJ$150</f>
        <v>NE. 55m setback; inner pool &amp; landscape; Olive Lounge / function rooms in front of low floors</v>
      </c>
    </row>
    <row r="523" spans="1:20" x14ac:dyDescent="0.2">
      <c r="A523" s="49" t="s">
        <v>666</v>
      </c>
      <c r="B523" s="29">
        <v>5</v>
      </c>
      <c r="C523" s="50">
        <v>24</v>
      </c>
      <c r="D523" s="50">
        <v>16</v>
      </c>
      <c r="E523" s="27" t="s">
        <v>44</v>
      </c>
      <c r="F523" s="29" t="s">
        <v>652</v>
      </c>
      <c r="G523" s="28">
        <v>732</v>
      </c>
      <c r="H523" s="29" t="s">
        <v>65</v>
      </c>
      <c r="I523" s="38" t="str">
        <f>Assumptions!$I$150</f>
        <v>B</v>
      </c>
      <c r="J523" s="29" t="str">
        <f>IF(D523&lt;=Assumptions!$V$150,"Low",IF(D523&lt;=Assumptions!$W$150,"Mid","High"))</f>
        <v>Mid</v>
      </c>
      <c r="K523" s="51">
        <f>Assumptions!$Q$150</f>
        <v>2630</v>
      </c>
      <c r="L523" s="52">
        <f>INDEX(Assumptions!$F$61:$F$90,D523)</f>
        <v>3144.37</v>
      </c>
      <c r="M523" s="53">
        <f>IF(D523&lt;=Assumptions!$G$150,Assumptions!$AK$150,IF(D523&lt;Assumptions!$AH$150,Assumptions!$AK$150+(Assumptions!$AL$150-Assumptions!$AK$150)*(D523-Assumptions!$G$150)/(Assumptions!$AH$150-Assumptions!$G$150),IF(D523&lt;Assumptions!$P$150,Assumptions!$AL$150+(Assumptions!$AM$150-Assumptions!$AL$150)*(D523-Assumptions!$AH$150)/(Assumptions!$P$150-Assumptions!$AH$150),Assumptions!$AM$150)))</f>
        <v>-32142.857142857141</v>
      </c>
      <c r="N523" s="54">
        <f t="shared" si="16"/>
        <v>-43.911007025761123</v>
      </c>
      <c r="O523" s="55">
        <f t="shared" si="17"/>
        <v>3100</v>
      </c>
      <c r="P523" s="29" t="str">
        <f>IF(D523&gt;=Assumptions!$P$150,"High",IF(D523&gt;=Assumptions!$AH$150,"Mid",IF(D523&lt;=Assumptions!$G$150,"Low","Loading")))</f>
        <v>Mid</v>
      </c>
      <c r="Q523" s="39">
        <f>MAX(K523,MIN(Assumptions!$S$150,O523),Q524)</f>
        <v>3100</v>
      </c>
      <c r="R523" s="30">
        <f>IF(AND(Q523&lt;=K523,INDEX(Assumptions!$C$26:$C$36,MATCH(G523,Assumptions!$A$26:$A$36,0))&lt;&gt;""),INDEX(Assumptions!$C$26:$C$36,MATCH(G523,Assumptions!$A$26:$A$36,0)),ROUND(G523*Q523,-2))</f>
        <v>2269200</v>
      </c>
      <c r="S523" s="56" t="str">
        <f>TRIM(IF(AND(Assumptions!$L$150&lt;&gt;"",D523&lt;Assumptions!$L$150),"View blocked / roof in front ("&amp;Assumptions!$M$150&amp;"); view premium still loading until L"&amp;Assumptions!$L$150&amp;". ","")&amp;IF(D523=Assumptions!$AH$150,"Mid-floor view premium fully loaded. ","")&amp;IF(D523=Assumptions!$P$150,"High-floor view premium fully loaded. ","")&amp;IF(Q523&lt;=K523,"At developer starting price.",""))</f>
        <v/>
      </c>
      <c r="T523" s="57" t="str">
        <f>Assumptions!$AJ$150</f>
        <v>NE. 55m setback; inner pool &amp; landscape; Olive Lounge / function rooms in front of low floors</v>
      </c>
    </row>
    <row r="524" spans="1:20" x14ac:dyDescent="0.2">
      <c r="A524" s="49" t="s">
        <v>667</v>
      </c>
      <c r="B524" s="29">
        <v>5</v>
      </c>
      <c r="C524" s="50">
        <v>24</v>
      </c>
      <c r="D524" s="50">
        <v>15</v>
      </c>
      <c r="E524" s="27" t="s">
        <v>44</v>
      </c>
      <c r="F524" s="29" t="s">
        <v>652</v>
      </c>
      <c r="G524" s="28">
        <v>732</v>
      </c>
      <c r="H524" s="29" t="s">
        <v>65</v>
      </c>
      <c r="I524" s="38" t="str">
        <f>Assumptions!$I$150</f>
        <v>B</v>
      </c>
      <c r="J524" s="29" t="str">
        <f>IF(D524&lt;=Assumptions!$V$150,"Low",IF(D524&lt;=Assumptions!$W$150,"Mid","High"))</f>
        <v>Mid</v>
      </c>
      <c r="K524" s="51">
        <f>Assumptions!$Q$150</f>
        <v>2630</v>
      </c>
      <c r="L524" s="52">
        <f>INDEX(Assumptions!$F$61:$F$90,D524)</f>
        <v>3118.8799999999997</v>
      </c>
      <c r="M524" s="53">
        <f>IF(D524&lt;=Assumptions!$G$150,Assumptions!$AK$150,IF(D524&lt;Assumptions!$AH$150,Assumptions!$AK$150+(Assumptions!$AL$150-Assumptions!$AK$150)*(D524-Assumptions!$G$150)/(Assumptions!$AH$150-Assumptions!$G$150),IF(D524&lt;Assumptions!$P$150,Assumptions!$AL$150+(Assumptions!$AM$150-Assumptions!$AL$150)*(D524-Assumptions!$AH$150)/(Assumptions!$P$150-Assumptions!$AH$150),Assumptions!$AM$150)))</f>
        <v>-28571.428571428572</v>
      </c>
      <c r="N524" s="54">
        <f t="shared" si="16"/>
        <v>-39.032006245121003</v>
      </c>
      <c r="O524" s="55">
        <f t="shared" si="17"/>
        <v>3080</v>
      </c>
      <c r="P524" s="29" t="str">
        <f>IF(D524&gt;=Assumptions!$P$150,"High",IF(D524&gt;=Assumptions!$AH$150,"Mid",IF(D524&lt;=Assumptions!$G$150,"Low","Loading")))</f>
        <v>Mid</v>
      </c>
      <c r="Q524" s="39">
        <f>MAX(K524,MIN(Assumptions!$S$150,O524),Q525)</f>
        <v>3080</v>
      </c>
      <c r="R524" s="30">
        <f>IF(AND(Q524&lt;=K524,INDEX(Assumptions!$C$26:$C$36,MATCH(G524,Assumptions!$A$26:$A$36,0))&lt;&gt;""),INDEX(Assumptions!$C$26:$C$36,MATCH(G524,Assumptions!$A$26:$A$36,0)),ROUND(G524*Q524,-2))</f>
        <v>2254600</v>
      </c>
      <c r="S524" s="56" t="str">
        <f>TRIM(IF(AND(Assumptions!$L$150&lt;&gt;"",D524&lt;Assumptions!$L$150),"View blocked / roof in front ("&amp;Assumptions!$M$150&amp;"); view premium still loading until L"&amp;Assumptions!$L$150&amp;". ","")&amp;IF(D524=Assumptions!$AH$150,"Mid-floor view premium fully loaded. ","")&amp;IF(D524=Assumptions!$P$150,"High-floor view premium fully loaded. ","")&amp;IF(Q524&lt;=K524,"At developer starting price.",""))</f>
        <v/>
      </c>
      <c r="T524" s="57" t="str">
        <f>Assumptions!$AJ$150</f>
        <v>NE. 55m setback; inner pool &amp; landscape; Olive Lounge / function rooms in front of low floors</v>
      </c>
    </row>
    <row r="525" spans="1:20" x14ac:dyDescent="0.2">
      <c r="A525" s="49" t="s">
        <v>668</v>
      </c>
      <c r="B525" s="29">
        <v>5</v>
      </c>
      <c r="C525" s="50">
        <v>24</v>
      </c>
      <c r="D525" s="50">
        <v>14</v>
      </c>
      <c r="E525" s="27" t="s">
        <v>44</v>
      </c>
      <c r="F525" s="29" t="s">
        <v>652</v>
      </c>
      <c r="G525" s="28">
        <v>732</v>
      </c>
      <c r="H525" s="29" t="s">
        <v>65</v>
      </c>
      <c r="I525" s="38" t="str">
        <f>Assumptions!$I$150</f>
        <v>B</v>
      </c>
      <c r="J525" s="29" t="str">
        <f>IF(D525&lt;=Assumptions!$V$150,"Low",IF(D525&lt;=Assumptions!$W$150,"Mid","High"))</f>
        <v>Mid</v>
      </c>
      <c r="K525" s="51">
        <f>Assumptions!$Q$150</f>
        <v>2630</v>
      </c>
      <c r="L525" s="52">
        <f>INDEX(Assumptions!$F$61:$F$90,D525)</f>
        <v>3093.39</v>
      </c>
      <c r="M525" s="53">
        <f>IF(D525&lt;=Assumptions!$G$150,Assumptions!$AK$150,IF(D525&lt;Assumptions!$AH$150,Assumptions!$AK$150+(Assumptions!$AL$150-Assumptions!$AK$150)*(D525-Assumptions!$G$150)/(Assumptions!$AH$150-Assumptions!$G$150),IF(D525&lt;Assumptions!$P$150,Assumptions!$AL$150+(Assumptions!$AM$150-Assumptions!$AL$150)*(D525-Assumptions!$AH$150)/(Assumptions!$P$150-Assumptions!$AH$150),Assumptions!$AM$150)))</f>
        <v>-25000</v>
      </c>
      <c r="N525" s="54">
        <f t="shared" si="16"/>
        <v>-34.153005464480877</v>
      </c>
      <c r="O525" s="55">
        <f t="shared" si="17"/>
        <v>3059</v>
      </c>
      <c r="P525" s="29" t="str">
        <f>IF(D525&gt;=Assumptions!$P$150,"High",IF(D525&gt;=Assumptions!$AH$150,"Mid",IF(D525&lt;=Assumptions!$G$150,"Low","Loading")))</f>
        <v>Mid</v>
      </c>
      <c r="Q525" s="39">
        <f>MAX(K525,MIN(Assumptions!$S$150,O525),Q526)</f>
        <v>3059</v>
      </c>
      <c r="R525" s="30">
        <f>IF(AND(Q525&lt;=K525,INDEX(Assumptions!$C$26:$C$36,MATCH(G525,Assumptions!$A$26:$A$36,0))&lt;&gt;""),INDEX(Assumptions!$C$26:$C$36,MATCH(G525,Assumptions!$A$26:$A$36,0)),ROUND(G525*Q525,-2))</f>
        <v>2239200</v>
      </c>
      <c r="S525" s="56" t="str">
        <f>TRIM(IF(AND(Assumptions!$L$150&lt;&gt;"",D525&lt;Assumptions!$L$150),"View blocked / roof in front ("&amp;Assumptions!$M$150&amp;"); view premium still loading until L"&amp;Assumptions!$L$150&amp;". ","")&amp;IF(D525=Assumptions!$AH$150,"Mid-floor view premium fully loaded. ","")&amp;IF(D525=Assumptions!$P$150,"High-floor view premium fully loaded. ","")&amp;IF(Q525&lt;=K525,"At developer starting price.",""))</f>
        <v/>
      </c>
      <c r="T525" s="57" t="str">
        <f>Assumptions!$AJ$150</f>
        <v>NE. 55m setback; inner pool &amp; landscape; Olive Lounge / function rooms in front of low floors</v>
      </c>
    </row>
    <row r="526" spans="1:20" x14ac:dyDescent="0.2">
      <c r="A526" s="49" t="s">
        <v>669</v>
      </c>
      <c r="B526" s="29">
        <v>5</v>
      </c>
      <c r="C526" s="50">
        <v>24</v>
      </c>
      <c r="D526" s="50">
        <v>13</v>
      </c>
      <c r="E526" s="27" t="s">
        <v>44</v>
      </c>
      <c r="F526" s="29" t="s">
        <v>652</v>
      </c>
      <c r="G526" s="28">
        <v>732</v>
      </c>
      <c r="H526" s="29" t="s">
        <v>65</v>
      </c>
      <c r="I526" s="38" t="str">
        <f>Assumptions!$I$150</f>
        <v>B</v>
      </c>
      <c r="J526" s="29" t="str">
        <f>IF(D526&lt;=Assumptions!$V$150,"Low",IF(D526&lt;=Assumptions!$W$150,"Mid","High"))</f>
        <v>Mid</v>
      </c>
      <c r="K526" s="51">
        <f>Assumptions!$Q$150</f>
        <v>2630</v>
      </c>
      <c r="L526" s="52">
        <f>INDEX(Assumptions!$F$61:$F$90,D526)</f>
        <v>3067.9</v>
      </c>
      <c r="M526" s="53">
        <f>IF(D526&lt;=Assumptions!$G$150,Assumptions!$AK$150,IF(D526&lt;Assumptions!$AH$150,Assumptions!$AK$150+(Assumptions!$AL$150-Assumptions!$AK$150)*(D526-Assumptions!$G$150)/(Assumptions!$AH$150-Assumptions!$G$150),IF(D526&lt;Assumptions!$P$150,Assumptions!$AL$150+(Assumptions!$AM$150-Assumptions!$AL$150)*(D526-Assumptions!$AH$150)/(Assumptions!$P$150-Assumptions!$AH$150),Assumptions!$AM$150)))</f>
        <v>-21428.571428571428</v>
      </c>
      <c r="N526" s="54">
        <f t="shared" si="16"/>
        <v>-29.274004683840747</v>
      </c>
      <c r="O526" s="55">
        <f t="shared" si="17"/>
        <v>3039</v>
      </c>
      <c r="P526" s="29" t="str">
        <f>IF(D526&gt;=Assumptions!$P$150,"High",IF(D526&gt;=Assumptions!$AH$150,"Mid",IF(D526&lt;=Assumptions!$G$150,"Low","Loading")))</f>
        <v>Mid</v>
      </c>
      <c r="Q526" s="39">
        <f>MAX(K526,MIN(Assumptions!$S$150,O526),Q527)</f>
        <v>3039</v>
      </c>
      <c r="R526" s="30">
        <f>IF(AND(Q526&lt;=K526,INDEX(Assumptions!$C$26:$C$36,MATCH(G526,Assumptions!$A$26:$A$36,0))&lt;&gt;""),INDEX(Assumptions!$C$26:$C$36,MATCH(G526,Assumptions!$A$26:$A$36,0)),ROUND(G526*Q526,-2))</f>
        <v>2224500</v>
      </c>
      <c r="S526" s="56" t="str">
        <f>TRIM(IF(AND(Assumptions!$L$150&lt;&gt;"",D526&lt;Assumptions!$L$150),"View blocked / roof in front ("&amp;Assumptions!$M$150&amp;"); view premium still loading until L"&amp;Assumptions!$L$150&amp;". ","")&amp;IF(D526=Assumptions!$AH$150,"Mid-floor view premium fully loaded. ","")&amp;IF(D526=Assumptions!$P$150,"High-floor view premium fully loaded. ","")&amp;IF(Q526&lt;=K526,"At developer starting price.",""))</f>
        <v/>
      </c>
      <c r="T526" s="57" t="str">
        <f>Assumptions!$AJ$150</f>
        <v>NE. 55m setback; inner pool &amp; landscape; Olive Lounge / function rooms in front of low floors</v>
      </c>
    </row>
    <row r="527" spans="1:20" x14ac:dyDescent="0.2">
      <c r="A527" s="49" t="s">
        <v>670</v>
      </c>
      <c r="B527" s="29">
        <v>5</v>
      </c>
      <c r="C527" s="50">
        <v>24</v>
      </c>
      <c r="D527" s="50">
        <v>12</v>
      </c>
      <c r="E527" s="27" t="s">
        <v>44</v>
      </c>
      <c r="F527" s="29" t="s">
        <v>652</v>
      </c>
      <c r="G527" s="28">
        <v>732</v>
      </c>
      <c r="H527" s="29" t="s">
        <v>65</v>
      </c>
      <c r="I527" s="38" t="str">
        <f>Assumptions!$I$150</f>
        <v>B</v>
      </c>
      <c r="J527" s="29" t="str">
        <f>IF(D527&lt;=Assumptions!$V$150,"Low",IF(D527&lt;=Assumptions!$W$150,"Mid","High"))</f>
        <v>Mid</v>
      </c>
      <c r="K527" s="51">
        <f>Assumptions!$Q$150</f>
        <v>2630</v>
      </c>
      <c r="L527" s="52">
        <f>INDEX(Assumptions!$F$61:$F$90,D527)</f>
        <v>3042.41</v>
      </c>
      <c r="M527" s="53">
        <f>IF(D527&lt;=Assumptions!$G$150,Assumptions!$AK$150,IF(D527&lt;Assumptions!$AH$150,Assumptions!$AK$150+(Assumptions!$AL$150-Assumptions!$AK$150)*(D527-Assumptions!$G$150)/(Assumptions!$AH$150-Assumptions!$G$150),IF(D527&lt;Assumptions!$P$150,Assumptions!$AL$150+(Assumptions!$AM$150-Assumptions!$AL$150)*(D527-Assumptions!$AH$150)/(Assumptions!$P$150-Assumptions!$AH$150),Assumptions!$AM$150)))</f>
        <v>-17857.142857142859</v>
      </c>
      <c r="N527" s="54">
        <f t="shared" si="16"/>
        <v>-24.395003903200628</v>
      </c>
      <c r="O527" s="55">
        <f t="shared" si="17"/>
        <v>3018</v>
      </c>
      <c r="P527" s="29" t="str">
        <f>IF(D527&gt;=Assumptions!$P$150,"High",IF(D527&gt;=Assumptions!$AH$150,"Mid",IF(D527&lt;=Assumptions!$G$150,"Low","Loading")))</f>
        <v>Mid</v>
      </c>
      <c r="Q527" s="39">
        <f>MAX(K527,MIN(Assumptions!$S$150,O527),Q528)</f>
        <v>3018</v>
      </c>
      <c r="R527" s="30">
        <f>IF(AND(Q527&lt;=K527,INDEX(Assumptions!$C$26:$C$36,MATCH(G527,Assumptions!$A$26:$A$36,0))&lt;&gt;""),INDEX(Assumptions!$C$26:$C$36,MATCH(G527,Assumptions!$A$26:$A$36,0)),ROUND(G527*Q527,-2))</f>
        <v>2209200</v>
      </c>
      <c r="S527" s="56" t="str">
        <f>TRIM(IF(AND(Assumptions!$L$150&lt;&gt;"",D527&lt;Assumptions!$L$150),"View blocked / roof in front ("&amp;Assumptions!$M$150&amp;"); view premium still loading until L"&amp;Assumptions!$L$150&amp;". ","")&amp;IF(D527=Assumptions!$AH$150,"Mid-floor view premium fully loaded. ","")&amp;IF(D527=Assumptions!$P$150,"High-floor view premium fully loaded. ","")&amp;IF(Q527&lt;=K527,"At developer starting price.",""))</f>
        <v/>
      </c>
      <c r="T527" s="57" t="str">
        <f>Assumptions!$AJ$150</f>
        <v>NE. 55m setback; inner pool &amp; landscape; Olive Lounge / function rooms in front of low floors</v>
      </c>
    </row>
    <row r="528" spans="1:20" x14ac:dyDescent="0.2">
      <c r="A528" s="49" t="s">
        <v>671</v>
      </c>
      <c r="B528" s="29">
        <v>5</v>
      </c>
      <c r="C528" s="50">
        <v>24</v>
      </c>
      <c r="D528" s="50">
        <v>11</v>
      </c>
      <c r="E528" s="27" t="s">
        <v>44</v>
      </c>
      <c r="F528" s="29" t="s">
        <v>652</v>
      </c>
      <c r="G528" s="28">
        <v>732</v>
      </c>
      <c r="H528" s="29" t="s">
        <v>65</v>
      </c>
      <c r="I528" s="38" t="str">
        <f>Assumptions!$I$150</f>
        <v>B</v>
      </c>
      <c r="J528" s="29" t="str">
        <f>IF(D528&lt;=Assumptions!$V$150,"Low",IF(D528&lt;=Assumptions!$W$150,"Mid","High"))</f>
        <v>Low</v>
      </c>
      <c r="K528" s="51">
        <f>Assumptions!$Q$150</f>
        <v>2630</v>
      </c>
      <c r="L528" s="52">
        <f>INDEX(Assumptions!$F$61:$F$90,D528)</f>
        <v>3016.9199999999996</v>
      </c>
      <c r="M528" s="53">
        <f>IF(D528&lt;=Assumptions!$G$150,Assumptions!$AK$150,IF(D528&lt;Assumptions!$AH$150,Assumptions!$AK$150+(Assumptions!$AL$150-Assumptions!$AK$150)*(D528-Assumptions!$G$150)/(Assumptions!$AH$150-Assumptions!$G$150),IF(D528&lt;Assumptions!$P$150,Assumptions!$AL$150+(Assumptions!$AM$150-Assumptions!$AL$150)*(D528-Assumptions!$AH$150)/(Assumptions!$P$150-Assumptions!$AH$150),Assumptions!$AM$150)))</f>
        <v>-14285.714285714286</v>
      </c>
      <c r="N528" s="54">
        <f t="shared" si="16"/>
        <v>-19.516003122560502</v>
      </c>
      <c r="O528" s="55">
        <f t="shared" si="17"/>
        <v>2997</v>
      </c>
      <c r="P528" s="29" t="str">
        <f>IF(D528&gt;=Assumptions!$P$150,"High",IF(D528&gt;=Assumptions!$AH$150,"Mid",IF(D528&lt;=Assumptions!$G$150,"Low","Loading")))</f>
        <v>Mid</v>
      </c>
      <c r="Q528" s="39">
        <f>MAX(K528,MIN(Assumptions!$S$150,O528),Q529)</f>
        <v>2997</v>
      </c>
      <c r="R528" s="30">
        <f>IF(AND(Q528&lt;=K528,INDEX(Assumptions!$C$26:$C$36,MATCH(G528,Assumptions!$A$26:$A$36,0))&lt;&gt;""),INDEX(Assumptions!$C$26:$C$36,MATCH(G528,Assumptions!$A$26:$A$36,0)),ROUND(G528*Q528,-2))</f>
        <v>2193800</v>
      </c>
      <c r="S528" s="56" t="str">
        <f>TRIM(IF(AND(Assumptions!$L$150&lt;&gt;"",D528&lt;Assumptions!$L$150),"View blocked / roof in front ("&amp;Assumptions!$M$150&amp;"); view premium still loading until L"&amp;Assumptions!$L$150&amp;". ","")&amp;IF(D528=Assumptions!$AH$150,"Mid-floor view premium fully loaded. ","")&amp;IF(D528=Assumptions!$P$150,"High-floor view premium fully loaded. ","")&amp;IF(Q528&lt;=K528,"At developer starting price.",""))</f>
        <v/>
      </c>
      <c r="T528" s="57" t="str">
        <f>Assumptions!$AJ$150</f>
        <v>NE. 55m setback; inner pool &amp; landscape; Olive Lounge / function rooms in front of low floors</v>
      </c>
    </row>
    <row r="529" spans="1:20" x14ac:dyDescent="0.2">
      <c r="A529" s="49" t="s">
        <v>672</v>
      </c>
      <c r="B529" s="29">
        <v>5</v>
      </c>
      <c r="C529" s="50">
        <v>24</v>
      </c>
      <c r="D529" s="50">
        <v>10</v>
      </c>
      <c r="E529" s="27" t="s">
        <v>44</v>
      </c>
      <c r="F529" s="29" t="s">
        <v>652</v>
      </c>
      <c r="G529" s="28">
        <v>732</v>
      </c>
      <c r="H529" s="29" t="s">
        <v>65</v>
      </c>
      <c r="I529" s="38" t="str">
        <f>Assumptions!$I$150</f>
        <v>B</v>
      </c>
      <c r="J529" s="29" t="str">
        <f>IF(D529&lt;=Assumptions!$V$150,"Low",IF(D529&lt;=Assumptions!$W$150,"Mid","High"))</f>
        <v>Low</v>
      </c>
      <c r="K529" s="51">
        <f>Assumptions!$Q$150</f>
        <v>2630</v>
      </c>
      <c r="L529" s="52">
        <f>INDEX(Assumptions!$F$61:$F$90,D529)</f>
        <v>2991.43</v>
      </c>
      <c r="M529" s="53">
        <f>IF(D529&lt;=Assumptions!$G$150,Assumptions!$AK$150,IF(D529&lt;Assumptions!$AH$150,Assumptions!$AK$150+(Assumptions!$AL$150-Assumptions!$AK$150)*(D529-Assumptions!$G$150)/(Assumptions!$AH$150-Assumptions!$G$150),IF(D529&lt;Assumptions!$P$150,Assumptions!$AL$150+(Assumptions!$AM$150-Assumptions!$AL$150)*(D529-Assumptions!$AH$150)/(Assumptions!$P$150-Assumptions!$AH$150),Assumptions!$AM$150)))</f>
        <v>-10714.285714285714</v>
      </c>
      <c r="N529" s="54">
        <f t="shared" si="16"/>
        <v>-14.637002341920374</v>
      </c>
      <c r="O529" s="55">
        <f t="shared" si="17"/>
        <v>2977</v>
      </c>
      <c r="P529" s="29" t="str">
        <f>IF(D529&gt;=Assumptions!$P$150,"High",IF(D529&gt;=Assumptions!$AH$150,"Mid",IF(D529&lt;=Assumptions!$G$150,"Low","Loading")))</f>
        <v>Mid</v>
      </c>
      <c r="Q529" s="39">
        <f>MAX(K529,MIN(Assumptions!$S$150,O529),Q530)</f>
        <v>2977</v>
      </c>
      <c r="R529" s="30">
        <f>IF(AND(Q529&lt;=K529,INDEX(Assumptions!$C$26:$C$36,MATCH(G529,Assumptions!$A$26:$A$36,0))&lt;&gt;""),INDEX(Assumptions!$C$26:$C$36,MATCH(G529,Assumptions!$A$26:$A$36,0)),ROUND(G529*Q529,-2))</f>
        <v>2179200</v>
      </c>
      <c r="S529" s="56" t="str">
        <f>TRIM(IF(AND(Assumptions!$L$150&lt;&gt;"",D529&lt;Assumptions!$L$150),"View blocked / roof in front ("&amp;Assumptions!$M$150&amp;"); view premium still loading until L"&amp;Assumptions!$L$150&amp;". ","")&amp;IF(D529=Assumptions!$AH$150,"Mid-floor view premium fully loaded. ","")&amp;IF(D529=Assumptions!$P$150,"High-floor view premium fully loaded. ","")&amp;IF(Q529&lt;=K529,"At developer starting price.",""))</f>
        <v/>
      </c>
      <c r="T529" s="57" t="str">
        <f>Assumptions!$AJ$150</f>
        <v>NE. 55m setback; inner pool &amp; landscape; Olive Lounge / function rooms in front of low floors</v>
      </c>
    </row>
    <row r="530" spans="1:20" x14ac:dyDescent="0.2">
      <c r="A530" s="49" t="s">
        <v>673</v>
      </c>
      <c r="B530" s="29">
        <v>5</v>
      </c>
      <c r="C530" s="50">
        <v>24</v>
      </c>
      <c r="D530" s="50">
        <v>9</v>
      </c>
      <c r="E530" s="27" t="s">
        <v>44</v>
      </c>
      <c r="F530" s="29" t="s">
        <v>652</v>
      </c>
      <c r="G530" s="28">
        <v>732</v>
      </c>
      <c r="H530" s="29" t="s">
        <v>65</v>
      </c>
      <c r="I530" s="38" t="str">
        <f>Assumptions!$I$150</f>
        <v>B</v>
      </c>
      <c r="J530" s="29" t="str">
        <f>IF(D530&lt;=Assumptions!$V$150,"Low",IF(D530&lt;=Assumptions!$W$150,"Mid","High"))</f>
        <v>Low</v>
      </c>
      <c r="K530" s="51">
        <f>Assumptions!$Q$150</f>
        <v>2630</v>
      </c>
      <c r="L530" s="52">
        <f>INDEX(Assumptions!$F$61:$F$90,D530)</f>
        <v>2965.94</v>
      </c>
      <c r="M530" s="53">
        <f>IF(D530&lt;=Assumptions!$G$150,Assumptions!$AK$150,IF(D530&lt;Assumptions!$AH$150,Assumptions!$AK$150+(Assumptions!$AL$150-Assumptions!$AK$150)*(D530-Assumptions!$G$150)/(Assumptions!$AH$150-Assumptions!$G$150),IF(D530&lt;Assumptions!$P$150,Assumptions!$AL$150+(Assumptions!$AM$150-Assumptions!$AL$150)*(D530-Assumptions!$AH$150)/(Assumptions!$P$150-Assumptions!$AH$150),Assumptions!$AM$150)))</f>
        <v>-7142.8571428571431</v>
      </c>
      <c r="N530" s="54">
        <f t="shared" si="16"/>
        <v>-9.7580015612802509</v>
      </c>
      <c r="O530" s="55">
        <f t="shared" si="17"/>
        <v>2956</v>
      </c>
      <c r="P530" s="29" t="str">
        <f>IF(D530&gt;=Assumptions!$P$150,"High",IF(D530&gt;=Assumptions!$AH$150,"Mid",IF(D530&lt;=Assumptions!$G$150,"Low","Loading")))</f>
        <v>Mid</v>
      </c>
      <c r="Q530" s="39">
        <f>MAX(K530,MIN(Assumptions!$S$150,O530),Q531)</f>
        <v>2956</v>
      </c>
      <c r="R530" s="30">
        <f>IF(AND(Q530&lt;=K530,INDEX(Assumptions!$C$26:$C$36,MATCH(G530,Assumptions!$A$26:$A$36,0))&lt;&gt;""),INDEX(Assumptions!$C$26:$C$36,MATCH(G530,Assumptions!$A$26:$A$36,0)),ROUND(G530*Q530,-2))</f>
        <v>2163800</v>
      </c>
      <c r="S530" s="56" t="str">
        <f>TRIM(IF(AND(Assumptions!$L$150&lt;&gt;"",D530&lt;Assumptions!$L$150),"View blocked / roof in front ("&amp;Assumptions!$M$150&amp;"); view premium still loading until L"&amp;Assumptions!$L$150&amp;". ","")&amp;IF(D530=Assumptions!$AH$150,"Mid-floor view premium fully loaded. ","")&amp;IF(D530=Assumptions!$P$150,"High-floor view premium fully loaded. ","")&amp;IF(Q530&lt;=K530,"At developer starting price.",""))</f>
        <v/>
      </c>
      <c r="T530" s="57" t="str">
        <f>Assumptions!$AJ$150</f>
        <v>NE. 55m setback; inner pool &amp; landscape; Olive Lounge / function rooms in front of low floors</v>
      </c>
    </row>
    <row r="531" spans="1:20" x14ac:dyDescent="0.2">
      <c r="A531" s="49" t="s">
        <v>674</v>
      </c>
      <c r="B531" s="29">
        <v>5</v>
      </c>
      <c r="C531" s="50">
        <v>24</v>
      </c>
      <c r="D531" s="50">
        <v>8</v>
      </c>
      <c r="E531" s="27" t="s">
        <v>44</v>
      </c>
      <c r="F531" s="29" t="s">
        <v>652</v>
      </c>
      <c r="G531" s="28">
        <v>732</v>
      </c>
      <c r="H531" s="29" t="s">
        <v>65</v>
      </c>
      <c r="I531" s="38" t="str">
        <f>Assumptions!$I$150</f>
        <v>B</v>
      </c>
      <c r="J531" s="29" t="str">
        <f>IF(D531&lt;=Assumptions!$V$150,"Low",IF(D531&lt;=Assumptions!$W$150,"Mid","High"))</f>
        <v>Low</v>
      </c>
      <c r="K531" s="51">
        <f>Assumptions!$Q$150</f>
        <v>2630</v>
      </c>
      <c r="L531" s="52">
        <f>INDEX(Assumptions!$F$61:$F$90,D531)</f>
        <v>2940.45</v>
      </c>
      <c r="M531" s="53">
        <f>IF(D531&lt;=Assumptions!$G$150,Assumptions!$AK$150,IF(D531&lt;Assumptions!$AH$150,Assumptions!$AK$150+(Assumptions!$AL$150-Assumptions!$AK$150)*(D531-Assumptions!$G$150)/(Assumptions!$AH$150-Assumptions!$G$150),IF(D531&lt;Assumptions!$P$150,Assumptions!$AL$150+(Assumptions!$AM$150-Assumptions!$AL$150)*(D531-Assumptions!$AH$150)/(Assumptions!$P$150-Assumptions!$AH$150),Assumptions!$AM$150)))</f>
        <v>-3571.4285714285716</v>
      </c>
      <c r="N531" s="54">
        <f t="shared" si="16"/>
        <v>-4.8790007806401254</v>
      </c>
      <c r="O531" s="55">
        <f t="shared" si="17"/>
        <v>2936</v>
      </c>
      <c r="P531" s="29" t="str">
        <f>IF(D531&gt;=Assumptions!$P$150,"High",IF(D531&gt;=Assumptions!$AH$150,"Mid",IF(D531&lt;=Assumptions!$G$150,"Low","Loading")))</f>
        <v>Mid</v>
      </c>
      <c r="Q531" s="39">
        <f>MAX(K531,MIN(Assumptions!$S$150,O531),Q532)</f>
        <v>2936</v>
      </c>
      <c r="R531" s="30">
        <f>IF(AND(Q531&lt;=K531,INDEX(Assumptions!$C$26:$C$36,MATCH(G531,Assumptions!$A$26:$A$36,0))&lt;&gt;""),INDEX(Assumptions!$C$26:$C$36,MATCH(G531,Assumptions!$A$26:$A$36,0)),ROUND(G531*Q531,-2))</f>
        <v>2149200</v>
      </c>
      <c r="S531" s="56" t="str">
        <f>TRIM(IF(AND(Assumptions!$L$150&lt;&gt;"",D531&lt;Assumptions!$L$150),"View blocked / roof in front ("&amp;Assumptions!$M$150&amp;"); view premium still loading until L"&amp;Assumptions!$L$150&amp;". ","")&amp;IF(D531=Assumptions!$AH$150,"Mid-floor view premium fully loaded. ","")&amp;IF(D531=Assumptions!$P$150,"High-floor view premium fully loaded. ","")&amp;IF(Q531&lt;=K531,"At developer starting price.",""))</f>
        <v/>
      </c>
      <c r="T531" s="57" t="str">
        <f>Assumptions!$AJ$150</f>
        <v>NE. 55m setback; inner pool &amp; landscape; Olive Lounge / function rooms in front of low floors</v>
      </c>
    </row>
    <row r="532" spans="1:20" x14ac:dyDescent="0.2">
      <c r="A532" s="49" t="s">
        <v>675</v>
      </c>
      <c r="B532" s="29">
        <v>5</v>
      </c>
      <c r="C532" s="50">
        <v>24</v>
      </c>
      <c r="D532" s="50">
        <v>7</v>
      </c>
      <c r="E532" s="27" t="s">
        <v>44</v>
      </c>
      <c r="F532" s="29" t="s">
        <v>652</v>
      </c>
      <c r="G532" s="28">
        <v>732</v>
      </c>
      <c r="H532" s="29" t="s">
        <v>65</v>
      </c>
      <c r="I532" s="38" t="str">
        <f>Assumptions!$I$150</f>
        <v>B</v>
      </c>
      <c r="J532" s="29" t="str">
        <f>IF(D532&lt;=Assumptions!$V$150,"Low",IF(D532&lt;=Assumptions!$W$150,"Mid","High"))</f>
        <v>Low</v>
      </c>
      <c r="K532" s="51">
        <f>Assumptions!$Q$150</f>
        <v>2630</v>
      </c>
      <c r="L532" s="52">
        <f>INDEX(Assumptions!$F$61:$F$90,D532)</f>
        <v>2914.9599999999996</v>
      </c>
      <c r="M532" s="53">
        <f>IF(D532&lt;=Assumptions!$G$150,Assumptions!$AK$150,IF(D532&lt;Assumptions!$AH$150,Assumptions!$AK$150+(Assumptions!$AL$150-Assumptions!$AK$150)*(D532-Assumptions!$G$150)/(Assumptions!$AH$150-Assumptions!$G$150),IF(D532&lt;Assumptions!$P$150,Assumptions!$AL$150+(Assumptions!$AM$150-Assumptions!$AL$150)*(D532-Assumptions!$AH$150)/(Assumptions!$P$150-Assumptions!$AH$150),Assumptions!$AM$150)))</f>
        <v>0</v>
      </c>
      <c r="N532" s="54">
        <f t="shared" si="16"/>
        <v>0</v>
      </c>
      <c r="O532" s="55">
        <f t="shared" si="17"/>
        <v>2915</v>
      </c>
      <c r="P532" s="29" t="str">
        <f>IF(D532&gt;=Assumptions!$P$150,"High",IF(D532&gt;=Assumptions!$AH$150,"Mid",IF(D532&lt;=Assumptions!$G$150,"Low","Loading")))</f>
        <v>Mid</v>
      </c>
      <c r="Q532" s="39">
        <f>MAX(K532,MIN(Assumptions!$S$150,O532),Q533)</f>
        <v>2915</v>
      </c>
      <c r="R532" s="30">
        <f>IF(AND(Q532&lt;=K532,INDEX(Assumptions!$C$26:$C$36,MATCH(G532,Assumptions!$A$26:$A$36,0))&lt;&gt;""),INDEX(Assumptions!$C$26:$C$36,MATCH(G532,Assumptions!$A$26:$A$36,0)),ROUND(G532*Q532,-2))</f>
        <v>2133800</v>
      </c>
      <c r="S532" s="56" t="str">
        <f>TRIM(IF(AND(Assumptions!$L$150&lt;&gt;"",D532&lt;Assumptions!$L$150),"View blocked / roof in front ("&amp;Assumptions!$M$150&amp;"); view premium still loading until L"&amp;Assumptions!$L$150&amp;". ","")&amp;IF(D532=Assumptions!$AH$150,"Mid-floor view premium fully loaded. ","")&amp;IF(D532=Assumptions!$P$150,"High-floor view premium fully loaded. ","")&amp;IF(Q532&lt;=K532,"At developer starting price.",""))</f>
        <v>Mid-floor view premium fully loaded.</v>
      </c>
      <c r="T532" s="57" t="str">
        <f>Assumptions!$AJ$150</f>
        <v>NE. 55m setback; inner pool &amp; landscape; Olive Lounge / function rooms in front of low floors</v>
      </c>
    </row>
    <row r="533" spans="1:20" x14ac:dyDescent="0.2">
      <c r="A533" s="49" t="s">
        <v>676</v>
      </c>
      <c r="B533" s="29">
        <v>5</v>
      </c>
      <c r="C533" s="50">
        <v>24</v>
      </c>
      <c r="D533" s="50">
        <v>6</v>
      </c>
      <c r="E533" s="27" t="s">
        <v>44</v>
      </c>
      <c r="F533" s="29" t="s">
        <v>652</v>
      </c>
      <c r="G533" s="28">
        <v>732</v>
      </c>
      <c r="H533" s="29" t="s">
        <v>65</v>
      </c>
      <c r="I533" s="38" t="str">
        <f>Assumptions!$I$150</f>
        <v>B</v>
      </c>
      <c r="J533" s="29" t="str">
        <f>IF(D533&lt;=Assumptions!$V$150,"Low",IF(D533&lt;=Assumptions!$W$150,"Mid","High"))</f>
        <v>Low</v>
      </c>
      <c r="K533" s="51">
        <f>Assumptions!$Q$150</f>
        <v>2630</v>
      </c>
      <c r="L533" s="52">
        <f>INDEX(Assumptions!$F$61:$F$90,D533)</f>
        <v>2889.47</v>
      </c>
      <c r="M533" s="53">
        <f>IF(D533&lt;=Assumptions!$G$150,Assumptions!$AK$150,IF(D533&lt;Assumptions!$AH$150,Assumptions!$AK$150+(Assumptions!$AL$150-Assumptions!$AK$150)*(D533-Assumptions!$G$150)/(Assumptions!$AH$150-Assumptions!$G$150),IF(D533&lt;Assumptions!$P$150,Assumptions!$AL$150+(Assumptions!$AM$150-Assumptions!$AL$150)*(D533-Assumptions!$AH$150)/(Assumptions!$P$150-Assumptions!$AH$150),Assumptions!$AM$150)))</f>
        <v>0</v>
      </c>
      <c r="N533" s="54">
        <f t="shared" si="16"/>
        <v>0</v>
      </c>
      <c r="O533" s="55">
        <f t="shared" si="17"/>
        <v>2889</v>
      </c>
      <c r="P533" s="29" t="str">
        <f>IF(D533&gt;=Assumptions!$P$150,"High",IF(D533&gt;=Assumptions!$AH$150,"Mid",IF(D533&lt;=Assumptions!$G$150,"Low","Loading")))</f>
        <v>Loading</v>
      </c>
      <c r="Q533" s="39">
        <f>MAX(K533,MIN(Assumptions!$S$150,O533),Q534)</f>
        <v>2889</v>
      </c>
      <c r="R533" s="30">
        <f>IF(AND(Q533&lt;=K533,INDEX(Assumptions!$C$26:$C$36,MATCH(G533,Assumptions!$A$26:$A$36,0))&lt;&gt;""),INDEX(Assumptions!$C$26:$C$36,MATCH(G533,Assumptions!$A$26:$A$36,0)),ROUND(G533*Q533,-2))</f>
        <v>2114700</v>
      </c>
      <c r="S533" s="56" t="str">
        <f>TRIM(IF(AND(Assumptions!$L$150&lt;&gt;"",D533&lt;Assumptions!$L$150),"View blocked / roof in front ("&amp;Assumptions!$M$150&amp;"); view premium still loading until L"&amp;Assumptions!$L$150&amp;". ","")&amp;IF(D533=Assumptions!$AH$150,"Mid-floor view premium fully loaded. ","")&amp;IF(D533=Assumptions!$P$150,"High-floor view premium fully loaded. ","")&amp;IF(Q533&lt;=K533,"At developer starting price.",""))</f>
        <v>View blocked / roof in front (Olive Lounge / function rooms (Canopy Lap Pool): 74% of view, 37.1 to 42.8m away); view premium still loading until L7.</v>
      </c>
      <c r="T533" s="57" t="str">
        <f>Assumptions!$AJ$150</f>
        <v>NE. 55m setback; inner pool &amp; landscape; Olive Lounge / function rooms in front of low floors</v>
      </c>
    </row>
    <row r="534" spans="1:20" x14ac:dyDescent="0.2">
      <c r="A534" s="49" t="s">
        <v>677</v>
      </c>
      <c r="B534" s="29">
        <v>5</v>
      </c>
      <c r="C534" s="50">
        <v>24</v>
      </c>
      <c r="D534" s="50">
        <v>5</v>
      </c>
      <c r="E534" s="27" t="s">
        <v>44</v>
      </c>
      <c r="F534" s="29" t="s">
        <v>652</v>
      </c>
      <c r="G534" s="28">
        <v>732</v>
      </c>
      <c r="H534" s="29" t="s">
        <v>65</v>
      </c>
      <c r="I534" s="38" t="str">
        <f>Assumptions!$I$150</f>
        <v>B</v>
      </c>
      <c r="J534" s="29" t="str">
        <f>IF(D534&lt;=Assumptions!$V$150,"Low",IF(D534&lt;=Assumptions!$W$150,"Mid","High"))</f>
        <v>Low</v>
      </c>
      <c r="K534" s="51">
        <f>Assumptions!$Q$150</f>
        <v>2630</v>
      </c>
      <c r="L534" s="52">
        <f>INDEX(Assumptions!$F$61:$F$90,D534)</f>
        <v>2863.98</v>
      </c>
      <c r="M534" s="53">
        <f>IF(D534&lt;=Assumptions!$G$150,Assumptions!$AK$150,IF(D534&lt;Assumptions!$AH$150,Assumptions!$AK$150+(Assumptions!$AL$150-Assumptions!$AK$150)*(D534-Assumptions!$G$150)/(Assumptions!$AH$150-Assumptions!$G$150),IF(D534&lt;Assumptions!$P$150,Assumptions!$AL$150+(Assumptions!$AM$150-Assumptions!$AL$150)*(D534-Assumptions!$AH$150)/(Assumptions!$P$150-Assumptions!$AH$150),Assumptions!$AM$150)))</f>
        <v>0</v>
      </c>
      <c r="N534" s="54">
        <f t="shared" si="16"/>
        <v>0</v>
      </c>
      <c r="O534" s="55">
        <f t="shared" si="17"/>
        <v>2864</v>
      </c>
      <c r="P534" s="29" t="str">
        <f>IF(D534&gt;=Assumptions!$P$150,"High",IF(D534&gt;=Assumptions!$AH$150,"Mid",IF(D534&lt;=Assumptions!$G$150,"Low","Loading")))</f>
        <v>Loading</v>
      </c>
      <c r="Q534" s="39">
        <f>MAX(K534,MIN(Assumptions!$S$150,O534),Q535)</f>
        <v>2864</v>
      </c>
      <c r="R534" s="30">
        <f>IF(AND(Q534&lt;=K534,INDEX(Assumptions!$C$26:$C$36,MATCH(G534,Assumptions!$A$26:$A$36,0))&lt;&gt;""),INDEX(Assumptions!$C$26:$C$36,MATCH(G534,Assumptions!$A$26:$A$36,0)),ROUND(G534*Q534,-2))</f>
        <v>2096400</v>
      </c>
      <c r="S534" s="56" t="str">
        <f>TRIM(IF(AND(Assumptions!$L$150&lt;&gt;"",D534&lt;Assumptions!$L$150),"View blocked / roof in front ("&amp;Assumptions!$M$150&amp;"); view premium still loading until L"&amp;Assumptions!$L$150&amp;". ","")&amp;IF(D534=Assumptions!$AH$150,"Mid-floor view premium fully loaded. ","")&amp;IF(D534=Assumptions!$P$150,"High-floor view premium fully loaded. ","")&amp;IF(Q534&lt;=K534,"At developer starting price.",""))</f>
        <v>View blocked / roof in front (Olive Lounge / function rooms (Canopy Lap Pool): 74% of view, 37.1 to 42.8m away); view premium still loading until L7.</v>
      </c>
      <c r="T534" s="57" t="str">
        <f>Assumptions!$AJ$150</f>
        <v>NE. 55m setback; inner pool &amp; landscape; Olive Lounge / function rooms in front of low floors</v>
      </c>
    </row>
    <row r="535" spans="1:20" x14ac:dyDescent="0.2">
      <c r="A535" s="49" t="s">
        <v>678</v>
      </c>
      <c r="B535" s="29">
        <v>5</v>
      </c>
      <c r="C535" s="50">
        <v>24</v>
      </c>
      <c r="D535" s="50">
        <v>4</v>
      </c>
      <c r="E535" s="27" t="s">
        <v>44</v>
      </c>
      <c r="F535" s="29" t="s">
        <v>652</v>
      </c>
      <c r="G535" s="28">
        <v>732</v>
      </c>
      <c r="H535" s="29" t="s">
        <v>65</v>
      </c>
      <c r="I535" s="38" t="str">
        <f>Assumptions!$I$150</f>
        <v>B</v>
      </c>
      <c r="J535" s="29" t="str">
        <f>IF(D535&lt;=Assumptions!$V$150,"Low",IF(D535&lt;=Assumptions!$W$150,"Mid","High"))</f>
        <v>Low</v>
      </c>
      <c r="K535" s="51">
        <f>Assumptions!$Q$150</f>
        <v>2630</v>
      </c>
      <c r="L535" s="52">
        <f>INDEX(Assumptions!$F$61:$F$90,D535)</f>
        <v>2838.49</v>
      </c>
      <c r="M535" s="53">
        <f>IF(D535&lt;=Assumptions!$G$150,Assumptions!$AK$150,IF(D535&lt;Assumptions!$AH$150,Assumptions!$AK$150+(Assumptions!$AL$150-Assumptions!$AK$150)*(D535-Assumptions!$G$150)/(Assumptions!$AH$150-Assumptions!$G$150),IF(D535&lt;Assumptions!$P$150,Assumptions!$AL$150+(Assumptions!$AM$150-Assumptions!$AL$150)*(D535-Assumptions!$AH$150)/(Assumptions!$P$150-Assumptions!$AH$150),Assumptions!$AM$150)))</f>
        <v>0</v>
      </c>
      <c r="N535" s="54">
        <f t="shared" si="16"/>
        <v>0</v>
      </c>
      <c r="O535" s="55">
        <f t="shared" si="17"/>
        <v>2838</v>
      </c>
      <c r="P535" s="29" t="str">
        <f>IF(D535&gt;=Assumptions!$P$150,"High",IF(D535&gt;=Assumptions!$AH$150,"Mid",IF(D535&lt;=Assumptions!$G$150,"Low","Loading")))</f>
        <v>Loading</v>
      </c>
      <c r="Q535" s="39">
        <f>MAX(K535,MIN(Assumptions!$S$150,O535),Q536)</f>
        <v>2838</v>
      </c>
      <c r="R535" s="30">
        <f>IF(AND(Q535&lt;=K535,INDEX(Assumptions!$C$26:$C$36,MATCH(G535,Assumptions!$A$26:$A$36,0))&lt;&gt;""),INDEX(Assumptions!$C$26:$C$36,MATCH(G535,Assumptions!$A$26:$A$36,0)),ROUND(G535*Q535,-2))</f>
        <v>2077400</v>
      </c>
      <c r="S535" s="56" t="str">
        <f>TRIM(IF(AND(Assumptions!$L$150&lt;&gt;"",D535&lt;Assumptions!$L$150),"View blocked / roof in front ("&amp;Assumptions!$M$150&amp;"); view premium still loading until L"&amp;Assumptions!$L$150&amp;". ","")&amp;IF(D535=Assumptions!$AH$150,"Mid-floor view premium fully loaded. ","")&amp;IF(D535=Assumptions!$P$150,"High-floor view premium fully loaded. ","")&amp;IF(Q535&lt;=K535,"At developer starting price.",""))</f>
        <v>View blocked / roof in front (Olive Lounge / function rooms (Canopy Lap Pool): 74% of view, 37.1 to 42.8m away); view premium still loading until L7.</v>
      </c>
      <c r="T535" s="57" t="str">
        <f>Assumptions!$AJ$150</f>
        <v>NE. 55m setback; inner pool &amp; landscape; Olive Lounge / function rooms in front of low floors</v>
      </c>
    </row>
    <row r="536" spans="1:20" x14ac:dyDescent="0.2">
      <c r="A536" s="49" t="s">
        <v>679</v>
      </c>
      <c r="B536" s="29">
        <v>5</v>
      </c>
      <c r="C536" s="50">
        <v>24</v>
      </c>
      <c r="D536" s="50">
        <v>3</v>
      </c>
      <c r="E536" s="27" t="s">
        <v>44</v>
      </c>
      <c r="F536" s="29" t="s">
        <v>652</v>
      </c>
      <c r="G536" s="28">
        <v>732</v>
      </c>
      <c r="H536" s="29" t="s">
        <v>65</v>
      </c>
      <c r="I536" s="38" t="str">
        <f>Assumptions!$I$150</f>
        <v>B</v>
      </c>
      <c r="J536" s="29" t="str">
        <f>IF(D536&lt;=Assumptions!$V$150,"Low",IF(D536&lt;=Assumptions!$W$150,"Mid","High"))</f>
        <v>Low</v>
      </c>
      <c r="K536" s="51">
        <f>Assumptions!$Q$150</f>
        <v>2630</v>
      </c>
      <c r="L536" s="52">
        <f>INDEX(Assumptions!$F$61:$F$90,D536)</f>
        <v>2812.9999999999995</v>
      </c>
      <c r="M536" s="53">
        <f>IF(D536&lt;=Assumptions!$G$150,Assumptions!$AK$150,IF(D536&lt;Assumptions!$AH$150,Assumptions!$AK$150+(Assumptions!$AL$150-Assumptions!$AK$150)*(D536-Assumptions!$G$150)/(Assumptions!$AH$150-Assumptions!$G$150),IF(D536&lt;Assumptions!$P$150,Assumptions!$AL$150+(Assumptions!$AM$150-Assumptions!$AL$150)*(D536-Assumptions!$AH$150)/(Assumptions!$P$150-Assumptions!$AH$150),Assumptions!$AM$150)))</f>
        <v>0</v>
      </c>
      <c r="N536" s="54">
        <f t="shared" si="16"/>
        <v>0</v>
      </c>
      <c r="O536" s="55">
        <f t="shared" si="17"/>
        <v>2813</v>
      </c>
      <c r="P536" s="29" t="str">
        <f>IF(D536&gt;=Assumptions!$P$150,"High",IF(D536&gt;=Assumptions!$AH$150,"Mid",IF(D536&lt;=Assumptions!$G$150,"Low","Loading")))</f>
        <v>Loading</v>
      </c>
      <c r="Q536" s="39">
        <f>MAX(K536,MIN(Assumptions!$S$150,O536),Q537)</f>
        <v>2813</v>
      </c>
      <c r="R536" s="30">
        <f>IF(AND(Q536&lt;=K536,INDEX(Assumptions!$C$26:$C$36,MATCH(G536,Assumptions!$A$26:$A$36,0))&lt;&gt;""),INDEX(Assumptions!$C$26:$C$36,MATCH(G536,Assumptions!$A$26:$A$36,0)),ROUND(G536*Q536,-2))</f>
        <v>2059100</v>
      </c>
      <c r="S536" s="56" t="str">
        <f>TRIM(IF(AND(Assumptions!$L$150&lt;&gt;"",D536&lt;Assumptions!$L$150),"View blocked / roof in front ("&amp;Assumptions!$M$150&amp;"); view premium still loading until L"&amp;Assumptions!$L$150&amp;". ","")&amp;IF(D536=Assumptions!$AH$150,"Mid-floor view premium fully loaded. ","")&amp;IF(D536=Assumptions!$P$150,"High-floor view premium fully loaded. ","")&amp;IF(Q536&lt;=K536,"At developer starting price.",""))</f>
        <v>View blocked / roof in front (Olive Lounge / function rooms (Canopy Lap Pool): 74% of view, 37.1 to 42.8m away); view premium still loading until L7.</v>
      </c>
      <c r="T536" s="57" t="str">
        <f>Assumptions!$AJ$150</f>
        <v>NE. 55m setback; inner pool &amp; landscape; Olive Lounge / function rooms in front of low floors</v>
      </c>
    </row>
    <row r="537" spans="1:20" x14ac:dyDescent="0.2">
      <c r="A537" s="49" t="s">
        <v>680</v>
      </c>
      <c r="B537" s="29">
        <v>5</v>
      </c>
      <c r="C537" s="50">
        <v>24</v>
      </c>
      <c r="D537" s="50">
        <v>2</v>
      </c>
      <c r="E537" s="27" t="s">
        <v>44</v>
      </c>
      <c r="F537" s="29" t="s">
        <v>652</v>
      </c>
      <c r="G537" s="28">
        <v>732</v>
      </c>
      <c r="H537" s="29" t="s">
        <v>65</v>
      </c>
      <c r="I537" s="38" t="str">
        <f>Assumptions!$I$150</f>
        <v>B</v>
      </c>
      <c r="J537" s="29" t="str">
        <f>IF(D537&lt;=Assumptions!$V$150,"Low",IF(D537&lt;=Assumptions!$W$150,"Mid","High"))</f>
        <v>Low</v>
      </c>
      <c r="K537" s="51">
        <f>Assumptions!$Q$150</f>
        <v>2630</v>
      </c>
      <c r="L537" s="52">
        <f>INDEX(Assumptions!$F$61:$F$90,D537)</f>
        <v>2788.54</v>
      </c>
      <c r="M537" s="53">
        <f>IF(D537&lt;=Assumptions!$G$150,Assumptions!$AK$150,IF(D537&lt;Assumptions!$AH$150,Assumptions!$AK$150+(Assumptions!$AL$150-Assumptions!$AK$150)*(D537-Assumptions!$G$150)/(Assumptions!$AH$150-Assumptions!$G$150),IF(D537&lt;Assumptions!$P$150,Assumptions!$AL$150+(Assumptions!$AM$150-Assumptions!$AL$150)*(D537-Assumptions!$AH$150)/(Assumptions!$P$150-Assumptions!$AH$150),Assumptions!$AM$150)))</f>
        <v>0</v>
      </c>
      <c r="N537" s="54">
        <f t="shared" si="16"/>
        <v>0</v>
      </c>
      <c r="O537" s="55">
        <f t="shared" si="17"/>
        <v>2789</v>
      </c>
      <c r="P537" s="29" t="str">
        <f>IF(D537&gt;=Assumptions!$P$150,"High",IF(D537&gt;=Assumptions!$AH$150,"Mid",IF(D537&lt;=Assumptions!$G$150,"Low","Loading")))</f>
        <v>Loading</v>
      </c>
      <c r="Q537" s="39">
        <f>MAX(K537,MIN(Assumptions!$S$150,O537),Q538)</f>
        <v>2789</v>
      </c>
      <c r="R537" s="30">
        <f>IF(AND(Q537&lt;=K537,INDEX(Assumptions!$C$26:$C$36,MATCH(G537,Assumptions!$A$26:$A$36,0))&lt;&gt;""),INDEX(Assumptions!$C$26:$C$36,MATCH(G537,Assumptions!$A$26:$A$36,0)),ROUND(G537*Q537,-2))</f>
        <v>2041500</v>
      </c>
      <c r="S537" s="56" t="str">
        <f>TRIM(IF(AND(Assumptions!$L$150&lt;&gt;"",D537&lt;Assumptions!$L$150),"View blocked / roof in front ("&amp;Assumptions!$M$150&amp;"); view premium still loading until L"&amp;Assumptions!$L$150&amp;". ","")&amp;IF(D537=Assumptions!$AH$150,"Mid-floor view premium fully loaded. ","")&amp;IF(D537=Assumptions!$P$150,"High-floor view premium fully loaded. ","")&amp;IF(Q537&lt;=K537,"At developer starting price.",""))</f>
        <v>View blocked / roof in front (Olive Lounge / function rooms (Canopy Lap Pool): 74% of view, 37.1 to 42.8m away); view premium still loading until L7.</v>
      </c>
      <c r="T537" s="57" t="str">
        <f>Assumptions!$AJ$150</f>
        <v>NE. 55m setback; inner pool &amp; landscape; Olive Lounge / function rooms in front of low floors</v>
      </c>
    </row>
    <row r="538" spans="1:20" x14ac:dyDescent="0.2">
      <c r="A538" s="49" t="s">
        <v>681</v>
      </c>
      <c r="B538" s="29">
        <v>5</v>
      </c>
      <c r="C538" s="50">
        <v>24</v>
      </c>
      <c r="D538" s="50">
        <v>1</v>
      </c>
      <c r="E538" s="27" t="s">
        <v>44</v>
      </c>
      <c r="F538" s="29" t="s">
        <v>682</v>
      </c>
      <c r="G538" s="28">
        <v>732</v>
      </c>
      <c r="H538" s="29" t="s">
        <v>65</v>
      </c>
      <c r="I538" s="38" t="str">
        <f>Assumptions!$I$150</f>
        <v>B</v>
      </c>
      <c r="J538" s="29" t="str">
        <f>IF(D538&lt;=Assumptions!$V$150,"Low",IF(D538&lt;=Assumptions!$W$150,"Mid","High"))</f>
        <v>Low</v>
      </c>
      <c r="K538" s="51">
        <f>Assumptions!$Q$150</f>
        <v>2630</v>
      </c>
      <c r="L538" s="52">
        <f>INDEX(Assumptions!$F$61:$F$90,D538)</f>
        <v>2772.55</v>
      </c>
      <c r="M538" s="53">
        <f>IF(D538&lt;=Assumptions!$G$150,Assumptions!$AK$150,IF(D538&lt;Assumptions!$AH$150,Assumptions!$AK$150+(Assumptions!$AL$150-Assumptions!$AK$150)*(D538-Assumptions!$G$150)/(Assumptions!$AH$150-Assumptions!$G$150),IF(D538&lt;Assumptions!$P$150,Assumptions!$AL$150+(Assumptions!$AM$150-Assumptions!$AL$150)*(D538-Assumptions!$AH$150)/(Assumptions!$P$150-Assumptions!$AH$150),Assumptions!$AM$150)))</f>
        <v>0</v>
      </c>
      <c r="N538" s="54">
        <f t="shared" si="16"/>
        <v>0</v>
      </c>
      <c r="O538" s="55">
        <f t="shared" si="17"/>
        <v>2773</v>
      </c>
      <c r="P538" s="29" t="str">
        <f>IF(D538&gt;=Assumptions!$P$150,"High",IF(D538&gt;=Assumptions!$AH$150,"Mid",IF(D538&lt;=Assumptions!$G$150,"Low","Loading")))</f>
        <v>Low</v>
      </c>
      <c r="Q538" s="39">
        <f>MAX(K538,MIN(Assumptions!$S$150,O538))</f>
        <v>2773</v>
      </c>
      <c r="R538" s="30">
        <f>IF(AND(Q538&lt;=K538,INDEX(Assumptions!$C$26:$C$36,MATCH(G538,Assumptions!$A$26:$A$36,0))&lt;&gt;""),INDEX(Assumptions!$C$26:$C$36,MATCH(G538,Assumptions!$A$26:$A$36,0)),ROUND(G538*Q538,-2))</f>
        <v>2029800</v>
      </c>
      <c r="S538" s="56" t="str">
        <f>TRIM(IF(AND(Assumptions!$L$150&lt;&gt;"",D538&lt;Assumptions!$L$150),"View blocked / roof in front ("&amp;Assumptions!$M$150&amp;"); view premium still loading until L"&amp;Assumptions!$L$150&amp;". ","")&amp;IF(D538=Assumptions!$AH$150,"Mid-floor view premium fully loaded. ","")&amp;IF(D538=Assumptions!$P$150,"High-floor view premium fully loaded. ","")&amp;IF(Q538&lt;=K538,"At developer starting price.",""))</f>
        <v>View blocked / roof in front (Olive Lounge / function rooms (Canopy Lap Pool): 74% of view, 37.1 to 42.8m away); view premium still loading until L7.</v>
      </c>
      <c r="T538" s="57" t="str">
        <f>Assumptions!$AJ$150</f>
        <v>NE. 55m setback; inner pool &amp; landscape; Olive Lounge / function rooms in front of low floors</v>
      </c>
    </row>
    <row r="539" spans="1:20" x14ac:dyDescent="0.2">
      <c r="A539" s="49" t="s">
        <v>683</v>
      </c>
      <c r="B539" s="29">
        <v>5</v>
      </c>
      <c r="C539" s="50">
        <v>25</v>
      </c>
      <c r="D539" s="50">
        <v>30</v>
      </c>
      <c r="E539" s="27" t="s">
        <v>44</v>
      </c>
      <c r="F539" s="29" t="s">
        <v>684</v>
      </c>
      <c r="G539" s="28">
        <v>775</v>
      </c>
      <c r="H539" s="29" t="s">
        <v>65</v>
      </c>
      <c r="I539" s="38" t="str">
        <f>Assumptions!$I$151</f>
        <v>B</v>
      </c>
      <c r="J539" s="29" t="str">
        <f>IF(D539&lt;=Assumptions!$V$151,"Low",IF(D539&lt;=Assumptions!$W$151,"Mid","High"))</f>
        <v>High</v>
      </c>
      <c r="K539" s="51">
        <f>Assumptions!$Q$151</f>
        <v>2650</v>
      </c>
      <c r="L539" s="52">
        <f>INDEX(Assumptions!$H$61:$H$90,D539)</f>
        <v>3233.4763157894736</v>
      </c>
      <c r="M539" s="53">
        <f>IF(D539&lt;=Assumptions!$G$151,Assumptions!$AK$151,IF(D539&lt;Assumptions!$AH$151,Assumptions!$AK$151+(Assumptions!$AL$151-Assumptions!$AK$151)*(D539-Assumptions!$G$151)/(Assumptions!$AH$151-Assumptions!$G$151),IF(D539&lt;Assumptions!$P$151,Assumptions!$AL$151+(Assumptions!$AM$151-Assumptions!$AL$151)*(D539-Assumptions!$AH$151)/(Assumptions!$P$151-Assumptions!$AH$151),Assumptions!$AM$151)))</f>
        <v>50000</v>
      </c>
      <c r="N539" s="54">
        <f t="shared" si="16"/>
        <v>64.516129032258064</v>
      </c>
      <c r="O539" s="55">
        <f t="shared" si="17"/>
        <v>3298</v>
      </c>
      <c r="P539" s="29" t="str">
        <f>IF(D539&gt;=Assumptions!$P$151,"High",IF(D539&gt;=Assumptions!$AH$151,"Mid",IF(D539&lt;=Assumptions!$G$151,"Low","Loading")))</f>
        <v>High</v>
      </c>
      <c r="Q539" s="39">
        <f>MAX(K539,MIN(Assumptions!$S$151,O539),Q540)</f>
        <v>3298</v>
      </c>
      <c r="R539" s="30">
        <f>IF(AND(Q539&lt;=K539,INDEX(Assumptions!$C$26:$C$36,MATCH(G539,Assumptions!$A$26:$A$36,0))&lt;&gt;""),INDEX(Assumptions!$C$26:$C$36,MATCH(G539,Assumptions!$A$26:$A$36,0)),ROUND(G539*Q539,-2))</f>
        <v>2556000</v>
      </c>
      <c r="S539" s="56" t="str">
        <f>TRIM(IF(AND(Assumptions!$L$151&lt;&gt;"",D539&lt;Assumptions!$L$151),"View blocked / roof in front ("&amp;Assumptions!$M$151&amp;"); view premium still loading until L"&amp;Assumptions!$L$151&amp;". ","")&amp;IF(D539=Assumptions!$AH$151,"Mid-floor view premium fully loaded. ","")&amp;IF(D539=Assumptions!$P$151,"High-floor view premium fully loaded. ","")&amp;IF(Q539&lt;=K539,"At developer starting price.",""))</f>
        <v/>
      </c>
      <c r="T539" s="57" t="str">
        <f>Assumptions!$AJ$151</f>
        <v>NE. Inner pool &amp; landscape; Olive Lounge in front of low floors; unblocked towards Bishan above L22</v>
      </c>
    </row>
    <row r="540" spans="1:20" x14ac:dyDescent="0.2">
      <c r="A540" s="49" t="s">
        <v>685</v>
      </c>
      <c r="B540" s="29">
        <v>5</v>
      </c>
      <c r="C540" s="50">
        <v>25</v>
      </c>
      <c r="D540" s="50">
        <v>29</v>
      </c>
      <c r="E540" s="27" t="s">
        <v>44</v>
      </c>
      <c r="F540" s="29" t="s">
        <v>684</v>
      </c>
      <c r="G540" s="28">
        <v>775</v>
      </c>
      <c r="H540" s="29" t="s">
        <v>65</v>
      </c>
      <c r="I540" s="38" t="str">
        <f>Assumptions!$I$151</f>
        <v>B</v>
      </c>
      <c r="J540" s="29" t="str">
        <f>IF(D540&lt;=Assumptions!$V$151,"Low",IF(D540&lt;=Assumptions!$W$151,"Mid","High"))</f>
        <v>High</v>
      </c>
      <c r="K540" s="51">
        <f>Assumptions!$Q$151</f>
        <v>2650</v>
      </c>
      <c r="L540" s="52">
        <f>INDEX(Assumptions!$H$61:$H$90,D540)</f>
        <v>3222.9815789473682</v>
      </c>
      <c r="M540" s="53">
        <f>IF(D540&lt;=Assumptions!$G$151,Assumptions!$AK$151,IF(D540&lt;Assumptions!$AH$151,Assumptions!$AK$151+(Assumptions!$AL$151-Assumptions!$AK$151)*(D540-Assumptions!$G$151)/(Assumptions!$AH$151-Assumptions!$G$151),IF(D540&lt;Assumptions!$P$151,Assumptions!$AL$151+(Assumptions!$AM$151-Assumptions!$AL$151)*(D540-Assumptions!$AH$151)/(Assumptions!$P$151-Assumptions!$AH$151),Assumptions!$AM$151)))</f>
        <v>50000</v>
      </c>
      <c r="N540" s="54">
        <f t="shared" si="16"/>
        <v>64.516129032258064</v>
      </c>
      <c r="O540" s="55">
        <f t="shared" si="17"/>
        <v>3287</v>
      </c>
      <c r="P540" s="29" t="str">
        <f>IF(D540&gt;=Assumptions!$P$151,"High",IF(D540&gt;=Assumptions!$AH$151,"Mid",IF(D540&lt;=Assumptions!$G$151,"Low","Loading")))</f>
        <v>High</v>
      </c>
      <c r="Q540" s="39">
        <f>MAX(K540,MIN(Assumptions!$S$151,O540),Q541)</f>
        <v>3287</v>
      </c>
      <c r="R540" s="30">
        <f>IF(AND(Q540&lt;=K540,INDEX(Assumptions!$C$26:$C$36,MATCH(G540,Assumptions!$A$26:$A$36,0))&lt;&gt;""),INDEX(Assumptions!$C$26:$C$36,MATCH(G540,Assumptions!$A$26:$A$36,0)),ROUND(G540*Q540,-2))</f>
        <v>2547400</v>
      </c>
      <c r="S540" s="56" t="str">
        <f>TRIM(IF(AND(Assumptions!$L$151&lt;&gt;"",D540&lt;Assumptions!$L$151),"View blocked / roof in front ("&amp;Assumptions!$M$151&amp;"); view premium still loading until L"&amp;Assumptions!$L$151&amp;". ","")&amp;IF(D540=Assumptions!$AH$151,"Mid-floor view premium fully loaded. ","")&amp;IF(D540=Assumptions!$P$151,"High-floor view premium fully loaded. ","")&amp;IF(Q540&lt;=K540,"At developer starting price.",""))</f>
        <v/>
      </c>
      <c r="T540" s="57" t="str">
        <f>Assumptions!$AJ$151</f>
        <v>NE. Inner pool &amp; landscape; Olive Lounge in front of low floors; unblocked towards Bishan above L22</v>
      </c>
    </row>
    <row r="541" spans="1:20" x14ac:dyDescent="0.2">
      <c r="A541" s="49" t="s">
        <v>686</v>
      </c>
      <c r="B541" s="29">
        <v>5</v>
      </c>
      <c r="C541" s="50">
        <v>25</v>
      </c>
      <c r="D541" s="50">
        <v>28</v>
      </c>
      <c r="E541" s="27" t="s">
        <v>44</v>
      </c>
      <c r="F541" s="29" t="s">
        <v>684</v>
      </c>
      <c r="G541" s="28">
        <v>775</v>
      </c>
      <c r="H541" s="29" t="s">
        <v>65</v>
      </c>
      <c r="I541" s="38" t="str">
        <f>Assumptions!$I$151</f>
        <v>B</v>
      </c>
      <c r="J541" s="29" t="str">
        <f>IF(D541&lt;=Assumptions!$V$151,"Low",IF(D541&lt;=Assumptions!$W$151,"Mid","High"))</f>
        <v>High</v>
      </c>
      <c r="K541" s="51">
        <f>Assumptions!$Q$151</f>
        <v>2650</v>
      </c>
      <c r="L541" s="52">
        <f>INDEX(Assumptions!$H$61:$H$90,D541)</f>
        <v>3212.4868421052629</v>
      </c>
      <c r="M541" s="53">
        <f>IF(D541&lt;=Assumptions!$G$151,Assumptions!$AK$151,IF(D541&lt;Assumptions!$AH$151,Assumptions!$AK$151+(Assumptions!$AL$151-Assumptions!$AK$151)*(D541-Assumptions!$G$151)/(Assumptions!$AH$151-Assumptions!$G$151),IF(D541&lt;Assumptions!$P$151,Assumptions!$AL$151+(Assumptions!$AM$151-Assumptions!$AL$151)*(D541-Assumptions!$AH$151)/(Assumptions!$P$151-Assumptions!$AH$151),Assumptions!$AM$151)))</f>
        <v>50000</v>
      </c>
      <c r="N541" s="54">
        <f t="shared" si="16"/>
        <v>64.516129032258064</v>
      </c>
      <c r="O541" s="55">
        <f t="shared" si="17"/>
        <v>3277</v>
      </c>
      <c r="P541" s="29" t="str">
        <f>IF(D541&gt;=Assumptions!$P$151,"High",IF(D541&gt;=Assumptions!$AH$151,"Mid",IF(D541&lt;=Assumptions!$G$151,"Low","Loading")))</f>
        <v>High</v>
      </c>
      <c r="Q541" s="39">
        <f>MAX(K541,MIN(Assumptions!$S$151,O541),Q542)</f>
        <v>3277</v>
      </c>
      <c r="R541" s="30">
        <f>IF(AND(Q541&lt;=K541,INDEX(Assumptions!$C$26:$C$36,MATCH(G541,Assumptions!$A$26:$A$36,0))&lt;&gt;""),INDEX(Assumptions!$C$26:$C$36,MATCH(G541,Assumptions!$A$26:$A$36,0)),ROUND(G541*Q541,-2))</f>
        <v>2539700</v>
      </c>
      <c r="S541" s="56" t="str">
        <f>TRIM(IF(AND(Assumptions!$L$151&lt;&gt;"",D541&lt;Assumptions!$L$151),"View blocked / roof in front ("&amp;Assumptions!$M$151&amp;"); view premium still loading until L"&amp;Assumptions!$L$151&amp;". ","")&amp;IF(D541=Assumptions!$AH$151,"Mid-floor view premium fully loaded. ","")&amp;IF(D541=Assumptions!$P$151,"High-floor view premium fully loaded. ","")&amp;IF(Q541&lt;=K541,"At developer starting price.",""))</f>
        <v/>
      </c>
      <c r="T541" s="57" t="str">
        <f>Assumptions!$AJ$151</f>
        <v>NE. Inner pool &amp; landscape; Olive Lounge in front of low floors; unblocked towards Bishan above L22</v>
      </c>
    </row>
    <row r="542" spans="1:20" x14ac:dyDescent="0.2">
      <c r="A542" s="49" t="s">
        <v>687</v>
      </c>
      <c r="B542" s="29">
        <v>5</v>
      </c>
      <c r="C542" s="50">
        <v>25</v>
      </c>
      <c r="D542" s="50">
        <v>27</v>
      </c>
      <c r="E542" s="27" t="s">
        <v>44</v>
      </c>
      <c r="F542" s="29" t="s">
        <v>684</v>
      </c>
      <c r="G542" s="28">
        <v>775</v>
      </c>
      <c r="H542" s="29" t="s">
        <v>65</v>
      </c>
      <c r="I542" s="38" t="str">
        <f>Assumptions!$I$151</f>
        <v>B</v>
      </c>
      <c r="J542" s="29" t="str">
        <f>IF(D542&lt;=Assumptions!$V$151,"Low",IF(D542&lt;=Assumptions!$W$151,"Mid","High"))</f>
        <v>High</v>
      </c>
      <c r="K542" s="51">
        <f>Assumptions!$Q$151</f>
        <v>2650</v>
      </c>
      <c r="L542" s="52">
        <f>INDEX(Assumptions!$H$61:$H$90,D542)</f>
        <v>3201.992105263158</v>
      </c>
      <c r="M542" s="53">
        <f>IF(D542&lt;=Assumptions!$G$151,Assumptions!$AK$151,IF(D542&lt;Assumptions!$AH$151,Assumptions!$AK$151+(Assumptions!$AL$151-Assumptions!$AK$151)*(D542-Assumptions!$G$151)/(Assumptions!$AH$151-Assumptions!$G$151),IF(D542&lt;Assumptions!$P$151,Assumptions!$AL$151+(Assumptions!$AM$151-Assumptions!$AL$151)*(D542-Assumptions!$AH$151)/(Assumptions!$P$151-Assumptions!$AH$151),Assumptions!$AM$151)))</f>
        <v>50000</v>
      </c>
      <c r="N542" s="54">
        <f t="shared" si="16"/>
        <v>64.516129032258064</v>
      </c>
      <c r="O542" s="55">
        <f t="shared" si="17"/>
        <v>3267</v>
      </c>
      <c r="P542" s="29" t="str">
        <f>IF(D542&gt;=Assumptions!$P$151,"High",IF(D542&gt;=Assumptions!$AH$151,"Mid",IF(D542&lt;=Assumptions!$G$151,"Low","Loading")))</f>
        <v>High</v>
      </c>
      <c r="Q542" s="39">
        <f>MAX(K542,MIN(Assumptions!$S$151,O542),Q543)</f>
        <v>3267</v>
      </c>
      <c r="R542" s="30">
        <f>IF(AND(Q542&lt;=K542,INDEX(Assumptions!$C$26:$C$36,MATCH(G542,Assumptions!$A$26:$A$36,0))&lt;&gt;""),INDEX(Assumptions!$C$26:$C$36,MATCH(G542,Assumptions!$A$26:$A$36,0)),ROUND(G542*Q542,-2))</f>
        <v>2531900</v>
      </c>
      <c r="S542" s="56" t="str">
        <f>TRIM(IF(AND(Assumptions!$L$151&lt;&gt;"",D542&lt;Assumptions!$L$151),"View blocked / roof in front ("&amp;Assumptions!$M$151&amp;"); view premium still loading until L"&amp;Assumptions!$L$151&amp;". ","")&amp;IF(D542=Assumptions!$AH$151,"Mid-floor view premium fully loaded. ","")&amp;IF(D542=Assumptions!$P$151,"High-floor view premium fully loaded. ","")&amp;IF(Q542&lt;=K542,"At developer starting price.",""))</f>
        <v/>
      </c>
      <c r="T542" s="57" t="str">
        <f>Assumptions!$AJ$151</f>
        <v>NE. Inner pool &amp; landscape; Olive Lounge in front of low floors; unblocked towards Bishan above L22</v>
      </c>
    </row>
    <row r="543" spans="1:20" x14ac:dyDescent="0.2">
      <c r="A543" s="49" t="s">
        <v>688</v>
      </c>
      <c r="B543" s="29">
        <v>5</v>
      </c>
      <c r="C543" s="50">
        <v>25</v>
      </c>
      <c r="D543" s="50">
        <v>26</v>
      </c>
      <c r="E543" s="27" t="s">
        <v>44</v>
      </c>
      <c r="F543" s="29" t="s">
        <v>684</v>
      </c>
      <c r="G543" s="28">
        <v>775</v>
      </c>
      <c r="H543" s="29" t="s">
        <v>65</v>
      </c>
      <c r="I543" s="38" t="str">
        <f>Assumptions!$I$151</f>
        <v>B</v>
      </c>
      <c r="J543" s="29" t="str">
        <f>IF(D543&lt;=Assumptions!$V$151,"Low",IF(D543&lt;=Assumptions!$W$151,"Mid","High"))</f>
        <v>High</v>
      </c>
      <c r="K543" s="51">
        <f>Assumptions!$Q$151</f>
        <v>2650</v>
      </c>
      <c r="L543" s="52">
        <f>INDEX(Assumptions!$H$61:$H$90,D543)</f>
        <v>3191.4973684210527</v>
      </c>
      <c r="M543" s="53">
        <f>IF(D543&lt;=Assumptions!$G$151,Assumptions!$AK$151,IF(D543&lt;Assumptions!$AH$151,Assumptions!$AK$151+(Assumptions!$AL$151-Assumptions!$AK$151)*(D543-Assumptions!$G$151)/(Assumptions!$AH$151-Assumptions!$G$151),IF(D543&lt;Assumptions!$P$151,Assumptions!$AL$151+(Assumptions!$AM$151-Assumptions!$AL$151)*(D543-Assumptions!$AH$151)/(Assumptions!$P$151-Assumptions!$AH$151),Assumptions!$AM$151)))</f>
        <v>50000</v>
      </c>
      <c r="N543" s="54">
        <f t="shared" si="16"/>
        <v>64.516129032258064</v>
      </c>
      <c r="O543" s="55">
        <f t="shared" si="17"/>
        <v>3256</v>
      </c>
      <c r="P543" s="29" t="str">
        <f>IF(D543&gt;=Assumptions!$P$151,"High",IF(D543&gt;=Assumptions!$AH$151,"Mid",IF(D543&lt;=Assumptions!$G$151,"Low","Loading")))</f>
        <v>High</v>
      </c>
      <c r="Q543" s="39">
        <f>MAX(K543,MIN(Assumptions!$S$151,O543),Q544)</f>
        <v>3256</v>
      </c>
      <c r="R543" s="30">
        <f>IF(AND(Q543&lt;=K543,INDEX(Assumptions!$C$26:$C$36,MATCH(G543,Assumptions!$A$26:$A$36,0))&lt;&gt;""),INDEX(Assumptions!$C$26:$C$36,MATCH(G543,Assumptions!$A$26:$A$36,0)),ROUND(G543*Q543,-2))</f>
        <v>2523400</v>
      </c>
      <c r="S543" s="56" t="str">
        <f>TRIM(IF(AND(Assumptions!$L$151&lt;&gt;"",D543&lt;Assumptions!$L$151),"View blocked / roof in front ("&amp;Assumptions!$M$151&amp;"); view premium still loading until L"&amp;Assumptions!$L$151&amp;". ","")&amp;IF(D543=Assumptions!$AH$151,"Mid-floor view premium fully loaded. ","")&amp;IF(D543=Assumptions!$P$151,"High-floor view premium fully loaded. ","")&amp;IF(Q543&lt;=K543,"At developer starting price.",""))</f>
        <v/>
      </c>
      <c r="T543" s="57" t="str">
        <f>Assumptions!$AJ$151</f>
        <v>NE. Inner pool &amp; landscape; Olive Lounge in front of low floors; unblocked towards Bishan above L22</v>
      </c>
    </row>
    <row r="544" spans="1:20" x14ac:dyDescent="0.2">
      <c r="A544" s="49" t="s">
        <v>689</v>
      </c>
      <c r="B544" s="29">
        <v>5</v>
      </c>
      <c r="C544" s="50">
        <v>25</v>
      </c>
      <c r="D544" s="50">
        <v>25</v>
      </c>
      <c r="E544" s="27" t="s">
        <v>44</v>
      </c>
      <c r="F544" s="29" t="s">
        <v>684</v>
      </c>
      <c r="G544" s="28">
        <v>775</v>
      </c>
      <c r="H544" s="29" t="s">
        <v>65</v>
      </c>
      <c r="I544" s="38" t="str">
        <f>Assumptions!$I$151</f>
        <v>B</v>
      </c>
      <c r="J544" s="29" t="str">
        <f>IF(D544&lt;=Assumptions!$V$151,"Low",IF(D544&lt;=Assumptions!$W$151,"Mid","High"))</f>
        <v>High</v>
      </c>
      <c r="K544" s="51">
        <f>Assumptions!$Q$151</f>
        <v>2650</v>
      </c>
      <c r="L544" s="52">
        <f>INDEX(Assumptions!$H$61:$H$90,D544)</f>
        <v>3181.0026315789473</v>
      </c>
      <c r="M544" s="53">
        <f>IF(D544&lt;=Assumptions!$G$151,Assumptions!$AK$151,IF(D544&lt;Assumptions!$AH$151,Assumptions!$AK$151+(Assumptions!$AL$151-Assumptions!$AK$151)*(D544-Assumptions!$G$151)/(Assumptions!$AH$151-Assumptions!$G$151),IF(D544&lt;Assumptions!$P$151,Assumptions!$AL$151+(Assumptions!$AM$151-Assumptions!$AL$151)*(D544-Assumptions!$AH$151)/(Assumptions!$P$151-Assumptions!$AH$151),Assumptions!$AM$151)))</f>
        <v>50000</v>
      </c>
      <c r="N544" s="54">
        <f t="shared" si="16"/>
        <v>64.516129032258064</v>
      </c>
      <c r="O544" s="55">
        <f t="shared" si="17"/>
        <v>3246</v>
      </c>
      <c r="P544" s="29" t="str">
        <f>IF(D544&gt;=Assumptions!$P$151,"High",IF(D544&gt;=Assumptions!$AH$151,"Mid",IF(D544&lt;=Assumptions!$G$151,"Low","Loading")))</f>
        <v>High</v>
      </c>
      <c r="Q544" s="39">
        <f>MAX(K544,MIN(Assumptions!$S$151,O544),Q545)</f>
        <v>3246</v>
      </c>
      <c r="R544" s="30">
        <f>IF(AND(Q544&lt;=K544,INDEX(Assumptions!$C$26:$C$36,MATCH(G544,Assumptions!$A$26:$A$36,0))&lt;&gt;""),INDEX(Assumptions!$C$26:$C$36,MATCH(G544,Assumptions!$A$26:$A$36,0)),ROUND(G544*Q544,-2))</f>
        <v>2515700</v>
      </c>
      <c r="S544" s="56" t="str">
        <f>TRIM(IF(AND(Assumptions!$L$151&lt;&gt;"",D544&lt;Assumptions!$L$151),"View blocked / roof in front ("&amp;Assumptions!$M$151&amp;"); view premium still loading until L"&amp;Assumptions!$L$151&amp;". ","")&amp;IF(D544=Assumptions!$AH$151,"Mid-floor view premium fully loaded. ","")&amp;IF(D544=Assumptions!$P$151,"High-floor view premium fully loaded. ","")&amp;IF(Q544&lt;=K544,"At developer starting price.",""))</f>
        <v/>
      </c>
      <c r="T544" s="57" t="str">
        <f>Assumptions!$AJ$151</f>
        <v>NE. Inner pool &amp; landscape; Olive Lounge in front of low floors; unblocked towards Bishan above L22</v>
      </c>
    </row>
    <row r="545" spans="1:20" x14ac:dyDescent="0.2">
      <c r="A545" s="49" t="s">
        <v>690</v>
      </c>
      <c r="B545" s="29">
        <v>5</v>
      </c>
      <c r="C545" s="50">
        <v>25</v>
      </c>
      <c r="D545" s="50">
        <v>24</v>
      </c>
      <c r="E545" s="27" t="s">
        <v>44</v>
      </c>
      <c r="F545" s="29" t="s">
        <v>684</v>
      </c>
      <c r="G545" s="28">
        <v>775</v>
      </c>
      <c r="H545" s="29" t="s">
        <v>65</v>
      </c>
      <c r="I545" s="38" t="str">
        <f>Assumptions!$I$151</f>
        <v>B</v>
      </c>
      <c r="J545" s="29" t="str">
        <f>IF(D545&lt;=Assumptions!$V$151,"Low",IF(D545&lt;=Assumptions!$W$151,"Mid","High"))</f>
        <v>High</v>
      </c>
      <c r="K545" s="51">
        <f>Assumptions!$Q$151</f>
        <v>2650</v>
      </c>
      <c r="L545" s="52">
        <f>INDEX(Assumptions!$H$61:$H$90,D545)</f>
        <v>3170.507894736842</v>
      </c>
      <c r="M545" s="53">
        <f>IF(D545&lt;=Assumptions!$G$151,Assumptions!$AK$151,IF(D545&lt;Assumptions!$AH$151,Assumptions!$AK$151+(Assumptions!$AL$151-Assumptions!$AK$151)*(D545-Assumptions!$G$151)/(Assumptions!$AH$151-Assumptions!$G$151),IF(D545&lt;Assumptions!$P$151,Assumptions!$AL$151+(Assumptions!$AM$151-Assumptions!$AL$151)*(D545-Assumptions!$AH$151)/(Assumptions!$P$151-Assumptions!$AH$151),Assumptions!$AM$151)))</f>
        <v>50000</v>
      </c>
      <c r="N545" s="54">
        <f t="shared" si="16"/>
        <v>64.516129032258064</v>
      </c>
      <c r="O545" s="55">
        <f t="shared" si="17"/>
        <v>3235</v>
      </c>
      <c r="P545" s="29" t="str">
        <f>IF(D545&gt;=Assumptions!$P$151,"High",IF(D545&gt;=Assumptions!$AH$151,"Mid",IF(D545&lt;=Assumptions!$G$151,"Low","Loading")))</f>
        <v>High</v>
      </c>
      <c r="Q545" s="39">
        <f>MAX(K545,MIN(Assumptions!$S$151,O545),Q546)</f>
        <v>3235</v>
      </c>
      <c r="R545" s="30">
        <f>IF(AND(Q545&lt;=K545,INDEX(Assumptions!$C$26:$C$36,MATCH(G545,Assumptions!$A$26:$A$36,0))&lt;&gt;""),INDEX(Assumptions!$C$26:$C$36,MATCH(G545,Assumptions!$A$26:$A$36,0)),ROUND(G545*Q545,-2))</f>
        <v>2507100</v>
      </c>
      <c r="S545" s="56" t="str">
        <f>TRIM(IF(AND(Assumptions!$L$151&lt;&gt;"",D545&lt;Assumptions!$L$151),"View blocked / roof in front ("&amp;Assumptions!$M$151&amp;"); view premium still loading until L"&amp;Assumptions!$L$151&amp;". ","")&amp;IF(D545=Assumptions!$AH$151,"Mid-floor view premium fully loaded. ","")&amp;IF(D545=Assumptions!$P$151,"High-floor view premium fully loaded. ","")&amp;IF(Q545&lt;=K545,"At developer starting price.",""))</f>
        <v/>
      </c>
      <c r="T545" s="57" t="str">
        <f>Assumptions!$AJ$151</f>
        <v>NE. Inner pool &amp; landscape; Olive Lounge in front of low floors; unblocked towards Bishan above L22</v>
      </c>
    </row>
    <row r="546" spans="1:20" x14ac:dyDescent="0.2">
      <c r="A546" s="49" t="s">
        <v>691</v>
      </c>
      <c r="B546" s="29">
        <v>5</v>
      </c>
      <c r="C546" s="50">
        <v>25</v>
      </c>
      <c r="D546" s="50">
        <v>23</v>
      </c>
      <c r="E546" s="27" t="s">
        <v>44</v>
      </c>
      <c r="F546" s="29" t="s">
        <v>684</v>
      </c>
      <c r="G546" s="28">
        <v>775</v>
      </c>
      <c r="H546" s="29" t="s">
        <v>65</v>
      </c>
      <c r="I546" s="38" t="str">
        <f>Assumptions!$I$151</f>
        <v>B</v>
      </c>
      <c r="J546" s="29" t="str">
        <f>IF(D546&lt;=Assumptions!$V$151,"Low",IF(D546&lt;=Assumptions!$W$151,"Mid","High"))</f>
        <v>High</v>
      </c>
      <c r="K546" s="51">
        <f>Assumptions!$Q$151</f>
        <v>2650</v>
      </c>
      <c r="L546" s="52">
        <f>INDEX(Assumptions!$H$61:$H$90,D546)</f>
        <v>3160.0131578947371</v>
      </c>
      <c r="M546" s="53">
        <f>IF(D546&lt;=Assumptions!$G$151,Assumptions!$AK$151,IF(D546&lt;Assumptions!$AH$151,Assumptions!$AK$151+(Assumptions!$AL$151-Assumptions!$AK$151)*(D546-Assumptions!$G$151)/(Assumptions!$AH$151-Assumptions!$G$151),IF(D546&lt;Assumptions!$P$151,Assumptions!$AL$151+(Assumptions!$AM$151-Assumptions!$AL$151)*(D546-Assumptions!$AH$151)/(Assumptions!$P$151-Assumptions!$AH$151),Assumptions!$AM$151)))</f>
        <v>50000</v>
      </c>
      <c r="N546" s="54">
        <f t="shared" si="16"/>
        <v>64.516129032258064</v>
      </c>
      <c r="O546" s="55">
        <f t="shared" si="17"/>
        <v>3225</v>
      </c>
      <c r="P546" s="29" t="str">
        <f>IF(D546&gt;=Assumptions!$P$151,"High",IF(D546&gt;=Assumptions!$AH$151,"Mid",IF(D546&lt;=Assumptions!$G$151,"Low","Loading")))</f>
        <v>High</v>
      </c>
      <c r="Q546" s="39">
        <f>MAX(K546,MIN(Assumptions!$S$151,O546),Q547)</f>
        <v>3225</v>
      </c>
      <c r="R546" s="30">
        <f>IF(AND(Q546&lt;=K546,INDEX(Assumptions!$C$26:$C$36,MATCH(G546,Assumptions!$A$26:$A$36,0))&lt;&gt;""),INDEX(Assumptions!$C$26:$C$36,MATCH(G546,Assumptions!$A$26:$A$36,0)),ROUND(G546*Q546,-2))</f>
        <v>2499400</v>
      </c>
      <c r="S546" s="56" t="str">
        <f>TRIM(IF(AND(Assumptions!$L$151&lt;&gt;"",D546&lt;Assumptions!$L$151),"View blocked / roof in front ("&amp;Assumptions!$M$151&amp;"); view premium still loading until L"&amp;Assumptions!$L$151&amp;". ","")&amp;IF(D546=Assumptions!$AH$151,"Mid-floor view premium fully loaded. ","")&amp;IF(D546=Assumptions!$P$151,"High-floor view premium fully loaded. ","")&amp;IF(Q546&lt;=K546,"At developer starting price.",""))</f>
        <v/>
      </c>
      <c r="T546" s="57" t="str">
        <f>Assumptions!$AJ$151</f>
        <v>NE. Inner pool &amp; landscape; Olive Lounge in front of low floors; unblocked towards Bishan above L22</v>
      </c>
    </row>
    <row r="547" spans="1:20" x14ac:dyDescent="0.2">
      <c r="A547" s="49" t="s">
        <v>692</v>
      </c>
      <c r="B547" s="29">
        <v>5</v>
      </c>
      <c r="C547" s="50">
        <v>25</v>
      </c>
      <c r="D547" s="50">
        <v>22</v>
      </c>
      <c r="E547" s="27" t="s">
        <v>44</v>
      </c>
      <c r="F547" s="29" t="s">
        <v>684</v>
      </c>
      <c r="G547" s="28">
        <v>775</v>
      </c>
      <c r="H547" s="29" t="s">
        <v>65</v>
      </c>
      <c r="I547" s="38" t="str">
        <f>Assumptions!$I$151</f>
        <v>B</v>
      </c>
      <c r="J547" s="29" t="str">
        <f>IF(D547&lt;=Assumptions!$V$151,"Low",IF(D547&lt;=Assumptions!$W$151,"Mid","High"))</f>
        <v>High</v>
      </c>
      <c r="K547" s="51">
        <f>Assumptions!$Q$151</f>
        <v>2650</v>
      </c>
      <c r="L547" s="52">
        <f>INDEX(Assumptions!$H$61:$H$90,D547)</f>
        <v>3149.5184210526318</v>
      </c>
      <c r="M547" s="53">
        <f>IF(D547&lt;=Assumptions!$G$151,Assumptions!$AK$151,IF(D547&lt;Assumptions!$AH$151,Assumptions!$AK$151+(Assumptions!$AL$151-Assumptions!$AK$151)*(D547-Assumptions!$G$151)/(Assumptions!$AH$151-Assumptions!$G$151),IF(D547&lt;Assumptions!$P$151,Assumptions!$AL$151+(Assumptions!$AM$151-Assumptions!$AL$151)*(D547-Assumptions!$AH$151)/(Assumptions!$P$151-Assumptions!$AH$151),Assumptions!$AM$151)))</f>
        <v>50000</v>
      </c>
      <c r="N547" s="54">
        <f t="shared" si="16"/>
        <v>64.516129032258064</v>
      </c>
      <c r="O547" s="55">
        <f t="shared" si="17"/>
        <v>3214</v>
      </c>
      <c r="P547" s="29" t="str">
        <f>IF(D547&gt;=Assumptions!$P$151,"High",IF(D547&gt;=Assumptions!$AH$151,"Mid",IF(D547&lt;=Assumptions!$G$151,"Low","Loading")))</f>
        <v>High</v>
      </c>
      <c r="Q547" s="39">
        <f>MAX(K547,MIN(Assumptions!$S$151,O547),Q548)</f>
        <v>3214</v>
      </c>
      <c r="R547" s="30">
        <f>IF(AND(Q547&lt;=K547,INDEX(Assumptions!$C$26:$C$36,MATCH(G547,Assumptions!$A$26:$A$36,0))&lt;&gt;""),INDEX(Assumptions!$C$26:$C$36,MATCH(G547,Assumptions!$A$26:$A$36,0)),ROUND(G547*Q547,-2))</f>
        <v>2490900</v>
      </c>
      <c r="S547" s="56" t="str">
        <f>TRIM(IF(AND(Assumptions!$L$151&lt;&gt;"",D547&lt;Assumptions!$L$151),"View blocked / roof in front ("&amp;Assumptions!$M$151&amp;"); view premium still loading until L"&amp;Assumptions!$L$151&amp;". ","")&amp;IF(D547=Assumptions!$AH$151,"Mid-floor view premium fully loaded. ","")&amp;IF(D547=Assumptions!$P$151,"High-floor view premium fully loaded. ","")&amp;IF(Q547&lt;=K547,"At developer starting price.",""))</f>
        <v>High-floor view premium fully loaded.</v>
      </c>
      <c r="T547" s="57" t="str">
        <f>Assumptions!$AJ$151</f>
        <v>NE. Inner pool &amp; landscape; Olive Lounge in front of low floors; unblocked towards Bishan above L22</v>
      </c>
    </row>
    <row r="548" spans="1:20" x14ac:dyDescent="0.2">
      <c r="A548" s="49" t="s">
        <v>693</v>
      </c>
      <c r="B548" s="29">
        <v>5</v>
      </c>
      <c r="C548" s="50">
        <v>25</v>
      </c>
      <c r="D548" s="50">
        <v>21</v>
      </c>
      <c r="E548" s="27" t="s">
        <v>44</v>
      </c>
      <c r="F548" s="29" t="s">
        <v>684</v>
      </c>
      <c r="G548" s="28">
        <v>775</v>
      </c>
      <c r="H548" s="29" t="s">
        <v>65</v>
      </c>
      <c r="I548" s="38" t="str">
        <f>Assumptions!$I$151</f>
        <v>B</v>
      </c>
      <c r="J548" s="29" t="str">
        <f>IF(D548&lt;=Assumptions!$V$151,"Low",IF(D548&lt;=Assumptions!$W$151,"Mid","High"))</f>
        <v>High</v>
      </c>
      <c r="K548" s="51">
        <f>Assumptions!$Q$151</f>
        <v>2650</v>
      </c>
      <c r="L548" s="52">
        <f>INDEX(Assumptions!$H$61:$H$90,D548)</f>
        <v>3139.0236842105264</v>
      </c>
      <c r="M548" s="53">
        <f>IF(D548&lt;=Assumptions!$G$151,Assumptions!$AK$151,IF(D548&lt;Assumptions!$AH$151,Assumptions!$AK$151+(Assumptions!$AL$151-Assumptions!$AK$151)*(D548-Assumptions!$G$151)/(Assumptions!$AH$151-Assumptions!$G$151),IF(D548&lt;Assumptions!$P$151,Assumptions!$AL$151+(Assumptions!$AM$151-Assumptions!$AL$151)*(D548-Assumptions!$AH$151)/(Assumptions!$P$151-Assumptions!$AH$151),Assumptions!$AM$151)))</f>
        <v>46875</v>
      </c>
      <c r="N548" s="54">
        <f t="shared" si="16"/>
        <v>60.483870967741936</v>
      </c>
      <c r="O548" s="55">
        <f t="shared" si="17"/>
        <v>3200</v>
      </c>
      <c r="P548" s="29" t="str">
        <f>IF(D548&gt;=Assumptions!$P$151,"High",IF(D548&gt;=Assumptions!$AH$151,"Mid",IF(D548&lt;=Assumptions!$G$151,"Low","Loading")))</f>
        <v>Mid</v>
      </c>
      <c r="Q548" s="39">
        <f>MAX(K548,MIN(Assumptions!$S$151,O548),Q549)</f>
        <v>3200</v>
      </c>
      <c r="R548" s="30">
        <f>IF(AND(Q548&lt;=K548,INDEX(Assumptions!$C$26:$C$36,MATCH(G548,Assumptions!$A$26:$A$36,0))&lt;&gt;""),INDEX(Assumptions!$C$26:$C$36,MATCH(G548,Assumptions!$A$26:$A$36,0)),ROUND(G548*Q548,-2))</f>
        <v>2480000</v>
      </c>
      <c r="S548" s="56" t="str">
        <f>TRIM(IF(AND(Assumptions!$L$151&lt;&gt;"",D548&lt;Assumptions!$L$151),"View blocked / roof in front ("&amp;Assumptions!$M$151&amp;"); view premium still loading until L"&amp;Assumptions!$L$151&amp;". ","")&amp;IF(D548=Assumptions!$AH$151,"Mid-floor view premium fully loaded. ","")&amp;IF(D548=Assumptions!$P$151,"High-floor view premium fully loaded. ","")&amp;IF(Q548&lt;=K548,"At developer starting price.",""))</f>
        <v/>
      </c>
      <c r="T548" s="57" t="str">
        <f>Assumptions!$AJ$151</f>
        <v>NE. Inner pool &amp; landscape; Olive Lounge in front of low floors; unblocked towards Bishan above L22</v>
      </c>
    </row>
    <row r="549" spans="1:20" x14ac:dyDescent="0.2">
      <c r="A549" s="49" t="s">
        <v>694</v>
      </c>
      <c r="B549" s="29">
        <v>5</v>
      </c>
      <c r="C549" s="50">
        <v>25</v>
      </c>
      <c r="D549" s="50">
        <v>20</v>
      </c>
      <c r="E549" s="27" t="s">
        <v>44</v>
      </c>
      <c r="F549" s="29" t="s">
        <v>684</v>
      </c>
      <c r="G549" s="28">
        <v>775</v>
      </c>
      <c r="H549" s="29" t="s">
        <v>65</v>
      </c>
      <c r="I549" s="38" t="str">
        <f>Assumptions!$I$151</f>
        <v>B</v>
      </c>
      <c r="J549" s="29" t="str">
        <f>IF(D549&lt;=Assumptions!$V$151,"Low",IF(D549&lt;=Assumptions!$W$151,"Mid","High"))</f>
        <v>Mid</v>
      </c>
      <c r="K549" s="51">
        <f>Assumptions!$Q$151</f>
        <v>2650</v>
      </c>
      <c r="L549" s="52">
        <f>INDEX(Assumptions!$H$61:$H$90,D549)</f>
        <v>3121.3289473684208</v>
      </c>
      <c r="M549" s="53">
        <f>IF(D549&lt;=Assumptions!$G$151,Assumptions!$AK$151,IF(D549&lt;Assumptions!$AH$151,Assumptions!$AK$151+(Assumptions!$AL$151-Assumptions!$AK$151)*(D549-Assumptions!$G$151)/(Assumptions!$AH$151-Assumptions!$G$151),IF(D549&lt;Assumptions!$P$151,Assumptions!$AL$151+(Assumptions!$AM$151-Assumptions!$AL$151)*(D549-Assumptions!$AH$151)/(Assumptions!$P$151-Assumptions!$AH$151),Assumptions!$AM$151)))</f>
        <v>43750</v>
      </c>
      <c r="N549" s="54">
        <f t="shared" si="16"/>
        <v>56.451612903225808</v>
      </c>
      <c r="O549" s="55">
        <f t="shared" si="17"/>
        <v>3178</v>
      </c>
      <c r="P549" s="29" t="str">
        <f>IF(D549&gt;=Assumptions!$P$151,"High",IF(D549&gt;=Assumptions!$AH$151,"Mid",IF(D549&lt;=Assumptions!$G$151,"Low","Loading")))</f>
        <v>Mid</v>
      </c>
      <c r="Q549" s="39">
        <f>MAX(K549,MIN(Assumptions!$S$151,O549),Q550)</f>
        <v>3178</v>
      </c>
      <c r="R549" s="30">
        <f>IF(AND(Q549&lt;=K549,INDEX(Assumptions!$C$26:$C$36,MATCH(G549,Assumptions!$A$26:$A$36,0))&lt;&gt;""),INDEX(Assumptions!$C$26:$C$36,MATCH(G549,Assumptions!$A$26:$A$36,0)),ROUND(G549*Q549,-2))</f>
        <v>2463000</v>
      </c>
      <c r="S549" s="56" t="str">
        <f>TRIM(IF(AND(Assumptions!$L$151&lt;&gt;"",D549&lt;Assumptions!$L$151),"View blocked / roof in front ("&amp;Assumptions!$M$151&amp;"); view premium still loading until L"&amp;Assumptions!$L$151&amp;". ","")&amp;IF(D549=Assumptions!$AH$151,"Mid-floor view premium fully loaded. ","")&amp;IF(D549=Assumptions!$P$151,"High-floor view premium fully loaded. ","")&amp;IF(Q549&lt;=K549,"At developer starting price.",""))</f>
        <v/>
      </c>
      <c r="T549" s="57" t="str">
        <f>Assumptions!$AJ$151</f>
        <v>NE. Inner pool &amp; landscape; Olive Lounge in front of low floors; unblocked towards Bishan above L22</v>
      </c>
    </row>
    <row r="550" spans="1:20" x14ac:dyDescent="0.2">
      <c r="A550" s="49" t="s">
        <v>695</v>
      </c>
      <c r="B550" s="29">
        <v>5</v>
      </c>
      <c r="C550" s="50">
        <v>25</v>
      </c>
      <c r="D550" s="50">
        <v>19</v>
      </c>
      <c r="E550" s="27" t="s">
        <v>44</v>
      </c>
      <c r="F550" s="29" t="s">
        <v>684</v>
      </c>
      <c r="G550" s="28">
        <v>775</v>
      </c>
      <c r="H550" s="29" t="s">
        <v>65</v>
      </c>
      <c r="I550" s="38" t="str">
        <f>Assumptions!$I$151</f>
        <v>B</v>
      </c>
      <c r="J550" s="29" t="str">
        <f>IF(D550&lt;=Assumptions!$V$151,"Low",IF(D550&lt;=Assumptions!$W$151,"Mid","High"))</f>
        <v>Mid</v>
      </c>
      <c r="K550" s="51">
        <f>Assumptions!$Q$151</f>
        <v>2650</v>
      </c>
      <c r="L550" s="52">
        <f>INDEX(Assumptions!$H$61:$H$90,D550)</f>
        <v>3103.6342105263157</v>
      </c>
      <c r="M550" s="53">
        <f>IF(D550&lt;=Assumptions!$G$151,Assumptions!$AK$151,IF(D550&lt;Assumptions!$AH$151,Assumptions!$AK$151+(Assumptions!$AL$151-Assumptions!$AK$151)*(D550-Assumptions!$G$151)/(Assumptions!$AH$151-Assumptions!$G$151),IF(D550&lt;Assumptions!$P$151,Assumptions!$AL$151+(Assumptions!$AM$151-Assumptions!$AL$151)*(D550-Assumptions!$AH$151)/(Assumptions!$P$151-Assumptions!$AH$151),Assumptions!$AM$151)))</f>
        <v>40625</v>
      </c>
      <c r="N550" s="54">
        <f t="shared" si="16"/>
        <v>52.41935483870968</v>
      </c>
      <c r="O550" s="55">
        <f t="shared" si="17"/>
        <v>3156</v>
      </c>
      <c r="P550" s="29" t="str">
        <f>IF(D550&gt;=Assumptions!$P$151,"High",IF(D550&gt;=Assumptions!$AH$151,"Mid",IF(D550&lt;=Assumptions!$G$151,"Low","Loading")))</f>
        <v>Mid</v>
      </c>
      <c r="Q550" s="39">
        <f>MAX(K550,MIN(Assumptions!$S$151,O550),Q551)</f>
        <v>3156</v>
      </c>
      <c r="R550" s="30">
        <f>IF(AND(Q550&lt;=K550,INDEX(Assumptions!$C$26:$C$36,MATCH(G550,Assumptions!$A$26:$A$36,0))&lt;&gt;""),INDEX(Assumptions!$C$26:$C$36,MATCH(G550,Assumptions!$A$26:$A$36,0)),ROUND(G550*Q550,-2))</f>
        <v>2445900</v>
      </c>
      <c r="S550" s="56" t="str">
        <f>TRIM(IF(AND(Assumptions!$L$151&lt;&gt;"",D550&lt;Assumptions!$L$151),"View blocked / roof in front ("&amp;Assumptions!$M$151&amp;"); view premium still loading until L"&amp;Assumptions!$L$151&amp;". ","")&amp;IF(D550=Assumptions!$AH$151,"Mid-floor view premium fully loaded. ","")&amp;IF(D550=Assumptions!$P$151,"High-floor view premium fully loaded. ","")&amp;IF(Q550&lt;=K550,"At developer starting price.",""))</f>
        <v/>
      </c>
      <c r="T550" s="57" t="str">
        <f>Assumptions!$AJ$151</f>
        <v>NE. Inner pool &amp; landscape; Olive Lounge in front of low floors; unblocked towards Bishan above L22</v>
      </c>
    </row>
    <row r="551" spans="1:20" x14ac:dyDescent="0.2">
      <c r="A551" s="49" t="s">
        <v>696</v>
      </c>
      <c r="B551" s="29">
        <v>5</v>
      </c>
      <c r="C551" s="50">
        <v>25</v>
      </c>
      <c r="D551" s="50">
        <v>18</v>
      </c>
      <c r="E551" s="27" t="s">
        <v>44</v>
      </c>
      <c r="F551" s="29" t="s">
        <v>684</v>
      </c>
      <c r="G551" s="28">
        <v>775</v>
      </c>
      <c r="H551" s="29" t="s">
        <v>65</v>
      </c>
      <c r="I551" s="38" t="str">
        <f>Assumptions!$I$151</f>
        <v>B</v>
      </c>
      <c r="J551" s="29" t="str">
        <f>IF(D551&lt;=Assumptions!$V$151,"Low",IF(D551&lt;=Assumptions!$W$151,"Mid","High"))</f>
        <v>Mid</v>
      </c>
      <c r="K551" s="51">
        <f>Assumptions!$Q$151</f>
        <v>2650</v>
      </c>
      <c r="L551" s="52">
        <f>INDEX(Assumptions!$H$61:$H$90,D551)</f>
        <v>3085.939473684211</v>
      </c>
      <c r="M551" s="53">
        <f>IF(D551&lt;=Assumptions!$G$151,Assumptions!$AK$151,IF(D551&lt;Assumptions!$AH$151,Assumptions!$AK$151+(Assumptions!$AL$151-Assumptions!$AK$151)*(D551-Assumptions!$G$151)/(Assumptions!$AH$151-Assumptions!$G$151),IF(D551&lt;Assumptions!$P$151,Assumptions!$AL$151+(Assumptions!$AM$151-Assumptions!$AL$151)*(D551-Assumptions!$AH$151)/(Assumptions!$P$151-Assumptions!$AH$151),Assumptions!$AM$151)))</f>
        <v>37500</v>
      </c>
      <c r="N551" s="54">
        <f t="shared" si="16"/>
        <v>48.387096774193552</v>
      </c>
      <c r="O551" s="55">
        <f t="shared" si="17"/>
        <v>3134</v>
      </c>
      <c r="P551" s="29" t="str">
        <f>IF(D551&gt;=Assumptions!$P$151,"High",IF(D551&gt;=Assumptions!$AH$151,"Mid",IF(D551&lt;=Assumptions!$G$151,"Low","Loading")))</f>
        <v>Mid</v>
      </c>
      <c r="Q551" s="39">
        <f>MAX(K551,MIN(Assumptions!$S$151,O551),Q552)</f>
        <v>3134</v>
      </c>
      <c r="R551" s="30">
        <f>IF(AND(Q551&lt;=K551,INDEX(Assumptions!$C$26:$C$36,MATCH(G551,Assumptions!$A$26:$A$36,0))&lt;&gt;""),INDEX(Assumptions!$C$26:$C$36,MATCH(G551,Assumptions!$A$26:$A$36,0)),ROUND(G551*Q551,-2))</f>
        <v>2428900</v>
      </c>
      <c r="S551" s="56" t="str">
        <f>TRIM(IF(AND(Assumptions!$L$151&lt;&gt;"",D551&lt;Assumptions!$L$151),"View blocked / roof in front ("&amp;Assumptions!$M$151&amp;"); view premium still loading until L"&amp;Assumptions!$L$151&amp;". ","")&amp;IF(D551=Assumptions!$AH$151,"Mid-floor view premium fully loaded. ","")&amp;IF(D551=Assumptions!$P$151,"High-floor view premium fully loaded. ","")&amp;IF(Q551&lt;=K551,"At developer starting price.",""))</f>
        <v/>
      </c>
      <c r="T551" s="57" t="str">
        <f>Assumptions!$AJ$151</f>
        <v>NE. Inner pool &amp; landscape; Olive Lounge in front of low floors; unblocked towards Bishan above L22</v>
      </c>
    </row>
    <row r="552" spans="1:20" x14ac:dyDescent="0.2">
      <c r="A552" s="49" t="s">
        <v>697</v>
      </c>
      <c r="B552" s="29">
        <v>5</v>
      </c>
      <c r="C552" s="50">
        <v>25</v>
      </c>
      <c r="D552" s="50">
        <v>17</v>
      </c>
      <c r="E552" s="27" t="s">
        <v>44</v>
      </c>
      <c r="F552" s="29" t="s">
        <v>684</v>
      </c>
      <c r="G552" s="28">
        <v>775</v>
      </c>
      <c r="H552" s="29" t="s">
        <v>65</v>
      </c>
      <c r="I552" s="38" t="str">
        <f>Assumptions!$I$151</f>
        <v>B</v>
      </c>
      <c r="J552" s="29" t="str">
        <f>IF(D552&lt;=Assumptions!$V$151,"Low",IF(D552&lt;=Assumptions!$W$151,"Mid","High"))</f>
        <v>Mid</v>
      </c>
      <c r="K552" s="51">
        <f>Assumptions!$Q$151</f>
        <v>2650</v>
      </c>
      <c r="L552" s="52">
        <f>INDEX(Assumptions!$H$61:$H$90,D552)</f>
        <v>3068.2447368421053</v>
      </c>
      <c r="M552" s="53">
        <f>IF(D552&lt;=Assumptions!$G$151,Assumptions!$AK$151,IF(D552&lt;Assumptions!$AH$151,Assumptions!$AK$151+(Assumptions!$AL$151-Assumptions!$AK$151)*(D552-Assumptions!$G$151)/(Assumptions!$AH$151-Assumptions!$G$151),IF(D552&lt;Assumptions!$P$151,Assumptions!$AL$151+(Assumptions!$AM$151-Assumptions!$AL$151)*(D552-Assumptions!$AH$151)/(Assumptions!$P$151-Assumptions!$AH$151),Assumptions!$AM$151)))</f>
        <v>34375</v>
      </c>
      <c r="N552" s="54">
        <f t="shared" si="16"/>
        <v>44.354838709677416</v>
      </c>
      <c r="O552" s="55">
        <f t="shared" si="17"/>
        <v>3113</v>
      </c>
      <c r="P552" s="29" t="str">
        <f>IF(D552&gt;=Assumptions!$P$151,"High",IF(D552&gt;=Assumptions!$AH$151,"Mid",IF(D552&lt;=Assumptions!$G$151,"Low","Loading")))</f>
        <v>Mid</v>
      </c>
      <c r="Q552" s="39">
        <f>MAX(K552,MIN(Assumptions!$S$151,O552),Q553)</f>
        <v>3113</v>
      </c>
      <c r="R552" s="30">
        <f>IF(AND(Q552&lt;=K552,INDEX(Assumptions!$C$26:$C$36,MATCH(G552,Assumptions!$A$26:$A$36,0))&lt;&gt;""),INDEX(Assumptions!$C$26:$C$36,MATCH(G552,Assumptions!$A$26:$A$36,0)),ROUND(G552*Q552,-2))</f>
        <v>2412600</v>
      </c>
      <c r="S552" s="56" t="str">
        <f>TRIM(IF(AND(Assumptions!$L$151&lt;&gt;"",D552&lt;Assumptions!$L$151),"View blocked / roof in front ("&amp;Assumptions!$M$151&amp;"); view premium still loading until L"&amp;Assumptions!$L$151&amp;". ","")&amp;IF(D552=Assumptions!$AH$151,"Mid-floor view premium fully loaded. ","")&amp;IF(D552=Assumptions!$P$151,"High-floor view premium fully loaded. ","")&amp;IF(Q552&lt;=K552,"At developer starting price.",""))</f>
        <v/>
      </c>
      <c r="T552" s="57" t="str">
        <f>Assumptions!$AJ$151</f>
        <v>NE. Inner pool &amp; landscape; Olive Lounge in front of low floors; unblocked towards Bishan above L22</v>
      </c>
    </row>
    <row r="553" spans="1:20" x14ac:dyDescent="0.2">
      <c r="A553" s="49" t="s">
        <v>698</v>
      </c>
      <c r="B553" s="29">
        <v>5</v>
      </c>
      <c r="C553" s="50">
        <v>25</v>
      </c>
      <c r="D553" s="50">
        <v>16</v>
      </c>
      <c r="E553" s="27" t="s">
        <v>44</v>
      </c>
      <c r="F553" s="29" t="s">
        <v>684</v>
      </c>
      <c r="G553" s="28">
        <v>775</v>
      </c>
      <c r="H553" s="29" t="s">
        <v>65</v>
      </c>
      <c r="I553" s="38" t="str">
        <f>Assumptions!$I$151</f>
        <v>B</v>
      </c>
      <c r="J553" s="29" t="str">
        <f>IF(D553&lt;=Assumptions!$V$151,"Low",IF(D553&lt;=Assumptions!$W$151,"Mid","High"))</f>
        <v>Mid</v>
      </c>
      <c r="K553" s="51">
        <f>Assumptions!$Q$151</f>
        <v>2650</v>
      </c>
      <c r="L553" s="52">
        <f>INDEX(Assumptions!$H$61:$H$90,D553)</f>
        <v>3050.55</v>
      </c>
      <c r="M553" s="53">
        <f>IF(D553&lt;=Assumptions!$G$151,Assumptions!$AK$151,IF(D553&lt;Assumptions!$AH$151,Assumptions!$AK$151+(Assumptions!$AL$151-Assumptions!$AK$151)*(D553-Assumptions!$G$151)/(Assumptions!$AH$151-Assumptions!$G$151),IF(D553&lt;Assumptions!$P$151,Assumptions!$AL$151+(Assumptions!$AM$151-Assumptions!$AL$151)*(D553-Assumptions!$AH$151)/(Assumptions!$P$151-Assumptions!$AH$151),Assumptions!$AM$151)))</f>
        <v>31250</v>
      </c>
      <c r="N553" s="54">
        <f t="shared" si="16"/>
        <v>40.322580645161288</v>
      </c>
      <c r="O553" s="55">
        <f t="shared" si="17"/>
        <v>3091</v>
      </c>
      <c r="P553" s="29" t="str">
        <f>IF(D553&gt;=Assumptions!$P$151,"High",IF(D553&gt;=Assumptions!$AH$151,"Mid",IF(D553&lt;=Assumptions!$G$151,"Low","Loading")))</f>
        <v>Mid</v>
      </c>
      <c r="Q553" s="39">
        <f>MAX(K553,MIN(Assumptions!$S$151,O553),Q554)</f>
        <v>3091</v>
      </c>
      <c r="R553" s="30">
        <f>IF(AND(Q553&lt;=K553,INDEX(Assumptions!$C$26:$C$36,MATCH(G553,Assumptions!$A$26:$A$36,0))&lt;&gt;""),INDEX(Assumptions!$C$26:$C$36,MATCH(G553,Assumptions!$A$26:$A$36,0)),ROUND(G553*Q553,-2))</f>
        <v>2395500</v>
      </c>
      <c r="S553" s="56" t="str">
        <f>TRIM(IF(AND(Assumptions!$L$151&lt;&gt;"",D553&lt;Assumptions!$L$151),"View blocked / roof in front ("&amp;Assumptions!$M$151&amp;"); view premium still loading until L"&amp;Assumptions!$L$151&amp;". ","")&amp;IF(D553=Assumptions!$AH$151,"Mid-floor view premium fully loaded. ","")&amp;IF(D553=Assumptions!$P$151,"High-floor view premium fully loaded. ","")&amp;IF(Q553&lt;=K553,"At developer starting price.",""))</f>
        <v/>
      </c>
      <c r="T553" s="57" t="str">
        <f>Assumptions!$AJ$151</f>
        <v>NE. Inner pool &amp; landscape; Olive Lounge in front of low floors; unblocked towards Bishan above L22</v>
      </c>
    </row>
    <row r="554" spans="1:20" x14ac:dyDescent="0.2">
      <c r="A554" s="49" t="s">
        <v>699</v>
      </c>
      <c r="B554" s="29">
        <v>5</v>
      </c>
      <c r="C554" s="50">
        <v>25</v>
      </c>
      <c r="D554" s="50">
        <v>15</v>
      </c>
      <c r="E554" s="27" t="s">
        <v>44</v>
      </c>
      <c r="F554" s="29" t="s">
        <v>684</v>
      </c>
      <c r="G554" s="28">
        <v>775</v>
      </c>
      <c r="H554" s="29" t="s">
        <v>65</v>
      </c>
      <c r="I554" s="38" t="str">
        <f>Assumptions!$I$151</f>
        <v>B</v>
      </c>
      <c r="J554" s="29" t="str">
        <f>IF(D554&lt;=Assumptions!$V$151,"Low",IF(D554&lt;=Assumptions!$W$151,"Mid","High"))</f>
        <v>Mid</v>
      </c>
      <c r="K554" s="51">
        <f>Assumptions!$Q$151</f>
        <v>2650</v>
      </c>
      <c r="L554" s="52">
        <f>INDEX(Assumptions!$H$61:$H$90,D554)</f>
        <v>3027.16</v>
      </c>
      <c r="M554" s="53">
        <f>IF(D554&lt;=Assumptions!$G$151,Assumptions!$AK$151,IF(D554&lt;Assumptions!$AH$151,Assumptions!$AK$151+(Assumptions!$AL$151-Assumptions!$AK$151)*(D554-Assumptions!$G$151)/(Assumptions!$AH$151-Assumptions!$G$151),IF(D554&lt;Assumptions!$P$151,Assumptions!$AL$151+(Assumptions!$AM$151-Assumptions!$AL$151)*(D554-Assumptions!$AH$151)/(Assumptions!$P$151-Assumptions!$AH$151),Assumptions!$AM$151)))</f>
        <v>28125</v>
      </c>
      <c r="N554" s="54">
        <f t="shared" si="16"/>
        <v>36.29032258064516</v>
      </c>
      <c r="O554" s="55">
        <f t="shared" si="17"/>
        <v>3063</v>
      </c>
      <c r="P554" s="29" t="str">
        <f>IF(D554&gt;=Assumptions!$P$151,"High",IF(D554&gt;=Assumptions!$AH$151,"Mid",IF(D554&lt;=Assumptions!$G$151,"Low","Loading")))</f>
        <v>Mid</v>
      </c>
      <c r="Q554" s="39">
        <f>MAX(K554,MIN(Assumptions!$S$151,O554),Q555)</f>
        <v>3063</v>
      </c>
      <c r="R554" s="30">
        <f>IF(AND(Q554&lt;=K554,INDEX(Assumptions!$C$26:$C$36,MATCH(G554,Assumptions!$A$26:$A$36,0))&lt;&gt;""),INDEX(Assumptions!$C$26:$C$36,MATCH(G554,Assumptions!$A$26:$A$36,0)),ROUND(G554*Q554,-2))</f>
        <v>2373800</v>
      </c>
      <c r="S554" s="56" t="str">
        <f>TRIM(IF(AND(Assumptions!$L$151&lt;&gt;"",D554&lt;Assumptions!$L$151),"View blocked / roof in front ("&amp;Assumptions!$M$151&amp;"); view premium still loading until L"&amp;Assumptions!$L$151&amp;". ","")&amp;IF(D554=Assumptions!$AH$151,"Mid-floor view premium fully loaded. ","")&amp;IF(D554=Assumptions!$P$151,"High-floor view premium fully loaded. ","")&amp;IF(Q554&lt;=K554,"At developer starting price.",""))</f>
        <v/>
      </c>
      <c r="T554" s="57" t="str">
        <f>Assumptions!$AJ$151</f>
        <v>NE. Inner pool &amp; landscape; Olive Lounge in front of low floors; unblocked towards Bishan above L22</v>
      </c>
    </row>
    <row r="555" spans="1:20" x14ac:dyDescent="0.2">
      <c r="A555" s="49" t="s">
        <v>700</v>
      </c>
      <c r="B555" s="29">
        <v>5</v>
      </c>
      <c r="C555" s="50">
        <v>25</v>
      </c>
      <c r="D555" s="50">
        <v>14</v>
      </c>
      <c r="E555" s="27" t="s">
        <v>44</v>
      </c>
      <c r="F555" s="29" t="s">
        <v>684</v>
      </c>
      <c r="G555" s="28">
        <v>775</v>
      </c>
      <c r="H555" s="29" t="s">
        <v>65</v>
      </c>
      <c r="I555" s="38" t="str">
        <f>Assumptions!$I$151</f>
        <v>B</v>
      </c>
      <c r="J555" s="29" t="str">
        <f>IF(D555&lt;=Assumptions!$V$151,"Low",IF(D555&lt;=Assumptions!$W$151,"Mid","High"))</f>
        <v>Mid</v>
      </c>
      <c r="K555" s="51">
        <f>Assumptions!$Q$151</f>
        <v>2650</v>
      </c>
      <c r="L555" s="52">
        <f>INDEX(Assumptions!$H$61:$H$90,D555)</f>
        <v>3003.77</v>
      </c>
      <c r="M555" s="53">
        <f>IF(D555&lt;=Assumptions!$G$151,Assumptions!$AK$151,IF(D555&lt;Assumptions!$AH$151,Assumptions!$AK$151+(Assumptions!$AL$151-Assumptions!$AK$151)*(D555-Assumptions!$G$151)/(Assumptions!$AH$151-Assumptions!$G$151),IF(D555&lt;Assumptions!$P$151,Assumptions!$AL$151+(Assumptions!$AM$151-Assumptions!$AL$151)*(D555-Assumptions!$AH$151)/(Assumptions!$P$151-Assumptions!$AH$151),Assumptions!$AM$151)))</f>
        <v>25000</v>
      </c>
      <c r="N555" s="54">
        <f t="shared" si="16"/>
        <v>32.258064516129032</v>
      </c>
      <c r="O555" s="55">
        <f t="shared" si="17"/>
        <v>3036</v>
      </c>
      <c r="P555" s="29" t="str">
        <f>IF(D555&gt;=Assumptions!$P$151,"High",IF(D555&gt;=Assumptions!$AH$151,"Mid",IF(D555&lt;=Assumptions!$G$151,"Low","Loading")))</f>
        <v>Mid</v>
      </c>
      <c r="Q555" s="39">
        <f>MAX(K555,MIN(Assumptions!$S$151,O555),Q556)</f>
        <v>3036</v>
      </c>
      <c r="R555" s="30">
        <f>IF(AND(Q555&lt;=K555,INDEX(Assumptions!$C$26:$C$36,MATCH(G555,Assumptions!$A$26:$A$36,0))&lt;&gt;""),INDEX(Assumptions!$C$26:$C$36,MATCH(G555,Assumptions!$A$26:$A$36,0)),ROUND(G555*Q555,-2))</f>
        <v>2352900</v>
      </c>
      <c r="S555" s="56" t="str">
        <f>TRIM(IF(AND(Assumptions!$L$151&lt;&gt;"",D555&lt;Assumptions!$L$151),"View blocked / roof in front ("&amp;Assumptions!$M$151&amp;"); view premium still loading until L"&amp;Assumptions!$L$151&amp;". ","")&amp;IF(D555=Assumptions!$AH$151,"Mid-floor view premium fully loaded. ","")&amp;IF(D555=Assumptions!$P$151,"High-floor view premium fully loaded. ","")&amp;IF(Q555&lt;=K555,"At developer starting price.",""))</f>
        <v/>
      </c>
      <c r="T555" s="57" t="str">
        <f>Assumptions!$AJ$151</f>
        <v>NE. Inner pool &amp; landscape; Olive Lounge in front of low floors; unblocked towards Bishan above L22</v>
      </c>
    </row>
    <row r="556" spans="1:20" x14ac:dyDescent="0.2">
      <c r="A556" s="49" t="s">
        <v>701</v>
      </c>
      <c r="B556" s="29">
        <v>5</v>
      </c>
      <c r="C556" s="50">
        <v>25</v>
      </c>
      <c r="D556" s="50">
        <v>13</v>
      </c>
      <c r="E556" s="27" t="s">
        <v>44</v>
      </c>
      <c r="F556" s="29" t="s">
        <v>684</v>
      </c>
      <c r="G556" s="28">
        <v>775</v>
      </c>
      <c r="H556" s="29" t="s">
        <v>65</v>
      </c>
      <c r="I556" s="38" t="str">
        <f>Assumptions!$I$151</f>
        <v>B</v>
      </c>
      <c r="J556" s="29" t="str">
        <f>IF(D556&lt;=Assumptions!$V$151,"Low",IF(D556&lt;=Assumptions!$W$151,"Mid","High"))</f>
        <v>Mid</v>
      </c>
      <c r="K556" s="51">
        <f>Assumptions!$Q$151</f>
        <v>2650</v>
      </c>
      <c r="L556" s="52">
        <f>INDEX(Assumptions!$H$61:$H$90,D556)</f>
        <v>2980.38</v>
      </c>
      <c r="M556" s="53">
        <f>IF(D556&lt;=Assumptions!$G$151,Assumptions!$AK$151,IF(D556&lt;Assumptions!$AH$151,Assumptions!$AK$151+(Assumptions!$AL$151-Assumptions!$AK$151)*(D556-Assumptions!$G$151)/(Assumptions!$AH$151-Assumptions!$G$151),IF(D556&lt;Assumptions!$P$151,Assumptions!$AL$151+(Assumptions!$AM$151-Assumptions!$AL$151)*(D556-Assumptions!$AH$151)/(Assumptions!$P$151-Assumptions!$AH$151),Assumptions!$AM$151)))</f>
        <v>21875</v>
      </c>
      <c r="N556" s="54">
        <f t="shared" si="16"/>
        <v>28.225806451612904</v>
      </c>
      <c r="O556" s="55">
        <f t="shared" si="17"/>
        <v>3009</v>
      </c>
      <c r="P556" s="29" t="str">
        <f>IF(D556&gt;=Assumptions!$P$151,"High",IF(D556&gt;=Assumptions!$AH$151,"Mid",IF(D556&lt;=Assumptions!$G$151,"Low","Loading")))</f>
        <v>Mid</v>
      </c>
      <c r="Q556" s="39">
        <f>MAX(K556,MIN(Assumptions!$S$151,O556),Q557)</f>
        <v>3009</v>
      </c>
      <c r="R556" s="30">
        <f>IF(AND(Q556&lt;=K556,INDEX(Assumptions!$C$26:$C$36,MATCH(G556,Assumptions!$A$26:$A$36,0))&lt;&gt;""),INDEX(Assumptions!$C$26:$C$36,MATCH(G556,Assumptions!$A$26:$A$36,0)),ROUND(G556*Q556,-2))</f>
        <v>2332000</v>
      </c>
      <c r="S556" s="56" t="str">
        <f>TRIM(IF(AND(Assumptions!$L$151&lt;&gt;"",D556&lt;Assumptions!$L$151),"View blocked / roof in front ("&amp;Assumptions!$M$151&amp;"); view premium still loading until L"&amp;Assumptions!$L$151&amp;". ","")&amp;IF(D556=Assumptions!$AH$151,"Mid-floor view premium fully loaded. ","")&amp;IF(D556=Assumptions!$P$151,"High-floor view premium fully loaded. ","")&amp;IF(Q556&lt;=K556,"At developer starting price.",""))</f>
        <v/>
      </c>
      <c r="T556" s="57" t="str">
        <f>Assumptions!$AJ$151</f>
        <v>NE. Inner pool &amp; landscape; Olive Lounge in front of low floors; unblocked towards Bishan above L22</v>
      </c>
    </row>
    <row r="557" spans="1:20" x14ac:dyDescent="0.2">
      <c r="A557" s="49" t="s">
        <v>702</v>
      </c>
      <c r="B557" s="29">
        <v>5</v>
      </c>
      <c r="C557" s="50">
        <v>25</v>
      </c>
      <c r="D557" s="50">
        <v>12</v>
      </c>
      <c r="E557" s="27" t="s">
        <v>44</v>
      </c>
      <c r="F557" s="29" t="s">
        <v>684</v>
      </c>
      <c r="G557" s="28">
        <v>775</v>
      </c>
      <c r="H557" s="29" t="s">
        <v>65</v>
      </c>
      <c r="I557" s="38" t="str">
        <f>Assumptions!$I$151</f>
        <v>B</v>
      </c>
      <c r="J557" s="29" t="str">
        <f>IF(D557&lt;=Assumptions!$V$151,"Low",IF(D557&lt;=Assumptions!$W$151,"Mid","High"))</f>
        <v>Mid</v>
      </c>
      <c r="K557" s="51">
        <f>Assumptions!$Q$151</f>
        <v>2650</v>
      </c>
      <c r="L557" s="52">
        <f>INDEX(Assumptions!$H$61:$H$90,D557)</f>
        <v>2956.99</v>
      </c>
      <c r="M557" s="53">
        <f>IF(D557&lt;=Assumptions!$G$151,Assumptions!$AK$151,IF(D557&lt;Assumptions!$AH$151,Assumptions!$AK$151+(Assumptions!$AL$151-Assumptions!$AK$151)*(D557-Assumptions!$G$151)/(Assumptions!$AH$151-Assumptions!$G$151),IF(D557&lt;Assumptions!$P$151,Assumptions!$AL$151+(Assumptions!$AM$151-Assumptions!$AL$151)*(D557-Assumptions!$AH$151)/(Assumptions!$P$151-Assumptions!$AH$151),Assumptions!$AM$151)))</f>
        <v>18750</v>
      </c>
      <c r="N557" s="54">
        <f t="shared" si="16"/>
        <v>24.193548387096776</v>
      </c>
      <c r="O557" s="55">
        <f t="shared" si="17"/>
        <v>2981</v>
      </c>
      <c r="P557" s="29" t="str">
        <f>IF(D557&gt;=Assumptions!$P$151,"High",IF(D557&gt;=Assumptions!$AH$151,"Mid",IF(D557&lt;=Assumptions!$G$151,"Low","Loading")))</f>
        <v>Mid</v>
      </c>
      <c r="Q557" s="39">
        <f>MAX(K557,MIN(Assumptions!$S$151,O557),Q558)</f>
        <v>2981</v>
      </c>
      <c r="R557" s="30">
        <f>IF(AND(Q557&lt;=K557,INDEX(Assumptions!$C$26:$C$36,MATCH(G557,Assumptions!$A$26:$A$36,0))&lt;&gt;""),INDEX(Assumptions!$C$26:$C$36,MATCH(G557,Assumptions!$A$26:$A$36,0)),ROUND(G557*Q557,-2))</f>
        <v>2310300</v>
      </c>
      <c r="S557" s="56" t="str">
        <f>TRIM(IF(AND(Assumptions!$L$151&lt;&gt;"",D557&lt;Assumptions!$L$151),"View blocked / roof in front ("&amp;Assumptions!$M$151&amp;"); view premium still loading until L"&amp;Assumptions!$L$151&amp;". ","")&amp;IF(D557=Assumptions!$AH$151,"Mid-floor view premium fully loaded. ","")&amp;IF(D557=Assumptions!$P$151,"High-floor view premium fully loaded. ","")&amp;IF(Q557&lt;=K557,"At developer starting price.",""))</f>
        <v/>
      </c>
      <c r="T557" s="57" t="str">
        <f>Assumptions!$AJ$151</f>
        <v>NE. Inner pool &amp; landscape; Olive Lounge in front of low floors; unblocked towards Bishan above L22</v>
      </c>
    </row>
    <row r="558" spans="1:20" x14ac:dyDescent="0.2">
      <c r="A558" s="49" t="s">
        <v>703</v>
      </c>
      <c r="B558" s="29">
        <v>5</v>
      </c>
      <c r="C558" s="50">
        <v>25</v>
      </c>
      <c r="D558" s="50">
        <v>11</v>
      </c>
      <c r="E558" s="27" t="s">
        <v>44</v>
      </c>
      <c r="F558" s="29" t="s">
        <v>684</v>
      </c>
      <c r="G558" s="28">
        <v>775</v>
      </c>
      <c r="H558" s="29" t="s">
        <v>65</v>
      </c>
      <c r="I558" s="38" t="str">
        <f>Assumptions!$I$151</f>
        <v>B</v>
      </c>
      <c r="J558" s="29" t="str">
        <f>IF(D558&lt;=Assumptions!$V$151,"Low",IF(D558&lt;=Assumptions!$W$151,"Mid","High"))</f>
        <v>Low</v>
      </c>
      <c r="K558" s="51">
        <f>Assumptions!$Q$151</f>
        <v>2650</v>
      </c>
      <c r="L558" s="52">
        <f>INDEX(Assumptions!$H$61:$H$90,D558)</f>
        <v>2933.6</v>
      </c>
      <c r="M558" s="53">
        <f>IF(D558&lt;=Assumptions!$G$151,Assumptions!$AK$151,IF(D558&lt;Assumptions!$AH$151,Assumptions!$AK$151+(Assumptions!$AL$151-Assumptions!$AK$151)*(D558-Assumptions!$G$151)/(Assumptions!$AH$151-Assumptions!$G$151),IF(D558&lt;Assumptions!$P$151,Assumptions!$AL$151+(Assumptions!$AM$151-Assumptions!$AL$151)*(D558-Assumptions!$AH$151)/(Assumptions!$P$151-Assumptions!$AH$151),Assumptions!$AM$151)))</f>
        <v>15625</v>
      </c>
      <c r="N558" s="54">
        <f t="shared" si="16"/>
        <v>20.161290322580644</v>
      </c>
      <c r="O558" s="55">
        <f t="shared" si="17"/>
        <v>2954</v>
      </c>
      <c r="P558" s="29" t="str">
        <f>IF(D558&gt;=Assumptions!$P$151,"High",IF(D558&gt;=Assumptions!$AH$151,"Mid",IF(D558&lt;=Assumptions!$G$151,"Low","Loading")))</f>
        <v>Mid</v>
      </c>
      <c r="Q558" s="39">
        <f>MAX(K558,MIN(Assumptions!$S$151,O558),Q559)</f>
        <v>2954</v>
      </c>
      <c r="R558" s="30">
        <f>IF(AND(Q558&lt;=K558,INDEX(Assumptions!$C$26:$C$36,MATCH(G558,Assumptions!$A$26:$A$36,0))&lt;&gt;""),INDEX(Assumptions!$C$26:$C$36,MATCH(G558,Assumptions!$A$26:$A$36,0)),ROUND(G558*Q558,-2))</f>
        <v>2289400</v>
      </c>
      <c r="S558" s="56" t="str">
        <f>TRIM(IF(AND(Assumptions!$L$151&lt;&gt;"",D558&lt;Assumptions!$L$151),"View blocked / roof in front ("&amp;Assumptions!$M$151&amp;"); view premium still loading until L"&amp;Assumptions!$L$151&amp;". ","")&amp;IF(D558=Assumptions!$AH$151,"Mid-floor view premium fully loaded. ","")&amp;IF(D558=Assumptions!$P$151,"High-floor view premium fully loaded. ","")&amp;IF(Q558&lt;=K558,"At developer starting price.",""))</f>
        <v/>
      </c>
      <c r="T558" s="57" t="str">
        <f>Assumptions!$AJ$151</f>
        <v>NE. Inner pool &amp; landscape; Olive Lounge in front of low floors; unblocked towards Bishan above L22</v>
      </c>
    </row>
    <row r="559" spans="1:20" x14ac:dyDescent="0.2">
      <c r="A559" s="49" t="s">
        <v>704</v>
      </c>
      <c r="B559" s="29">
        <v>5</v>
      </c>
      <c r="C559" s="50">
        <v>25</v>
      </c>
      <c r="D559" s="50">
        <v>10</v>
      </c>
      <c r="E559" s="27" t="s">
        <v>44</v>
      </c>
      <c r="F559" s="29" t="s">
        <v>684</v>
      </c>
      <c r="G559" s="28">
        <v>775</v>
      </c>
      <c r="H559" s="29" t="s">
        <v>65</v>
      </c>
      <c r="I559" s="38" t="str">
        <f>Assumptions!$I$151</f>
        <v>B</v>
      </c>
      <c r="J559" s="29" t="str">
        <f>IF(D559&lt;=Assumptions!$V$151,"Low",IF(D559&lt;=Assumptions!$W$151,"Mid","High"))</f>
        <v>Low</v>
      </c>
      <c r="K559" s="51">
        <f>Assumptions!$Q$151</f>
        <v>2650</v>
      </c>
      <c r="L559" s="52">
        <f>INDEX(Assumptions!$H$61:$H$90,D559)</f>
        <v>2910.21</v>
      </c>
      <c r="M559" s="53">
        <f>IF(D559&lt;=Assumptions!$G$151,Assumptions!$AK$151,IF(D559&lt;Assumptions!$AH$151,Assumptions!$AK$151+(Assumptions!$AL$151-Assumptions!$AK$151)*(D559-Assumptions!$G$151)/(Assumptions!$AH$151-Assumptions!$G$151),IF(D559&lt;Assumptions!$P$151,Assumptions!$AL$151+(Assumptions!$AM$151-Assumptions!$AL$151)*(D559-Assumptions!$AH$151)/(Assumptions!$P$151-Assumptions!$AH$151),Assumptions!$AM$151)))</f>
        <v>12500</v>
      </c>
      <c r="N559" s="54">
        <f t="shared" si="16"/>
        <v>16.129032258064516</v>
      </c>
      <c r="O559" s="55">
        <f t="shared" si="17"/>
        <v>2926</v>
      </c>
      <c r="P559" s="29" t="str">
        <f>IF(D559&gt;=Assumptions!$P$151,"High",IF(D559&gt;=Assumptions!$AH$151,"Mid",IF(D559&lt;=Assumptions!$G$151,"Low","Loading")))</f>
        <v>Mid</v>
      </c>
      <c r="Q559" s="39">
        <f>MAX(K559,MIN(Assumptions!$S$151,O559),Q560)</f>
        <v>2926</v>
      </c>
      <c r="R559" s="30">
        <f>IF(AND(Q559&lt;=K559,INDEX(Assumptions!$C$26:$C$36,MATCH(G559,Assumptions!$A$26:$A$36,0))&lt;&gt;""),INDEX(Assumptions!$C$26:$C$36,MATCH(G559,Assumptions!$A$26:$A$36,0)),ROUND(G559*Q559,-2))</f>
        <v>2267700</v>
      </c>
      <c r="S559" s="56" t="str">
        <f>TRIM(IF(AND(Assumptions!$L$151&lt;&gt;"",D559&lt;Assumptions!$L$151),"View blocked / roof in front ("&amp;Assumptions!$M$151&amp;"); view premium still loading until L"&amp;Assumptions!$L$151&amp;". ","")&amp;IF(D559=Assumptions!$AH$151,"Mid-floor view premium fully loaded. ","")&amp;IF(D559=Assumptions!$P$151,"High-floor view premium fully loaded. ","")&amp;IF(Q559&lt;=K559,"At developer starting price.",""))</f>
        <v/>
      </c>
      <c r="T559" s="57" t="str">
        <f>Assumptions!$AJ$151</f>
        <v>NE. Inner pool &amp; landscape; Olive Lounge in front of low floors; unblocked towards Bishan above L22</v>
      </c>
    </row>
    <row r="560" spans="1:20" x14ac:dyDescent="0.2">
      <c r="A560" s="49" t="s">
        <v>705</v>
      </c>
      <c r="B560" s="29">
        <v>5</v>
      </c>
      <c r="C560" s="50">
        <v>25</v>
      </c>
      <c r="D560" s="50">
        <v>9</v>
      </c>
      <c r="E560" s="27" t="s">
        <v>44</v>
      </c>
      <c r="F560" s="29" t="s">
        <v>684</v>
      </c>
      <c r="G560" s="28">
        <v>775</v>
      </c>
      <c r="H560" s="29" t="s">
        <v>65</v>
      </c>
      <c r="I560" s="38" t="str">
        <f>Assumptions!$I$151</f>
        <v>B</v>
      </c>
      <c r="J560" s="29" t="str">
        <f>IF(D560&lt;=Assumptions!$V$151,"Low",IF(D560&lt;=Assumptions!$W$151,"Mid","High"))</f>
        <v>Low</v>
      </c>
      <c r="K560" s="51">
        <f>Assumptions!$Q$151</f>
        <v>2650</v>
      </c>
      <c r="L560" s="52">
        <f>INDEX(Assumptions!$H$61:$H$90,D560)</f>
        <v>2887.07</v>
      </c>
      <c r="M560" s="53">
        <f>IF(D560&lt;=Assumptions!$G$151,Assumptions!$AK$151,IF(D560&lt;Assumptions!$AH$151,Assumptions!$AK$151+(Assumptions!$AL$151-Assumptions!$AK$151)*(D560-Assumptions!$G$151)/(Assumptions!$AH$151-Assumptions!$G$151),IF(D560&lt;Assumptions!$P$151,Assumptions!$AL$151+(Assumptions!$AM$151-Assumptions!$AL$151)*(D560-Assumptions!$AH$151)/(Assumptions!$P$151-Assumptions!$AH$151),Assumptions!$AM$151)))</f>
        <v>9375</v>
      </c>
      <c r="N560" s="54">
        <f t="shared" si="16"/>
        <v>12.096774193548388</v>
      </c>
      <c r="O560" s="55">
        <f t="shared" si="17"/>
        <v>2899</v>
      </c>
      <c r="P560" s="29" t="str">
        <f>IF(D560&gt;=Assumptions!$P$151,"High",IF(D560&gt;=Assumptions!$AH$151,"Mid",IF(D560&lt;=Assumptions!$G$151,"Low","Loading")))</f>
        <v>Mid</v>
      </c>
      <c r="Q560" s="39">
        <f>MAX(K560,MIN(Assumptions!$S$151,O560),Q561)</f>
        <v>2899</v>
      </c>
      <c r="R560" s="30">
        <f>IF(AND(Q560&lt;=K560,INDEX(Assumptions!$C$26:$C$36,MATCH(G560,Assumptions!$A$26:$A$36,0))&lt;&gt;""),INDEX(Assumptions!$C$26:$C$36,MATCH(G560,Assumptions!$A$26:$A$36,0)),ROUND(G560*Q560,-2))</f>
        <v>2246700</v>
      </c>
      <c r="S560" s="56" t="str">
        <f>TRIM(IF(AND(Assumptions!$L$151&lt;&gt;"",D560&lt;Assumptions!$L$151),"View blocked / roof in front ("&amp;Assumptions!$M$151&amp;"); view premium still loading until L"&amp;Assumptions!$L$151&amp;". ","")&amp;IF(D560=Assumptions!$AH$151,"Mid-floor view premium fully loaded. ","")&amp;IF(D560=Assumptions!$P$151,"High-floor view premium fully loaded. ","")&amp;IF(Q560&lt;=K560,"At developer starting price.",""))</f>
        <v/>
      </c>
      <c r="T560" s="57" t="str">
        <f>Assumptions!$AJ$151</f>
        <v>NE. Inner pool &amp; landscape; Olive Lounge in front of low floors; unblocked towards Bishan above L22</v>
      </c>
    </row>
    <row r="561" spans="1:20" x14ac:dyDescent="0.2">
      <c r="A561" s="49" t="s">
        <v>706</v>
      </c>
      <c r="B561" s="29">
        <v>5</v>
      </c>
      <c r="C561" s="50">
        <v>25</v>
      </c>
      <c r="D561" s="50">
        <v>8</v>
      </c>
      <c r="E561" s="27" t="s">
        <v>44</v>
      </c>
      <c r="F561" s="29" t="s">
        <v>684</v>
      </c>
      <c r="G561" s="28">
        <v>775</v>
      </c>
      <c r="H561" s="29" t="s">
        <v>65</v>
      </c>
      <c r="I561" s="38" t="str">
        <f>Assumptions!$I$151</f>
        <v>B</v>
      </c>
      <c r="J561" s="29" t="str">
        <f>IF(D561&lt;=Assumptions!$V$151,"Low",IF(D561&lt;=Assumptions!$W$151,"Mid","High"))</f>
        <v>Low</v>
      </c>
      <c r="K561" s="51">
        <f>Assumptions!$Q$151</f>
        <v>2650</v>
      </c>
      <c r="L561" s="52">
        <f>INDEX(Assumptions!$H$61:$H$90,D561)</f>
        <v>2870.88</v>
      </c>
      <c r="M561" s="53">
        <f>IF(D561&lt;=Assumptions!$G$151,Assumptions!$AK$151,IF(D561&lt;Assumptions!$AH$151,Assumptions!$AK$151+(Assumptions!$AL$151-Assumptions!$AK$151)*(D561-Assumptions!$G$151)/(Assumptions!$AH$151-Assumptions!$G$151),IF(D561&lt;Assumptions!$P$151,Assumptions!$AL$151+(Assumptions!$AM$151-Assumptions!$AL$151)*(D561-Assumptions!$AH$151)/(Assumptions!$P$151-Assumptions!$AH$151),Assumptions!$AM$151)))</f>
        <v>6250</v>
      </c>
      <c r="N561" s="54">
        <f t="shared" si="16"/>
        <v>8.064516129032258</v>
      </c>
      <c r="O561" s="55">
        <f t="shared" si="17"/>
        <v>2879</v>
      </c>
      <c r="P561" s="29" t="str">
        <f>IF(D561&gt;=Assumptions!$P$151,"High",IF(D561&gt;=Assumptions!$AH$151,"Mid",IF(D561&lt;=Assumptions!$G$151,"Low","Loading")))</f>
        <v>Mid</v>
      </c>
      <c r="Q561" s="39">
        <f>MAX(K561,MIN(Assumptions!$S$151,O561),Q562)</f>
        <v>2879</v>
      </c>
      <c r="R561" s="30">
        <f>IF(AND(Q561&lt;=K561,INDEX(Assumptions!$C$26:$C$36,MATCH(G561,Assumptions!$A$26:$A$36,0))&lt;&gt;""),INDEX(Assumptions!$C$26:$C$36,MATCH(G561,Assumptions!$A$26:$A$36,0)),ROUND(G561*Q561,-2))</f>
        <v>2231200</v>
      </c>
      <c r="S561" s="56" t="str">
        <f>TRIM(IF(AND(Assumptions!$L$151&lt;&gt;"",D561&lt;Assumptions!$L$151),"View blocked / roof in front ("&amp;Assumptions!$M$151&amp;"); view premium still loading until L"&amp;Assumptions!$L$151&amp;". ","")&amp;IF(D561=Assumptions!$AH$151,"Mid-floor view premium fully loaded. ","")&amp;IF(D561=Assumptions!$P$151,"High-floor view premium fully loaded. ","")&amp;IF(Q561&lt;=K561,"At developer starting price.",""))</f>
        <v/>
      </c>
      <c r="T561" s="57" t="str">
        <f>Assumptions!$AJ$151</f>
        <v>NE. Inner pool &amp; landscape; Olive Lounge in front of low floors; unblocked towards Bishan above L22</v>
      </c>
    </row>
    <row r="562" spans="1:20" x14ac:dyDescent="0.2">
      <c r="A562" s="49" t="s">
        <v>707</v>
      </c>
      <c r="B562" s="29">
        <v>5</v>
      </c>
      <c r="C562" s="50">
        <v>25</v>
      </c>
      <c r="D562" s="50">
        <v>7</v>
      </c>
      <c r="E562" s="27" t="s">
        <v>44</v>
      </c>
      <c r="F562" s="29" t="s">
        <v>684</v>
      </c>
      <c r="G562" s="28">
        <v>775</v>
      </c>
      <c r="H562" s="29" t="s">
        <v>65</v>
      </c>
      <c r="I562" s="38" t="str">
        <f>Assumptions!$I$151</f>
        <v>B</v>
      </c>
      <c r="J562" s="29" t="str">
        <f>IF(D562&lt;=Assumptions!$V$151,"Low",IF(D562&lt;=Assumptions!$W$151,"Mid","High"))</f>
        <v>Low</v>
      </c>
      <c r="K562" s="51">
        <f>Assumptions!$Q$151</f>
        <v>2650</v>
      </c>
      <c r="L562" s="52">
        <f>INDEX(Assumptions!$H$61:$H$90,D562)</f>
        <v>2854.69</v>
      </c>
      <c r="M562" s="53">
        <f>IF(D562&lt;=Assumptions!$G$151,Assumptions!$AK$151,IF(D562&lt;Assumptions!$AH$151,Assumptions!$AK$151+(Assumptions!$AL$151-Assumptions!$AK$151)*(D562-Assumptions!$G$151)/(Assumptions!$AH$151-Assumptions!$G$151),IF(D562&lt;Assumptions!$P$151,Assumptions!$AL$151+(Assumptions!$AM$151-Assumptions!$AL$151)*(D562-Assumptions!$AH$151)/(Assumptions!$P$151-Assumptions!$AH$151),Assumptions!$AM$151)))</f>
        <v>3125</v>
      </c>
      <c r="N562" s="54">
        <f t="shared" si="16"/>
        <v>4.032258064516129</v>
      </c>
      <c r="O562" s="55">
        <f t="shared" si="17"/>
        <v>2859</v>
      </c>
      <c r="P562" s="29" t="str">
        <f>IF(D562&gt;=Assumptions!$P$151,"High",IF(D562&gt;=Assumptions!$AH$151,"Mid",IF(D562&lt;=Assumptions!$G$151,"Low","Loading")))</f>
        <v>Mid</v>
      </c>
      <c r="Q562" s="39">
        <f>MAX(K562,MIN(Assumptions!$S$151,O562),Q563)</f>
        <v>2859</v>
      </c>
      <c r="R562" s="30">
        <f>IF(AND(Q562&lt;=K562,INDEX(Assumptions!$C$26:$C$36,MATCH(G562,Assumptions!$A$26:$A$36,0))&lt;&gt;""),INDEX(Assumptions!$C$26:$C$36,MATCH(G562,Assumptions!$A$26:$A$36,0)),ROUND(G562*Q562,-2))</f>
        <v>2215700</v>
      </c>
      <c r="S562" s="56" t="str">
        <f>TRIM(IF(AND(Assumptions!$L$151&lt;&gt;"",D562&lt;Assumptions!$L$151),"View blocked / roof in front ("&amp;Assumptions!$M$151&amp;"); view premium still loading until L"&amp;Assumptions!$L$151&amp;". ","")&amp;IF(D562=Assumptions!$AH$151,"Mid-floor view premium fully loaded. ","")&amp;IF(D562=Assumptions!$P$151,"High-floor view premium fully loaded. ","")&amp;IF(Q562&lt;=K562,"At developer starting price.",""))</f>
        <v/>
      </c>
      <c r="T562" s="57" t="str">
        <f>Assumptions!$AJ$151</f>
        <v>NE. Inner pool &amp; landscape; Olive Lounge in front of low floors; unblocked towards Bishan above L22</v>
      </c>
    </row>
    <row r="563" spans="1:20" x14ac:dyDescent="0.2">
      <c r="A563" s="49" t="s">
        <v>708</v>
      </c>
      <c r="B563" s="29">
        <v>5</v>
      </c>
      <c r="C563" s="50">
        <v>25</v>
      </c>
      <c r="D563" s="50">
        <v>6</v>
      </c>
      <c r="E563" s="27" t="s">
        <v>44</v>
      </c>
      <c r="F563" s="29" t="s">
        <v>684</v>
      </c>
      <c r="G563" s="28">
        <v>775</v>
      </c>
      <c r="H563" s="29" t="s">
        <v>65</v>
      </c>
      <c r="I563" s="38" t="str">
        <f>Assumptions!$I$151</f>
        <v>B</v>
      </c>
      <c r="J563" s="29" t="str">
        <f>IF(D563&lt;=Assumptions!$V$151,"Low",IF(D563&lt;=Assumptions!$W$151,"Mid","High"))</f>
        <v>Low</v>
      </c>
      <c r="K563" s="51">
        <f>Assumptions!$Q$151</f>
        <v>2650</v>
      </c>
      <c r="L563" s="52">
        <f>INDEX(Assumptions!$H$61:$H$90,D563)</f>
        <v>2838.5</v>
      </c>
      <c r="M563" s="53">
        <f>IF(D563&lt;=Assumptions!$G$151,Assumptions!$AK$151,IF(D563&lt;Assumptions!$AH$151,Assumptions!$AK$151+(Assumptions!$AL$151-Assumptions!$AK$151)*(D563-Assumptions!$G$151)/(Assumptions!$AH$151-Assumptions!$G$151),IF(D563&lt;Assumptions!$P$151,Assumptions!$AL$151+(Assumptions!$AM$151-Assumptions!$AL$151)*(D563-Assumptions!$AH$151)/(Assumptions!$P$151-Assumptions!$AH$151),Assumptions!$AM$151)))</f>
        <v>0</v>
      </c>
      <c r="N563" s="54">
        <f t="shared" si="16"/>
        <v>0</v>
      </c>
      <c r="O563" s="55">
        <f t="shared" si="17"/>
        <v>2839</v>
      </c>
      <c r="P563" s="29" t="str">
        <f>IF(D563&gt;=Assumptions!$P$151,"High",IF(D563&gt;=Assumptions!$AH$151,"Mid",IF(D563&lt;=Assumptions!$G$151,"Low","Loading")))</f>
        <v>Mid</v>
      </c>
      <c r="Q563" s="39">
        <f>MAX(K563,MIN(Assumptions!$S$151,O563),Q564)</f>
        <v>2839</v>
      </c>
      <c r="R563" s="30">
        <f>IF(AND(Q563&lt;=K563,INDEX(Assumptions!$C$26:$C$36,MATCH(G563,Assumptions!$A$26:$A$36,0))&lt;&gt;""),INDEX(Assumptions!$C$26:$C$36,MATCH(G563,Assumptions!$A$26:$A$36,0)),ROUND(G563*Q563,-2))</f>
        <v>2200200</v>
      </c>
      <c r="S563" s="56" t="str">
        <f>TRIM(IF(AND(Assumptions!$L$151&lt;&gt;"",D563&lt;Assumptions!$L$151),"View blocked / roof in front ("&amp;Assumptions!$M$151&amp;"); view premium still loading until L"&amp;Assumptions!$L$151&amp;". ","")&amp;IF(D563=Assumptions!$AH$151,"Mid-floor view premium fully loaded. ","")&amp;IF(D563=Assumptions!$P$151,"High-floor view premium fully loaded. ","")&amp;IF(Q563&lt;=K563,"At developer starting price.",""))</f>
        <v>Mid-floor view premium fully loaded.</v>
      </c>
      <c r="T563" s="57" t="str">
        <f>Assumptions!$AJ$151</f>
        <v>NE. Inner pool &amp; landscape; Olive Lounge in front of low floors; unblocked towards Bishan above L22</v>
      </c>
    </row>
    <row r="564" spans="1:20" x14ac:dyDescent="0.2">
      <c r="A564" s="49" t="s">
        <v>709</v>
      </c>
      <c r="B564" s="29">
        <v>5</v>
      </c>
      <c r="C564" s="50">
        <v>25</v>
      </c>
      <c r="D564" s="50">
        <v>5</v>
      </c>
      <c r="E564" s="27" t="s">
        <v>44</v>
      </c>
      <c r="F564" s="29" t="s">
        <v>684</v>
      </c>
      <c r="G564" s="28">
        <v>775</v>
      </c>
      <c r="H564" s="29" t="s">
        <v>65</v>
      </c>
      <c r="I564" s="38" t="str">
        <f>Assumptions!$I$151</f>
        <v>B</v>
      </c>
      <c r="J564" s="29" t="str">
        <f>IF(D564&lt;=Assumptions!$V$151,"Low",IF(D564&lt;=Assumptions!$W$151,"Mid","High"))</f>
        <v>Low</v>
      </c>
      <c r="K564" s="51">
        <f>Assumptions!$Q$151</f>
        <v>2650</v>
      </c>
      <c r="L564" s="52">
        <f>INDEX(Assumptions!$H$61:$H$90,D564)</f>
        <v>2822.31</v>
      </c>
      <c r="M564" s="53">
        <f>IF(D564&lt;=Assumptions!$G$151,Assumptions!$AK$151,IF(D564&lt;Assumptions!$AH$151,Assumptions!$AK$151+(Assumptions!$AL$151-Assumptions!$AK$151)*(D564-Assumptions!$G$151)/(Assumptions!$AH$151-Assumptions!$G$151),IF(D564&lt;Assumptions!$P$151,Assumptions!$AL$151+(Assumptions!$AM$151-Assumptions!$AL$151)*(D564-Assumptions!$AH$151)/(Assumptions!$P$151-Assumptions!$AH$151),Assumptions!$AM$151)))</f>
        <v>-10000</v>
      </c>
      <c r="N564" s="54">
        <f t="shared" si="16"/>
        <v>-12.903225806451612</v>
      </c>
      <c r="O564" s="55">
        <f t="shared" si="17"/>
        <v>2809</v>
      </c>
      <c r="P564" s="29" t="str">
        <f>IF(D564&gt;=Assumptions!$P$151,"High",IF(D564&gt;=Assumptions!$AH$151,"Mid",IF(D564&lt;=Assumptions!$G$151,"Low","Loading")))</f>
        <v>Loading</v>
      </c>
      <c r="Q564" s="39">
        <f>MAX(K564,MIN(Assumptions!$S$151,O564),Q565)</f>
        <v>2809</v>
      </c>
      <c r="R564" s="30">
        <f>IF(AND(Q564&lt;=K564,INDEX(Assumptions!$C$26:$C$36,MATCH(G564,Assumptions!$A$26:$A$36,0))&lt;&gt;""),INDEX(Assumptions!$C$26:$C$36,MATCH(G564,Assumptions!$A$26:$A$36,0)),ROUND(G564*Q564,-2))</f>
        <v>2177000</v>
      </c>
      <c r="S564" s="56" t="str">
        <f>TRIM(IF(AND(Assumptions!$L$151&lt;&gt;"",D564&lt;Assumptions!$L$151),"View blocked / roof in front ("&amp;Assumptions!$M$151&amp;"); view premium still loading until L"&amp;Assumptions!$L$151&amp;". ","")&amp;IF(D564=Assumptions!$AH$151,"Mid-floor view premium fully loaded. ","")&amp;IF(D564=Assumptions!$P$151,"High-floor view premium fully loaded. ","")&amp;IF(Q564&lt;=K564,"At developer starting price.",""))</f>
        <v>View blocked / roof in front (Olive Lounge / function rooms (Canopy Lap Pool): 89% of view, 35.7 to 42.8m away); view premium still loading until L6.</v>
      </c>
      <c r="T564" s="57" t="str">
        <f>Assumptions!$AJ$151</f>
        <v>NE. Inner pool &amp; landscape; Olive Lounge in front of low floors; unblocked towards Bishan above L22</v>
      </c>
    </row>
    <row r="565" spans="1:20" x14ac:dyDescent="0.2">
      <c r="A565" s="49" t="s">
        <v>710</v>
      </c>
      <c r="B565" s="29">
        <v>5</v>
      </c>
      <c r="C565" s="50">
        <v>25</v>
      </c>
      <c r="D565" s="50">
        <v>4</v>
      </c>
      <c r="E565" s="27" t="s">
        <v>44</v>
      </c>
      <c r="F565" s="29" t="s">
        <v>684</v>
      </c>
      <c r="G565" s="28">
        <v>775</v>
      </c>
      <c r="H565" s="29" t="s">
        <v>65</v>
      </c>
      <c r="I565" s="38" t="str">
        <f>Assumptions!$I$151</f>
        <v>B</v>
      </c>
      <c r="J565" s="29" t="str">
        <f>IF(D565&lt;=Assumptions!$V$151,"Low",IF(D565&lt;=Assumptions!$W$151,"Mid","High"))</f>
        <v>Low</v>
      </c>
      <c r="K565" s="51">
        <f>Assumptions!$Q$151</f>
        <v>2650</v>
      </c>
      <c r="L565" s="52">
        <f>INDEX(Assumptions!$H$61:$H$90,D565)</f>
        <v>2806.12</v>
      </c>
      <c r="M565" s="53">
        <f>IF(D565&lt;=Assumptions!$G$151,Assumptions!$AK$151,IF(D565&lt;Assumptions!$AH$151,Assumptions!$AK$151+(Assumptions!$AL$151-Assumptions!$AK$151)*(D565-Assumptions!$G$151)/(Assumptions!$AH$151-Assumptions!$G$151),IF(D565&lt;Assumptions!$P$151,Assumptions!$AL$151+(Assumptions!$AM$151-Assumptions!$AL$151)*(D565-Assumptions!$AH$151)/(Assumptions!$P$151-Assumptions!$AH$151),Assumptions!$AM$151)))</f>
        <v>-20000</v>
      </c>
      <c r="N565" s="54">
        <f t="shared" si="16"/>
        <v>-25.806451612903224</v>
      </c>
      <c r="O565" s="55">
        <f t="shared" si="17"/>
        <v>2780</v>
      </c>
      <c r="P565" s="29" t="str">
        <f>IF(D565&gt;=Assumptions!$P$151,"High",IF(D565&gt;=Assumptions!$AH$151,"Mid",IF(D565&lt;=Assumptions!$G$151,"Low","Loading")))</f>
        <v>Loading</v>
      </c>
      <c r="Q565" s="39">
        <f>MAX(K565,MIN(Assumptions!$S$151,O565),Q566)</f>
        <v>2780</v>
      </c>
      <c r="R565" s="30">
        <f>IF(AND(Q565&lt;=K565,INDEX(Assumptions!$C$26:$C$36,MATCH(G565,Assumptions!$A$26:$A$36,0))&lt;&gt;""),INDEX(Assumptions!$C$26:$C$36,MATCH(G565,Assumptions!$A$26:$A$36,0)),ROUND(G565*Q565,-2))</f>
        <v>2154500</v>
      </c>
      <c r="S565" s="56" t="str">
        <f>TRIM(IF(AND(Assumptions!$L$151&lt;&gt;"",D565&lt;Assumptions!$L$151),"View blocked / roof in front ("&amp;Assumptions!$M$151&amp;"); view premium still loading until L"&amp;Assumptions!$L$151&amp;". ","")&amp;IF(D565=Assumptions!$AH$151,"Mid-floor view premium fully loaded. ","")&amp;IF(D565=Assumptions!$P$151,"High-floor view premium fully loaded. ","")&amp;IF(Q565&lt;=K565,"At developer starting price.",""))</f>
        <v>View blocked / roof in front (Olive Lounge / function rooms (Canopy Lap Pool): 89% of view, 35.7 to 42.8m away); view premium still loading until L6.</v>
      </c>
      <c r="T565" s="57" t="str">
        <f>Assumptions!$AJ$151</f>
        <v>NE. Inner pool &amp; landscape; Olive Lounge in front of low floors; unblocked towards Bishan above L22</v>
      </c>
    </row>
    <row r="566" spans="1:20" x14ac:dyDescent="0.2">
      <c r="A566" s="49" t="s">
        <v>711</v>
      </c>
      <c r="B566" s="29">
        <v>5</v>
      </c>
      <c r="C566" s="50">
        <v>25</v>
      </c>
      <c r="D566" s="50">
        <v>3</v>
      </c>
      <c r="E566" s="27" t="s">
        <v>44</v>
      </c>
      <c r="F566" s="29" t="s">
        <v>684</v>
      </c>
      <c r="G566" s="28">
        <v>775</v>
      </c>
      <c r="H566" s="29" t="s">
        <v>65</v>
      </c>
      <c r="I566" s="38" t="str">
        <f>Assumptions!$I$151</f>
        <v>B</v>
      </c>
      <c r="J566" s="29" t="str">
        <f>IF(D566&lt;=Assumptions!$V$151,"Low",IF(D566&lt;=Assumptions!$W$151,"Mid","High"))</f>
        <v>Low</v>
      </c>
      <c r="K566" s="51">
        <f>Assumptions!$Q$151</f>
        <v>2650</v>
      </c>
      <c r="L566" s="52">
        <f>INDEX(Assumptions!$H$61:$H$90,D566)</f>
        <v>2789.93</v>
      </c>
      <c r="M566" s="53">
        <f>IF(D566&lt;=Assumptions!$G$151,Assumptions!$AK$151,IF(D566&lt;Assumptions!$AH$151,Assumptions!$AK$151+(Assumptions!$AL$151-Assumptions!$AK$151)*(D566-Assumptions!$G$151)/(Assumptions!$AH$151-Assumptions!$G$151),IF(D566&lt;Assumptions!$P$151,Assumptions!$AL$151+(Assumptions!$AM$151-Assumptions!$AL$151)*(D566-Assumptions!$AH$151)/(Assumptions!$P$151-Assumptions!$AH$151),Assumptions!$AM$151)))</f>
        <v>-30000</v>
      </c>
      <c r="N566" s="54">
        <f t="shared" si="16"/>
        <v>-38.70967741935484</v>
      </c>
      <c r="O566" s="55">
        <f t="shared" si="17"/>
        <v>2751</v>
      </c>
      <c r="P566" s="29" t="str">
        <f>IF(D566&gt;=Assumptions!$P$151,"High",IF(D566&gt;=Assumptions!$AH$151,"Mid",IF(D566&lt;=Assumptions!$G$151,"Low","Loading")))</f>
        <v>Loading</v>
      </c>
      <c r="Q566" s="39">
        <f>MAX(K566,MIN(Assumptions!$S$151,O566),Q567)</f>
        <v>2751</v>
      </c>
      <c r="R566" s="30">
        <f>IF(AND(Q566&lt;=K566,INDEX(Assumptions!$C$26:$C$36,MATCH(G566,Assumptions!$A$26:$A$36,0))&lt;&gt;""),INDEX(Assumptions!$C$26:$C$36,MATCH(G566,Assumptions!$A$26:$A$36,0)),ROUND(G566*Q566,-2))</f>
        <v>2132000</v>
      </c>
      <c r="S566" s="56" t="str">
        <f>TRIM(IF(AND(Assumptions!$L$151&lt;&gt;"",D566&lt;Assumptions!$L$151),"View blocked / roof in front ("&amp;Assumptions!$M$151&amp;"); view premium still loading until L"&amp;Assumptions!$L$151&amp;". ","")&amp;IF(D566=Assumptions!$AH$151,"Mid-floor view premium fully loaded. ","")&amp;IF(D566=Assumptions!$P$151,"High-floor view premium fully loaded. ","")&amp;IF(Q566&lt;=K566,"At developer starting price.",""))</f>
        <v>View blocked / roof in front (Olive Lounge / function rooms (Canopy Lap Pool): 89% of view, 35.7 to 42.8m away); view premium still loading until L6.</v>
      </c>
      <c r="T566" s="57" t="str">
        <f>Assumptions!$AJ$151</f>
        <v>NE. Inner pool &amp; landscape; Olive Lounge in front of low floors; unblocked towards Bishan above L22</v>
      </c>
    </row>
    <row r="567" spans="1:20" x14ac:dyDescent="0.2">
      <c r="A567" s="49" t="s">
        <v>712</v>
      </c>
      <c r="B567" s="29">
        <v>5</v>
      </c>
      <c r="C567" s="50">
        <v>25</v>
      </c>
      <c r="D567" s="50">
        <v>2</v>
      </c>
      <c r="E567" s="27" t="s">
        <v>44</v>
      </c>
      <c r="F567" s="29" t="s">
        <v>684</v>
      </c>
      <c r="G567" s="28">
        <v>775</v>
      </c>
      <c r="H567" s="29" t="s">
        <v>65</v>
      </c>
      <c r="I567" s="38" t="str">
        <f>Assumptions!$I$151</f>
        <v>B</v>
      </c>
      <c r="J567" s="29" t="str">
        <f>IF(D567&lt;=Assumptions!$V$151,"Low",IF(D567&lt;=Assumptions!$W$151,"Mid","High"))</f>
        <v>Low</v>
      </c>
      <c r="K567" s="51">
        <f>Assumptions!$Q$151</f>
        <v>2650</v>
      </c>
      <c r="L567" s="52">
        <f>INDEX(Assumptions!$H$61:$H$90,D567)</f>
        <v>2773.74</v>
      </c>
      <c r="M567" s="53">
        <f>IF(D567&lt;=Assumptions!$G$151,Assumptions!$AK$151,IF(D567&lt;Assumptions!$AH$151,Assumptions!$AK$151+(Assumptions!$AL$151-Assumptions!$AK$151)*(D567-Assumptions!$G$151)/(Assumptions!$AH$151-Assumptions!$G$151),IF(D567&lt;Assumptions!$P$151,Assumptions!$AL$151+(Assumptions!$AM$151-Assumptions!$AL$151)*(D567-Assumptions!$AH$151)/(Assumptions!$P$151-Assumptions!$AH$151),Assumptions!$AM$151)))</f>
        <v>-40000</v>
      </c>
      <c r="N567" s="54">
        <f t="shared" si="16"/>
        <v>-51.612903225806448</v>
      </c>
      <c r="O567" s="55">
        <f t="shared" si="17"/>
        <v>2722</v>
      </c>
      <c r="P567" s="29" t="str">
        <f>IF(D567&gt;=Assumptions!$P$151,"High",IF(D567&gt;=Assumptions!$AH$151,"Mid",IF(D567&lt;=Assumptions!$G$151,"Low","Loading")))</f>
        <v>Loading</v>
      </c>
      <c r="Q567" s="39">
        <f>MAX(K567,MIN(Assumptions!$S$151,O567),Q568)</f>
        <v>2722</v>
      </c>
      <c r="R567" s="30">
        <f>IF(AND(Q567&lt;=K567,INDEX(Assumptions!$C$26:$C$36,MATCH(G567,Assumptions!$A$26:$A$36,0))&lt;&gt;""),INDEX(Assumptions!$C$26:$C$36,MATCH(G567,Assumptions!$A$26:$A$36,0)),ROUND(G567*Q567,-2))</f>
        <v>2109600</v>
      </c>
      <c r="S567" s="56" t="str">
        <f>TRIM(IF(AND(Assumptions!$L$151&lt;&gt;"",D567&lt;Assumptions!$L$151),"View blocked / roof in front ("&amp;Assumptions!$M$151&amp;"); view premium still loading until L"&amp;Assumptions!$L$151&amp;". ","")&amp;IF(D567=Assumptions!$AH$151,"Mid-floor view premium fully loaded. ","")&amp;IF(D567=Assumptions!$P$151,"High-floor view premium fully loaded. ","")&amp;IF(Q567&lt;=K567,"At developer starting price.",""))</f>
        <v>View blocked / roof in front (Olive Lounge / function rooms (Canopy Lap Pool): 89% of view, 35.7 to 42.8m away); view premium still loading until L6.</v>
      </c>
      <c r="T567" s="57" t="str">
        <f>Assumptions!$AJ$151</f>
        <v>NE. Inner pool &amp; landscape; Olive Lounge in front of low floors; unblocked towards Bishan above L22</v>
      </c>
    </row>
    <row r="568" spans="1:20" x14ac:dyDescent="0.2">
      <c r="A568" s="49" t="s">
        <v>713</v>
      </c>
      <c r="B568" s="29">
        <v>5</v>
      </c>
      <c r="C568" s="50">
        <v>25</v>
      </c>
      <c r="D568" s="50">
        <v>1</v>
      </c>
      <c r="E568" s="27" t="s">
        <v>44</v>
      </c>
      <c r="F568" s="29" t="s">
        <v>714</v>
      </c>
      <c r="G568" s="28">
        <v>775</v>
      </c>
      <c r="H568" s="29" t="s">
        <v>65</v>
      </c>
      <c r="I568" s="38" t="str">
        <f>Assumptions!$I$151</f>
        <v>B</v>
      </c>
      <c r="J568" s="29" t="str">
        <f>IF(D568&lt;=Assumptions!$V$151,"Low",IF(D568&lt;=Assumptions!$W$151,"Mid","High"))</f>
        <v>Low</v>
      </c>
      <c r="K568" s="51">
        <f>Assumptions!$Q$151</f>
        <v>2650</v>
      </c>
      <c r="L568" s="52">
        <f>INDEX(Assumptions!$H$61:$H$90,D568)</f>
        <v>2757.55</v>
      </c>
      <c r="M568" s="53">
        <f>IF(D568&lt;=Assumptions!$G$151,Assumptions!$AK$151,IF(D568&lt;Assumptions!$AH$151,Assumptions!$AK$151+(Assumptions!$AL$151-Assumptions!$AK$151)*(D568-Assumptions!$G$151)/(Assumptions!$AH$151-Assumptions!$G$151),IF(D568&lt;Assumptions!$P$151,Assumptions!$AL$151+(Assumptions!$AM$151-Assumptions!$AL$151)*(D568-Assumptions!$AH$151)/(Assumptions!$P$151-Assumptions!$AH$151),Assumptions!$AM$151)))</f>
        <v>-50000</v>
      </c>
      <c r="N568" s="54">
        <f t="shared" si="16"/>
        <v>-64.516129032258064</v>
      </c>
      <c r="O568" s="55">
        <f t="shared" si="17"/>
        <v>2693</v>
      </c>
      <c r="P568" s="29" t="str">
        <f>IF(D568&gt;=Assumptions!$P$151,"High",IF(D568&gt;=Assumptions!$AH$151,"Mid",IF(D568&lt;=Assumptions!$G$151,"Low","Loading")))</f>
        <v>Low</v>
      </c>
      <c r="Q568" s="39">
        <f>MAX(K568,MIN(Assumptions!$S$151,O568))</f>
        <v>2693</v>
      </c>
      <c r="R568" s="30">
        <f>IF(AND(Q568&lt;=K568,INDEX(Assumptions!$C$26:$C$36,MATCH(G568,Assumptions!$A$26:$A$36,0))&lt;&gt;""),INDEX(Assumptions!$C$26:$C$36,MATCH(G568,Assumptions!$A$26:$A$36,0)),ROUND(G568*Q568,-2))</f>
        <v>2087100</v>
      </c>
      <c r="S568" s="56" t="str">
        <f>TRIM(IF(AND(Assumptions!$L$151&lt;&gt;"",D568&lt;Assumptions!$L$151),"View blocked / roof in front ("&amp;Assumptions!$M$151&amp;"); view premium still loading until L"&amp;Assumptions!$L$151&amp;". ","")&amp;IF(D568=Assumptions!$AH$151,"Mid-floor view premium fully loaded. ","")&amp;IF(D568=Assumptions!$P$151,"High-floor view premium fully loaded. ","")&amp;IF(Q568&lt;=K568,"At developer starting price.",""))</f>
        <v>View blocked / roof in front (Olive Lounge / function rooms (Canopy Lap Pool): 89% of view, 35.7 to 42.8m away); view premium still loading until L6.</v>
      </c>
      <c r="T568" s="57" t="str">
        <f>Assumptions!$AJ$151</f>
        <v>NE. Inner pool &amp; landscape; Olive Lounge in front of low floors; unblocked towards Bishan above L22</v>
      </c>
    </row>
    <row r="569" spans="1:20" x14ac:dyDescent="0.2">
      <c r="A569" s="49" t="s">
        <v>715</v>
      </c>
      <c r="B569" s="29">
        <v>5</v>
      </c>
      <c r="C569" s="50">
        <v>26</v>
      </c>
      <c r="D569" s="50">
        <v>30</v>
      </c>
      <c r="E569" s="27" t="s">
        <v>43</v>
      </c>
      <c r="F569" s="29" t="s">
        <v>716</v>
      </c>
      <c r="G569" s="28">
        <v>678</v>
      </c>
      <c r="H569" s="29" t="s">
        <v>65</v>
      </c>
      <c r="I569" s="38" t="str">
        <f>Assumptions!$I$152</f>
        <v>E</v>
      </c>
      <c r="J569" s="29" t="str">
        <f>IF(D569&lt;=Assumptions!$V$152,"Low",IF(D569&lt;=Assumptions!$W$152,"Mid","High"))</f>
        <v>High</v>
      </c>
      <c r="K569" s="51">
        <f>Assumptions!$Q$152</f>
        <v>2613</v>
      </c>
      <c r="L569" s="52">
        <f>INDEX(Assumptions!$D$61:$D$90,D569)</f>
        <v>3334.23</v>
      </c>
      <c r="M569" s="53">
        <f>IF(D569&lt;=Assumptions!$G$152,Assumptions!$AK$152,IF(D569&lt;Assumptions!$AH$152,Assumptions!$AK$152+(Assumptions!$AL$152-Assumptions!$AK$152)*(D569-Assumptions!$G$152)/(Assumptions!$AH$152-Assumptions!$G$152),IF(D569&lt;Assumptions!$P$152,Assumptions!$AL$152+(Assumptions!$AM$152-Assumptions!$AL$152)*(D569-Assumptions!$AH$152)/(Assumptions!$P$152-Assumptions!$AH$152),Assumptions!$AM$152)))</f>
        <v>-50000</v>
      </c>
      <c r="N569" s="54">
        <f t="shared" si="16"/>
        <v>-73.746312684365776</v>
      </c>
      <c r="O569" s="55">
        <f t="shared" si="17"/>
        <v>3260</v>
      </c>
      <c r="P569" s="29" t="str">
        <f>IF(D569&gt;=Assumptions!$P$152,"High",IF(D569&gt;=Assumptions!$AH$152,"Mid",IF(D569&lt;=Assumptions!$G$152,"Low","Loading")))</f>
        <v>High</v>
      </c>
      <c r="Q569" s="39">
        <f>MAX(K569,MIN(Assumptions!$S$152,O569),Q570)</f>
        <v>3260</v>
      </c>
      <c r="R569" s="30">
        <f>IF(AND(Q569&lt;=K569,INDEX(Assumptions!$C$26:$C$36,MATCH(G569,Assumptions!$A$26:$A$36,0))&lt;&gt;""),INDEX(Assumptions!$C$26:$C$36,MATCH(G569,Assumptions!$A$26:$A$36,0)),ROUND(G569*Q569,-2))</f>
        <v>2210300</v>
      </c>
      <c r="S569" s="56" t="str">
        <f>TRIM(IF(AND(Assumptions!$L$152&lt;&gt;"",D569&lt;Assumptions!$L$152),"View blocked / roof in front ("&amp;Assumptions!$M$152&amp;"); view premium still loading until L"&amp;Assumptions!$L$152&amp;". ","")&amp;IF(D569=Assumptions!$AH$152,"Mid-floor view premium fully loaded. ","")&amp;IF(D569=Assumptions!$P$152,"High-floor view premium fully loaded. ","")&amp;IF(Q569&lt;=K569,"At developer starting price.",""))</f>
        <v/>
      </c>
      <c r="T569" s="57" t="str">
        <f>Assumptions!$AJ$152</f>
        <v>NE. Pool view towards Thomson Three &amp; Sin Ming HDB; Olive Lounge in front of low floors</v>
      </c>
    </row>
    <row r="570" spans="1:20" x14ac:dyDescent="0.2">
      <c r="A570" s="49" t="s">
        <v>717</v>
      </c>
      <c r="B570" s="29">
        <v>5</v>
      </c>
      <c r="C570" s="50">
        <v>26</v>
      </c>
      <c r="D570" s="50">
        <v>29</v>
      </c>
      <c r="E570" s="27" t="s">
        <v>43</v>
      </c>
      <c r="F570" s="29" t="s">
        <v>716</v>
      </c>
      <c r="G570" s="28">
        <v>678</v>
      </c>
      <c r="H570" s="29" t="s">
        <v>65</v>
      </c>
      <c r="I570" s="38" t="str">
        <f>Assumptions!$I$152</f>
        <v>E</v>
      </c>
      <c r="J570" s="29" t="str">
        <f>IF(D570&lt;=Assumptions!$V$152,"Low",IF(D570&lt;=Assumptions!$W$152,"Mid","High"))</f>
        <v>High</v>
      </c>
      <c r="K570" s="51">
        <f>Assumptions!$Q$152</f>
        <v>2613</v>
      </c>
      <c r="L570" s="52">
        <f>INDEX(Assumptions!$D$61:$D$90,D570)</f>
        <v>3321.4550000000004</v>
      </c>
      <c r="M570" s="53">
        <f>IF(D570&lt;=Assumptions!$G$152,Assumptions!$AK$152,IF(D570&lt;Assumptions!$AH$152,Assumptions!$AK$152+(Assumptions!$AL$152-Assumptions!$AK$152)*(D570-Assumptions!$G$152)/(Assumptions!$AH$152-Assumptions!$G$152),IF(D570&lt;Assumptions!$P$152,Assumptions!$AL$152+(Assumptions!$AM$152-Assumptions!$AL$152)*(D570-Assumptions!$AH$152)/(Assumptions!$P$152-Assumptions!$AH$152),Assumptions!$AM$152)))</f>
        <v>-50000</v>
      </c>
      <c r="N570" s="54">
        <f t="shared" si="16"/>
        <v>-73.746312684365776</v>
      </c>
      <c r="O570" s="55">
        <f t="shared" si="17"/>
        <v>3248</v>
      </c>
      <c r="P570" s="29" t="str">
        <f>IF(D570&gt;=Assumptions!$P$152,"High",IF(D570&gt;=Assumptions!$AH$152,"Mid",IF(D570&lt;=Assumptions!$G$152,"Low","Loading")))</f>
        <v>High</v>
      </c>
      <c r="Q570" s="39">
        <f>MAX(K570,MIN(Assumptions!$S$152,O570),Q571)</f>
        <v>3248</v>
      </c>
      <c r="R570" s="30">
        <f>IF(AND(Q570&lt;=K570,INDEX(Assumptions!$C$26:$C$36,MATCH(G570,Assumptions!$A$26:$A$36,0))&lt;&gt;""),INDEX(Assumptions!$C$26:$C$36,MATCH(G570,Assumptions!$A$26:$A$36,0)),ROUND(G570*Q570,-2))</f>
        <v>2202100</v>
      </c>
      <c r="S570" s="56" t="str">
        <f>TRIM(IF(AND(Assumptions!$L$152&lt;&gt;"",D570&lt;Assumptions!$L$152),"View blocked / roof in front ("&amp;Assumptions!$M$152&amp;"); view premium still loading until L"&amp;Assumptions!$L$152&amp;". ","")&amp;IF(D570=Assumptions!$AH$152,"Mid-floor view premium fully loaded. ","")&amp;IF(D570=Assumptions!$P$152,"High-floor view premium fully loaded. ","")&amp;IF(Q570&lt;=K570,"At developer starting price.",""))</f>
        <v/>
      </c>
      <c r="T570" s="57" t="str">
        <f>Assumptions!$AJ$152</f>
        <v>NE. Pool view towards Thomson Three &amp; Sin Ming HDB; Olive Lounge in front of low floors</v>
      </c>
    </row>
    <row r="571" spans="1:20" x14ac:dyDescent="0.2">
      <c r="A571" s="49" t="s">
        <v>718</v>
      </c>
      <c r="B571" s="29">
        <v>5</v>
      </c>
      <c r="C571" s="50">
        <v>26</v>
      </c>
      <c r="D571" s="50">
        <v>28</v>
      </c>
      <c r="E571" s="27" t="s">
        <v>43</v>
      </c>
      <c r="F571" s="29" t="s">
        <v>716</v>
      </c>
      <c r="G571" s="28">
        <v>678</v>
      </c>
      <c r="H571" s="29" t="s">
        <v>65</v>
      </c>
      <c r="I571" s="38" t="str">
        <f>Assumptions!$I$152</f>
        <v>E</v>
      </c>
      <c r="J571" s="29" t="str">
        <f>IF(D571&lt;=Assumptions!$V$152,"Low",IF(D571&lt;=Assumptions!$W$152,"Mid","High"))</f>
        <v>High</v>
      </c>
      <c r="K571" s="51">
        <f>Assumptions!$Q$152</f>
        <v>2613</v>
      </c>
      <c r="L571" s="52">
        <f>INDEX(Assumptions!$D$61:$D$90,D571)</f>
        <v>3308.6800000000003</v>
      </c>
      <c r="M571" s="53">
        <f>IF(D571&lt;=Assumptions!$G$152,Assumptions!$AK$152,IF(D571&lt;Assumptions!$AH$152,Assumptions!$AK$152+(Assumptions!$AL$152-Assumptions!$AK$152)*(D571-Assumptions!$G$152)/(Assumptions!$AH$152-Assumptions!$G$152),IF(D571&lt;Assumptions!$P$152,Assumptions!$AL$152+(Assumptions!$AM$152-Assumptions!$AL$152)*(D571-Assumptions!$AH$152)/(Assumptions!$P$152-Assumptions!$AH$152),Assumptions!$AM$152)))</f>
        <v>-50000</v>
      </c>
      <c r="N571" s="54">
        <f t="shared" si="16"/>
        <v>-73.746312684365776</v>
      </c>
      <c r="O571" s="55">
        <f t="shared" si="17"/>
        <v>3235</v>
      </c>
      <c r="P571" s="29" t="str">
        <f>IF(D571&gt;=Assumptions!$P$152,"High",IF(D571&gt;=Assumptions!$AH$152,"Mid",IF(D571&lt;=Assumptions!$G$152,"Low","Loading")))</f>
        <v>High</v>
      </c>
      <c r="Q571" s="39">
        <f>MAX(K571,MIN(Assumptions!$S$152,O571),Q572)</f>
        <v>3235</v>
      </c>
      <c r="R571" s="30">
        <f>IF(AND(Q571&lt;=K571,INDEX(Assumptions!$C$26:$C$36,MATCH(G571,Assumptions!$A$26:$A$36,0))&lt;&gt;""),INDEX(Assumptions!$C$26:$C$36,MATCH(G571,Assumptions!$A$26:$A$36,0)),ROUND(G571*Q571,-2))</f>
        <v>2193300</v>
      </c>
      <c r="S571" s="56" t="str">
        <f>TRIM(IF(AND(Assumptions!$L$152&lt;&gt;"",D571&lt;Assumptions!$L$152),"View blocked / roof in front ("&amp;Assumptions!$M$152&amp;"); view premium still loading until L"&amp;Assumptions!$L$152&amp;". ","")&amp;IF(D571=Assumptions!$AH$152,"Mid-floor view premium fully loaded. ","")&amp;IF(D571=Assumptions!$P$152,"High-floor view premium fully loaded. ","")&amp;IF(Q571&lt;=K571,"At developer starting price.",""))</f>
        <v/>
      </c>
      <c r="T571" s="57" t="str">
        <f>Assumptions!$AJ$152</f>
        <v>NE. Pool view towards Thomson Three &amp; Sin Ming HDB; Olive Lounge in front of low floors</v>
      </c>
    </row>
    <row r="572" spans="1:20" x14ac:dyDescent="0.2">
      <c r="A572" s="49" t="s">
        <v>719</v>
      </c>
      <c r="B572" s="29">
        <v>5</v>
      </c>
      <c r="C572" s="50">
        <v>26</v>
      </c>
      <c r="D572" s="50">
        <v>27</v>
      </c>
      <c r="E572" s="27" t="s">
        <v>43</v>
      </c>
      <c r="F572" s="29" t="s">
        <v>716</v>
      </c>
      <c r="G572" s="28">
        <v>678</v>
      </c>
      <c r="H572" s="29" t="s">
        <v>65</v>
      </c>
      <c r="I572" s="38" t="str">
        <f>Assumptions!$I$152</f>
        <v>E</v>
      </c>
      <c r="J572" s="29" t="str">
        <f>IF(D572&lt;=Assumptions!$V$152,"Low",IF(D572&lt;=Assumptions!$W$152,"Mid","High"))</f>
        <v>High</v>
      </c>
      <c r="K572" s="51">
        <f>Assumptions!$Q$152</f>
        <v>2613</v>
      </c>
      <c r="L572" s="52">
        <f>INDEX(Assumptions!$D$61:$D$90,D572)</f>
        <v>3295.9050000000002</v>
      </c>
      <c r="M572" s="53">
        <f>IF(D572&lt;=Assumptions!$G$152,Assumptions!$AK$152,IF(D572&lt;Assumptions!$AH$152,Assumptions!$AK$152+(Assumptions!$AL$152-Assumptions!$AK$152)*(D572-Assumptions!$G$152)/(Assumptions!$AH$152-Assumptions!$G$152),IF(D572&lt;Assumptions!$P$152,Assumptions!$AL$152+(Assumptions!$AM$152-Assumptions!$AL$152)*(D572-Assumptions!$AH$152)/(Assumptions!$P$152-Assumptions!$AH$152),Assumptions!$AM$152)))</f>
        <v>-50000</v>
      </c>
      <c r="N572" s="54">
        <f t="shared" si="16"/>
        <v>-73.746312684365776</v>
      </c>
      <c r="O572" s="55">
        <f t="shared" si="17"/>
        <v>3222</v>
      </c>
      <c r="P572" s="29" t="str">
        <f>IF(D572&gt;=Assumptions!$P$152,"High",IF(D572&gt;=Assumptions!$AH$152,"Mid",IF(D572&lt;=Assumptions!$G$152,"Low","Loading")))</f>
        <v>High</v>
      </c>
      <c r="Q572" s="39">
        <f>MAX(K572,MIN(Assumptions!$S$152,O572),Q573)</f>
        <v>3222</v>
      </c>
      <c r="R572" s="30">
        <f>IF(AND(Q572&lt;=K572,INDEX(Assumptions!$C$26:$C$36,MATCH(G572,Assumptions!$A$26:$A$36,0))&lt;&gt;""),INDEX(Assumptions!$C$26:$C$36,MATCH(G572,Assumptions!$A$26:$A$36,0)),ROUND(G572*Q572,-2))</f>
        <v>2184500</v>
      </c>
      <c r="S572" s="56" t="str">
        <f>TRIM(IF(AND(Assumptions!$L$152&lt;&gt;"",D572&lt;Assumptions!$L$152),"View blocked / roof in front ("&amp;Assumptions!$M$152&amp;"); view premium still loading until L"&amp;Assumptions!$L$152&amp;". ","")&amp;IF(D572=Assumptions!$AH$152,"Mid-floor view premium fully loaded. ","")&amp;IF(D572=Assumptions!$P$152,"High-floor view premium fully loaded. ","")&amp;IF(Q572&lt;=K572,"At developer starting price.",""))</f>
        <v/>
      </c>
      <c r="T572" s="57" t="str">
        <f>Assumptions!$AJ$152</f>
        <v>NE. Pool view towards Thomson Three &amp; Sin Ming HDB; Olive Lounge in front of low floors</v>
      </c>
    </row>
    <row r="573" spans="1:20" x14ac:dyDescent="0.2">
      <c r="A573" s="49" t="s">
        <v>720</v>
      </c>
      <c r="B573" s="29">
        <v>5</v>
      </c>
      <c r="C573" s="50">
        <v>26</v>
      </c>
      <c r="D573" s="50">
        <v>26</v>
      </c>
      <c r="E573" s="27" t="s">
        <v>43</v>
      </c>
      <c r="F573" s="29" t="s">
        <v>716</v>
      </c>
      <c r="G573" s="28">
        <v>678</v>
      </c>
      <c r="H573" s="29" t="s">
        <v>65</v>
      </c>
      <c r="I573" s="38" t="str">
        <f>Assumptions!$I$152</f>
        <v>E</v>
      </c>
      <c r="J573" s="29" t="str">
        <f>IF(D573&lt;=Assumptions!$V$152,"Low",IF(D573&lt;=Assumptions!$W$152,"Mid","High"))</f>
        <v>High</v>
      </c>
      <c r="K573" s="51">
        <f>Assumptions!$Q$152</f>
        <v>2613</v>
      </c>
      <c r="L573" s="52">
        <f>INDEX(Assumptions!$D$61:$D$90,D573)</f>
        <v>3283.13</v>
      </c>
      <c r="M573" s="53">
        <f>IF(D573&lt;=Assumptions!$G$152,Assumptions!$AK$152,IF(D573&lt;Assumptions!$AH$152,Assumptions!$AK$152+(Assumptions!$AL$152-Assumptions!$AK$152)*(D573-Assumptions!$G$152)/(Assumptions!$AH$152-Assumptions!$G$152),IF(D573&lt;Assumptions!$P$152,Assumptions!$AL$152+(Assumptions!$AM$152-Assumptions!$AL$152)*(D573-Assumptions!$AH$152)/(Assumptions!$P$152-Assumptions!$AH$152),Assumptions!$AM$152)))</f>
        <v>-50000</v>
      </c>
      <c r="N573" s="54">
        <f t="shared" si="16"/>
        <v>-73.746312684365776</v>
      </c>
      <c r="O573" s="55">
        <f t="shared" si="17"/>
        <v>3209</v>
      </c>
      <c r="P573" s="29" t="str">
        <f>IF(D573&gt;=Assumptions!$P$152,"High",IF(D573&gt;=Assumptions!$AH$152,"Mid",IF(D573&lt;=Assumptions!$G$152,"Low","Loading")))</f>
        <v>High</v>
      </c>
      <c r="Q573" s="39">
        <f>MAX(K573,MIN(Assumptions!$S$152,O573),Q574)</f>
        <v>3209</v>
      </c>
      <c r="R573" s="30">
        <f>IF(AND(Q573&lt;=K573,INDEX(Assumptions!$C$26:$C$36,MATCH(G573,Assumptions!$A$26:$A$36,0))&lt;&gt;""),INDEX(Assumptions!$C$26:$C$36,MATCH(G573,Assumptions!$A$26:$A$36,0)),ROUND(G573*Q573,-2))</f>
        <v>2175700</v>
      </c>
      <c r="S573" s="56" t="str">
        <f>TRIM(IF(AND(Assumptions!$L$152&lt;&gt;"",D573&lt;Assumptions!$L$152),"View blocked / roof in front ("&amp;Assumptions!$M$152&amp;"); view premium still loading until L"&amp;Assumptions!$L$152&amp;". ","")&amp;IF(D573=Assumptions!$AH$152,"Mid-floor view premium fully loaded. ","")&amp;IF(D573=Assumptions!$P$152,"High-floor view premium fully loaded. ","")&amp;IF(Q573&lt;=K573,"At developer starting price.",""))</f>
        <v/>
      </c>
      <c r="T573" s="57" t="str">
        <f>Assumptions!$AJ$152</f>
        <v>NE. Pool view towards Thomson Three &amp; Sin Ming HDB; Olive Lounge in front of low floors</v>
      </c>
    </row>
    <row r="574" spans="1:20" x14ac:dyDescent="0.2">
      <c r="A574" s="49" t="s">
        <v>721</v>
      </c>
      <c r="B574" s="29">
        <v>5</v>
      </c>
      <c r="C574" s="50">
        <v>26</v>
      </c>
      <c r="D574" s="50">
        <v>25</v>
      </c>
      <c r="E574" s="27" t="s">
        <v>43</v>
      </c>
      <c r="F574" s="29" t="s">
        <v>716</v>
      </c>
      <c r="G574" s="28">
        <v>678</v>
      </c>
      <c r="H574" s="29" t="s">
        <v>65</v>
      </c>
      <c r="I574" s="38" t="str">
        <f>Assumptions!$I$152</f>
        <v>E</v>
      </c>
      <c r="J574" s="29" t="str">
        <f>IF(D574&lt;=Assumptions!$V$152,"Low",IF(D574&lt;=Assumptions!$W$152,"Mid","High"))</f>
        <v>High</v>
      </c>
      <c r="K574" s="51">
        <f>Assumptions!$Q$152</f>
        <v>2613</v>
      </c>
      <c r="L574" s="52">
        <f>INDEX(Assumptions!$D$61:$D$90,D574)</f>
        <v>3270.355</v>
      </c>
      <c r="M574" s="53">
        <f>IF(D574&lt;=Assumptions!$G$152,Assumptions!$AK$152,IF(D574&lt;Assumptions!$AH$152,Assumptions!$AK$152+(Assumptions!$AL$152-Assumptions!$AK$152)*(D574-Assumptions!$G$152)/(Assumptions!$AH$152-Assumptions!$G$152),IF(D574&lt;Assumptions!$P$152,Assumptions!$AL$152+(Assumptions!$AM$152-Assumptions!$AL$152)*(D574-Assumptions!$AH$152)/(Assumptions!$P$152-Assumptions!$AH$152),Assumptions!$AM$152)))</f>
        <v>-50000</v>
      </c>
      <c r="N574" s="54">
        <f t="shared" si="16"/>
        <v>-73.746312684365776</v>
      </c>
      <c r="O574" s="55">
        <f t="shared" si="17"/>
        <v>3197</v>
      </c>
      <c r="P574" s="29" t="str">
        <f>IF(D574&gt;=Assumptions!$P$152,"High",IF(D574&gt;=Assumptions!$AH$152,"Mid",IF(D574&lt;=Assumptions!$G$152,"Low","Loading")))</f>
        <v>High</v>
      </c>
      <c r="Q574" s="39">
        <f>MAX(K574,MIN(Assumptions!$S$152,O574),Q575)</f>
        <v>3197</v>
      </c>
      <c r="R574" s="30">
        <f>IF(AND(Q574&lt;=K574,INDEX(Assumptions!$C$26:$C$36,MATCH(G574,Assumptions!$A$26:$A$36,0))&lt;&gt;""),INDEX(Assumptions!$C$26:$C$36,MATCH(G574,Assumptions!$A$26:$A$36,0)),ROUND(G574*Q574,-2))</f>
        <v>2167600</v>
      </c>
      <c r="S574" s="56" t="str">
        <f>TRIM(IF(AND(Assumptions!$L$152&lt;&gt;"",D574&lt;Assumptions!$L$152),"View blocked / roof in front ("&amp;Assumptions!$M$152&amp;"); view premium still loading until L"&amp;Assumptions!$L$152&amp;". ","")&amp;IF(D574=Assumptions!$AH$152,"Mid-floor view premium fully loaded. ","")&amp;IF(D574=Assumptions!$P$152,"High-floor view premium fully loaded. ","")&amp;IF(Q574&lt;=K574,"At developer starting price.",""))</f>
        <v/>
      </c>
      <c r="T574" s="57" t="str">
        <f>Assumptions!$AJ$152</f>
        <v>NE. Pool view towards Thomson Three &amp; Sin Ming HDB; Olive Lounge in front of low floors</v>
      </c>
    </row>
    <row r="575" spans="1:20" x14ac:dyDescent="0.2">
      <c r="A575" s="49" t="s">
        <v>722</v>
      </c>
      <c r="B575" s="29">
        <v>5</v>
      </c>
      <c r="C575" s="50">
        <v>26</v>
      </c>
      <c r="D575" s="50">
        <v>24</v>
      </c>
      <c r="E575" s="27" t="s">
        <v>43</v>
      </c>
      <c r="F575" s="29" t="s">
        <v>716</v>
      </c>
      <c r="G575" s="28">
        <v>678</v>
      </c>
      <c r="H575" s="29" t="s">
        <v>65</v>
      </c>
      <c r="I575" s="38" t="str">
        <f>Assumptions!$I$152</f>
        <v>E</v>
      </c>
      <c r="J575" s="29" t="str">
        <f>IF(D575&lt;=Assumptions!$V$152,"Low",IF(D575&lt;=Assumptions!$W$152,"Mid","High"))</f>
        <v>High</v>
      </c>
      <c r="K575" s="51">
        <f>Assumptions!$Q$152</f>
        <v>2613</v>
      </c>
      <c r="L575" s="52">
        <f>INDEX(Assumptions!$D$61:$D$90,D575)</f>
        <v>3257.58</v>
      </c>
      <c r="M575" s="53">
        <f>IF(D575&lt;=Assumptions!$G$152,Assumptions!$AK$152,IF(D575&lt;Assumptions!$AH$152,Assumptions!$AK$152+(Assumptions!$AL$152-Assumptions!$AK$152)*(D575-Assumptions!$G$152)/(Assumptions!$AH$152-Assumptions!$G$152),IF(D575&lt;Assumptions!$P$152,Assumptions!$AL$152+(Assumptions!$AM$152-Assumptions!$AL$152)*(D575-Assumptions!$AH$152)/(Assumptions!$P$152-Assumptions!$AH$152),Assumptions!$AM$152)))</f>
        <v>-50000</v>
      </c>
      <c r="N575" s="54">
        <f t="shared" si="16"/>
        <v>-73.746312684365776</v>
      </c>
      <c r="O575" s="55">
        <f t="shared" si="17"/>
        <v>3184</v>
      </c>
      <c r="P575" s="29" t="str">
        <f>IF(D575&gt;=Assumptions!$P$152,"High",IF(D575&gt;=Assumptions!$AH$152,"Mid",IF(D575&lt;=Assumptions!$G$152,"Low","Loading")))</f>
        <v>High</v>
      </c>
      <c r="Q575" s="39">
        <f>MAX(K575,MIN(Assumptions!$S$152,O575),Q576)</f>
        <v>3184</v>
      </c>
      <c r="R575" s="30">
        <f>IF(AND(Q575&lt;=K575,INDEX(Assumptions!$C$26:$C$36,MATCH(G575,Assumptions!$A$26:$A$36,0))&lt;&gt;""),INDEX(Assumptions!$C$26:$C$36,MATCH(G575,Assumptions!$A$26:$A$36,0)),ROUND(G575*Q575,-2))</f>
        <v>2158800</v>
      </c>
      <c r="S575" s="56" t="str">
        <f>TRIM(IF(AND(Assumptions!$L$152&lt;&gt;"",D575&lt;Assumptions!$L$152),"View blocked / roof in front ("&amp;Assumptions!$M$152&amp;"); view premium still loading until L"&amp;Assumptions!$L$152&amp;". ","")&amp;IF(D575=Assumptions!$AH$152,"Mid-floor view premium fully loaded. ","")&amp;IF(D575=Assumptions!$P$152,"High-floor view premium fully loaded. ","")&amp;IF(Q575&lt;=K575,"At developer starting price.",""))</f>
        <v/>
      </c>
      <c r="T575" s="57" t="str">
        <f>Assumptions!$AJ$152</f>
        <v>NE. Pool view towards Thomson Three &amp; Sin Ming HDB; Olive Lounge in front of low floors</v>
      </c>
    </row>
    <row r="576" spans="1:20" x14ac:dyDescent="0.2">
      <c r="A576" s="49" t="s">
        <v>723</v>
      </c>
      <c r="B576" s="29">
        <v>5</v>
      </c>
      <c r="C576" s="50">
        <v>26</v>
      </c>
      <c r="D576" s="50">
        <v>23</v>
      </c>
      <c r="E576" s="27" t="s">
        <v>43</v>
      </c>
      <c r="F576" s="29" t="s">
        <v>716</v>
      </c>
      <c r="G576" s="28">
        <v>678</v>
      </c>
      <c r="H576" s="29" t="s">
        <v>65</v>
      </c>
      <c r="I576" s="38" t="str">
        <f>Assumptions!$I$152</f>
        <v>E</v>
      </c>
      <c r="J576" s="29" t="str">
        <f>IF(D576&lt;=Assumptions!$V$152,"Low",IF(D576&lt;=Assumptions!$W$152,"Mid","High"))</f>
        <v>High</v>
      </c>
      <c r="K576" s="51">
        <f>Assumptions!$Q$152</f>
        <v>2613</v>
      </c>
      <c r="L576" s="52">
        <f>INDEX(Assumptions!$D$61:$D$90,D576)</f>
        <v>3244.8049999999998</v>
      </c>
      <c r="M576" s="53">
        <f>IF(D576&lt;=Assumptions!$G$152,Assumptions!$AK$152,IF(D576&lt;Assumptions!$AH$152,Assumptions!$AK$152+(Assumptions!$AL$152-Assumptions!$AK$152)*(D576-Assumptions!$G$152)/(Assumptions!$AH$152-Assumptions!$G$152),IF(D576&lt;Assumptions!$P$152,Assumptions!$AL$152+(Assumptions!$AM$152-Assumptions!$AL$152)*(D576-Assumptions!$AH$152)/(Assumptions!$P$152-Assumptions!$AH$152),Assumptions!$AM$152)))</f>
        <v>-50000</v>
      </c>
      <c r="N576" s="54">
        <f t="shared" si="16"/>
        <v>-73.746312684365776</v>
      </c>
      <c r="O576" s="55">
        <f t="shared" si="17"/>
        <v>3171</v>
      </c>
      <c r="P576" s="29" t="str">
        <f>IF(D576&gt;=Assumptions!$P$152,"High",IF(D576&gt;=Assumptions!$AH$152,"Mid",IF(D576&lt;=Assumptions!$G$152,"Low","Loading")))</f>
        <v>High</v>
      </c>
      <c r="Q576" s="39">
        <f>MAX(K576,MIN(Assumptions!$S$152,O576),Q577)</f>
        <v>3171</v>
      </c>
      <c r="R576" s="30">
        <f>IF(AND(Q576&lt;=K576,INDEX(Assumptions!$C$26:$C$36,MATCH(G576,Assumptions!$A$26:$A$36,0))&lt;&gt;""),INDEX(Assumptions!$C$26:$C$36,MATCH(G576,Assumptions!$A$26:$A$36,0)),ROUND(G576*Q576,-2))</f>
        <v>2149900</v>
      </c>
      <c r="S576" s="56" t="str">
        <f>TRIM(IF(AND(Assumptions!$L$152&lt;&gt;"",D576&lt;Assumptions!$L$152),"View blocked / roof in front ("&amp;Assumptions!$M$152&amp;"); view premium still loading until L"&amp;Assumptions!$L$152&amp;". ","")&amp;IF(D576=Assumptions!$AH$152,"Mid-floor view premium fully loaded. ","")&amp;IF(D576=Assumptions!$P$152,"High-floor view premium fully loaded. ","")&amp;IF(Q576&lt;=K576,"At developer starting price.",""))</f>
        <v/>
      </c>
      <c r="T576" s="57" t="str">
        <f>Assumptions!$AJ$152</f>
        <v>NE. Pool view towards Thomson Three &amp; Sin Ming HDB; Olive Lounge in front of low floors</v>
      </c>
    </row>
    <row r="577" spans="1:20" x14ac:dyDescent="0.2">
      <c r="A577" s="49" t="s">
        <v>724</v>
      </c>
      <c r="B577" s="29">
        <v>5</v>
      </c>
      <c r="C577" s="50">
        <v>26</v>
      </c>
      <c r="D577" s="50">
        <v>22</v>
      </c>
      <c r="E577" s="27" t="s">
        <v>43</v>
      </c>
      <c r="F577" s="29" t="s">
        <v>716</v>
      </c>
      <c r="G577" s="28">
        <v>678</v>
      </c>
      <c r="H577" s="29" t="s">
        <v>65</v>
      </c>
      <c r="I577" s="38" t="str">
        <f>Assumptions!$I$152</f>
        <v>E</v>
      </c>
      <c r="J577" s="29" t="str">
        <f>IF(D577&lt;=Assumptions!$V$152,"Low",IF(D577&lt;=Assumptions!$W$152,"Mid","High"))</f>
        <v>High</v>
      </c>
      <c r="K577" s="51">
        <f>Assumptions!$Q$152</f>
        <v>2613</v>
      </c>
      <c r="L577" s="52">
        <f>INDEX(Assumptions!$D$61:$D$90,D577)</f>
        <v>3232.03</v>
      </c>
      <c r="M577" s="53">
        <f>IF(D577&lt;=Assumptions!$G$152,Assumptions!$AK$152,IF(D577&lt;Assumptions!$AH$152,Assumptions!$AK$152+(Assumptions!$AL$152-Assumptions!$AK$152)*(D577-Assumptions!$G$152)/(Assumptions!$AH$152-Assumptions!$G$152),IF(D577&lt;Assumptions!$P$152,Assumptions!$AL$152+(Assumptions!$AM$152-Assumptions!$AL$152)*(D577-Assumptions!$AH$152)/(Assumptions!$P$152-Assumptions!$AH$152),Assumptions!$AM$152)))</f>
        <v>-50000</v>
      </c>
      <c r="N577" s="54">
        <f t="shared" si="16"/>
        <v>-73.746312684365776</v>
      </c>
      <c r="O577" s="55">
        <f t="shared" si="17"/>
        <v>3158</v>
      </c>
      <c r="P577" s="29" t="str">
        <f>IF(D577&gt;=Assumptions!$P$152,"High",IF(D577&gt;=Assumptions!$AH$152,"Mid",IF(D577&lt;=Assumptions!$G$152,"Low","Loading")))</f>
        <v>High</v>
      </c>
      <c r="Q577" s="39">
        <f>MAX(K577,MIN(Assumptions!$S$152,O577),Q578)</f>
        <v>3158</v>
      </c>
      <c r="R577" s="30">
        <f>IF(AND(Q577&lt;=K577,INDEX(Assumptions!$C$26:$C$36,MATCH(G577,Assumptions!$A$26:$A$36,0))&lt;&gt;""),INDEX(Assumptions!$C$26:$C$36,MATCH(G577,Assumptions!$A$26:$A$36,0)),ROUND(G577*Q577,-2))</f>
        <v>2141100</v>
      </c>
      <c r="S577" s="56" t="str">
        <f>TRIM(IF(AND(Assumptions!$L$152&lt;&gt;"",D577&lt;Assumptions!$L$152),"View blocked / roof in front ("&amp;Assumptions!$M$152&amp;"); view premium still loading until L"&amp;Assumptions!$L$152&amp;". ","")&amp;IF(D577=Assumptions!$AH$152,"Mid-floor view premium fully loaded. ","")&amp;IF(D577=Assumptions!$P$152,"High-floor view premium fully loaded. ","")&amp;IF(Q577&lt;=K577,"At developer starting price.",""))</f>
        <v>High-floor view premium fully loaded.</v>
      </c>
      <c r="T577" s="57" t="str">
        <f>Assumptions!$AJ$152</f>
        <v>NE. Pool view towards Thomson Three &amp; Sin Ming HDB; Olive Lounge in front of low floors</v>
      </c>
    </row>
    <row r="578" spans="1:20" x14ac:dyDescent="0.2">
      <c r="A578" s="49" t="s">
        <v>725</v>
      </c>
      <c r="B578" s="29">
        <v>5</v>
      </c>
      <c r="C578" s="50">
        <v>26</v>
      </c>
      <c r="D578" s="50">
        <v>21</v>
      </c>
      <c r="E578" s="27" t="s">
        <v>43</v>
      </c>
      <c r="F578" s="29" t="s">
        <v>716</v>
      </c>
      <c r="G578" s="28">
        <v>678</v>
      </c>
      <c r="H578" s="29" t="s">
        <v>65</v>
      </c>
      <c r="I578" s="38" t="str">
        <f>Assumptions!$I$152</f>
        <v>E</v>
      </c>
      <c r="J578" s="29" t="str">
        <f>IF(D578&lt;=Assumptions!$V$152,"Low",IF(D578&lt;=Assumptions!$W$152,"Mid","High"))</f>
        <v>Mid</v>
      </c>
      <c r="K578" s="51">
        <f>Assumptions!$Q$152</f>
        <v>2613</v>
      </c>
      <c r="L578" s="52">
        <f>INDEX(Assumptions!$D$61:$D$90,D578)</f>
        <v>3219.2550000000001</v>
      </c>
      <c r="M578" s="53">
        <f>IF(D578&lt;=Assumptions!$G$152,Assumptions!$AK$152,IF(D578&lt;Assumptions!$AH$152,Assumptions!$AK$152+(Assumptions!$AL$152-Assumptions!$AK$152)*(D578-Assumptions!$G$152)/(Assumptions!$AH$152-Assumptions!$G$152),IF(D578&lt;Assumptions!$P$152,Assumptions!$AL$152+(Assumptions!$AM$152-Assumptions!$AL$152)*(D578-Assumptions!$AH$152)/(Assumptions!$P$152-Assumptions!$AH$152),Assumptions!$AM$152)))</f>
        <v>-50000</v>
      </c>
      <c r="N578" s="54">
        <f t="shared" si="16"/>
        <v>-73.746312684365776</v>
      </c>
      <c r="O578" s="55">
        <f t="shared" si="17"/>
        <v>3146</v>
      </c>
      <c r="P578" s="29" t="str">
        <f>IF(D578&gt;=Assumptions!$P$152,"High",IF(D578&gt;=Assumptions!$AH$152,"Mid",IF(D578&lt;=Assumptions!$G$152,"Low","Loading")))</f>
        <v>Mid</v>
      </c>
      <c r="Q578" s="39">
        <f>MAX(K578,MIN(Assumptions!$S$152,O578),Q579)</f>
        <v>3146</v>
      </c>
      <c r="R578" s="30">
        <f>IF(AND(Q578&lt;=K578,INDEX(Assumptions!$C$26:$C$36,MATCH(G578,Assumptions!$A$26:$A$36,0))&lt;&gt;""),INDEX(Assumptions!$C$26:$C$36,MATCH(G578,Assumptions!$A$26:$A$36,0)),ROUND(G578*Q578,-2))</f>
        <v>2133000</v>
      </c>
      <c r="S578" s="56" t="str">
        <f>TRIM(IF(AND(Assumptions!$L$152&lt;&gt;"",D578&lt;Assumptions!$L$152),"View blocked / roof in front ("&amp;Assumptions!$M$152&amp;"); view premium still loading until L"&amp;Assumptions!$L$152&amp;". ","")&amp;IF(D578=Assumptions!$AH$152,"Mid-floor view premium fully loaded. ","")&amp;IF(D578=Assumptions!$P$152,"High-floor view premium fully loaded. ","")&amp;IF(Q578&lt;=K578,"At developer starting price.",""))</f>
        <v/>
      </c>
      <c r="T578" s="57" t="str">
        <f>Assumptions!$AJ$152</f>
        <v>NE. Pool view towards Thomson Three &amp; Sin Ming HDB; Olive Lounge in front of low floors</v>
      </c>
    </row>
    <row r="579" spans="1:20" x14ac:dyDescent="0.2">
      <c r="A579" s="49" t="s">
        <v>726</v>
      </c>
      <c r="B579" s="29">
        <v>5</v>
      </c>
      <c r="C579" s="50">
        <v>26</v>
      </c>
      <c r="D579" s="50">
        <v>20</v>
      </c>
      <c r="E579" s="27" t="s">
        <v>43</v>
      </c>
      <c r="F579" s="29" t="s">
        <v>716</v>
      </c>
      <c r="G579" s="28">
        <v>678</v>
      </c>
      <c r="H579" s="29" t="s">
        <v>65</v>
      </c>
      <c r="I579" s="38" t="str">
        <f>Assumptions!$I$152</f>
        <v>E</v>
      </c>
      <c r="J579" s="29" t="str">
        <f>IF(D579&lt;=Assumptions!$V$152,"Low",IF(D579&lt;=Assumptions!$W$152,"Mid","High"))</f>
        <v>Mid</v>
      </c>
      <c r="K579" s="51">
        <f>Assumptions!$Q$152</f>
        <v>2613</v>
      </c>
      <c r="L579" s="52">
        <f>INDEX(Assumptions!$D$61:$D$90,D579)</f>
        <v>3200.18</v>
      </c>
      <c r="M579" s="53">
        <f>IF(D579&lt;=Assumptions!$G$152,Assumptions!$AK$152,IF(D579&lt;Assumptions!$AH$152,Assumptions!$AK$152+(Assumptions!$AL$152-Assumptions!$AK$152)*(D579-Assumptions!$G$152)/(Assumptions!$AH$152-Assumptions!$G$152),IF(D579&lt;Assumptions!$P$152,Assumptions!$AL$152+(Assumptions!$AM$152-Assumptions!$AL$152)*(D579-Assumptions!$AH$152)/(Assumptions!$P$152-Assumptions!$AH$152),Assumptions!$AM$152)))</f>
        <v>-50000</v>
      </c>
      <c r="N579" s="54">
        <f t="shared" si="16"/>
        <v>-73.746312684365776</v>
      </c>
      <c r="O579" s="55">
        <f t="shared" si="17"/>
        <v>3126</v>
      </c>
      <c r="P579" s="29" t="str">
        <f>IF(D579&gt;=Assumptions!$P$152,"High",IF(D579&gt;=Assumptions!$AH$152,"Mid",IF(D579&lt;=Assumptions!$G$152,"Low","Loading")))</f>
        <v>Mid</v>
      </c>
      <c r="Q579" s="39">
        <f>MAX(K579,MIN(Assumptions!$S$152,O579),Q580)</f>
        <v>3126</v>
      </c>
      <c r="R579" s="30">
        <f>IF(AND(Q579&lt;=K579,INDEX(Assumptions!$C$26:$C$36,MATCH(G579,Assumptions!$A$26:$A$36,0))&lt;&gt;""),INDEX(Assumptions!$C$26:$C$36,MATCH(G579,Assumptions!$A$26:$A$36,0)),ROUND(G579*Q579,-2))</f>
        <v>2119400</v>
      </c>
      <c r="S579" s="56" t="str">
        <f>TRIM(IF(AND(Assumptions!$L$152&lt;&gt;"",D579&lt;Assumptions!$L$152),"View blocked / roof in front ("&amp;Assumptions!$M$152&amp;"); view premium still loading until L"&amp;Assumptions!$L$152&amp;". ","")&amp;IF(D579=Assumptions!$AH$152,"Mid-floor view premium fully loaded. ","")&amp;IF(D579=Assumptions!$P$152,"High-floor view premium fully loaded. ","")&amp;IF(Q579&lt;=K579,"At developer starting price.",""))</f>
        <v/>
      </c>
      <c r="T579" s="57" t="str">
        <f>Assumptions!$AJ$152</f>
        <v>NE. Pool view towards Thomson Three &amp; Sin Ming HDB; Olive Lounge in front of low floors</v>
      </c>
    </row>
    <row r="580" spans="1:20" x14ac:dyDescent="0.2">
      <c r="A580" s="49" t="s">
        <v>727</v>
      </c>
      <c r="B580" s="29">
        <v>5</v>
      </c>
      <c r="C580" s="50">
        <v>26</v>
      </c>
      <c r="D580" s="50">
        <v>19</v>
      </c>
      <c r="E580" s="27" t="s">
        <v>43</v>
      </c>
      <c r="F580" s="29" t="s">
        <v>716</v>
      </c>
      <c r="G580" s="28">
        <v>678</v>
      </c>
      <c r="H580" s="29" t="s">
        <v>65</v>
      </c>
      <c r="I580" s="38" t="str">
        <f>Assumptions!$I$152</f>
        <v>E</v>
      </c>
      <c r="J580" s="29" t="str">
        <f>IF(D580&lt;=Assumptions!$V$152,"Low",IF(D580&lt;=Assumptions!$W$152,"Mid","High"))</f>
        <v>Mid</v>
      </c>
      <c r="K580" s="51">
        <f>Assumptions!$Q$152</f>
        <v>2613</v>
      </c>
      <c r="L580" s="52">
        <f>INDEX(Assumptions!$D$61:$D$90,D580)</f>
        <v>3181.105</v>
      </c>
      <c r="M580" s="53">
        <f>IF(D580&lt;=Assumptions!$G$152,Assumptions!$AK$152,IF(D580&lt;Assumptions!$AH$152,Assumptions!$AK$152+(Assumptions!$AL$152-Assumptions!$AK$152)*(D580-Assumptions!$G$152)/(Assumptions!$AH$152-Assumptions!$G$152),IF(D580&lt;Assumptions!$P$152,Assumptions!$AL$152+(Assumptions!$AM$152-Assumptions!$AL$152)*(D580-Assumptions!$AH$152)/(Assumptions!$P$152-Assumptions!$AH$152),Assumptions!$AM$152)))</f>
        <v>-50000</v>
      </c>
      <c r="N580" s="54">
        <f t="shared" si="16"/>
        <v>-73.746312684365776</v>
      </c>
      <c r="O580" s="55">
        <f t="shared" si="17"/>
        <v>3107</v>
      </c>
      <c r="P580" s="29" t="str">
        <f>IF(D580&gt;=Assumptions!$P$152,"High",IF(D580&gt;=Assumptions!$AH$152,"Mid",IF(D580&lt;=Assumptions!$G$152,"Low","Loading")))</f>
        <v>Mid</v>
      </c>
      <c r="Q580" s="39">
        <f>MAX(K580,MIN(Assumptions!$S$152,O580),Q581)</f>
        <v>3107</v>
      </c>
      <c r="R580" s="30">
        <f>IF(AND(Q580&lt;=K580,INDEX(Assumptions!$C$26:$C$36,MATCH(G580,Assumptions!$A$26:$A$36,0))&lt;&gt;""),INDEX(Assumptions!$C$26:$C$36,MATCH(G580,Assumptions!$A$26:$A$36,0)),ROUND(G580*Q580,-2))</f>
        <v>2106500</v>
      </c>
      <c r="S580" s="56" t="str">
        <f>TRIM(IF(AND(Assumptions!$L$152&lt;&gt;"",D580&lt;Assumptions!$L$152),"View blocked / roof in front ("&amp;Assumptions!$M$152&amp;"); view premium still loading until L"&amp;Assumptions!$L$152&amp;". ","")&amp;IF(D580=Assumptions!$AH$152,"Mid-floor view premium fully loaded. ","")&amp;IF(D580=Assumptions!$P$152,"High-floor view premium fully loaded. ","")&amp;IF(Q580&lt;=K580,"At developer starting price.",""))</f>
        <v/>
      </c>
      <c r="T580" s="57" t="str">
        <f>Assumptions!$AJ$152</f>
        <v>NE. Pool view towards Thomson Three &amp; Sin Ming HDB; Olive Lounge in front of low floors</v>
      </c>
    </row>
    <row r="581" spans="1:20" x14ac:dyDescent="0.2">
      <c r="A581" s="49" t="s">
        <v>728</v>
      </c>
      <c r="B581" s="29">
        <v>5</v>
      </c>
      <c r="C581" s="50">
        <v>26</v>
      </c>
      <c r="D581" s="50">
        <v>18</v>
      </c>
      <c r="E581" s="27" t="s">
        <v>43</v>
      </c>
      <c r="F581" s="29" t="s">
        <v>716</v>
      </c>
      <c r="G581" s="28">
        <v>678</v>
      </c>
      <c r="H581" s="29" t="s">
        <v>65</v>
      </c>
      <c r="I581" s="38" t="str">
        <f>Assumptions!$I$152</f>
        <v>E</v>
      </c>
      <c r="J581" s="29" t="str">
        <f>IF(D581&lt;=Assumptions!$V$152,"Low",IF(D581&lt;=Assumptions!$W$152,"Mid","High"))</f>
        <v>Mid</v>
      </c>
      <c r="K581" s="51">
        <f>Assumptions!$Q$152</f>
        <v>2613</v>
      </c>
      <c r="L581" s="52">
        <f>INDEX(Assumptions!$D$61:$D$90,D581)</f>
        <v>3162.0299999999997</v>
      </c>
      <c r="M581" s="53">
        <f>IF(D581&lt;=Assumptions!$G$152,Assumptions!$AK$152,IF(D581&lt;Assumptions!$AH$152,Assumptions!$AK$152+(Assumptions!$AL$152-Assumptions!$AK$152)*(D581-Assumptions!$G$152)/(Assumptions!$AH$152-Assumptions!$G$152),IF(D581&lt;Assumptions!$P$152,Assumptions!$AL$152+(Assumptions!$AM$152-Assumptions!$AL$152)*(D581-Assumptions!$AH$152)/(Assumptions!$P$152-Assumptions!$AH$152),Assumptions!$AM$152)))</f>
        <v>-50000</v>
      </c>
      <c r="N581" s="54">
        <f t="shared" ref="N581:N644" si="18">M581/G581</f>
        <v>-73.746312684365776</v>
      </c>
      <c r="O581" s="55">
        <f t="shared" ref="O581:O644" si="19">ROUND(L581+N581,0)</f>
        <v>3088</v>
      </c>
      <c r="P581" s="29" t="str">
        <f>IF(D581&gt;=Assumptions!$P$152,"High",IF(D581&gt;=Assumptions!$AH$152,"Mid",IF(D581&lt;=Assumptions!$G$152,"Low","Loading")))</f>
        <v>Mid</v>
      </c>
      <c r="Q581" s="39">
        <f>MAX(K581,MIN(Assumptions!$S$152,O581),Q582)</f>
        <v>3088</v>
      </c>
      <c r="R581" s="30">
        <f>IF(AND(Q581&lt;=K581,INDEX(Assumptions!$C$26:$C$36,MATCH(G581,Assumptions!$A$26:$A$36,0))&lt;&gt;""),INDEX(Assumptions!$C$26:$C$36,MATCH(G581,Assumptions!$A$26:$A$36,0)),ROUND(G581*Q581,-2))</f>
        <v>2093700</v>
      </c>
      <c r="S581" s="56" t="str">
        <f>TRIM(IF(AND(Assumptions!$L$152&lt;&gt;"",D581&lt;Assumptions!$L$152),"View blocked / roof in front ("&amp;Assumptions!$M$152&amp;"); view premium still loading until L"&amp;Assumptions!$L$152&amp;". ","")&amp;IF(D581=Assumptions!$AH$152,"Mid-floor view premium fully loaded. ","")&amp;IF(D581=Assumptions!$P$152,"High-floor view premium fully loaded. ","")&amp;IF(Q581&lt;=K581,"At developer starting price.",""))</f>
        <v/>
      </c>
      <c r="T581" s="57" t="str">
        <f>Assumptions!$AJ$152</f>
        <v>NE. Pool view towards Thomson Three &amp; Sin Ming HDB; Olive Lounge in front of low floors</v>
      </c>
    </row>
    <row r="582" spans="1:20" x14ac:dyDescent="0.2">
      <c r="A582" s="49" t="s">
        <v>729</v>
      </c>
      <c r="B582" s="29">
        <v>5</v>
      </c>
      <c r="C582" s="50">
        <v>26</v>
      </c>
      <c r="D582" s="50">
        <v>17</v>
      </c>
      <c r="E582" s="27" t="s">
        <v>43</v>
      </c>
      <c r="F582" s="29" t="s">
        <v>716</v>
      </c>
      <c r="G582" s="28">
        <v>678</v>
      </c>
      <c r="H582" s="29" t="s">
        <v>65</v>
      </c>
      <c r="I582" s="38" t="str">
        <f>Assumptions!$I$152</f>
        <v>E</v>
      </c>
      <c r="J582" s="29" t="str">
        <f>IF(D582&lt;=Assumptions!$V$152,"Low",IF(D582&lt;=Assumptions!$W$152,"Mid","High"))</f>
        <v>Mid</v>
      </c>
      <c r="K582" s="51">
        <f>Assumptions!$Q$152</f>
        <v>2613</v>
      </c>
      <c r="L582" s="52">
        <f>INDEX(Assumptions!$D$61:$D$90,D582)</f>
        <v>3142.8252380952381</v>
      </c>
      <c r="M582" s="53">
        <f>IF(D582&lt;=Assumptions!$G$152,Assumptions!$AK$152,IF(D582&lt;Assumptions!$AH$152,Assumptions!$AK$152+(Assumptions!$AL$152-Assumptions!$AK$152)*(D582-Assumptions!$G$152)/(Assumptions!$AH$152-Assumptions!$G$152),IF(D582&lt;Assumptions!$P$152,Assumptions!$AL$152+(Assumptions!$AM$152-Assumptions!$AL$152)*(D582-Assumptions!$AH$152)/(Assumptions!$P$152-Assumptions!$AH$152),Assumptions!$AM$152)))</f>
        <v>-50000</v>
      </c>
      <c r="N582" s="54">
        <f t="shared" si="18"/>
        <v>-73.746312684365776</v>
      </c>
      <c r="O582" s="55">
        <f t="shared" si="19"/>
        <v>3069</v>
      </c>
      <c r="P582" s="29" t="str">
        <f>IF(D582&gt;=Assumptions!$P$152,"High",IF(D582&gt;=Assumptions!$AH$152,"Mid",IF(D582&lt;=Assumptions!$G$152,"Low","Loading")))</f>
        <v>Mid</v>
      </c>
      <c r="Q582" s="39">
        <f>MAX(K582,MIN(Assumptions!$S$152,O582),Q583)</f>
        <v>3069</v>
      </c>
      <c r="R582" s="30">
        <f>IF(AND(Q582&lt;=K582,INDEX(Assumptions!$C$26:$C$36,MATCH(G582,Assumptions!$A$26:$A$36,0))&lt;&gt;""),INDEX(Assumptions!$C$26:$C$36,MATCH(G582,Assumptions!$A$26:$A$36,0)),ROUND(G582*Q582,-2))</f>
        <v>2080800</v>
      </c>
      <c r="S582" s="56" t="str">
        <f>TRIM(IF(AND(Assumptions!$L$152&lt;&gt;"",D582&lt;Assumptions!$L$152),"View blocked / roof in front ("&amp;Assumptions!$M$152&amp;"); view premium still loading until L"&amp;Assumptions!$L$152&amp;". ","")&amp;IF(D582=Assumptions!$AH$152,"Mid-floor view premium fully loaded. ","")&amp;IF(D582=Assumptions!$P$152,"High-floor view premium fully loaded. ","")&amp;IF(Q582&lt;=K582,"At developer starting price.",""))</f>
        <v/>
      </c>
      <c r="T582" s="57" t="str">
        <f>Assumptions!$AJ$152</f>
        <v>NE. Pool view towards Thomson Three &amp; Sin Ming HDB; Olive Lounge in front of low floors</v>
      </c>
    </row>
    <row r="583" spans="1:20" x14ac:dyDescent="0.2">
      <c r="A583" s="49" t="s">
        <v>730</v>
      </c>
      <c r="B583" s="29">
        <v>5</v>
      </c>
      <c r="C583" s="50">
        <v>26</v>
      </c>
      <c r="D583" s="50">
        <v>16</v>
      </c>
      <c r="E583" s="27" t="s">
        <v>43</v>
      </c>
      <c r="F583" s="29" t="s">
        <v>716</v>
      </c>
      <c r="G583" s="28">
        <v>678</v>
      </c>
      <c r="H583" s="29" t="s">
        <v>65</v>
      </c>
      <c r="I583" s="38" t="str">
        <f>Assumptions!$I$152</f>
        <v>E</v>
      </c>
      <c r="J583" s="29" t="str">
        <f>IF(D583&lt;=Assumptions!$V$152,"Low",IF(D583&lt;=Assumptions!$W$152,"Mid","High"))</f>
        <v>Mid</v>
      </c>
      <c r="K583" s="51">
        <f>Assumptions!$Q$152</f>
        <v>2613</v>
      </c>
      <c r="L583" s="52">
        <f>INDEX(Assumptions!$D$61:$D$90,D583)</f>
        <v>3123.620476190476</v>
      </c>
      <c r="M583" s="53">
        <f>IF(D583&lt;=Assumptions!$G$152,Assumptions!$AK$152,IF(D583&lt;Assumptions!$AH$152,Assumptions!$AK$152+(Assumptions!$AL$152-Assumptions!$AK$152)*(D583-Assumptions!$G$152)/(Assumptions!$AH$152-Assumptions!$G$152),IF(D583&lt;Assumptions!$P$152,Assumptions!$AL$152+(Assumptions!$AM$152-Assumptions!$AL$152)*(D583-Assumptions!$AH$152)/(Assumptions!$P$152-Assumptions!$AH$152),Assumptions!$AM$152)))</f>
        <v>-50000</v>
      </c>
      <c r="N583" s="54">
        <f t="shared" si="18"/>
        <v>-73.746312684365776</v>
      </c>
      <c r="O583" s="55">
        <f t="shared" si="19"/>
        <v>3050</v>
      </c>
      <c r="P583" s="29" t="str">
        <f>IF(D583&gt;=Assumptions!$P$152,"High",IF(D583&gt;=Assumptions!$AH$152,"Mid",IF(D583&lt;=Assumptions!$G$152,"Low","Loading")))</f>
        <v>Mid</v>
      </c>
      <c r="Q583" s="39">
        <f>MAX(K583,MIN(Assumptions!$S$152,O583),Q584)</f>
        <v>3050</v>
      </c>
      <c r="R583" s="30">
        <f>IF(AND(Q583&lt;=K583,INDEX(Assumptions!$C$26:$C$36,MATCH(G583,Assumptions!$A$26:$A$36,0))&lt;&gt;""),INDEX(Assumptions!$C$26:$C$36,MATCH(G583,Assumptions!$A$26:$A$36,0)),ROUND(G583*Q583,-2))</f>
        <v>2067900</v>
      </c>
      <c r="S583" s="56" t="str">
        <f>TRIM(IF(AND(Assumptions!$L$152&lt;&gt;"",D583&lt;Assumptions!$L$152),"View blocked / roof in front ("&amp;Assumptions!$M$152&amp;"); view premium still loading until L"&amp;Assumptions!$L$152&amp;". ","")&amp;IF(D583=Assumptions!$AH$152,"Mid-floor view premium fully loaded. ","")&amp;IF(D583=Assumptions!$P$152,"High-floor view premium fully loaded. ","")&amp;IF(Q583&lt;=K583,"At developer starting price.",""))</f>
        <v/>
      </c>
      <c r="T583" s="57" t="str">
        <f>Assumptions!$AJ$152</f>
        <v>NE. Pool view towards Thomson Three &amp; Sin Ming HDB; Olive Lounge in front of low floors</v>
      </c>
    </row>
    <row r="584" spans="1:20" x14ac:dyDescent="0.2">
      <c r="A584" s="49" t="s">
        <v>731</v>
      </c>
      <c r="B584" s="29">
        <v>5</v>
      </c>
      <c r="C584" s="50">
        <v>26</v>
      </c>
      <c r="D584" s="50">
        <v>15</v>
      </c>
      <c r="E584" s="27" t="s">
        <v>43</v>
      </c>
      <c r="F584" s="29" t="s">
        <v>716</v>
      </c>
      <c r="G584" s="28">
        <v>678</v>
      </c>
      <c r="H584" s="29" t="s">
        <v>65</v>
      </c>
      <c r="I584" s="38" t="str">
        <f>Assumptions!$I$152</f>
        <v>E</v>
      </c>
      <c r="J584" s="29" t="str">
        <f>IF(D584&lt;=Assumptions!$V$152,"Low",IF(D584&lt;=Assumptions!$W$152,"Mid","High"))</f>
        <v>Mid</v>
      </c>
      <c r="K584" s="51">
        <f>Assumptions!$Q$152</f>
        <v>2613</v>
      </c>
      <c r="L584" s="52">
        <f>INDEX(Assumptions!$D$61:$D$90,D584)</f>
        <v>3104.4157142857139</v>
      </c>
      <c r="M584" s="53">
        <f>IF(D584&lt;=Assumptions!$G$152,Assumptions!$AK$152,IF(D584&lt;Assumptions!$AH$152,Assumptions!$AK$152+(Assumptions!$AL$152-Assumptions!$AK$152)*(D584-Assumptions!$G$152)/(Assumptions!$AH$152-Assumptions!$G$152),IF(D584&lt;Assumptions!$P$152,Assumptions!$AL$152+(Assumptions!$AM$152-Assumptions!$AL$152)*(D584-Assumptions!$AH$152)/(Assumptions!$P$152-Assumptions!$AH$152),Assumptions!$AM$152)))</f>
        <v>-50000</v>
      </c>
      <c r="N584" s="54">
        <f t="shared" si="18"/>
        <v>-73.746312684365776</v>
      </c>
      <c r="O584" s="55">
        <f t="shared" si="19"/>
        <v>3031</v>
      </c>
      <c r="P584" s="29" t="str">
        <f>IF(D584&gt;=Assumptions!$P$152,"High",IF(D584&gt;=Assumptions!$AH$152,"Mid",IF(D584&lt;=Assumptions!$G$152,"Low","Loading")))</f>
        <v>Mid</v>
      </c>
      <c r="Q584" s="39">
        <f>MAX(K584,MIN(Assumptions!$S$152,O584),Q585)</f>
        <v>3031</v>
      </c>
      <c r="R584" s="30">
        <f>IF(AND(Q584&lt;=K584,INDEX(Assumptions!$C$26:$C$36,MATCH(G584,Assumptions!$A$26:$A$36,0))&lt;&gt;""),INDEX(Assumptions!$C$26:$C$36,MATCH(G584,Assumptions!$A$26:$A$36,0)),ROUND(G584*Q584,-2))</f>
        <v>2055000</v>
      </c>
      <c r="S584" s="56" t="str">
        <f>TRIM(IF(AND(Assumptions!$L$152&lt;&gt;"",D584&lt;Assumptions!$L$152),"View blocked / roof in front ("&amp;Assumptions!$M$152&amp;"); view premium still loading until L"&amp;Assumptions!$L$152&amp;". ","")&amp;IF(D584=Assumptions!$AH$152,"Mid-floor view premium fully loaded. ","")&amp;IF(D584=Assumptions!$P$152,"High-floor view premium fully loaded. ","")&amp;IF(Q584&lt;=K584,"At developer starting price.",""))</f>
        <v>Mid-floor view premium fully loaded.</v>
      </c>
      <c r="T584" s="57" t="str">
        <f>Assumptions!$AJ$152</f>
        <v>NE. Pool view towards Thomson Three &amp; Sin Ming HDB; Olive Lounge in front of low floors</v>
      </c>
    </row>
    <row r="585" spans="1:20" x14ac:dyDescent="0.2">
      <c r="A585" s="49" t="s">
        <v>732</v>
      </c>
      <c r="B585" s="29">
        <v>5</v>
      </c>
      <c r="C585" s="50">
        <v>26</v>
      </c>
      <c r="D585" s="50">
        <v>14</v>
      </c>
      <c r="E585" s="27" t="s">
        <v>43</v>
      </c>
      <c r="F585" s="29" t="s">
        <v>716</v>
      </c>
      <c r="G585" s="28">
        <v>678</v>
      </c>
      <c r="H585" s="29" t="s">
        <v>65</v>
      </c>
      <c r="I585" s="38" t="str">
        <f>Assumptions!$I$152</f>
        <v>E</v>
      </c>
      <c r="J585" s="29" t="str">
        <f>IF(D585&lt;=Assumptions!$V$152,"Low",IF(D585&lt;=Assumptions!$W$152,"Mid","High"))</f>
        <v>Low</v>
      </c>
      <c r="K585" s="51">
        <f>Assumptions!$Q$152</f>
        <v>2613</v>
      </c>
      <c r="L585" s="52">
        <f>INDEX(Assumptions!$D$61:$D$90,D585)</f>
        <v>3085.2109523809522</v>
      </c>
      <c r="M585" s="53">
        <f>IF(D585&lt;=Assumptions!$G$152,Assumptions!$AK$152,IF(D585&lt;Assumptions!$AH$152,Assumptions!$AK$152+(Assumptions!$AL$152-Assumptions!$AK$152)*(D585-Assumptions!$G$152)/(Assumptions!$AH$152-Assumptions!$G$152),IF(D585&lt;Assumptions!$P$152,Assumptions!$AL$152+(Assumptions!$AM$152-Assumptions!$AL$152)*(D585-Assumptions!$AH$152)/(Assumptions!$P$152-Assumptions!$AH$152),Assumptions!$AM$152)))</f>
        <v>-50000</v>
      </c>
      <c r="N585" s="54">
        <f t="shared" si="18"/>
        <v>-73.746312684365776</v>
      </c>
      <c r="O585" s="55">
        <f t="shared" si="19"/>
        <v>3011</v>
      </c>
      <c r="P585" s="29" t="str">
        <f>IF(D585&gt;=Assumptions!$P$152,"High",IF(D585&gt;=Assumptions!$AH$152,"Mid",IF(D585&lt;=Assumptions!$G$152,"Low","Loading")))</f>
        <v>Loading</v>
      </c>
      <c r="Q585" s="39">
        <f>MAX(K585,MIN(Assumptions!$S$152,O585),Q586)</f>
        <v>3011</v>
      </c>
      <c r="R585" s="30">
        <f>IF(AND(Q585&lt;=K585,INDEX(Assumptions!$C$26:$C$36,MATCH(G585,Assumptions!$A$26:$A$36,0))&lt;&gt;""),INDEX(Assumptions!$C$26:$C$36,MATCH(G585,Assumptions!$A$26:$A$36,0)),ROUND(G585*Q585,-2))</f>
        <v>2041500</v>
      </c>
      <c r="S585" s="56" t="str">
        <f>TRIM(IF(AND(Assumptions!$L$152&lt;&gt;"",D585&lt;Assumptions!$L$152),"View blocked / roof in front ("&amp;Assumptions!$M$152&amp;"); view premium still loading until L"&amp;Assumptions!$L$152&amp;". ","")&amp;IF(D585=Assumptions!$AH$152,"Mid-floor view premium fully loaded. ","")&amp;IF(D585=Assumptions!$P$152,"High-floor view premium fully loaded. ","")&amp;IF(Q585&lt;=K585,"At developer starting price.",""))</f>
        <v/>
      </c>
      <c r="T585" s="57" t="str">
        <f>Assumptions!$AJ$152</f>
        <v>NE. Pool view towards Thomson Three &amp; Sin Ming HDB; Olive Lounge in front of low floors</v>
      </c>
    </row>
    <row r="586" spans="1:20" x14ac:dyDescent="0.2">
      <c r="A586" s="49" t="s">
        <v>733</v>
      </c>
      <c r="B586" s="29">
        <v>5</v>
      </c>
      <c r="C586" s="50">
        <v>26</v>
      </c>
      <c r="D586" s="50">
        <v>13</v>
      </c>
      <c r="E586" s="27" t="s">
        <v>43</v>
      </c>
      <c r="F586" s="29" t="s">
        <v>716</v>
      </c>
      <c r="G586" s="28">
        <v>678</v>
      </c>
      <c r="H586" s="29" t="s">
        <v>65</v>
      </c>
      <c r="I586" s="38" t="str">
        <f>Assumptions!$I$152</f>
        <v>E</v>
      </c>
      <c r="J586" s="29" t="str">
        <f>IF(D586&lt;=Assumptions!$V$152,"Low",IF(D586&lt;=Assumptions!$W$152,"Mid","High"))</f>
        <v>Low</v>
      </c>
      <c r="K586" s="51">
        <f>Assumptions!$Q$152</f>
        <v>2613</v>
      </c>
      <c r="L586" s="52">
        <f>INDEX(Assumptions!$D$61:$D$90,D586)</f>
        <v>3066.0061904761901</v>
      </c>
      <c r="M586" s="53">
        <f>IF(D586&lt;=Assumptions!$G$152,Assumptions!$AK$152,IF(D586&lt;Assumptions!$AH$152,Assumptions!$AK$152+(Assumptions!$AL$152-Assumptions!$AK$152)*(D586-Assumptions!$G$152)/(Assumptions!$AH$152-Assumptions!$G$152),IF(D586&lt;Assumptions!$P$152,Assumptions!$AL$152+(Assumptions!$AM$152-Assumptions!$AL$152)*(D586-Assumptions!$AH$152)/(Assumptions!$P$152-Assumptions!$AH$152),Assumptions!$AM$152)))</f>
        <v>-50000</v>
      </c>
      <c r="N586" s="54">
        <f t="shared" si="18"/>
        <v>-73.746312684365776</v>
      </c>
      <c r="O586" s="55">
        <f t="shared" si="19"/>
        <v>2992</v>
      </c>
      <c r="P586" s="29" t="str">
        <f>IF(D586&gt;=Assumptions!$P$152,"High",IF(D586&gt;=Assumptions!$AH$152,"Mid",IF(D586&lt;=Assumptions!$G$152,"Low","Loading")))</f>
        <v>Loading</v>
      </c>
      <c r="Q586" s="39">
        <f>MAX(K586,MIN(Assumptions!$S$152,O586),Q587)</f>
        <v>2992</v>
      </c>
      <c r="R586" s="30">
        <f>IF(AND(Q586&lt;=K586,INDEX(Assumptions!$C$26:$C$36,MATCH(G586,Assumptions!$A$26:$A$36,0))&lt;&gt;""),INDEX(Assumptions!$C$26:$C$36,MATCH(G586,Assumptions!$A$26:$A$36,0)),ROUND(G586*Q586,-2))</f>
        <v>2028600</v>
      </c>
      <c r="S586" s="56" t="str">
        <f>TRIM(IF(AND(Assumptions!$L$152&lt;&gt;"",D586&lt;Assumptions!$L$152),"View blocked / roof in front ("&amp;Assumptions!$M$152&amp;"); view premium still loading until L"&amp;Assumptions!$L$152&amp;". ","")&amp;IF(D586=Assumptions!$AH$152,"Mid-floor view premium fully loaded. ","")&amp;IF(D586=Assumptions!$P$152,"High-floor view premium fully loaded. ","")&amp;IF(Q586&lt;=K586,"At developer starting price.",""))</f>
        <v/>
      </c>
      <c r="T586" s="57" t="str">
        <f>Assumptions!$AJ$152</f>
        <v>NE. Pool view towards Thomson Three &amp; Sin Ming HDB; Olive Lounge in front of low floors</v>
      </c>
    </row>
    <row r="587" spans="1:20" x14ac:dyDescent="0.2">
      <c r="A587" s="49" t="s">
        <v>734</v>
      </c>
      <c r="B587" s="29">
        <v>5</v>
      </c>
      <c r="C587" s="50">
        <v>26</v>
      </c>
      <c r="D587" s="50">
        <v>12</v>
      </c>
      <c r="E587" s="27" t="s">
        <v>43</v>
      </c>
      <c r="F587" s="29" t="s">
        <v>716</v>
      </c>
      <c r="G587" s="28">
        <v>678</v>
      </c>
      <c r="H587" s="29" t="s">
        <v>65</v>
      </c>
      <c r="I587" s="38" t="str">
        <f>Assumptions!$I$152</f>
        <v>E</v>
      </c>
      <c r="J587" s="29" t="str">
        <f>IF(D587&lt;=Assumptions!$V$152,"Low",IF(D587&lt;=Assumptions!$W$152,"Mid","High"))</f>
        <v>Low</v>
      </c>
      <c r="K587" s="51">
        <f>Assumptions!$Q$152</f>
        <v>2613</v>
      </c>
      <c r="L587" s="52">
        <f>INDEX(Assumptions!$D$61:$D$90,D587)</f>
        <v>3046.8014285714285</v>
      </c>
      <c r="M587" s="53">
        <f>IF(D587&lt;=Assumptions!$G$152,Assumptions!$AK$152,IF(D587&lt;Assumptions!$AH$152,Assumptions!$AK$152+(Assumptions!$AL$152-Assumptions!$AK$152)*(D587-Assumptions!$G$152)/(Assumptions!$AH$152-Assumptions!$G$152),IF(D587&lt;Assumptions!$P$152,Assumptions!$AL$152+(Assumptions!$AM$152-Assumptions!$AL$152)*(D587-Assumptions!$AH$152)/(Assumptions!$P$152-Assumptions!$AH$152),Assumptions!$AM$152)))</f>
        <v>-50000</v>
      </c>
      <c r="N587" s="54">
        <f t="shared" si="18"/>
        <v>-73.746312684365776</v>
      </c>
      <c r="O587" s="55">
        <f t="shared" si="19"/>
        <v>2973</v>
      </c>
      <c r="P587" s="29" t="str">
        <f>IF(D587&gt;=Assumptions!$P$152,"High",IF(D587&gt;=Assumptions!$AH$152,"Mid",IF(D587&lt;=Assumptions!$G$152,"Low","Loading")))</f>
        <v>Loading</v>
      </c>
      <c r="Q587" s="39">
        <f>MAX(K587,MIN(Assumptions!$S$152,O587),Q588)</f>
        <v>2973</v>
      </c>
      <c r="R587" s="30">
        <f>IF(AND(Q587&lt;=K587,INDEX(Assumptions!$C$26:$C$36,MATCH(G587,Assumptions!$A$26:$A$36,0))&lt;&gt;""),INDEX(Assumptions!$C$26:$C$36,MATCH(G587,Assumptions!$A$26:$A$36,0)),ROUND(G587*Q587,-2))</f>
        <v>2015700</v>
      </c>
      <c r="S587" s="56" t="str">
        <f>TRIM(IF(AND(Assumptions!$L$152&lt;&gt;"",D587&lt;Assumptions!$L$152),"View blocked / roof in front ("&amp;Assumptions!$M$152&amp;"); view premium still loading until L"&amp;Assumptions!$L$152&amp;". ","")&amp;IF(D587=Assumptions!$AH$152,"Mid-floor view premium fully loaded. ","")&amp;IF(D587=Assumptions!$P$152,"High-floor view premium fully loaded. ","")&amp;IF(Q587&lt;=K587,"At developer starting price.",""))</f>
        <v/>
      </c>
      <c r="T587" s="57" t="str">
        <f>Assumptions!$AJ$152</f>
        <v>NE. Pool view towards Thomson Three &amp; Sin Ming HDB; Olive Lounge in front of low floors</v>
      </c>
    </row>
    <row r="588" spans="1:20" x14ac:dyDescent="0.2">
      <c r="A588" s="49" t="s">
        <v>735</v>
      </c>
      <c r="B588" s="29">
        <v>5</v>
      </c>
      <c r="C588" s="50">
        <v>26</v>
      </c>
      <c r="D588" s="50">
        <v>11</v>
      </c>
      <c r="E588" s="27" t="s">
        <v>43</v>
      </c>
      <c r="F588" s="29" t="s">
        <v>716</v>
      </c>
      <c r="G588" s="28">
        <v>678</v>
      </c>
      <c r="H588" s="29" t="s">
        <v>65</v>
      </c>
      <c r="I588" s="38" t="str">
        <f>Assumptions!$I$152</f>
        <v>E</v>
      </c>
      <c r="J588" s="29" t="str">
        <f>IF(D588&lt;=Assumptions!$V$152,"Low",IF(D588&lt;=Assumptions!$W$152,"Mid","High"))</f>
        <v>Low</v>
      </c>
      <c r="K588" s="51">
        <f>Assumptions!$Q$152</f>
        <v>2613</v>
      </c>
      <c r="L588" s="52">
        <f>INDEX(Assumptions!$D$61:$D$90,D588)</f>
        <v>3027.5966666666664</v>
      </c>
      <c r="M588" s="53">
        <f>IF(D588&lt;=Assumptions!$G$152,Assumptions!$AK$152,IF(D588&lt;Assumptions!$AH$152,Assumptions!$AK$152+(Assumptions!$AL$152-Assumptions!$AK$152)*(D588-Assumptions!$G$152)/(Assumptions!$AH$152-Assumptions!$G$152),IF(D588&lt;Assumptions!$P$152,Assumptions!$AL$152+(Assumptions!$AM$152-Assumptions!$AL$152)*(D588-Assumptions!$AH$152)/(Assumptions!$P$152-Assumptions!$AH$152),Assumptions!$AM$152)))</f>
        <v>-50000</v>
      </c>
      <c r="N588" s="54">
        <f t="shared" si="18"/>
        <v>-73.746312684365776</v>
      </c>
      <c r="O588" s="55">
        <f t="shared" si="19"/>
        <v>2954</v>
      </c>
      <c r="P588" s="29" t="str">
        <f>IF(D588&gt;=Assumptions!$P$152,"High",IF(D588&gt;=Assumptions!$AH$152,"Mid",IF(D588&lt;=Assumptions!$G$152,"Low","Loading")))</f>
        <v>Loading</v>
      </c>
      <c r="Q588" s="39">
        <f>MAX(K588,MIN(Assumptions!$S$152,O588),Q589)</f>
        <v>2954</v>
      </c>
      <c r="R588" s="30">
        <f>IF(AND(Q588&lt;=K588,INDEX(Assumptions!$C$26:$C$36,MATCH(G588,Assumptions!$A$26:$A$36,0))&lt;&gt;""),INDEX(Assumptions!$C$26:$C$36,MATCH(G588,Assumptions!$A$26:$A$36,0)),ROUND(G588*Q588,-2))</f>
        <v>2002800</v>
      </c>
      <c r="S588" s="56" t="str">
        <f>TRIM(IF(AND(Assumptions!$L$152&lt;&gt;"",D588&lt;Assumptions!$L$152),"View blocked / roof in front ("&amp;Assumptions!$M$152&amp;"); view premium still loading until L"&amp;Assumptions!$L$152&amp;". ","")&amp;IF(D588=Assumptions!$AH$152,"Mid-floor view premium fully loaded. ","")&amp;IF(D588=Assumptions!$P$152,"High-floor view premium fully loaded. ","")&amp;IF(Q588&lt;=K588,"At developer starting price.",""))</f>
        <v/>
      </c>
      <c r="T588" s="57" t="str">
        <f>Assumptions!$AJ$152</f>
        <v>NE. Pool view towards Thomson Three &amp; Sin Ming HDB; Olive Lounge in front of low floors</v>
      </c>
    </row>
    <row r="589" spans="1:20" x14ac:dyDescent="0.2">
      <c r="A589" s="49" t="s">
        <v>736</v>
      </c>
      <c r="B589" s="29">
        <v>5</v>
      </c>
      <c r="C589" s="50">
        <v>26</v>
      </c>
      <c r="D589" s="50">
        <v>10</v>
      </c>
      <c r="E589" s="27" t="s">
        <v>43</v>
      </c>
      <c r="F589" s="29" t="s">
        <v>716</v>
      </c>
      <c r="G589" s="28">
        <v>678</v>
      </c>
      <c r="H589" s="29" t="s">
        <v>65</v>
      </c>
      <c r="I589" s="38" t="str">
        <f>Assumptions!$I$152</f>
        <v>E</v>
      </c>
      <c r="J589" s="29" t="str">
        <f>IF(D589&lt;=Assumptions!$V$152,"Low",IF(D589&lt;=Assumptions!$W$152,"Mid","High"))</f>
        <v>Low</v>
      </c>
      <c r="K589" s="51">
        <f>Assumptions!$Q$152</f>
        <v>2613</v>
      </c>
      <c r="L589" s="52">
        <f>INDEX(Assumptions!$D$61:$D$90,D589)</f>
        <v>3008.3919047619042</v>
      </c>
      <c r="M589" s="53">
        <f>IF(D589&lt;=Assumptions!$G$152,Assumptions!$AK$152,IF(D589&lt;Assumptions!$AH$152,Assumptions!$AK$152+(Assumptions!$AL$152-Assumptions!$AK$152)*(D589-Assumptions!$G$152)/(Assumptions!$AH$152-Assumptions!$G$152),IF(D589&lt;Assumptions!$P$152,Assumptions!$AL$152+(Assumptions!$AM$152-Assumptions!$AL$152)*(D589-Assumptions!$AH$152)/(Assumptions!$P$152-Assumptions!$AH$152),Assumptions!$AM$152)))</f>
        <v>-50000</v>
      </c>
      <c r="N589" s="54">
        <f t="shared" si="18"/>
        <v>-73.746312684365776</v>
      </c>
      <c r="O589" s="55">
        <f t="shared" si="19"/>
        <v>2935</v>
      </c>
      <c r="P589" s="29" t="str">
        <f>IF(D589&gt;=Assumptions!$P$152,"High",IF(D589&gt;=Assumptions!$AH$152,"Mid",IF(D589&lt;=Assumptions!$G$152,"Low","Loading")))</f>
        <v>Loading</v>
      </c>
      <c r="Q589" s="39">
        <f>MAX(K589,MIN(Assumptions!$S$152,O589),Q590)</f>
        <v>2935</v>
      </c>
      <c r="R589" s="30">
        <f>IF(AND(Q589&lt;=K589,INDEX(Assumptions!$C$26:$C$36,MATCH(G589,Assumptions!$A$26:$A$36,0))&lt;&gt;""),INDEX(Assumptions!$C$26:$C$36,MATCH(G589,Assumptions!$A$26:$A$36,0)),ROUND(G589*Q589,-2))</f>
        <v>1989900</v>
      </c>
      <c r="S589" s="56" t="str">
        <f>TRIM(IF(AND(Assumptions!$L$152&lt;&gt;"",D589&lt;Assumptions!$L$152),"View blocked / roof in front ("&amp;Assumptions!$M$152&amp;"); view premium still loading until L"&amp;Assumptions!$L$152&amp;". ","")&amp;IF(D589=Assumptions!$AH$152,"Mid-floor view premium fully loaded. ","")&amp;IF(D589=Assumptions!$P$152,"High-floor view premium fully loaded. ","")&amp;IF(Q589&lt;=K589,"At developer starting price.",""))</f>
        <v/>
      </c>
      <c r="T589" s="57" t="str">
        <f>Assumptions!$AJ$152</f>
        <v>NE. Pool view towards Thomson Three &amp; Sin Ming HDB; Olive Lounge in front of low floors</v>
      </c>
    </row>
    <row r="590" spans="1:20" x14ac:dyDescent="0.2">
      <c r="A590" s="49" t="s">
        <v>737</v>
      </c>
      <c r="B590" s="29">
        <v>5</v>
      </c>
      <c r="C590" s="50">
        <v>26</v>
      </c>
      <c r="D590" s="50">
        <v>9</v>
      </c>
      <c r="E590" s="27" t="s">
        <v>43</v>
      </c>
      <c r="F590" s="29" t="s">
        <v>716</v>
      </c>
      <c r="G590" s="28">
        <v>678</v>
      </c>
      <c r="H590" s="29" t="s">
        <v>65</v>
      </c>
      <c r="I590" s="38" t="str">
        <f>Assumptions!$I$152</f>
        <v>E</v>
      </c>
      <c r="J590" s="29" t="str">
        <f>IF(D590&lt;=Assumptions!$V$152,"Low",IF(D590&lt;=Assumptions!$W$152,"Mid","High"))</f>
        <v>Low</v>
      </c>
      <c r="K590" s="51">
        <f>Assumptions!$Q$152</f>
        <v>2613</v>
      </c>
      <c r="L590" s="52">
        <f>INDEX(Assumptions!$D$61:$D$90,D590)</f>
        <v>2989.1871428571426</v>
      </c>
      <c r="M590" s="53">
        <f>IF(D590&lt;=Assumptions!$G$152,Assumptions!$AK$152,IF(D590&lt;Assumptions!$AH$152,Assumptions!$AK$152+(Assumptions!$AL$152-Assumptions!$AK$152)*(D590-Assumptions!$G$152)/(Assumptions!$AH$152-Assumptions!$G$152),IF(D590&lt;Assumptions!$P$152,Assumptions!$AL$152+(Assumptions!$AM$152-Assumptions!$AL$152)*(D590-Assumptions!$AH$152)/(Assumptions!$P$152-Assumptions!$AH$152),Assumptions!$AM$152)))</f>
        <v>-50000</v>
      </c>
      <c r="N590" s="54">
        <f t="shared" si="18"/>
        <v>-73.746312684365776</v>
      </c>
      <c r="O590" s="55">
        <f t="shared" si="19"/>
        <v>2915</v>
      </c>
      <c r="P590" s="29" t="str">
        <f>IF(D590&gt;=Assumptions!$P$152,"High",IF(D590&gt;=Assumptions!$AH$152,"Mid",IF(D590&lt;=Assumptions!$G$152,"Low","Loading")))</f>
        <v>Loading</v>
      </c>
      <c r="Q590" s="39">
        <f>MAX(K590,MIN(Assumptions!$S$152,O590),Q591)</f>
        <v>2915</v>
      </c>
      <c r="R590" s="30">
        <f>IF(AND(Q590&lt;=K590,INDEX(Assumptions!$C$26:$C$36,MATCH(G590,Assumptions!$A$26:$A$36,0))&lt;&gt;""),INDEX(Assumptions!$C$26:$C$36,MATCH(G590,Assumptions!$A$26:$A$36,0)),ROUND(G590*Q590,-2))</f>
        <v>1976400</v>
      </c>
      <c r="S590" s="56" t="str">
        <f>TRIM(IF(AND(Assumptions!$L$152&lt;&gt;"",D590&lt;Assumptions!$L$152),"View blocked / roof in front ("&amp;Assumptions!$M$152&amp;"); view premium still loading until L"&amp;Assumptions!$L$152&amp;". ","")&amp;IF(D590=Assumptions!$AH$152,"Mid-floor view premium fully loaded. ","")&amp;IF(D590=Assumptions!$P$152,"High-floor view premium fully loaded. ","")&amp;IF(Q590&lt;=K590,"At developer starting price.",""))</f>
        <v/>
      </c>
      <c r="T590" s="57" t="str">
        <f>Assumptions!$AJ$152</f>
        <v>NE. Pool view towards Thomson Three &amp; Sin Ming HDB; Olive Lounge in front of low floors</v>
      </c>
    </row>
    <row r="591" spans="1:20" x14ac:dyDescent="0.2">
      <c r="A591" s="49" t="s">
        <v>738</v>
      </c>
      <c r="B591" s="29">
        <v>5</v>
      </c>
      <c r="C591" s="50">
        <v>26</v>
      </c>
      <c r="D591" s="50">
        <v>8</v>
      </c>
      <c r="E591" s="27" t="s">
        <v>43</v>
      </c>
      <c r="F591" s="29" t="s">
        <v>716</v>
      </c>
      <c r="G591" s="28">
        <v>678</v>
      </c>
      <c r="H591" s="29" t="s">
        <v>65</v>
      </c>
      <c r="I591" s="38" t="str">
        <f>Assumptions!$I$152</f>
        <v>E</v>
      </c>
      <c r="J591" s="29" t="str">
        <f>IF(D591&lt;=Assumptions!$V$152,"Low",IF(D591&lt;=Assumptions!$W$152,"Mid","High"))</f>
        <v>Low</v>
      </c>
      <c r="K591" s="51">
        <f>Assumptions!$Q$152</f>
        <v>2613</v>
      </c>
      <c r="L591" s="52">
        <f>INDEX(Assumptions!$D$61:$D$90,D591)</f>
        <v>2969.9823809523805</v>
      </c>
      <c r="M591" s="53">
        <f>IF(D591&lt;=Assumptions!$G$152,Assumptions!$AK$152,IF(D591&lt;Assumptions!$AH$152,Assumptions!$AK$152+(Assumptions!$AL$152-Assumptions!$AK$152)*(D591-Assumptions!$G$152)/(Assumptions!$AH$152-Assumptions!$G$152),IF(D591&lt;Assumptions!$P$152,Assumptions!$AL$152+(Assumptions!$AM$152-Assumptions!$AL$152)*(D591-Assumptions!$AH$152)/(Assumptions!$P$152-Assumptions!$AH$152),Assumptions!$AM$152)))</f>
        <v>-50000</v>
      </c>
      <c r="N591" s="54">
        <f t="shared" si="18"/>
        <v>-73.746312684365776</v>
      </c>
      <c r="O591" s="55">
        <f t="shared" si="19"/>
        <v>2896</v>
      </c>
      <c r="P591" s="29" t="str">
        <f>IF(D591&gt;=Assumptions!$P$152,"High",IF(D591&gt;=Assumptions!$AH$152,"Mid",IF(D591&lt;=Assumptions!$G$152,"Low","Loading")))</f>
        <v>Loading</v>
      </c>
      <c r="Q591" s="39">
        <f>MAX(K591,MIN(Assumptions!$S$152,O591),Q592)</f>
        <v>2896</v>
      </c>
      <c r="R591" s="30">
        <f>IF(AND(Q591&lt;=K591,INDEX(Assumptions!$C$26:$C$36,MATCH(G591,Assumptions!$A$26:$A$36,0))&lt;&gt;""),INDEX(Assumptions!$C$26:$C$36,MATCH(G591,Assumptions!$A$26:$A$36,0)),ROUND(G591*Q591,-2))</f>
        <v>1963500</v>
      </c>
      <c r="S591" s="56" t="str">
        <f>TRIM(IF(AND(Assumptions!$L$152&lt;&gt;"",D591&lt;Assumptions!$L$152),"View blocked / roof in front ("&amp;Assumptions!$M$152&amp;"); view premium still loading until L"&amp;Assumptions!$L$152&amp;". ","")&amp;IF(D591=Assumptions!$AH$152,"Mid-floor view premium fully loaded. ","")&amp;IF(D591=Assumptions!$P$152,"High-floor view premium fully loaded. ","")&amp;IF(Q591&lt;=K591,"At developer starting price.",""))</f>
        <v/>
      </c>
      <c r="T591" s="57" t="str">
        <f>Assumptions!$AJ$152</f>
        <v>NE. Pool view towards Thomson Three &amp; Sin Ming HDB; Olive Lounge in front of low floors</v>
      </c>
    </row>
    <row r="592" spans="1:20" x14ac:dyDescent="0.2">
      <c r="A592" s="49" t="s">
        <v>739</v>
      </c>
      <c r="B592" s="29">
        <v>5</v>
      </c>
      <c r="C592" s="50">
        <v>26</v>
      </c>
      <c r="D592" s="50">
        <v>7</v>
      </c>
      <c r="E592" s="27" t="s">
        <v>43</v>
      </c>
      <c r="F592" s="29" t="s">
        <v>716</v>
      </c>
      <c r="G592" s="28">
        <v>678</v>
      </c>
      <c r="H592" s="29" t="s">
        <v>65</v>
      </c>
      <c r="I592" s="38" t="str">
        <f>Assumptions!$I$152</f>
        <v>E</v>
      </c>
      <c r="J592" s="29" t="str">
        <f>IF(D592&lt;=Assumptions!$V$152,"Low",IF(D592&lt;=Assumptions!$W$152,"Mid","High"))</f>
        <v>Low</v>
      </c>
      <c r="K592" s="51">
        <f>Assumptions!$Q$152</f>
        <v>2613</v>
      </c>
      <c r="L592" s="52">
        <f>INDEX(Assumptions!$D$61:$D$90,D592)</f>
        <v>2950.7776190476193</v>
      </c>
      <c r="M592" s="53">
        <f>IF(D592&lt;=Assumptions!$G$152,Assumptions!$AK$152,IF(D592&lt;Assumptions!$AH$152,Assumptions!$AK$152+(Assumptions!$AL$152-Assumptions!$AK$152)*(D592-Assumptions!$G$152)/(Assumptions!$AH$152-Assumptions!$G$152),IF(D592&lt;Assumptions!$P$152,Assumptions!$AL$152+(Assumptions!$AM$152-Assumptions!$AL$152)*(D592-Assumptions!$AH$152)/(Assumptions!$P$152-Assumptions!$AH$152),Assumptions!$AM$152)))</f>
        <v>-50000</v>
      </c>
      <c r="N592" s="54">
        <f t="shared" si="18"/>
        <v>-73.746312684365776</v>
      </c>
      <c r="O592" s="55">
        <f t="shared" si="19"/>
        <v>2877</v>
      </c>
      <c r="P592" s="29" t="str">
        <f>IF(D592&gt;=Assumptions!$P$152,"High",IF(D592&gt;=Assumptions!$AH$152,"Mid",IF(D592&lt;=Assumptions!$G$152,"Low","Loading")))</f>
        <v>Loading</v>
      </c>
      <c r="Q592" s="39">
        <f>MAX(K592,MIN(Assumptions!$S$152,O592),Q593)</f>
        <v>2877</v>
      </c>
      <c r="R592" s="30">
        <f>IF(AND(Q592&lt;=K592,INDEX(Assumptions!$C$26:$C$36,MATCH(G592,Assumptions!$A$26:$A$36,0))&lt;&gt;""),INDEX(Assumptions!$C$26:$C$36,MATCH(G592,Assumptions!$A$26:$A$36,0)),ROUND(G592*Q592,-2))</f>
        <v>1950600</v>
      </c>
      <c r="S592" s="56" t="str">
        <f>TRIM(IF(AND(Assumptions!$L$152&lt;&gt;"",D592&lt;Assumptions!$L$152),"View blocked / roof in front ("&amp;Assumptions!$M$152&amp;"); view premium still loading until L"&amp;Assumptions!$L$152&amp;". ","")&amp;IF(D592=Assumptions!$AH$152,"Mid-floor view premium fully loaded. ","")&amp;IF(D592=Assumptions!$P$152,"High-floor view premium fully loaded. ","")&amp;IF(Q592&lt;=K592,"At developer starting price.",""))</f>
        <v/>
      </c>
      <c r="T592" s="57" t="str">
        <f>Assumptions!$AJ$152</f>
        <v>NE. Pool view towards Thomson Three &amp; Sin Ming HDB; Olive Lounge in front of low floors</v>
      </c>
    </row>
    <row r="593" spans="1:20" x14ac:dyDescent="0.2">
      <c r="A593" s="49" t="s">
        <v>740</v>
      </c>
      <c r="B593" s="29">
        <v>5</v>
      </c>
      <c r="C593" s="50">
        <v>26</v>
      </c>
      <c r="D593" s="50">
        <v>6</v>
      </c>
      <c r="E593" s="27" t="s">
        <v>43</v>
      </c>
      <c r="F593" s="29" t="s">
        <v>716</v>
      </c>
      <c r="G593" s="28">
        <v>678</v>
      </c>
      <c r="H593" s="29" t="s">
        <v>65</v>
      </c>
      <c r="I593" s="38" t="str">
        <f>Assumptions!$I$152</f>
        <v>E</v>
      </c>
      <c r="J593" s="29" t="str">
        <f>IF(D593&lt;=Assumptions!$V$152,"Low",IF(D593&lt;=Assumptions!$W$152,"Mid","High"))</f>
        <v>Low</v>
      </c>
      <c r="K593" s="51">
        <f>Assumptions!$Q$152</f>
        <v>2613</v>
      </c>
      <c r="L593" s="52">
        <f>INDEX(Assumptions!$D$61:$D$90,D593)</f>
        <v>2931.5728571428572</v>
      </c>
      <c r="M593" s="53">
        <f>IF(D593&lt;=Assumptions!$G$152,Assumptions!$AK$152,IF(D593&lt;Assumptions!$AH$152,Assumptions!$AK$152+(Assumptions!$AL$152-Assumptions!$AK$152)*(D593-Assumptions!$G$152)/(Assumptions!$AH$152-Assumptions!$G$152),IF(D593&lt;Assumptions!$P$152,Assumptions!$AL$152+(Assumptions!$AM$152-Assumptions!$AL$152)*(D593-Assumptions!$AH$152)/(Assumptions!$P$152-Assumptions!$AH$152),Assumptions!$AM$152)))</f>
        <v>-50000</v>
      </c>
      <c r="N593" s="54">
        <f t="shared" si="18"/>
        <v>-73.746312684365776</v>
      </c>
      <c r="O593" s="55">
        <f t="shared" si="19"/>
        <v>2858</v>
      </c>
      <c r="P593" s="29" t="str">
        <f>IF(D593&gt;=Assumptions!$P$152,"High",IF(D593&gt;=Assumptions!$AH$152,"Mid",IF(D593&lt;=Assumptions!$G$152,"Low","Loading")))</f>
        <v>Loading</v>
      </c>
      <c r="Q593" s="39">
        <f>MAX(K593,MIN(Assumptions!$S$152,O593),Q594)</f>
        <v>2858</v>
      </c>
      <c r="R593" s="30">
        <f>IF(AND(Q593&lt;=K593,INDEX(Assumptions!$C$26:$C$36,MATCH(G593,Assumptions!$A$26:$A$36,0))&lt;&gt;""),INDEX(Assumptions!$C$26:$C$36,MATCH(G593,Assumptions!$A$26:$A$36,0)),ROUND(G593*Q593,-2))</f>
        <v>1937700</v>
      </c>
      <c r="S593" s="56" t="str">
        <f>TRIM(IF(AND(Assumptions!$L$152&lt;&gt;"",D593&lt;Assumptions!$L$152),"View blocked / roof in front ("&amp;Assumptions!$M$152&amp;"); view premium still loading until L"&amp;Assumptions!$L$152&amp;". ","")&amp;IF(D593=Assumptions!$AH$152,"Mid-floor view premium fully loaded. ","")&amp;IF(D593=Assumptions!$P$152,"High-floor view premium fully loaded. ","")&amp;IF(Q593&lt;=K593,"At developer starting price.",""))</f>
        <v/>
      </c>
      <c r="T593" s="57" t="str">
        <f>Assumptions!$AJ$152</f>
        <v>NE. Pool view towards Thomson Three &amp; Sin Ming HDB; Olive Lounge in front of low floors</v>
      </c>
    </row>
    <row r="594" spans="1:20" x14ac:dyDescent="0.2">
      <c r="A594" s="49" t="s">
        <v>741</v>
      </c>
      <c r="B594" s="29">
        <v>5</v>
      </c>
      <c r="C594" s="50">
        <v>26</v>
      </c>
      <c r="D594" s="50">
        <v>5</v>
      </c>
      <c r="E594" s="27" t="s">
        <v>43</v>
      </c>
      <c r="F594" s="29" t="s">
        <v>716</v>
      </c>
      <c r="G594" s="28">
        <v>678</v>
      </c>
      <c r="H594" s="29" t="s">
        <v>65</v>
      </c>
      <c r="I594" s="38" t="str">
        <f>Assumptions!$I$152</f>
        <v>E</v>
      </c>
      <c r="J594" s="29" t="str">
        <f>IF(D594&lt;=Assumptions!$V$152,"Low",IF(D594&lt;=Assumptions!$W$152,"Mid","High"))</f>
        <v>Low</v>
      </c>
      <c r="K594" s="51">
        <f>Assumptions!$Q$152</f>
        <v>2613</v>
      </c>
      <c r="L594" s="52">
        <f>INDEX(Assumptions!$D$61:$D$90,D594)</f>
        <v>2912.3680952380951</v>
      </c>
      <c r="M594" s="53">
        <f>IF(D594&lt;=Assumptions!$G$152,Assumptions!$AK$152,IF(D594&lt;Assumptions!$AH$152,Assumptions!$AK$152+(Assumptions!$AL$152-Assumptions!$AK$152)*(D594-Assumptions!$G$152)/(Assumptions!$AH$152-Assumptions!$G$152),IF(D594&lt;Assumptions!$P$152,Assumptions!$AL$152+(Assumptions!$AM$152-Assumptions!$AL$152)*(D594-Assumptions!$AH$152)/(Assumptions!$P$152-Assumptions!$AH$152),Assumptions!$AM$152)))</f>
        <v>-50000</v>
      </c>
      <c r="N594" s="54">
        <f t="shared" si="18"/>
        <v>-73.746312684365776</v>
      </c>
      <c r="O594" s="55">
        <f t="shared" si="19"/>
        <v>2839</v>
      </c>
      <c r="P594" s="29" t="str">
        <f>IF(D594&gt;=Assumptions!$P$152,"High",IF(D594&gt;=Assumptions!$AH$152,"Mid",IF(D594&lt;=Assumptions!$G$152,"Low","Loading")))</f>
        <v>Loading</v>
      </c>
      <c r="Q594" s="39">
        <f>MAX(K594,MIN(Assumptions!$S$152,O594),Q595)</f>
        <v>2839</v>
      </c>
      <c r="R594" s="30">
        <f>IF(AND(Q594&lt;=K594,INDEX(Assumptions!$C$26:$C$36,MATCH(G594,Assumptions!$A$26:$A$36,0))&lt;&gt;""),INDEX(Assumptions!$C$26:$C$36,MATCH(G594,Assumptions!$A$26:$A$36,0)),ROUND(G594*Q594,-2))</f>
        <v>1924800</v>
      </c>
      <c r="S594" s="56" t="str">
        <f>TRIM(IF(AND(Assumptions!$L$152&lt;&gt;"",D594&lt;Assumptions!$L$152),"View blocked / roof in front ("&amp;Assumptions!$M$152&amp;"); view premium still loading until L"&amp;Assumptions!$L$152&amp;". ","")&amp;IF(D594=Assumptions!$AH$152,"Mid-floor view premium fully loaded. ","")&amp;IF(D594=Assumptions!$P$152,"High-floor view premium fully loaded. ","")&amp;IF(Q594&lt;=K594,"At developer starting price.",""))</f>
        <v/>
      </c>
      <c r="T594" s="57" t="str">
        <f>Assumptions!$AJ$152</f>
        <v>NE. Pool view towards Thomson Three &amp; Sin Ming HDB; Olive Lounge in front of low floors</v>
      </c>
    </row>
    <row r="595" spans="1:20" x14ac:dyDescent="0.2">
      <c r="A595" s="49" t="s">
        <v>742</v>
      </c>
      <c r="B595" s="29">
        <v>5</v>
      </c>
      <c r="C595" s="50">
        <v>26</v>
      </c>
      <c r="D595" s="50">
        <v>4</v>
      </c>
      <c r="E595" s="27" t="s">
        <v>43</v>
      </c>
      <c r="F595" s="29" t="s">
        <v>716</v>
      </c>
      <c r="G595" s="28">
        <v>678</v>
      </c>
      <c r="H595" s="29" t="s">
        <v>65</v>
      </c>
      <c r="I595" s="38" t="str">
        <f>Assumptions!$I$152</f>
        <v>E</v>
      </c>
      <c r="J595" s="29" t="str">
        <f>IF(D595&lt;=Assumptions!$V$152,"Low",IF(D595&lt;=Assumptions!$W$152,"Mid","High"))</f>
        <v>Low</v>
      </c>
      <c r="K595" s="51">
        <f>Assumptions!$Q$152</f>
        <v>2613</v>
      </c>
      <c r="L595" s="52">
        <f>INDEX(Assumptions!$D$61:$D$90,D595)</f>
        <v>2893.1633333333334</v>
      </c>
      <c r="M595" s="53">
        <f>IF(D595&lt;=Assumptions!$G$152,Assumptions!$AK$152,IF(D595&lt;Assumptions!$AH$152,Assumptions!$AK$152+(Assumptions!$AL$152-Assumptions!$AK$152)*(D595-Assumptions!$G$152)/(Assumptions!$AH$152-Assumptions!$G$152),IF(D595&lt;Assumptions!$P$152,Assumptions!$AL$152+(Assumptions!$AM$152-Assumptions!$AL$152)*(D595-Assumptions!$AH$152)/(Assumptions!$P$152-Assumptions!$AH$152),Assumptions!$AM$152)))</f>
        <v>-50000</v>
      </c>
      <c r="N595" s="54">
        <f t="shared" si="18"/>
        <v>-73.746312684365776</v>
      </c>
      <c r="O595" s="55">
        <f t="shared" si="19"/>
        <v>2819</v>
      </c>
      <c r="P595" s="29" t="str">
        <f>IF(D595&gt;=Assumptions!$P$152,"High",IF(D595&gt;=Assumptions!$AH$152,"Mid",IF(D595&lt;=Assumptions!$G$152,"Low","Loading")))</f>
        <v>Loading</v>
      </c>
      <c r="Q595" s="39">
        <f>MAX(K595,MIN(Assumptions!$S$152,O595),Q596)</f>
        <v>2819</v>
      </c>
      <c r="R595" s="30">
        <f>IF(AND(Q595&lt;=K595,INDEX(Assumptions!$C$26:$C$36,MATCH(G595,Assumptions!$A$26:$A$36,0))&lt;&gt;""),INDEX(Assumptions!$C$26:$C$36,MATCH(G595,Assumptions!$A$26:$A$36,0)),ROUND(G595*Q595,-2))</f>
        <v>1911300</v>
      </c>
      <c r="S595" s="56" t="str">
        <f>TRIM(IF(AND(Assumptions!$L$152&lt;&gt;"",D595&lt;Assumptions!$L$152),"View blocked / roof in front ("&amp;Assumptions!$M$152&amp;"); view premium still loading until L"&amp;Assumptions!$L$152&amp;". ","")&amp;IF(D595=Assumptions!$AH$152,"Mid-floor view premium fully loaded. ","")&amp;IF(D595=Assumptions!$P$152,"High-floor view premium fully loaded. ","")&amp;IF(Q595&lt;=K595,"At developer starting price.",""))</f>
        <v/>
      </c>
      <c r="T595" s="57" t="str">
        <f>Assumptions!$AJ$152</f>
        <v>NE. Pool view towards Thomson Three &amp; Sin Ming HDB; Olive Lounge in front of low floors</v>
      </c>
    </row>
    <row r="596" spans="1:20" x14ac:dyDescent="0.2">
      <c r="A596" s="49" t="s">
        <v>743</v>
      </c>
      <c r="B596" s="29">
        <v>5</v>
      </c>
      <c r="C596" s="50">
        <v>26</v>
      </c>
      <c r="D596" s="50">
        <v>3</v>
      </c>
      <c r="E596" s="27" t="s">
        <v>43</v>
      </c>
      <c r="F596" s="29" t="s">
        <v>716</v>
      </c>
      <c r="G596" s="28">
        <v>678</v>
      </c>
      <c r="H596" s="29" t="s">
        <v>65</v>
      </c>
      <c r="I596" s="38" t="str">
        <f>Assumptions!$I$152</f>
        <v>E</v>
      </c>
      <c r="J596" s="29" t="str">
        <f>IF(D596&lt;=Assumptions!$V$152,"Low",IF(D596&lt;=Assumptions!$W$152,"Mid","High"))</f>
        <v>Low</v>
      </c>
      <c r="K596" s="51">
        <f>Assumptions!$Q$152</f>
        <v>2613</v>
      </c>
      <c r="L596" s="52">
        <f>INDEX(Assumptions!$D$61:$D$90,D596)</f>
        <v>2873.9585714285713</v>
      </c>
      <c r="M596" s="53">
        <f>IF(D596&lt;=Assumptions!$G$152,Assumptions!$AK$152,IF(D596&lt;Assumptions!$AH$152,Assumptions!$AK$152+(Assumptions!$AL$152-Assumptions!$AK$152)*(D596-Assumptions!$G$152)/(Assumptions!$AH$152-Assumptions!$G$152),IF(D596&lt;Assumptions!$P$152,Assumptions!$AL$152+(Assumptions!$AM$152-Assumptions!$AL$152)*(D596-Assumptions!$AH$152)/(Assumptions!$P$152-Assumptions!$AH$152),Assumptions!$AM$152)))</f>
        <v>-50000</v>
      </c>
      <c r="N596" s="54">
        <f t="shared" si="18"/>
        <v>-73.746312684365776</v>
      </c>
      <c r="O596" s="55">
        <f t="shared" si="19"/>
        <v>2800</v>
      </c>
      <c r="P596" s="29" t="str">
        <f>IF(D596&gt;=Assumptions!$P$152,"High",IF(D596&gt;=Assumptions!$AH$152,"Mid",IF(D596&lt;=Assumptions!$G$152,"Low","Loading")))</f>
        <v>Loading</v>
      </c>
      <c r="Q596" s="39">
        <f>MAX(K596,MIN(Assumptions!$S$152,O596),Q597)</f>
        <v>2800</v>
      </c>
      <c r="R596" s="30">
        <f>IF(AND(Q596&lt;=K596,INDEX(Assumptions!$C$26:$C$36,MATCH(G596,Assumptions!$A$26:$A$36,0))&lt;&gt;""),INDEX(Assumptions!$C$26:$C$36,MATCH(G596,Assumptions!$A$26:$A$36,0)),ROUND(G596*Q596,-2))</f>
        <v>1898400</v>
      </c>
      <c r="S596" s="56" t="str">
        <f>TRIM(IF(AND(Assumptions!$L$152&lt;&gt;"",D596&lt;Assumptions!$L$152),"View blocked / roof in front ("&amp;Assumptions!$M$152&amp;"); view premium still loading until L"&amp;Assumptions!$L$152&amp;". ","")&amp;IF(D596=Assumptions!$AH$152,"Mid-floor view premium fully loaded. ","")&amp;IF(D596=Assumptions!$P$152,"High-floor view premium fully loaded. ","")&amp;IF(Q596&lt;=K596,"At developer starting price.",""))</f>
        <v/>
      </c>
      <c r="T596" s="57" t="str">
        <f>Assumptions!$AJ$152</f>
        <v>NE. Pool view towards Thomson Three &amp; Sin Ming HDB; Olive Lounge in front of low floors</v>
      </c>
    </row>
    <row r="597" spans="1:20" x14ac:dyDescent="0.2">
      <c r="A597" s="49" t="s">
        <v>744</v>
      </c>
      <c r="B597" s="29">
        <v>5</v>
      </c>
      <c r="C597" s="50">
        <v>26</v>
      </c>
      <c r="D597" s="50">
        <v>2</v>
      </c>
      <c r="E597" s="27" t="s">
        <v>43</v>
      </c>
      <c r="F597" s="29" t="s">
        <v>716</v>
      </c>
      <c r="G597" s="28">
        <v>678</v>
      </c>
      <c r="H597" s="29" t="s">
        <v>65</v>
      </c>
      <c r="I597" s="38" t="str">
        <f>Assumptions!$I$152</f>
        <v>E</v>
      </c>
      <c r="J597" s="29" t="str">
        <f>IF(D597&lt;=Assumptions!$V$152,"Low",IF(D597&lt;=Assumptions!$W$152,"Mid","High"))</f>
        <v>Low</v>
      </c>
      <c r="K597" s="51">
        <f>Assumptions!$Q$152</f>
        <v>2613</v>
      </c>
      <c r="L597" s="52">
        <f>INDEX(Assumptions!$D$61:$D$90,D597)</f>
        <v>2854.7538095238097</v>
      </c>
      <c r="M597" s="53">
        <f>IF(D597&lt;=Assumptions!$G$152,Assumptions!$AK$152,IF(D597&lt;Assumptions!$AH$152,Assumptions!$AK$152+(Assumptions!$AL$152-Assumptions!$AK$152)*(D597-Assumptions!$G$152)/(Assumptions!$AH$152-Assumptions!$G$152),IF(D597&lt;Assumptions!$P$152,Assumptions!$AL$152+(Assumptions!$AM$152-Assumptions!$AL$152)*(D597-Assumptions!$AH$152)/(Assumptions!$P$152-Assumptions!$AH$152),Assumptions!$AM$152)))</f>
        <v>-50000</v>
      </c>
      <c r="N597" s="54">
        <f t="shared" si="18"/>
        <v>-73.746312684365776</v>
      </c>
      <c r="O597" s="55">
        <f t="shared" si="19"/>
        <v>2781</v>
      </c>
      <c r="P597" s="29" t="str">
        <f>IF(D597&gt;=Assumptions!$P$152,"High",IF(D597&gt;=Assumptions!$AH$152,"Mid",IF(D597&lt;=Assumptions!$G$152,"Low","Loading")))</f>
        <v>Loading</v>
      </c>
      <c r="Q597" s="39">
        <f>MAX(K597,MIN(Assumptions!$S$152,O597),Q598)</f>
        <v>2781</v>
      </c>
      <c r="R597" s="30">
        <f>IF(AND(Q597&lt;=K597,INDEX(Assumptions!$C$26:$C$36,MATCH(G597,Assumptions!$A$26:$A$36,0))&lt;&gt;""),INDEX(Assumptions!$C$26:$C$36,MATCH(G597,Assumptions!$A$26:$A$36,0)),ROUND(G597*Q597,-2))</f>
        <v>1885500</v>
      </c>
      <c r="S597" s="56" t="str">
        <f>TRIM(IF(AND(Assumptions!$L$152&lt;&gt;"",D597&lt;Assumptions!$L$152),"View blocked / roof in front ("&amp;Assumptions!$M$152&amp;"); view premium still loading until L"&amp;Assumptions!$L$152&amp;". ","")&amp;IF(D597=Assumptions!$AH$152,"Mid-floor view premium fully loaded. ","")&amp;IF(D597=Assumptions!$P$152,"High-floor view premium fully loaded. ","")&amp;IF(Q597&lt;=K597,"At developer starting price.",""))</f>
        <v/>
      </c>
      <c r="T597" s="57" t="str">
        <f>Assumptions!$AJ$152</f>
        <v>NE. Pool view towards Thomson Three &amp; Sin Ming HDB; Olive Lounge in front of low floors</v>
      </c>
    </row>
    <row r="598" spans="1:20" x14ac:dyDescent="0.2">
      <c r="A598" s="49" t="s">
        <v>745</v>
      </c>
      <c r="B598" s="29">
        <v>5</v>
      </c>
      <c r="C598" s="50">
        <v>26</v>
      </c>
      <c r="D598" s="50">
        <v>1</v>
      </c>
      <c r="E598" s="27" t="s">
        <v>43</v>
      </c>
      <c r="F598" s="29" t="s">
        <v>746</v>
      </c>
      <c r="G598" s="28">
        <v>678</v>
      </c>
      <c r="H598" s="29" t="s">
        <v>65</v>
      </c>
      <c r="I598" s="38" t="str">
        <f>Assumptions!$I$152</f>
        <v>E</v>
      </c>
      <c r="J598" s="29" t="str">
        <f>IF(D598&lt;=Assumptions!$V$152,"Low",IF(D598&lt;=Assumptions!$W$152,"Mid","High"))</f>
        <v>Low</v>
      </c>
      <c r="K598" s="51">
        <f>Assumptions!$Q$152</f>
        <v>2613</v>
      </c>
      <c r="L598" s="52">
        <f>INDEX(Assumptions!$D$61:$D$90,D598)</f>
        <v>2835.5490476190475</v>
      </c>
      <c r="M598" s="53">
        <f>IF(D598&lt;=Assumptions!$G$152,Assumptions!$AK$152,IF(D598&lt;Assumptions!$AH$152,Assumptions!$AK$152+(Assumptions!$AL$152-Assumptions!$AK$152)*(D598-Assumptions!$G$152)/(Assumptions!$AH$152-Assumptions!$G$152),IF(D598&lt;Assumptions!$P$152,Assumptions!$AL$152+(Assumptions!$AM$152-Assumptions!$AL$152)*(D598-Assumptions!$AH$152)/(Assumptions!$P$152-Assumptions!$AH$152),Assumptions!$AM$152)))</f>
        <v>-50000</v>
      </c>
      <c r="N598" s="54">
        <f t="shared" si="18"/>
        <v>-73.746312684365776</v>
      </c>
      <c r="O598" s="55">
        <f t="shared" si="19"/>
        <v>2762</v>
      </c>
      <c r="P598" s="29" t="str">
        <f>IF(D598&gt;=Assumptions!$P$152,"High",IF(D598&gt;=Assumptions!$AH$152,"Mid",IF(D598&lt;=Assumptions!$G$152,"Low","Loading")))</f>
        <v>Low</v>
      </c>
      <c r="Q598" s="39">
        <f>MAX(K598,MIN(Assumptions!$S$152,O598))</f>
        <v>2762</v>
      </c>
      <c r="R598" s="30">
        <f>IF(AND(Q598&lt;=K598,INDEX(Assumptions!$C$26:$C$36,MATCH(G598,Assumptions!$A$26:$A$36,0))&lt;&gt;""),INDEX(Assumptions!$C$26:$C$36,MATCH(G598,Assumptions!$A$26:$A$36,0)),ROUND(G598*Q598,-2))</f>
        <v>1872600</v>
      </c>
      <c r="S598" s="56" t="str">
        <f>TRIM(IF(AND(Assumptions!$L$152&lt;&gt;"",D598&lt;Assumptions!$L$152),"View blocked / roof in front ("&amp;Assumptions!$M$152&amp;"); view premium still loading until L"&amp;Assumptions!$L$152&amp;". ","")&amp;IF(D598=Assumptions!$AH$152,"Mid-floor view premium fully loaded. ","")&amp;IF(D598=Assumptions!$P$152,"High-floor view premium fully loaded. ","")&amp;IF(Q598&lt;=K598,"At developer starting price.",""))</f>
        <v/>
      </c>
      <c r="T598" s="57" t="str">
        <f>Assumptions!$AJ$152</f>
        <v>NE. Pool view towards Thomson Three &amp; Sin Ming HDB; Olive Lounge in front of low floors</v>
      </c>
    </row>
    <row r="599" spans="1:20" x14ac:dyDescent="0.2">
      <c r="A599" s="49" t="s">
        <v>747</v>
      </c>
      <c r="B599" s="29">
        <v>5</v>
      </c>
      <c r="C599" s="50">
        <v>27</v>
      </c>
      <c r="D599" s="50">
        <v>30</v>
      </c>
      <c r="E599" s="27" t="s">
        <v>48</v>
      </c>
      <c r="F599" s="29" t="s">
        <v>748</v>
      </c>
      <c r="G599" s="28">
        <v>1238</v>
      </c>
      <c r="H599" s="29" t="s">
        <v>65</v>
      </c>
      <c r="I599" s="38" t="str">
        <f>Assumptions!$I$153</f>
        <v>A</v>
      </c>
      <c r="J599" s="29" t="str">
        <f>IF(D599&lt;=Assumptions!$V$153,"Low",IF(D599&lt;=Assumptions!$W$153,"Mid","High"))</f>
        <v>High</v>
      </c>
      <c r="K599" s="51">
        <f>Assumptions!$Q$153</f>
        <v>2737</v>
      </c>
      <c r="L599" s="52">
        <f>INDEX(Assumptions!$O$61:$O$90,D599)</f>
        <v>3330.9357894736841</v>
      </c>
      <c r="M599" s="53">
        <f>IF(D599&lt;=Assumptions!$G$153,Assumptions!$AK$153,IF(D599&lt;Assumptions!$AH$153,Assumptions!$AK$153+(Assumptions!$AL$153-Assumptions!$AK$153)*(D599-Assumptions!$G$153)/(Assumptions!$AH$153-Assumptions!$G$153),IF(D599&lt;Assumptions!$P$153,Assumptions!$AL$153+(Assumptions!$AM$153-Assumptions!$AL$153)*(D599-Assumptions!$AH$153)/(Assumptions!$P$153-Assumptions!$AH$153),Assumptions!$AM$153)))</f>
        <v>0</v>
      </c>
      <c r="N599" s="54">
        <f t="shared" si="18"/>
        <v>0</v>
      </c>
      <c r="O599" s="55">
        <f t="shared" si="19"/>
        <v>3331</v>
      </c>
      <c r="P599" s="29" t="str">
        <f>IF(D599&gt;=Assumptions!$P$153,"High",IF(D599&gt;=Assumptions!$AH$153,"Mid",IF(D599&lt;=Assumptions!$G$153,"Low","Loading")))</f>
        <v>High</v>
      </c>
      <c r="Q599" s="39">
        <f>MAX(K599,MIN(Assumptions!$S$153,O599),Q600)</f>
        <v>3331</v>
      </c>
      <c r="R599" s="30">
        <f>IF(AND(Q599&lt;=K599,INDEX(Assumptions!$C$26:$C$36,MATCH(G599,Assumptions!$A$26:$A$36,0))&lt;&gt;""),INDEX(Assumptions!$C$26:$C$36,MATCH(G599,Assumptions!$A$26:$A$36,0)),ROUND(G599*Q599,-2))</f>
        <v>4123800</v>
      </c>
      <c r="S599" s="56" t="str">
        <f>TRIM(IF(AND(Assumptions!$L$153&lt;&gt;"",D599&lt;Assumptions!$L$153),"View blocked / roof in front ("&amp;Assumptions!$M$153&amp;"); view premium still loading until L"&amp;Assumptions!$L$153&amp;". ","")&amp;IF(D599=Assumptions!$AH$153,"Mid-floor view premium fully loaded. ","")&amp;IF(D599=Assumptions!$P$153,"High-floor view premium fully loaded. ","")&amp;IF(Q599&lt;=K599,"At developer starting price.",""))</f>
        <v/>
      </c>
      <c r="T599" s="57" t="str">
        <f>Assumptions!$AJ$153</f>
        <v>SE: no afternoon sun. 171m pool &amp; landscape, nature reserve + landed; Luxury block. Most premium 4BR stack</v>
      </c>
    </row>
    <row r="600" spans="1:20" x14ac:dyDescent="0.2">
      <c r="A600" s="49" t="s">
        <v>749</v>
      </c>
      <c r="B600" s="29">
        <v>5</v>
      </c>
      <c r="C600" s="50">
        <v>27</v>
      </c>
      <c r="D600" s="50">
        <v>29</v>
      </c>
      <c r="E600" s="27" t="s">
        <v>48</v>
      </c>
      <c r="F600" s="29" t="s">
        <v>748</v>
      </c>
      <c r="G600" s="28">
        <v>1238</v>
      </c>
      <c r="H600" s="29" t="s">
        <v>65</v>
      </c>
      <c r="I600" s="38" t="str">
        <f>Assumptions!$I$153</f>
        <v>A</v>
      </c>
      <c r="J600" s="29" t="str">
        <f>IF(D600&lt;=Assumptions!$V$153,"Low",IF(D600&lt;=Assumptions!$W$153,"Mid","High"))</f>
        <v>High</v>
      </c>
      <c r="K600" s="51">
        <f>Assumptions!$Q$153</f>
        <v>2737</v>
      </c>
      <c r="L600" s="52">
        <f>INDEX(Assumptions!$O$61:$O$90,D600)</f>
        <v>3308.9989473684209</v>
      </c>
      <c r="M600" s="53">
        <f>IF(D600&lt;=Assumptions!$G$153,Assumptions!$AK$153,IF(D600&lt;Assumptions!$AH$153,Assumptions!$AK$153+(Assumptions!$AL$153-Assumptions!$AK$153)*(D600-Assumptions!$G$153)/(Assumptions!$AH$153-Assumptions!$G$153),IF(D600&lt;Assumptions!$P$153,Assumptions!$AL$153+(Assumptions!$AM$153-Assumptions!$AL$153)*(D600-Assumptions!$AH$153)/(Assumptions!$P$153-Assumptions!$AH$153),Assumptions!$AM$153)))</f>
        <v>0</v>
      </c>
      <c r="N600" s="54">
        <f t="shared" si="18"/>
        <v>0</v>
      </c>
      <c r="O600" s="55">
        <f t="shared" si="19"/>
        <v>3309</v>
      </c>
      <c r="P600" s="29" t="str">
        <f>IF(D600&gt;=Assumptions!$P$153,"High",IF(D600&gt;=Assumptions!$AH$153,"Mid",IF(D600&lt;=Assumptions!$G$153,"Low","Loading")))</f>
        <v>High</v>
      </c>
      <c r="Q600" s="39">
        <f>MAX(K600,MIN(Assumptions!$S$153,O600),Q601)</f>
        <v>3309</v>
      </c>
      <c r="R600" s="30">
        <f>IF(AND(Q600&lt;=K600,INDEX(Assumptions!$C$26:$C$36,MATCH(G600,Assumptions!$A$26:$A$36,0))&lt;&gt;""),INDEX(Assumptions!$C$26:$C$36,MATCH(G600,Assumptions!$A$26:$A$36,0)),ROUND(G600*Q600,-2))</f>
        <v>4096500</v>
      </c>
      <c r="S600" s="56" t="str">
        <f>TRIM(IF(AND(Assumptions!$L$153&lt;&gt;"",D600&lt;Assumptions!$L$153),"View blocked / roof in front ("&amp;Assumptions!$M$153&amp;"); view premium still loading until L"&amp;Assumptions!$L$153&amp;". ","")&amp;IF(D600=Assumptions!$AH$153,"Mid-floor view premium fully loaded. ","")&amp;IF(D600=Assumptions!$P$153,"High-floor view premium fully loaded. ","")&amp;IF(Q600&lt;=K600,"At developer starting price.",""))</f>
        <v/>
      </c>
      <c r="T600" s="57" t="str">
        <f>Assumptions!$AJ$153</f>
        <v>SE: no afternoon sun. 171m pool &amp; landscape, nature reserve + landed; Luxury block. Most premium 4BR stack</v>
      </c>
    </row>
    <row r="601" spans="1:20" x14ac:dyDescent="0.2">
      <c r="A601" s="49" t="s">
        <v>750</v>
      </c>
      <c r="B601" s="29">
        <v>5</v>
      </c>
      <c r="C601" s="50">
        <v>27</v>
      </c>
      <c r="D601" s="50">
        <v>28</v>
      </c>
      <c r="E601" s="27" t="s">
        <v>48</v>
      </c>
      <c r="F601" s="29" t="s">
        <v>748</v>
      </c>
      <c r="G601" s="28">
        <v>1238</v>
      </c>
      <c r="H601" s="29" t="s">
        <v>65</v>
      </c>
      <c r="I601" s="38" t="str">
        <f>Assumptions!$I$153</f>
        <v>A</v>
      </c>
      <c r="J601" s="29" t="str">
        <f>IF(D601&lt;=Assumptions!$V$153,"Low",IF(D601&lt;=Assumptions!$W$153,"Mid","High"))</f>
        <v>High</v>
      </c>
      <c r="K601" s="51">
        <f>Assumptions!$Q$153</f>
        <v>2737</v>
      </c>
      <c r="L601" s="52">
        <f>INDEX(Assumptions!$O$61:$O$90,D601)</f>
        <v>3287.0621052631577</v>
      </c>
      <c r="M601" s="53">
        <f>IF(D601&lt;=Assumptions!$G$153,Assumptions!$AK$153,IF(D601&lt;Assumptions!$AH$153,Assumptions!$AK$153+(Assumptions!$AL$153-Assumptions!$AK$153)*(D601-Assumptions!$G$153)/(Assumptions!$AH$153-Assumptions!$G$153),IF(D601&lt;Assumptions!$P$153,Assumptions!$AL$153+(Assumptions!$AM$153-Assumptions!$AL$153)*(D601-Assumptions!$AH$153)/(Assumptions!$P$153-Assumptions!$AH$153),Assumptions!$AM$153)))</f>
        <v>0</v>
      </c>
      <c r="N601" s="54">
        <f t="shared" si="18"/>
        <v>0</v>
      </c>
      <c r="O601" s="55">
        <f t="shared" si="19"/>
        <v>3287</v>
      </c>
      <c r="P601" s="29" t="str">
        <f>IF(D601&gt;=Assumptions!$P$153,"High",IF(D601&gt;=Assumptions!$AH$153,"Mid",IF(D601&lt;=Assumptions!$G$153,"Low","Loading")))</f>
        <v>High</v>
      </c>
      <c r="Q601" s="39">
        <f>MAX(K601,MIN(Assumptions!$S$153,O601),Q602)</f>
        <v>3287</v>
      </c>
      <c r="R601" s="30">
        <f>IF(AND(Q601&lt;=K601,INDEX(Assumptions!$C$26:$C$36,MATCH(G601,Assumptions!$A$26:$A$36,0))&lt;&gt;""),INDEX(Assumptions!$C$26:$C$36,MATCH(G601,Assumptions!$A$26:$A$36,0)),ROUND(G601*Q601,-2))</f>
        <v>4069300</v>
      </c>
      <c r="S601" s="56" t="str">
        <f>TRIM(IF(AND(Assumptions!$L$153&lt;&gt;"",D601&lt;Assumptions!$L$153),"View blocked / roof in front ("&amp;Assumptions!$M$153&amp;"); view premium still loading until L"&amp;Assumptions!$L$153&amp;". ","")&amp;IF(D601=Assumptions!$AH$153,"Mid-floor view premium fully loaded. ","")&amp;IF(D601=Assumptions!$P$153,"High-floor view premium fully loaded. ","")&amp;IF(Q601&lt;=K601,"At developer starting price.",""))</f>
        <v/>
      </c>
      <c r="T601" s="57" t="str">
        <f>Assumptions!$AJ$153</f>
        <v>SE: no afternoon sun. 171m pool &amp; landscape, nature reserve + landed; Luxury block. Most premium 4BR stack</v>
      </c>
    </row>
    <row r="602" spans="1:20" x14ac:dyDescent="0.2">
      <c r="A602" s="49" t="s">
        <v>751</v>
      </c>
      <c r="B602" s="29">
        <v>5</v>
      </c>
      <c r="C602" s="50">
        <v>27</v>
      </c>
      <c r="D602" s="50">
        <v>27</v>
      </c>
      <c r="E602" s="27" t="s">
        <v>48</v>
      </c>
      <c r="F602" s="29" t="s">
        <v>748</v>
      </c>
      <c r="G602" s="28">
        <v>1238</v>
      </c>
      <c r="H602" s="29" t="s">
        <v>65</v>
      </c>
      <c r="I602" s="38" t="str">
        <f>Assumptions!$I$153</f>
        <v>A</v>
      </c>
      <c r="J602" s="29" t="str">
        <f>IF(D602&lt;=Assumptions!$V$153,"Low",IF(D602&lt;=Assumptions!$W$153,"Mid","High"))</f>
        <v>High</v>
      </c>
      <c r="K602" s="51">
        <f>Assumptions!$Q$153</f>
        <v>2737</v>
      </c>
      <c r="L602" s="52">
        <f>INDEX(Assumptions!$O$61:$O$90,D602)</f>
        <v>3265.1252631578946</v>
      </c>
      <c r="M602" s="53">
        <f>IF(D602&lt;=Assumptions!$G$153,Assumptions!$AK$153,IF(D602&lt;Assumptions!$AH$153,Assumptions!$AK$153+(Assumptions!$AL$153-Assumptions!$AK$153)*(D602-Assumptions!$G$153)/(Assumptions!$AH$153-Assumptions!$G$153),IF(D602&lt;Assumptions!$P$153,Assumptions!$AL$153+(Assumptions!$AM$153-Assumptions!$AL$153)*(D602-Assumptions!$AH$153)/(Assumptions!$P$153-Assumptions!$AH$153),Assumptions!$AM$153)))</f>
        <v>0</v>
      </c>
      <c r="N602" s="54">
        <f t="shared" si="18"/>
        <v>0</v>
      </c>
      <c r="O602" s="55">
        <f t="shared" si="19"/>
        <v>3265</v>
      </c>
      <c r="P602" s="29" t="str">
        <f>IF(D602&gt;=Assumptions!$P$153,"High",IF(D602&gt;=Assumptions!$AH$153,"Mid",IF(D602&lt;=Assumptions!$G$153,"Low","Loading")))</f>
        <v>High</v>
      </c>
      <c r="Q602" s="39">
        <f>MAX(K602,MIN(Assumptions!$S$153,O602),Q603)</f>
        <v>3265</v>
      </c>
      <c r="R602" s="30">
        <f>IF(AND(Q602&lt;=K602,INDEX(Assumptions!$C$26:$C$36,MATCH(G602,Assumptions!$A$26:$A$36,0))&lt;&gt;""),INDEX(Assumptions!$C$26:$C$36,MATCH(G602,Assumptions!$A$26:$A$36,0)),ROUND(G602*Q602,-2))</f>
        <v>4042100</v>
      </c>
      <c r="S602" s="56" t="str">
        <f>TRIM(IF(AND(Assumptions!$L$153&lt;&gt;"",D602&lt;Assumptions!$L$153),"View blocked / roof in front ("&amp;Assumptions!$M$153&amp;"); view premium still loading until L"&amp;Assumptions!$L$153&amp;". ","")&amp;IF(D602=Assumptions!$AH$153,"Mid-floor view premium fully loaded. ","")&amp;IF(D602=Assumptions!$P$153,"High-floor view premium fully loaded. ","")&amp;IF(Q602&lt;=K602,"At developer starting price.",""))</f>
        <v/>
      </c>
      <c r="T602" s="57" t="str">
        <f>Assumptions!$AJ$153</f>
        <v>SE: no afternoon sun. 171m pool &amp; landscape, nature reserve + landed; Luxury block. Most premium 4BR stack</v>
      </c>
    </row>
    <row r="603" spans="1:20" x14ac:dyDescent="0.2">
      <c r="A603" s="49" t="s">
        <v>752</v>
      </c>
      <c r="B603" s="29">
        <v>5</v>
      </c>
      <c r="C603" s="50">
        <v>27</v>
      </c>
      <c r="D603" s="50">
        <v>26</v>
      </c>
      <c r="E603" s="27" t="s">
        <v>48</v>
      </c>
      <c r="F603" s="29" t="s">
        <v>748</v>
      </c>
      <c r="G603" s="28">
        <v>1238</v>
      </c>
      <c r="H603" s="29" t="s">
        <v>65</v>
      </c>
      <c r="I603" s="38" t="str">
        <f>Assumptions!$I$153</f>
        <v>A</v>
      </c>
      <c r="J603" s="29" t="str">
        <f>IF(D603&lt;=Assumptions!$V$153,"Low",IF(D603&lt;=Assumptions!$W$153,"Mid","High"))</f>
        <v>High</v>
      </c>
      <c r="K603" s="51">
        <f>Assumptions!$Q$153</f>
        <v>2737</v>
      </c>
      <c r="L603" s="52">
        <f>INDEX(Assumptions!$O$61:$O$90,D603)</f>
        <v>3243.1884210526314</v>
      </c>
      <c r="M603" s="53">
        <f>IF(D603&lt;=Assumptions!$G$153,Assumptions!$AK$153,IF(D603&lt;Assumptions!$AH$153,Assumptions!$AK$153+(Assumptions!$AL$153-Assumptions!$AK$153)*(D603-Assumptions!$G$153)/(Assumptions!$AH$153-Assumptions!$G$153),IF(D603&lt;Assumptions!$P$153,Assumptions!$AL$153+(Assumptions!$AM$153-Assumptions!$AL$153)*(D603-Assumptions!$AH$153)/(Assumptions!$P$153-Assumptions!$AH$153),Assumptions!$AM$153)))</f>
        <v>0</v>
      </c>
      <c r="N603" s="54">
        <f t="shared" si="18"/>
        <v>0</v>
      </c>
      <c r="O603" s="55">
        <f t="shared" si="19"/>
        <v>3243</v>
      </c>
      <c r="P603" s="29" t="str">
        <f>IF(D603&gt;=Assumptions!$P$153,"High",IF(D603&gt;=Assumptions!$AH$153,"Mid",IF(D603&lt;=Assumptions!$G$153,"Low","Loading")))</f>
        <v>High</v>
      </c>
      <c r="Q603" s="39">
        <f>MAX(K603,MIN(Assumptions!$S$153,O603),Q604)</f>
        <v>3243</v>
      </c>
      <c r="R603" s="30">
        <f>IF(AND(Q603&lt;=K603,INDEX(Assumptions!$C$26:$C$36,MATCH(G603,Assumptions!$A$26:$A$36,0))&lt;&gt;""),INDEX(Assumptions!$C$26:$C$36,MATCH(G603,Assumptions!$A$26:$A$36,0)),ROUND(G603*Q603,-2))</f>
        <v>4014800</v>
      </c>
      <c r="S603" s="56" t="str">
        <f>TRIM(IF(AND(Assumptions!$L$153&lt;&gt;"",D603&lt;Assumptions!$L$153),"View blocked / roof in front ("&amp;Assumptions!$M$153&amp;"); view premium still loading until L"&amp;Assumptions!$L$153&amp;". ","")&amp;IF(D603=Assumptions!$AH$153,"Mid-floor view premium fully loaded. ","")&amp;IF(D603=Assumptions!$P$153,"High-floor view premium fully loaded. ","")&amp;IF(Q603&lt;=K603,"At developer starting price.",""))</f>
        <v/>
      </c>
      <c r="T603" s="57" t="str">
        <f>Assumptions!$AJ$153</f>
        <v>SE: no afternoon sun. 171m pool &amp; landscape, nature reserve + landed; Luxury block. Most premium 4BR stack</v>
      </c>
    </row>
    <row r="604" spans="1:20" x14ac:dyDescent="0.2">
      <c r="A604" s="49" t="s">
        <v>753</v>
      </c>
      <c r="B604" s="29">
        <v>5</v>
      </c>
      <c r="C604" s="50">
        <v>27</v>
      </c>
      <c r="D604" s="50">
        <v>25</v>
      </c>
      <c r="E604" s="27" t="s">
        <v>48</v>
      </c>
      <c r="F604" s="29" t="s">
        <v>748</v>
      </c>
      <c r="G604" s="28">
        <v>1238</v>
      </c>
      <c r="H604" s="29" t="s">
        <v>65</v>
      </c>
      <c r="I604" s="38" t="str">
        <f>Assumptions!$I$153</f>
        <v>A</v>
      </c>
      <c r="J604" s="29" t="str">
        <f>IF(D604&lt;=Assumptions!$V$153,"Low",IF(D604&lt;=Assumptions!$W$153,"Mid","High"))</f>
        <v>High</v>
      </c>
      <c r="K604" s="51">
        <f>Assumptions!$Q$153</f>
        <v>2737</v>
      </c>
      <c r="L604" s="52">
        <f>INDEX(Assumptions!$O$61:$O$90,D604)</f>
        <v>3221.2515789473682</v>
      </c>
      <c r="M604" s="53">
        <f>IF(D604&lt;=Assumptions!$G$153,Assumptions!$AK$153,IF(D604&lt;Assumptions!$AH$153,Assumptions!$AK$153+(Assumptions!$AL$153-Assumptions!$AK$153)*(D604-Assumptions!$G$153)/(Assumptions!$AH$153-Assumptions!$G$153),IF(D604&lt;Assumptions!$P$153,Assumptions!$AL$153+(Assumptions!$AM$153-Assumptions!$AL$153)*(D604-Assumptions!$AH$153)/(Assumptions!$P$153-Assumptions!$AH$153),Assumptions!$AM$153)))</f>
        <v>0</v>
      </c>
      <c r="N604" s="54">
        <f t="shared" si="18"/>
        <v>0</v>
      </c>
      <c r="O604" s="55">
        <f t="shared" si="19"/>
        <v>3221</v>
      </c>
      <c r="P604" s="29" t="str">
        <f>IF(D604&gt;=Assumptions!$P$153,"High",IF(D604&gt;=Assumptions!$AH$153,"Mid",IF(D604&lt;=Assumptions!$G$153,"Low","Loading")))</f>
        <v>High</v>
      </c>
      <c r="Q604" s="39">
        <f>MAX(K604,MIN(Assumptions!$S$153,O604),Q605)</f>
        <v>3221</v>
      </c>
      <c r="R604" s="30">
        <f>IF(AND(Q604&lt;=K604,INDEX(Assumptions!$C$26:$C$36,MATCH(G604,Assumptions!$A$26:$A$36,0))&lt;&gt;""),INDEX(Assumptions!$C$26:$C$36,MATCH(G604,Assumptions!$A$26:$A$36,0)),ROUND(G604*Q604,-2))</f>
        <v>3987600</v>
      </c>
      <c r="S604" s="56" t="str">
        <f>TRIM(IF(AND(Assumptions!$L$153&lt;&gt;"",D604&lt;Assumptions!$L$153),"View blocked / roof in front ("&amp;Assumptions!$M$153&amp;"); view premium still loading until L"&amp;Assumptions!$L$153&amp;". ","")&amp;IF(D604=Assumptions!$AH$153,"Mid-floor view premium fully loaded. ","")&amp;IF(D604=Assumptions!$P$153,"High-floor view premium fully loaded. ","")&amp;IF(Q604&lt;=K604,"At developer starting price.",""))</f>
        <v/>
      </c>
      <c r="T604" s="57" t="str">
        <f>Assumptions!$AJ$153</f>
        <v>SE: no afternoon sun. 171m pool &amp; landscape, nature reserve + landed; Luxury block. Most premium 4BR stack</v>
      </c>
    </row>
    <row r="605" spans="1:20" x14ac:dyDescent="0.2">
      <c r="A605" s="49" t="s">
        <v>754</v>
      </c>
      <c r="B605" s="29">
        <v>5</v>
      </c>
      <c r="C605" s="50">
        <v>27</v>
      </c>
      <c r="D605" s="50">
        <v>24</v>
      </c>
      <c r="E605" s="27" t="s">
        <v>48</v>
      </c>
      <c r="F605" s="29" t="s">
        <v>748</v>
      </c>
      <c r="G605" s="28">
        <v>1238</v>
      </c>
      <c r="H605" s="29" t="s">
        <v>65</v>
      </c>
      <c r="I605" s="38" t="str">
        <f>Assumptions!$I$153</f>
        <v>A</v>
      </c>
      <c r="J605" s="29" t="str">
        <f>IF(D605&lt;=Assumptions!$V$153,"Low",IF(D605&lt;=Assumptions!$W$153,"Mid","High"))</f>
        <v>High</v>
      </c>
      <c r="K605" s="51">
        <f>Assumptions!$Q$153</f>
        <v>2737</v>
      </c>
      <c r="L605" s="52">
        <f>INDEX(Assumptions!$O$61:$O$90,D605)</f>
        <v>3199.314736842105</v>
      </c>
      <c r="M605" s="53">
        <f>IF(D605&lt;=Assumptions!$G$153,Assumptions!$AK$153,IF(D605&lt;Assumptions!$AH$153,Assumptions!$AK$153+(Assumptions!$AL$153-Assumptions!$AK$153)*(D605-Assumptions!$G$153)/(Assumptions!$AH$153-Assumptions!$G$153),IF(D605&lt;Assumptions!$P$153,Assumptions!$AL$153+(Assumptions!$AM$153-Assumptions!$AL$153)*(D605-Assumptions!$AH$153)/(Assumptions!$P$153-Assumptions!$AH$153),Assumptions!$AM$153)))</f>
        <v>0</v>
      </c>
      <c r="N605" s="54">
        <f t="shared" si="18"/>
        <v>0</v>
      </c>
      <c r="O605" s="55">
        <f t="shared" si="19"/>
        <v>3199</v>
      </c>
      <c r="P605" s="29" t="str">
        <f>IF(D605&gt;=Assumptions!$P$153,"High",IF(D605&gt;=Assumptions!$AH$153,"Mid",IF(D605&lt;=Assumptions!$G$153,"Low","Loading")))</f>
        <v>High</v>
      </c>
      <c r="Q605" s="39">
        <f>MAX(K605,MIN(Assumptions!$S$153,O605),Q606)</f>
        <v>3199</v>
      </c>
      <c r="R605" s="30">
        <f>IF(AND(Q605&lt;=K605,INDEX(Assumptions!$C$26:$C$36,MATCH(G605,Assumptions!$A$26:$A$36,0))&lt;&gt;""),INDEX(Assumptions!$C$26:$C$36,MATCH(G605,Assumptions!$A$26:$A$36,0)),ROUND(G605*Q605,-2))</f>
        <v>3960400</v>
      </c>
      <c r="S605" s="56" t="str">
        <f>TRIM(IF(AND(Assumptions!$L$153&lt;&gt;"",D605&lt;Assumptions!$L$153),"View blocked / roof in front ("&amp;Assumptions!$M$153&amp;"); view premium still loading until L"&amp;Assumptions!$L$153&amp;". ","")&amp;IF(D605=Assumptions!$AH$153,"Mid-floor view premium fully loaded. ","")&amp;IF(D605=Assumptions!$P$153,"High-floor view premium fully loaded. ","")&amp;IF(Q605&lt;=K605,"At developer starting price.",""))</f>
        <v/>
      </c>
      <c r="T605" s="57" t="str">
        <f>Assumptions!$AJ$153</f>
        <v>SE: no afternoon sun. 171m pool &amp; landscape, nature reserve + landed; Luxury block. Most premium 4BR stack</v>
      </c>
    </row>
    <row r="606" spans="1:20" x14ac:dyDescent="0.2">
      <c r="A606" s="49" t="s">
        <v>755</v>
      </c>
      <c r="B606" s="29">
        <v>5</v>
      </c>
      <c r="C606" s="50">
        <v>27</v>
      </c>
      <c r="D606" s="50">
        <v>23</v>
      </c>
      <c r="E606" s="27" t="s">
        <v>48</v>
      </c>
      <c r="F606" s="29" t="s">
        <v>748</v>
      </c>
      <c r="G606" s="28">
        <v>1238</v>
      </c>
      <c r="H606" s="29" t="s">
        <v>65</v>
      </c>
      <c r="I606" s="38" t="str">
        <f>Assumptions!$I$153</f>
        <v>A</v>
      </c>
      <c r="J606" s="29" t="str">
        <f>IF(D606&lt;=Assumptions!$V$153,"Low",IF(D606&lt;=Assumptions!$W$153,"Mid","High"))</f>
        <v>High</v>
      </c>
      <c r="K606" s="51">
        <f>Assumptions!$Q$153</f>
        <v>2737</v>
      </c>
      <c r="L606" s="52">
        <f>INDEX(Assumptions!$O$61:$O$90,D606)</f>
        <v>3177.3778947368419</v>
      </c>
      <c r="M606" s="53">
        <f>IF(D606&lt;=Assumptions!$G$153,Assumptions!$AK$153,IF(D606&lt;Assumptions!$AH$153,Assumptions!$AK$153+(Assumptions!$AL$153-Assumptions!$AK$153)*(D606-Assumptions!$G$153)/(Assumptions!$AH$153-Assumptions!$G$153),IF(D606&lt;Assumptions!$P$153,Assumptions!$AL$153+(Assumptions!$AM$153-Assumptions!$AL$153)*(D606-Assumptions!$AH$153)/(Assumptions!$P$153-Assumptions!$AH$153),Assumptions!$AM$153)))</f>
        <v>0</v>
      </c>
      <c r="N606" s="54">
        <f t="shared" si="18"/>
        <v>0</v>
      </c>
      <c r="O606" s="55">
        <f t="shared" si="19"/>
        <v>3177</v>
      </c>
      <c r="P606" s="29" t="str">
        <f>IF(D606&gt;=Assumptions!$P$153,"High",IF(D606&gt;=Assumptions!$AH$153,"Mid",IF(D606&lt;=Assumptions!$G$153,"Low","Loading")))</f>
        <v>High</v>
      </c>
      <c r="Q606" s="39">
        <f>MAX(K606,MIN(Assumptions!$S$153,O606),Q607)</f>
        <v>3177</v>
      </c>
      <c r="R606" s="30">
        <f>IF(AND(Q606&lt;=K606,INDEX(Assumptions!$C$26:$C$36,MATCH(G606,Assumptions!$A$26:$A$36,0))&lt;&gt;""),INDEX(Assumptions!$C$26:$C$36,MATCH(G606,Assumptions!$A$26:$A$36,0)),ROUND(G606*Q606,-2))</f>
        <v>3933100</v>
      </c>
      <c r="S606" s="56" t="str">
        <f>TRIM(IF(AND(Assumptions!$L$153&lt;&gt;"",D606&lt;Assumptions!$L$153),"View blocked / roof in front ("&amp;Assumptions!$M$153&amp;"); view premium still loading until L"&amp;Assumptions!$L$153&amp;". ","")&amp;IF(D606=Assumptions!$AH$153,"Mid-floor view premium fully loaded. ","")&amp;IF(D606=Assumptions!$P$153,"High-floor view premium fully loaded. ","")&amp;IF(Q606&lt;=K606,"At developer starting price.",""))</f>
        <v/>
      </c>
      <c r="T606" s="57" t="str">
        <f>Assumptions!$AJ$153</f>
        <v>SE: no afternoon sun. 171m pool &amp; landscape, nature reserve + landed; Luxury block. Most premium 4BR stack</v>
      </c>
    </row>
    <row r="607" spans="1:20" x14ac:dyDescent="0.2">
      <c r="A607" s="49" t="s">
        <v>756</v>
      </c>
      <c r="B607" s="29">
        <v>5</v>
      </c>
      <c r="C607" s="50">
        <v>27</v>
      </c>
      <c r="D607" s="50">
        <v>22</v>
      </c>
      <c r="E607" s="27" t="s">
        <v>48</v>
      </c>
      <c r="F607" s="29" t="s">
        <v>748</v>
      </c>
      <c r="G607" s="28">
        <v>1238</v>
      </c>
      <c r="H607" s="29" t="s">
        <v>65</v>
      </c>
      <c r="I607" s="38" t="str">
        <f>Assumptions!$I$153</f>
        <v>A</v>
      </c>
      <c r="J607" s="29" t="str">
        <f>IF(D607&lt;=Assumptions!$V$153,"Low",IF(D607&lt;=Assumptions!$W$153,"Mid","High"))</f>
        <v>High</v>
      </c>
      <c r="K607" s="51">
        <f>Assumptions!$Q$153</f>
        <v>2737</v>
      </c>
      <c r="L607" s="52">
        <f>INDEX(Assumptions!$O$61:$O$90,D607)</f>
        <v>3155.4410526315787</v>
      </c>
      <c r="M607" s="53">
        <f>IF(D607&lt;=Assumptions!$G$153,Assumptions!$AK$153,IF(D607&lt;Assumptions!$AH$153,Assumptions!$AK$153+(Assumptions!$AL$153-Assumptions!$AK$153)*(D607-Assumptions!$G$153)/(Assumptions!$AH$153-Assumptions!$G$153),IF(D607&lt;Assumptions!$P$153,Assumptions!$AL$153+(Assumptions!$AM$153-Assumptions!$AL$153)*(D607-Assumptions!$AH$153)/(Assumptions!$P$153-Assumptions!$AH$153),Assumptions!$AM$153)))</f>
        <v>0</v>
      </c>
      <c r="N607" s="54">
        <f t="shared" si="18"/>
        <v>0</v>
      </c>
      <c r="O607" s="55">
        <f t="shared" si="19"/>
        <v>3155</v>
      </c>
      <c r="P607" s="29" t="str">
        <f>IF(D607&gt;=Assumptions!$P$153,"High",IF(D607&gt;=Assumptions!$AH$153,"Mid",IF(D607&lt;=Assumptions!$G$153,"Low","Loading")))</f>
        <v>High</v>
      </c>
      <c r="Q607" s="39">
        <f>MAX(K607,MIN(Assumptions!$S$153,O607),Q608)</f>
        <v>3155</v>
      </c>
      <c r="R607" s="30">
        <f>IF(AND(Q607&lt;=K607,INDEX(Assumptions!$C$26:$C$36,MATCH(G607,Assumptions!$A$26:$A$36,0))&lt;&gt;""),INDEX(Assumptions!$C$26:$C$36,MATCH(G607,Assumptions!$A$26:$A$36,0)),ROUND(G607*Q607,-2))</f>
        <v>3905900</v>
      </c>
      <c r="S607" s="56" t="str">
        <f>TRIM(IF(AND(Assumptions!$L$153&lt;&gt;"",D607&lt;Assumptions!$L$153),"View blocked / roof in front ("&amp;Assumptions!$M$153&amp;"); view premium still loading until L"&amp;Assumptions!$L$153&amp;". ","")&amp;IF(D607=Assumptions!$AH$153,"Mid-floor view premium fully loaded. ","")&amp;IF(D607=Assumptions!$P$153,"High-floor view premium fully loaded. ","")&amp;IF(Q607&lt;=K607,"At developer starting price.",""))</f>
        <v/>
      </c>
      <c r="T607" s="57" t="str">
        <f>Assumptions!$AJ$153</f>
        <v>SE: no afternoon sun. 171m pool &amp; landscape, nature reserve + landed; Luxury block. Most premium 4BR stack</v>
      </c>
    </row>
    <row r="608" spans="1:20" x14ac:dyDescent="0.2">
      <c r="A608" s="49" t="s">
        <v>757</v>
      </c>
      <c r="B608" s="29">
        <v>5</v>
      </c>
      <c r="C608" s="50">
        <v>27</v>
      </c>
      <c r="D608" s="50">
        <v>21</v>
      </c>
      <c r="E608" s="27" t="s">
        <v>48</v>
      </c>
      <c r="F608" s="29" t="s">
        <v>748</v>
      </c>
      <c r="G608" s="28">
        <v>1238</v>
      </c>
      <c r="H608" s="29" t="s">
        <v>65</v>
      </c>
      <c r="I608" s="38" t="str">
        <f>Assumptions!$I$153</f>
        <v>A</v>
      </c>
      <c r="J608" s="29" t="str">
        <f>IF(D608&lt;=Assumptions!$V$153,"Low",IF(D608&lt;=Assumptions!$W$153,"Mid","High"))</f>
        <v>High</v>
      </c>
      <c r="K608" s="51">
        <f>Assumptions!$Q$153</f>
        <v>2737</v>
      </c>
      <c r="L608" s="52">
        <f>INDEX(Assumptions!$O$61:$O$90,D608)</f>
        <v>3133.5042105263155</v>
      </c>
      <c r="M608" s="53">
        <f>IF(D608&lt;=Assumptions!$G$153,Assumptions!$AK$153,IF(D608&lt;Assumptions!$AH$153,Assumptions!$AK$153+(Assumptions!$AL$153-Assumptions!$AK$153)*(D608-Assumptions!$G$153)/(Assumptions!$AH$153-Assumptions!$G$153),IF(D608&lt;Assumptions!$P$153,Assumptions!$AL$153+(Assumptions!$AM$153-Assumptions!$AL$153)*(D608-Assumptions!$AH$153)/(Assumptions!$P$153-Assumptions!$AH$153),Assumptions!$AM$153)))</f>
        <v>0</v>
      </c>
      <c r="N608" s="54">
        <f t="shared" si="18"/>
        <v>0</v>
      </c>
      <c r="O608" s="55">
        <f t="shared" si="19"/>
        <v>3134</v>
      </c>
      <c r="P608" s="29" t="str">
        <f>IF(D608&gt;=Assumptions!$P$153,"High",IF(D608&gt;=Assumptions!$AH$153,"Mid",IF(D608&lt;=Assumptions!$G$153,"Low","Loading")))</f>
        <v>High</v>
      </c>
      <c r="Q608" s="39">
        <f>MAX(K608,MIN(Assumptions!$S$153,O608),Q609)</f>
        <v>3134</v>
      </c>
      <c r="R608" s="30">
        <f>IF(AND(Q608&lt;=K608,INDEX(Assumptions!$C$26:$C$36,MATCH(G608,Assumptions!$A$26:$A$36,0))&lt;&gt;""),INDEX(Assumptions!$C$26:$C$36,MATCH(G608,Assumptions!$A$26:$A$36,0)),ROUND(G608*Q608,-2))</f>
        <v>3879900</v>
      </c>
      <c r="S608" s="56" t="str">
        <f>TRIM(IF(AND(Assumptions!$L$153&lt;&gt;"",D608&lt;Assumptions!$L$153),"View blocked / roof in front ("&amp;Assumptions!$M$153&amp;"); view premium still loading until L"&amp;Assumptions!$L$153&amp;". ","")&amp;IF(D608=Assumptions!$AH$153,"Mid-floor view premium fully loaded. ","")&amp;IF(D608=Assumptions!$P$153,"High-floor view premium fully loaded. ","")&amp;IF(Q608&lt;=K608,"At developer starting price.",""))</f>
        <v>High-floor view premium fully loaded.</v>
      </c>
      <c r="T608" s="57" t="str">
        <f>Assumptions!$AJ$153</f>
        <v>SE: no afternoon sun. 171m pool &amp; landscape, nature reserve + landed; Luxury block. Most premium 4BR stack</v>
      </c>
    </row>
    <row r="609" spans="1:20" x14ac:dyDescent="0.2">
      <c r="A609" s="49" t="s">
        <v>758</v>
      </c>
      <c r="B609" s="29">
        <v>5</v>
      </c>
      <c r="C609" s="50">
        <v>27</v>
      </c>
      <c r="D609" s="50">
        <v>20</v>
      </c>
      <c r="E609" s="27" t="s">
        <v>48</v>
      </c>
      <c r="F609" s="29" t="s">
        <v>748</v>
      </c>
      <c r="G609" s="28">
        <v>1238</v>
      </c>
      <c r="H609" s="29" t="s">
        <v>65</v>
      </c>
      <c r="I609" s="38" t="str">
        <f>Assumptions!$I$153</f>
        <v>A</v>
      </c>
      <c r="J609" s="29" t="str">
        <f>IF(D609&lt;=Assumptions!$V$153,"Low",IF(D609&lt;=Assumptions!$W$153,"Mid","High"))</f>
        <v>Mid</v>
      </c>
      <c r="K609" s="51">
        <f>Assumptions!$Q$153</f>
        <v>2737</v>
      </c>
      <c r="L609" s="52">
        <f>INDEX(Assumptions!$O$61:$O$90,D609)</f>
        <v>3112.2673684210527</v>
      </c>
      <c r="M609" s="53">
        <f>IF(D609&lt;=Assumptions!$G$153,Assumptions!$AK$153,IF(D609&lt;Assumptions!$AH$153,Assumptions!$AK$153+(Assumptions!$AL$153-Assumptions!$AK$153)*(D609-Assumptions!$G$153)/(Assumptions!$AH$153-Assumptions!$G$153),IF(D609&lt;Assumptions!$P$153,Assumptions!$AL$153+(Assumptions!$AM$153-Assumptions!$AL$153)*(D609-Assumptions!$AH$153)/(Assumptions!$P$153-Assumptions!$AH$153),Assumptions!$AM$153)))</f>
        <v>0</v>
      </c>
      <c r="N609" s="54">
        <f t="shared" si="18"/>
        <v>0</v>
      </c>
      <c r="O609" s="55">
        <f t="shared" si="19"/>
        <v>3112</v>
      </c>
      <c r="P609" s="29" t="str">
        <f>IF(D609&gt;=Assumptions!$P$153,"High",IF(D609&gt;=Assumptions!$AH$153,"Mid",IF(D609&lt;=Assumptions!$G$153,"Low","Loading")))</f>
        <v>Mid</v>
      </c>
      <c r="Q609" s="39">
        <f>MAX(K609,MIN(Assumptions!$S$153,O609),Q610)</f>
        <v>3112</v>
      </c>
      <c r="R609" s="30">
        <f>IF(AND(Q609&lt;=K609,INDEX(Assumptions!$C$26:$C$36,MATCH(G609,Assumptions!$A$26:$A$36,0))&lt;&gt;""),INDEX(Assumptions!$C$26:$C$36,MATCH(G609,Assumptions!$A$26:$A$36,0)),ROUND(G609*Q609,-2))</f>
        <v>3852700</v>
      </c>
      <c r="S609" s="56" t="str">
        <f>TRIM(IF(AND(Assumptions!$L$153&lt;&gt;"",D609&lt;Assumptions!$L$153),"View blocked / roof in front ("&amp;Assumptions!$M$153&amp;"); view premium still loading until L"&amp;Assumptions!$L$153&amp;". ","")&amp;IF(D609=Assumptions!$AH$153,"Mid-floor view premium fully loaded. ","")&amp;IF(D609=Assumptions!$P$153,"High-floor view premium fully loaded. ","")&amp;IF(Q609&lt;=K609,"At developer starting price.",""))</f>
        <v/>
      </c>
      <c r="T609" s="57" t="str">
        <f>Assumptions!$AJ$153</f>
        <v>SE: no afternoon sun. 171m pool &amp; landscape, nature reserve + landed; Luxury block. Most premium 4BR stack</v>
      </c>
    </row>
    <row r="610" spans="1:20" x14ac:dyDescent="0.2">
      <c r="A610" s="49" t="s">
        <v>759</v>
      </c>
      <c r="B610" s="29">
        <v>5</v>
      </c>
      <c r="C610" s="50">
        <v>27</v>
      </c>
      <c r="D610" s="50">
        <v>19</v>
      </c>
      <c r="E610" s="27" t="s">
        <v>48</v>
      </c>
      <c r="F610" s="29" t="s">
        <v>748</v>
      </c>
      <c r="G610" s="28">
        <v>1238</v>
      </c>
      <c r="H610" s="29" t="s">
        <v>65</v>
      </c>
      <c r="I610" s="38" t="str">
        <f>Assumptions!$I$153</f>
        <v>A</v>
      </c>
      <c r="J610" s="29" t="str">
        <f>IF(D610&lt;=Assumptions!$V$153,"Low",IF(D610&lt;=Assumptions!$W$153,"Mid","High"))</f>
        <v>Mid</v>
      </c>
      <c r="K610" s="51">
        <f>Assumptions!$Q$153</f>
        <v>2737</v>
      </c>
      <c r="L610" s="52">
        <f>INDEX(Assumptions!$O$61:$O$90,D610)</f>
        <v>3091.0305263157893</v>
      </c>
      <c r="M610" s="53">
        <f>IF(D610&lt;=Assumptions!$G$153,Assumptions!$AK$153,IF(D610&lt;Assumptions!$AH$153,Assumptions!$AK$153+(Assumptions!$AL$153-Assumptions!$AK$153)*(D610-Assumptions!$G$153)/(Assumptions!$AH$153-Assumptions!$G$153),IF(D610&lt;Assumptions!$P$153,Assumptions!$AL$153+(Assumptions!$AM$153-Assumptions!$AL$153)*(D610-Assumptions!$AH$153)/(Assumptions!$P$153-Assumptions!$AH$153),Assumptions!$AM$153)))</f>
        <v>0</v>
      </c>
      <c r="N610" s="54">
        <f t="shared" si="18"/>
        <v>0</v>
      </c>
      <c r="O610" s="55">
        <f t="shared" si="19"/>
        <v>3091</v>
      </c>
      <c r="P610" s="29" t="str">
        <f>IF(D610&gt;=Assumptions!$P$153,"High",IF(D610&gt;=Assumptions!$AH$153,"Mid",IF(D610&lt;=Assumptions!$G$153,"Low","Loading")))</f>
        <v>Mid</v>
      </c>
      <c r="Q610" s="39">
        <f>MAX(K610,MIN(Assumptions!$S$153,O610),Q611)</f>
        <v>3091</v>
      </c>
      <c r="R610" s="30">
        <f>IF(AND(Q610&lt;=K610,INDEX(Assumptions!$C$26:$C$36,MATCH(G610,Assumptions!$A$26:$A$36,0))&lt;&gt;""),INDEX(Assumptions!$C$26:$C$36,MATCH(G610,Assumptions!$A$26:$A$36,0)),ROUND(G610*Q610,-2))</f>
        <v>3826700</v>
      </c>
      <c r="S610" s="56" t="str">
        <f>TRIM(IF(AND(Assumptions!$L$153&lt;&gt;"",D610&lt;Assumptions!$L$153),"View blocked / roof in front ("&amp;Assumptions!$M$153&amp;"); view premium still loading until L"&amp;Assumptions!$L$153&amp;". ","")&amp;IF(D610=Assumptions!$AH$153,"Mid-floor view premium fully loaded. ","")&amp;IF(D610=Assumptions!$P$153,"High-floor view premium fully loaded. ","")&amp;IF(Q610&lt;=K610,"At developer starting price.",""))</f>
        <v/>
      </c>
      <c r="T610" s="57" t="str">
        <f>Assumptions!$AJ$153</f>
        <v>SE: no afternoon sun. 171m pool &amp; landscape, nature reserve + landed; Luxury block. Most premium 4BR stack</v>
      </c>
    </row>
    <row r="611" spans="1:20" x14ac:dyDescent="0.2">
      <c r="A611" s="49" t="s">
        <v>760</v>
      </c>
      <c r="B611" s="29">
        <v>5</v>
      </c>
      <c r="C611" s="50">
        <v>27</v>
      </c>
      <c r="D611" s="50">
        <v>18</v>
      </c>
      <c r="E611" s="27" t="s">
        <v>48</v>
      </c>
      <c r="F611" s="29" t="s">
        <v>748</v>
      </c>
      <c r="G611" s="28">
        <v>1238</v>
      </c>
      <c r="H611" s="29" t="s">
        <v>65</v>
      </c>
      <c r="I611" s="38" t="str">
        <f>Assumptions!$I$153</f>
        <v>A</v>
      </c>
      <c r="J611" s="29" t="str">
        <f>IF(D611&lt;=Assumptions!$V$153,"Low",IF(D611&lt;=Assumptions!$W$153,"Mid","High"))</f>
        <v>Mid</v>
      </c>
      <c r="K611" s="51">
        <f>Assumptions!$Q$153</f>
        <v>2737</v>
      </c>
      <c r="L611" s="52">
        <f>INDEX(Assumptions!$O$61:$O$90,D611)</f>
        <v>3069.7936842105264</v>
      </c>
      <c r="M611" s="53">
        <f>IF(D611&lt;=Assumptions!$G$153,Assumptions!$AK$153,IF(D611&lt;Assumptions!$AH$153,Assumptions!$AK$153+(Assumptions!$AL$153-Assumptions!$AK$153)*(D611-Assumptions!$G$153)/(Assumptions!$AH$153-Assumptions!$G$153),IF(D611&lt;Assumptions!$P$153,Assumptions!$AL$153+(Assumptions!$AM$153-Assumptions!$AL$153)*(D611-Assumptions!$AH$153)/(Assumptions!$P$153-Assumptions!$AH$153),Assumptions!$AM$153)))</f>
        <v>0</v>
      </c>
      <c r="N611" s="54">
        <f t="shared" si="18"/>
        <v>0</v>
      </c>
      <c r="O611" s="55">
        <f t="shared" si="19"/>
        <v>3070</v>
      </c>
      <c r="P611" s="29" t="str">
        <f>IF(D611&gt;=Assumptions!$P$153,"High",IF(D611&gt;=Assumptions!$AH$153,"Mid",IF(D611&lt;=Assumptions!$G$153,"Low","Loading")))</f>
        <v>Mid</v>
      </c>
      <c r="Q611" s="39">
        <f>MAX(K611,MIN(Assumptions!$S$153,O611),Q612)</f>
        <v>3070</v>
      </c>
      <c r="R611" s="30">
        <f>IF(AND(Q611&lt;=K611,INDEX(Assumptions!$C$26:$C$36,MATCH(G611,Assumptions!$A$26:$A$36,0))&lt;&gt;""),INDEX(Assumptions!$C$26:$C$36,MATCH(G611,Assumptions!$A$26:$A$36,0)),ROUND(G611*Q611,-2))</f>
        <v>3800700</v>
      </c>
      <c r="S611" s="56" t="str">
        <f>TRIM(IF(AND(Assumptions!$L$153&lt;&gt;"",D611&lt;Assumptions!$L$153),"View blocked / roof in front ("&amp;Assumptions!$M$153&amp;"); view premium still loading until L"&amp;Assumptions!$L$153&amp;". ","")&amp;IF(D611=Assumptions!$AH$153,"Mid-floor view premium fully loaded. ","")&amp;IF(D611=Assumptions!$P$153,"High-floor view premium fully loaded. ","")&amp;IF(Q611&lt;=K611,"At developer starting price.",""))</f>
        <v/>
      </c>
      <c r="T611" s="57" t="str">
        <f>Assumptions!$AJ$153</f>
        <v>SE: no afternoon sun. 171m pool &amp; landscape, nature reserve + landed; Luxury block. Most premium 4BR stack</v>
      </c>
    </row>
    <row r="612" spans="1:20" x14ac:dyDescent="0.2">
      <c r="A612" s="49" t="s">
        <v>761</v>
      </c>
      <c r="B612" s="29">
        <v>5</v>
      </c>
      <c r="C612" s="50">
        <v>27</v>
      </c>
      <c r="D612" s="50">
        <v>17</v>
      </c>
      <c r="E612" s="27" t="s">
        <v>48</v>
      </c>
      <c r="F612" s="29" t="s">
        <v>748</v>
      </c>
      <c r="G612" s="28">
        <v>1238</v>
      </c>
      <c r="H612" s="29" t="s">
        <v>65</v>
      </c>
      <c r="I612" s="38" t="str">
        <f>Assumptions!$I$153</f>
        <v>A</v>
      </c>
      <c r="J612" s="29" t="str">
        <f>IF(D612&lt;=Assumptions!$V$153,"Low",IF(D612&lt;=Assumptions!$W$153,"Mid","High"))</f>
        <v>Mid</v>
      </c>
      <c r="K612" s="51">
        <f>Assumptions!$Q$153</f>
        <v>2737</v>
      </c>
      <c r="L612" s="52">
        <f>INDEX(Assumptions!$O$61:$O$90,D612)</f>
        <v>3048.5568421052631</v>
      </c>
      <c r="M612" s="53">
        <f>IF(D612&lt;=Assumptions!$G$153,Assumptions!$AK$153,IF(D612&lt;Assumptions!$AH$153,Assumptions!$AK$153+(Assumptions!$AL$153-Assumptions!$AK$153)*(D612-Assumptions!$G$153)/(Assumptions!$AH$153-Assumptions!$G$153),IF(D612&lt;Assumptions!$P$153,Assumptions!$AL$153+(Assumptions!$AM$153-Assumptions!$AL$153)*(D612-Assumptions!$AH$153)/(Assumptions!$P$153-Assumptions!$AH$153),Assumptions!$AM$153)))</f>
        <v>0</v>
      </c>
      <c r="N612" s="54">
        <f t="shared" si="18"/>
        <v>0</v>
      </c>
      <c r="O612" s="55">
        <f t="shared" si="19"/>
        <v>3049</v>
      </c>
      <c r="P612" s="29" t="str">
        <f>IF(D612&gt;=Assumptions!$P$153,"High",IF(D612&gt;=Assumptions!$AH$153,"Mid",IF(D612&lt;=Assumptions!$G$153,"Low","Loading")))</f>
        <v>Mid</v>
      </c>
      <c r="Q612" s="39">
        <f>MAX(K612,MIN(Assumptions!$S$153,O612),Q613)</f>
        <v>3049</v>
      </c>
      <c r="R612" s="30">
        <f>IF(AND(Q612&lt;=K612,INDEX(Assumptions!$C$26:$C$36,MATCH(G612,Assumptions!$A$26:$A$36,0))&lt;&gt;""),INDEX(Assumptions!$C$26:$C$36,MATCH(G612,Assumptions!$A$26:$A$36,0)),ROUND(G612*Q612,-2))</f>
        <v>3774700</v>
      </c>
      <c r="S612" s="56" t="str">
        <f>TRIM(IF(AND(Assumptions!$L$153&lt;&gt;"",D612&lt;Assumptions!$L$153),"View blocked / roof in front ("&amp;Assumptions!$M$153&amp;"); view premium still loading until L"&amp;Assumptions!$L$153&amp;". ","")&amp;IF(D612=Assumptions!$AH$153,"Mid-floor view premium fully loaded. ","")&amp;IF(D612=Assumptions!$P$153,"High-floor view premium fully loaded. ","")&amp;IF(Q612&lt;=K612,"At developer starting price.",""))</f>
        <v/>
      </c>
      <c r="T612" s="57" t="str">
        <f>Assumptions!$AJ$153</f>
        <v>SE: no afternoon sun. 171m pool &amp; landscape, nature reserve + landed; Luxury block. Most premium 4BR stack</v>
      </c>
    </row>
    <row r="613" spans="1:20" x14ac:dyDescent="0.2">
      <c r="A613" s="49" t="s">
        <v>762</v>
      </c>
      <c r="B613" s="29">
        <v>5</v>
      </c>
      <c r="C613" s="50">
        <v>27</v>
      </c>
      <c r="D613" s="50">
        <v>16</v>
      </c>
      <c r="E613" s="27" t="s">
        <v>48</v>
      </c>
      <c r="F613" s="29" t="s">
        <v>748</v>
      </c>
      <c r="G613" s="28">
        <v>1238</v>
      </c>
      <c r="H613" s="29" t="s">
        <v>65</v>
      </c>
      <c r="I613" s="38" t="str">
        <f>Assumptions!$I$153</f>
        <v>A</v>
      </c>
      <c r="J613" s="29" t="str">
        <f>IF(D613&lt;=Assumptions!$V$153,"Low",IF(D613&lt;=Assumptions!$W$153,"Mid","High"))</f>
        <v>Mid</v>
      </c>
      <c r="K613" s="51">
        <f>Assumptions!$Q$153</f>
        <v>2737</v>
      </c>
      <c r="L613" s="52">
        <f>INDEX(Assumptions!$O$61:$O$90,D613)</f>
        <v>3027.3199999999997</v>
      </c>
      <c r="M613" s="53">
        <f>IF(D613&lt;=Assumptions!$G$153,Assumptions!$AK$153,IF(D613&lt;Assumptions!$AH$153,Assumptions!$AK$153+(Assumptions!$AL$153-Assumptions!$AK$153)*(D613-Assumptions!$G$153)/(Assumptions!$AH$153-Assumptions!$G$153),IF(D613&lt;Assumptions!$P$153,Assumptions!$AL$153+(Assumptions!$AM$153-Assumptions!$AL$153)*(D613-Assumptions!$AH$153)/(Assumptions!$P$153-Assumptions!$AH$153),Assumptions!$AM$153)))</f>
        <v>0</v>
      </c>
      <c r="N613" s="54">
        <f t="shared" si="18"/>
        <v>0</v>
      </c>
      <c r="O613" s="55">
        <f t="shared" si="19"/>
        <v>3027</v>
      </c>
      <c r="P613" s="29" t="str">
        <f>IF(D613&gt;=Assumptions!$P$153,"High",IF(D613&gt;=Assumptions!$AH$153,"Mid",IF(D613&lt;=Assumptions!$G$153,"Low","Loading")))</f>
        <v>Mid</v>
      </c>
      <c r="Q613" s="39">
        <f>MAX(K613,MIN(Assumptions!$S$153,O613),Q614)</f>
        <v>3027</v>
      </c>
      <c r="R613" s="30">
        <f>IF(AND(Q613&lt;=K613,INDEX(Assumptions!$C$26:$C$36,MATCH(G613,Assumptions!$A$26:$A$36,0))&lt;&gt;""),INDEX(Assumptions!$C$26:$C$36,MATCH(G613,Assumptions!$A$26:$A$36,0)),ROUND(G613*Q613,-2))</f>
        <v>3747400</v>
      </c>
      <c r="S613" s="56" t="str">
        <f>TRIM(IF(AND(Assumptions!$L$153&lt;&gt;"",D613&lt;Assumptions!$L$153),"View blocked / roof in front ("&amp;Assumptions!$M$153&amp;"); view premium still loading until L"&amp;Assumptions!$L$153&amp;". ","")&amp;IF(D613=Assumptions!$AH$153,"Mid-floor view premium fully loaded. ","")&amp;IF(D613=Assumptions!$P$153,"High-floor view premium fully loaded. ","")&amp;IF(Q613&lt;=K613,"At developer starting price.",""))</f>
        <v/>
      </c>
      <c r="T613" s="57" t="str">
        <f>Assumptions!$AJ$153</f>
        <v>SE: no afternoon sun. 171m pool &amp; landscape, nature reserve + landed; Luxury block. Most premium 4BR stack</v>
      </c>
    </row>
    <row r="614" spans="1:20" x14ac:dyDescent="0.2">
      <c r="A614" s="49" t="s">
        <v>763</v>
      </c>
      <c r="B614" s="29">
        <v>5</v>
      </c>
      <c r="C614" s="50">
        <v>27</v>
      </c>
      <c r="D614" s="50">
        <v>15</v>
      </c>
      <c r="E614" s="27" t="s">
        <v>48</v>
      </c>
      <c r="F614" s="29" t="s">
        <v>748</v>
      </c>
      <c r="G614" s="28">
        <v>1238</v>
      </c>
      <c r="H614" s="29" t="s">
        <v>65</v>
      </c>
      <c r="I614" s="38" t="str">
        <f>Assumptions!$I$153</f>
        <v>A</v>
      </c>
      <c r="J614" s="29" t="str">
        <f>IF(D614&lt;=Assumptions!$V$153,"Low",IF(D614&lt;=Assumptions!$W$153,"Mid","High"))</f>
        <v>Mid</v>
      </c>
      <c r="K614" s="51">
        <f>Assumptions!$Q$153</f>
        <v>2737</v>
      </c>
      <c r="L614" s="52">
        <f>INDEX(Assumptions!$O$61:$O$90,D614)</f>
        <v>3013.86</v>
      </c>
      <c r="M614" s="53">
        <f>IF(D614&lt;=Assumptions!$G$153,Assumptions!$AK$153,IF(D614&lt;Assumptions!$AH$153,Assumptions!$AK$153+(Assumptions!$AL$153-Assumptions!$AK$153)*(D614-Assumptions!$G$153)/(Assumptions!$AH$153-Assumptions!$G$153),IF(D614&lt;Assumptions!$P$153,Assumptions!$AL$153+(Assumptions!$AM$153-Assumptions!$AL$153)*(D614-Assumptions!$AH$153)/(Assumptions!$P$153-Assumptions!$AH$153),Assumptions!$AM$153)))</f>
        <v>0</v>
      </c>
      <c r="N614" s="54">
        <f t="shared" si="18"/>
        <v>0</v>
      </c>
      <c r="O614" s="55">
        <f t="shared" si="19"/>
        <v>3014</v>
      </c>
      <c r="P614" s="29" t="str">
        <f>IF(D614&gt;=Assumptions!$P$153,"High",IF(D614&gt;=Assumptions!$AH$153,"Mid",IF(D614&lt;=Assumptions!$G$153,"Low","Loading")))</f>
        <v>Mid</v>
      </c>
      <c r="Q614" s="39">
        <f>MAX(K614,MIN(Assumptions!$S$153,O614),Q615)</f>
        <v>3014</v>
      </c>
      <c r="R614" s="30">
        <f>IF(AND(Q614&lt;=K614,INDEX(Assumptions!$C$26:$C$36,MATCH(G614,Assumptions!$A$26:$A$36,0))&lt;&gt;""),INDEX(Assumptions!$C$26:$C$36,MATCH(G614,Assumptions!$A$26:$A$36,0)),ROUND(G614*Q614,-2))</f>
        <v>3731300</v>
      </c>
      <c r="S614" s="56" t="str">
        <f>TRIM(IF(AND(Assumptions!$L$153&lt;&gt;"",D614&lt;Assumptions!$L$153),"View blocked / roof in front ("&amp;Assumptions!$M$153&amp;"); view premium still loading until L"&amp;Assumptions!$L$153&amp;". ","")&amp;IF(D614=Assumptions!$AH$153,"Mid-floor view premium fully loaded. ","")&amp;IF(D614=Assumptions!$P$153,"High-floor view premium fully loaded. ","")&amp;IF(Q614&lt;=K614,"At developer starting price.",""))</f>
        <v/>
      </c>
      <c r="T614" s="57" t="str">
        <f>Assumptions!$AJ$153</f>
        <v>SE: no afternoon sun. 171m pool &amp; landscape, nature reserve + landed; Luxury block. Most premium 4BR stack</v>
      </c>
    </row>
    <row r="615" spans="1:20" x14ac:dyDescent="0.2">
      <c r="A615" s="49" t="s">
        <v>764</v>
      </c>
      <c r="B615" s="29">
        <v>5</v>
      </c>
      <c r="C615" s="50">
        <v>27</v>
      </c>
      <c r="D615" s="50">
        <v>14</v>
      </c>
      <c r="E615" s="27" t="s">
        <v>48</v>
      </c>
      <c r="F615" s="29" t="s">
        <v>748</v>
      </c>
      <c r="G615" s="28">
        <v>1238</v>
      </c>
      <c r="H615" s="29" t="s">
        <v>65</v>
      </c>
      <c r="I615" s="38" t="str">
        <f>Assumptions!$I$153</f>
        <v>A</v>
      </c>
      <c r="J615" s="29" t="str">
        <f>IF(D615&lt;=Assumptions!$V$153,"Low",IF(D615&lt;=Assumptions!$W$153,"Mid","High"))</f>
        <v>Mid</v>
      </c>
      <c r="K615" s="51">
        <f>Assumptions!$Q$153</f>
        <v>2737</v>
      </c>
      <c r="L615" s="52">
        <f>INDEX(Assumptions!$O$61:$O$90,D615)</f>
        <v>3000.3999999999996</v>
      </c>
      <c r="M615" s="53">
        <f>IF(D615&lt;=Assumptions!$G$153,Assumptions!$AK$153,IF(D615&lt;Assumptions!$AH$153,Assumptions!$AK$153+(Assumptions!$AL$153-Assumptions!$AK$153)*(D615-Assumptions!$G$153)/(Assumptions!$AH$153-Assumptions!$G$153),IF(D615&lt;Assumptions!$P$153,Assumptions!$AL$153+(Assumptions!$AM$153-Assumptions!$AL$153)*(D615-Assumptions!$AH$153)/(Assumptions!$P$153-Assumptions!$AH$153),Assumptions!$AM$153)))</f>
        <v>0</v>
      </c>
      <c r="N615" s="54">
        <f t="shared" si="18"/>
        <v>0</v>
      </c>
      <c r="O615" s="55">
        <f t="shared" si="19"/>
        <v>3000</v>
      </c>
      <c r="P615" s="29" t="str">
        <f>IF(D615&gt;=Assumptions!$P$153,"High",IF(D615&gt;=Assumptions!$AH$153,"Mid",IF(D615&lt;=Assumptions!$G$153,"Low","Loading")))</f>
        <v>Mid</v>
      </c>
      <c r="Q615" s="39">
        <f>MAX(K615,MIN(Assumptions!$S$153,O615),Q616)</f>
        <v>3000</v>
      </c>
      <c r="R615" s="30">
        <f>IF(AND(Q615&lt;=K615,INDEX(Assumptions!$C$26:$C$36,MATCH(G615,Assumptions!$A$26:$A$36,0))&lt;&gt;""),INDEX(Assumptions!$C$26:$C$36,MATCH(G615,Assumptions!$A$26:$A$36,0)),ROUND(G615*Q615,-2))</f>
        <v>3714000</v>
      </c>
      <c r="S615" s="56" t="str">
        <f>TRIM(IF(AND(Assumptions!$L$153&lt;&gt;"",D615&lt;Assumptions!$L$153),"View blocked / roof in front ("&amp;Assumptions!$M$153&amp;"); view premium still loading until L"&amp;Assumptions!$L$153&amp;". ","")&amp;IF(D615=Assumptions!$AH$153,"Mid-floor view premium fully loaded. ","")&amp;IF(D615=Assumptions!$P$153,"High-floor view premium fully loaded. ","")&amp;IF(Q615&lt;=K615,"At developer starting price.",""))</f>
        <v/>
      </c>
      <c r="T615" s="57" t="str">
        <f>Assumptions!$AJ$153</f>
        <v>SE: no afternoon sun. 171m pool &amp; landscape, nature reserve + landed; Luxury block. Most premium 4BR stack</v>
      </c>
    </row>
    <row r="616" spans="1:20" x14ac:dyDescent="0.2">
      <c r="A616" s="49" t="s">
        <v>765</v>
      </c>
      <c r="B616" s="29">
        <v>5</v>
      </c>
      <c r="C616" s="50">
        <v>27</v>
      </c>
      <c r="D616" s="50">
        <v>13</v>
      </c>
      <c r="E616" s="27" t="s">
        <v>48</v>
      </c>
      <c r="F616" s="29" t="s">
        <v>748</v>
      </c>
      <c r="G616" s="28">
        <v>1238</v>
      </c>
      <c r="H616" s="29" t="s">
        <v>65</v>
      </c>
      <c r="I616" s="38" t="str">
        <f>Assumptions!$I$153</f>
        <v>A</v>
      </c>
      <c r="J616" s="29" t="str">
        <f>IF(D616&lt;=Assumptions!$V$153,"Low",IF(D616&lt;=Assumptions!$W$153,"Mid","High"))</f>
        <v>Mid</v>
      </c>
      <c r="K616" s="51">
        <f>Assumptions!$Q$153</f>
        <v>2737</v>
      </c>
      <c r="L616" s="52">
        <f>INDEX(Assumptions!$O$61:$O$90,D616)</f>
        <v>2986.94</v>
      </c>
      <c r="M616" s="53">
        <f>IF(D616&lt;=Assumptions!$G$153,Assumptions!$AK$153,IF(D616&lt;Assumptions!$AH$153,Assumptions!$AK$153+(Assumptions!$AL$153-Assumptions!$AK$153)*(D616-Assumptions!$G$153)/(Assumptions!$AH$153-Assumptions!$G$153),IF(D616&lt;Assumptions!$P$153,Assumptions!$AL$153+(Assumptions!$AM$153-Assumptions!$AL$153)*(D616-Assumptions!$AH$153)/(Assumptions!$P$153-Assumptions!$AH$153),Assumptions!$AM$153)))</f>
        <v>0</v>
      </c>
      <c r="N616" s="54">
        <f t="shared" si="18"/>
        <v>0</v>
      </c>
      <c r="O616" s="55">
        <f t="shared" si="19"/>
        <v>2987</v>
      </c>
      <c r="P616" s="29" t="str">
        <f>IF(D616&gt;=Assumptions!$P$153,"High",IF(D616&gt;=Assumptions!$AH$153,"Mid",IF(D616&lt;=Assumptions!$G$153,"Low","Loading")))</f>
        <v>Mid</v>
      </c>
      <c r="Q616" s="39">
        <f>MAX(K616,MIN(Assumptions!$S$153,O616),Q617)</f>
        <v>2987</v>
      </c>
      <c r="R616" s="30">
        <f>IF(AND(Q616&lt;=K616,INDEX(Assumptions!$C$26:$C$36,MATCH(G616,Assumptions!$A$26:$A$36,0))&lt;&gt;""),INDEX(Assumptions!$C$26:$C$36,MATCH(G616,Assumptions!$A$26:$A$36,0)),ROUND(G616*Q616,-2))</f>
        <v>3697900</v>
      </c>
      <c r="S616" s="56" t="str">
        <f>TRIM(IF(AND(Assumptions!$L$153&lt;&gt;"",D616&lt;Assumptions!$L$153),"View blocked / roof in front ("&amp;Assumptions!$M$153&amp;"); view premium still loading until L"&amp;Assumptions!$L$153&amp;". ","")&amp;IF(D616=Assumptions!$AH$153,"Mid-floor view premium fully loaded. ","")&amp;IF(D616=Assumptions!$P$153,"High-floor view premium fully loaded. ","")&amp;IF(Q616&lt;=K616,"At developer starting price.",""))</f>
        <v/>
      </c>
      <c r="T616" s="57" t="str">
        <f>Assumptions!$AJ$153</f>
        <v>SE: no afternoon sun. 171m pool &amp; landscape, nature reserve + landed; Luxury block. Most premium 4BR stack</v>
      </c>
    </row>
    <row r="617" spans="1:20" x14ac:dyDescent="0.2">
      <c r="A617" s="49" t="s">
        <v>766</v>
      </c>
      <c r="B617" s="29">
        <v>5</v>
      </c>
      <c r="C617" s="50">
        <v>27</v>
      </c>
      <c r="D617" s="50">
        <v>12</v>
      </c>
      <c r="E617" s="27" t="s">
        <v>48</v>
      </c>
      <c r="F617" s="29" t="s">
        <v>748</v>
      </c>
      <c r="G617" s="28">
        <v>1238</v>
      </c>
      <c r="H617" s="29" t="s">
        <v>65</v>
      </c>
      <c r="I617" s="38" t="str">
        <f>Assumptions!$I$153</f>
        <v>A</v>
      </c>
      <c r="J617" s="29" t="str">
        <f>IF(D617&lt;=Assumptions!$V$153,"Low",IF(D617&lt;=Assumptions!$W$153,"Mid","High"))</f>
        <v>Mid</v>
      </c>
      <c r="K617" s="51">
        <f>Assumptions!$Q$153</f>
        <v>2737</v>
      </c>
      <c r="L617" s="52">
        <f>INDEX(Assumptions!$O$61:$O$90,D617)</f>
        <v>2973.48</v>
      </c>
      <c r="M617" s="53">
        <f>IF(D617&lt;=Assumptions!$G$153,Assumptions!$AK$153,IF(D617&lt;Assumptions!$AH$153,Assumptions!$AK$153+(Assumptions!$AL$153-Assumptions!$AK$153)*(D617-Assumptions!$G$153)/(Assumptions!$AH$153-Assumptions!$G$153),IF(D617&lt;Assumptions!$P$153,Assumptions!$AL$153+(Assumptions!$AM$153-Assumptions!$AL$153)*(D617-Assumptions!$AH$153)/(Assumptions!$P$153-Assumptions!$AH$153),Assumptions!$AM$153)))</f>
        <v>0</v>
      </c>
      <c r="N617" s="54">
        <f t="shared" si="18"/>
        <v>0</v>
      </c>
      <c r="O617" s="55">
        <f t="shared" si="19"/>
        <v>2973</v>
      </c>
      <c r="P617" s="29" t="str">
        <f>IF(D617&gt;=Assumptions!$P$153,"High",IF(D617&gt;=Assumptions!$AH$153,"Mid",IF(D617&lt;=Assumptions!$G$153,"Low","Loading")))</f>
        <v>Mid</v>
      </c>
      <c r="Q617" s="39">
        <f>MAX(K617,MIN(Assumptions!$S$153,O617),Q618)</f>
        <v>2973</v>
      </c>
      <c r="R617" s="30">
        <f>IF(AND(Q617&lt;=K617,INDEX(Assumptions!$C$26:$C$36,MATCH(G617,Assumptions!$A$26:$A$36,0))&lt;&gt;""),INDEX(Assumptions!$C$26:$C$36,MATCH(G617,Assumptions!$A$26:$A$36,0)),ROUND(G617*Q617,-2))</f>
        <v>3680600</v>
      </c>
      <c r="S617" s="56" t="str">
        <f>TRIM(IF(AND(Assumptions!$L$153&lt;&gt;"",D617&lt;Assumptions!$L$153),"View blocked / roof in front ("&amp;Assumptions!$M$153&amp;"); view premium still loading until L"&amp;Assumptions!$L$153&amp;". ","")&amp;IF(D617=Assumptions!$AH$153,"Mid-floor view premium fully loaded. ","")&amp;IF(D617=Assumptions!$P$153,"High-floor view premium fully loaded. ","")&amp;IF(Q617&lt;=K617,"At developer starting price.",""))</f>
        <v>Mid-floor view premium fully loaded.</v>
      </c>
      <c r="T617" s="57" t="str">
        <f>Assumptions!$AJ$153</f>
        <v>SE: no afternoon sun. 171m pool &amp; landscape, nature reserve + landed; Luxury block. Most premium 4BR stack</v>
      </c>
    </row>
    <row r="618" spans="1:20" x14ac:dyDescent="0.2">
      <c r="A618" s="49" t="s">
        <v>767</v>
      </c>
      <c r="B618" s="29">
        <v>5</v>
      </c>
      <c r="C618" s="50">
        <v>27</v>
      </c>
      <c r="D618" s="50">
        <v>11</v>
      </c>
      <c r="E618" s="27" t="s">
        <v>48</v>
      </c>
      <c r="F618" s="29" t="s">
        <v>748</v>
      </c>
      <c r="G618" s="28">
        <v>1238</v>
      </c>
      <c r="H618" s="29" t="s">
        <v>65</v>
      </c>
      <c r="I618" s="38" t="str">
        <f>Assumptions!$I$153</f>
        <v>A</v>
      </c>
      <c r="J618" s="29" t="str">
        <f>IF(D618&lt;=Assumptions!$V$153,"Low",IF(D618&lt;=Assumptions!$W$153,"Mid","High"))</f>
        <v>Low</v>
      </c>
      <c r="K618" s="51">
        <f>Assumptions!$Q$153</f>
        <v>2737</v>
      </c>
      <c r="L618" s="52">
        <f>INDEX(Assumptions!$O$61:$O$90,D618)</f>
        <v>2960.02</v>
      </c>
      <c r="M618" s="53">
        <f>IF(D618&lt;=Assumptions!$G$153,Assumptions!$AK$153,IF(D618&lt;Assumptions!$AH$153,Assumptions!$AK$153+(Assumptions!$AL$153-Assumptions!$AK$153)*(D618-Assumptions!$G$153)/(Assumptions!$AH$153-Assumptions!$G$153),IF(D618&lt;Assumptions!$P$153,Assumptions!$AL$153+(Assumptions!$AM$153-Assumptions!$AL$153)*(D618-Assumptions!$AH$153)/(Assumptions!$P$153-Assumptions!$AH$153),Assumptions!$AM$153)))</f>
        <v>0</v>
      </c>
      <c r="N618" s="54">
        <f t="shared" si="18"/>
        <v>0</v>
      </c>
      <c r="O618" s="55">
        <f t="shared" si="19"/>
        <v>2960</v>
      </c>
      <c r="P618" s="29" t="str">
        <f>IF(D618&gt;=Assumptions!$P$153,"High",IF(D618&gt;=Assumptions!$AH$153,"Mid",IF(D618&lt;=Assumptions!$G$153,"Low","Loading")))</f>
        <v>Loading</v>
      </c>
      <c r="Q618" s="39">
        <f>MAX(K618,MIN(Assumptions!$S$153,O618),Q619)</f>
        <v>2960</v>
      </c>
      <c r="R618" s="30">
        <f>IF(AND(Q618&lt;=K618,INDEX(Assumptions!$C$26:$C$36,MATCH(G618,Assumptions!$A$26:$A$36,0))&lt;&gt;""),INDEX(Assumptions!$C$26:$C$36,MATCH(G618,Assumptions!$A$26:$A$36,0)),ROUND(G618*Q618,-2))</f>
        <v>3664500</v>
      </c>
      <c r="S618" s="56" t="str">
        <f>TRIM(IF(AND(Assumptions!$L$153&lt;&gt;"",D618&lt;Assumptions!$L$153),"View blocked / roof in front ("&amp;Assumptions!$M$153&amp;"); view premium still loading until L"&amp;Assumptions!$L$153&amp;". ","")&amp;IF(D618=Assumptions!$AH$153,"Mid-floor view premium fully loaded. ","")&amp;IF(D618=Assumptions!$P$153,"High-floor view premium fully loaded. ","")&amp;IF(Q618&lt;=K618,"At developer starting price.",""))</f>
        <v/>
      </c>
      <c r="T618" s="57" t="str">
        <f>Assumptions!$AJ$153</f>
        <v>SE: no afternoon sun. 171m pool &amp; landscape, nature reserve + landed; Luxury block. Most premium 4BR stack</v>
      </c>
    </row>
    <row r="619" spans="1:20" x14ac:dyDescent="0.2">
      <c r="A619" s="49" t="s">
        <v>768</v>
      </c>
      <c r="B619" s="29">
        <v>5</v>
      </c>
      <c r="C619" s="50">
        <v>27</v>
      </c>
      <c r="D619" s="50">
        <v>10</v>
      </c>
      <c r="E619" s="27" t="s">
        <v>48</v>
      </c>
      <c r="F619" s="29" t="s">
        <v>748</v>
      </c>
      <c r="G619" s="28">
        <v>1238</v>
      </c>
      <c r="H619" s="29" t="s">
        <v>65</v>
      </c>
      <c r="I619" s="38" t="str">
        <f>Assumptions!$I$153</f>
        <v>A</v>
      </c>
      <c r="J619" s="29" t="str">
        <f>IF(D619&lt;=Assumptions!$V$153,"Low",IF(D619&lt;=Assumptions!$W$153,"Mid","High"))</f>
        <v>Low</v>
      </c>
      <c r="K619" s="51">
        <f>Assumptions!$Q$153</f>
        <v>2737</v>
      </c>
      <c r="L619" s="52">
        <f>INDEX(Assumptions!$O$61:$O$90,D619)</f>
        <v>2946.56</v>
      </c>
      <c r="M619" s="53">
        <f>IF(D619&lt;=Assumptions!$G$153,Assumptions!$AK$153,IF(D619&lt;Assumptions!$AH$153,Assumptions!$AK$153+(Assumptions!$AL$153-Assumptions!$AK$153)*(D619-Assumptions!$G$153)/(Assumptions!$AH$153-Assumptions!$G$153),IF(D619&lt;Assumptions!$P$153,Assumptions!$AL$153+(Assumptions!$AM$153-Assumptions!$AL$153)*(D619-Assumptions!$AH$153)/(Assumptions!$P$153-Assumptions!$AH$153),Assumptions!$AM$153)))</f>
        <v>0</v>
      </c>
      <c r="N619" s="54">
        <f t="shared" si="18"/>
        <v>0</v>
      </c>
      <c r="O619" s="55">
        <f t="shared" si="19"/>
        <v>2947</v>
      </c>
      <c r="P619" s="29" t="str">
        <f>IF(D619&gt;=Assumptions!$P$153,"High",IF(D619&gt;=Assumptions!$AH$153,"Mid",IF(D619&lt;=Assumptions!$G$153,"Low","Loading")))</f>
        <v>Loading</v>
      </c>
      <c r="Q619" s="39">
        <f>MAX(K619,MIN(Assumptions!$S$153,O619),Q620)</f>
        <v>2947</v>
      </c>
      <c r="R619" s="30">
        <f>IF(AND(Q619&lt;=K619,INDEX(Assumptions!$C$26:$C$36,MATCH(G619,Assumptions!$A$26:$A$36,0))&lt;&gt;""),INDEX(Assumptions!$C$26:$C$36,MATCH(G619,Assumptions!$A$26:$A$36,0)),ROUND(G619*Q619,-2))</f>
        <v>3648400</v>
      </c>
      <c r="S619" s="56" t="str">
        <f>TRIM(IF(AND(Assumptions!$L$153&lt;&gt;"",D619&lt;Assumptions!$L$153),"View blocked / roof in front ("&amp;Assumptions!$M$153&amp;"); view premium still loading until L"&amp;Assumptions!$L$153&amp;". ","")&amp;IF(D619=Assumptions!$AH$153,"Mid-floor view premium fully loaded. ","")&amp;IF(D619=Assumptions!$P$153,"High-floor view premium fully loaded. ","")&amp;IF(Q619&lt;=K619,"At developer starting price.",""))</f>
        <v/>
      </c>
      <c r="T619" s="57" t="str">
        <f>Assumptions!$AJ$153</f>
        <v>SE: no afternoon sun. 171m pool &amp; landscape, nature reserve + landed; Luxury block. Most premium 4BR stack</v>
      </c>
    </row>
    <row r="620" spans="1:20" x14ac:dyDescent="0.2">
      <c r="A620" s="49" t="s">
        <v>769</v>
      </c>
      <c r="B620" s="29">
        <v>5</v>
      </c>
      <c r="C620" s="50">
        <v>27</v>
      </c>
      <c r="D620" s="50">
        <v>9</v>
      </c>
      <c r="E620" s="27" t="s">
        <v>48</v>
      </c>
      <c r="F620" s="29" t="s">
        <v>748</v>
      </c>
      <c r="G620" s="28">
        <v>1238</v>
      </c>
      <c r="H620" s="29" t="s">
        <v>65</v>
      </c>
      <c r="I620" s="38" t="str">
        <f>Assumptions!$I$153</f>
        <v>A</v>
      </c>
      <c r="J620" s="29" t="str">
        <f>IF(D620&lt;=Assumptions!$V$153,"Low",IF(D620&lt;=Assumptions!$W$153,"Mid","High"))</f>
        <v>Low</v>
      </c>
      <c r="K620" s="51">
        <f>Assumptions!$Q$153</f>
        <v>2737</v>
      </c>
      <c r="L620" s="52">
        <f>INDEX(Assumptions!$O$61:$O$90,D620)</f>
        <v>2933.1</v>
      </c>
      <c r="M620" s="53">
        <f>IF(D620&lt;=Assumptions!$G$153,Assumptions!$AK$153,IF(D620&lt;Assumptions!$AH$153,Assumptions!$AK$153+(Assumptions!$AL$153-Assumptions!$AK$153)*(D620-Assumptions!$G$153)/(Assumptions!$AH$153-Assumptions!$G$153),IF(D620&lt;Assumptions!$P$153,Assumptions!$AL$153+(Assumptions!$AM$153-Assumptions!$AL$153)*(D620-Assumptions!$AH$153)/(Assumptions!$P$153-Assumptions!$AH$153),Assumptions!$AM$153)))</f>
        <v>0</v>
      </c>
      <c r="N620" s="54">
        <f t="shared" si="18"/>
        <v>0</v>
      </c>
      <c r="O620" s="55">
        <f t="shared" si="19"/>
        <v>2933</v>
      </c>
      <c r="P620" s="29" t="str">
        <f>IF(D620&gt;=Assumptions!$P$153,"High",IF(D620&gt;=Assumptions!$AH$153,"Mid",IF(D620&lt;=Assumptions!$G$153,"Low","Loading")))</f>
        <v>Loading</v>
      </c>
      <c r="Q620" s="39">
        <f>MAX(K620,MIN(Assumptions!$S$153,O620),Q621)</f>
        <v>2933</v>
      </c>
      <c r="R620" s="30">
        <f>IF(AND(Q620&lt;=K620,INDEX(Assumptions!$C$26:$C$36,MATCH(G620,Assumptions!$A$26:$A$36,0))&lt;&gt;""),INDEX(Assumptions!$C$26:$C$36,MATCH(G620,Assumptions!$A$26:$A$36,0)),ROUND(G620*Q620,-2))</f>
        <v>3631100</v>
      </c>
      <c r="S620" s="56" t="str">
        <f>TRIM(IF(AND(Assumptions!$L$153&lt;&gt;"",D620&lt;Assumptions!$L$153),"View blocked / roof in front ("&amp;Assumptions!$M$153&amp;"); view premium still loading until L"&amp;Assumptions!$L$153&amp;". ","")&amp;IF(D620=Assumptions!$AH$153,"Mid-floor view premium fully loaded. ","")&amp;IF(D620=Assumptions!$P$153,"High-floor view premium fully loaded. ","")&amp;IF(Q620&lt;=K620,"At developer starting price.",""))</f>
        <v/>
      </c>
      <c r="T620" s="57" t="str">
        <f>Assumptions!$AJ$153</f>
        <v>SE: no afternoon sun. 171m pool &amp; landscape, nature reserve + landed; Luxury block. Most premium 4BR stack</v>
      </c>
    </row>
    <row r="621" spans="1:20" x14ac:dyDescent="0.2">
      <c r="A621" s="49" t="s">
        <v>770</v>
      </c>
      <c r="B621" s="29">
        <v>5</v>
      </c>
      <c r="C621" s="50">
        <v>27</v>
      </c>
      <c r="D621" s="50">
        <v>8</v>
      </c>
      <c r="E621" s="27" t="s">
        <v>48</v>
      </c>
      <c r="F621" s="29" t="s">
        <v>748</v>
      </c>
      <c r="G621" s="28">
        <v>1238</v>
      </c>
      <c r="H621" s="29" t="s">
        <v>65</v>
      </c>
      <c r="I621" s="38" t="str">
        <f>Assumptions!$I$153</f>
        <v>A</v>
      </c>
      <c r="J621" s="29" t="str">
        <f>IF(D621&lt;=Assumptions!$V$153,"Low",IF(D621&lt;=Assumptions!$W$153,"Mid","High"))</f>
        <v>Low</v>
      </c>
      <c r="K621" s="51">
        <f>Assumptions!$Q$153</f>
        <v>2737</v>
      </c>
      <c r="L621" s="52">
        <f>INDEX(Assumptions!$O$61:$O$90,D621)</f>
        <v>2919.6400000000003</v>
      </c>
      <c r="M621" s="53">
        <f>IF(D621&lt;=Assumptions!$G$153,Assumptions!$AK$153,IF(D621&lt;Assumptions!$AH$153,Assumptions!$AK$153+(Assumptions!$AL$153-Assumptions!$AK$153)*(D621-Assumptions!$G$153)/(Assumptions!$AH$153-Assumptions!$G$153),IF(D621&lt;Assumptions!$P$153,Assumptions!$AL$153+(Assumptions!$AM$153-Assumptions!$AL$153)*(D621-Assumptions!$AH$153)/(Assumptions!$P$153-Assumptions!$AH$153),Assumptions!$AM$153)))</f>
        <v>0</v>
      </c>
      <c r="N621" s="54">
        <f t="shared" si="18"/>
        <v>0</v>
      </c>
      <c r="O621" s="55">
        <f t="shared" si="19"/>
        <v>2920</v>
      </c>
      <c r="P621" s="29" t="str">
        <f>IF(D621&gt;=Assumptions!$P$153,"High",IF(D621&gt;=Assumptions!$AH$153,"Mid",IF(D621&lt;=Assumptions!$G$153,"Low","Loading")))</f>
        <v>Loading</v>
      </c>
      <c r="Q621" s="39">
        <f>MAX(K621,MIN(Assumptions!$S$153,O621),Q622)</f>
        <v>2920</v>
      </c>
      <c r="R621" s="30">
        <f>IF(AND(Q621&lt;=K621,INDEX(Assumptions!$C$26:$C$36,MATCH(G621,Assumptions!$A$26:$A$36,0))&lt;&gt;""),INDEX(Assumptions!$C$26:$C$36,MATCH(G621,Assumptions!$A$26:$A$36,0)),ROUND(G621*Q621,-2))</f>
        <v>3615000</v>
      </c>
      <c r="S621" s="56" t="str">
        <f>TRIM(IF(AND(Assumptions!$L$153&lt;&gt;"",D621&lt;Assumptions!$L$153),"View blocked / roof in front ("&amp;Assumptions!$M$153&amp;"); view premium still loading until L"&amp;Assumptions!$L$153&amp;". ","")&amp;IF(D621=Assumptions!$AH$153,"Mid-floor view premium fully loaded. ","")&amp;IF(D621=Assumptions!$P$153,"High-floor view premium fully loaded. ","")&amp;IF(Q621&lt;=K621,"At developer starting price.",""))</f>
        <v/>
      </c>
      <c r="T621" s="57" t="str">
        <f>Assumptions!$AJ$153</f>
        <v>SE: no afternoon sun. 171m pool &amp; landscape, nature reserve + landed; Luxury block. Most premium 4BR stack</v>
      </c>
    </row>
    <row r="622" spans="1:20" x14ac:dyDescent="0.2">
      <c r="A622" s="49" t="s">
        <v>771</v>
      </c>
      <c r="B622" s="29">
        <v>5</v>
      </c>
      <c r="C622" s="50">
        <v>27</v>
      </c>
      <c r="D622" s="50">
        <v>7</v>
      </c>
      <c r="E622" s="27" t="s">
        <v>48</v>
      </c>
      <c r="F622" s="29" t="s">
        <v>748</v>
      </c>
      <c r="G622" s="28">
        <v>1238</v>
      </c>
      <c r="H622" s="29" t="s">
        <v>65</v>
      </c>
      <c r="I622" s="38" t="str">
        <f>Assumptions!$I$153</f>
        <v>A</v>
      </c>
      <c r="J622" s="29" t="str">
        <f>IF(D622&lt;=Assumptions!$V$153,"Low",IF(D622&lt;=Assumptions!$W$153,"Mid","High"))</f>
        <v>Low</v>
      </c>
      <c r="K622" s="51">
        <f>Assumptions!$Q$153</f>
        <v>2737</v>
      </c>
      <c r="L622" s="52">
        <f>INDEX(Assumptions!$O$61:$O$90,D622)</f>
        <v>2906.18</v>
      </c>
      <c r="M622" s="53">
        <f>IF(D622&lt;=Assumptions!$G$153,Assumptions!$AK$153,IF(D622&lt;Assumptions!$AH$153,Assumptions!$AK$153+(Assumptions!$AL$153-Assumptions!$AK$153)*(D622-Assumptions!$G$153)/(Assumptions!$AH$153-Assumptions!$G$153),IF(D622&lt;Assumptions!$P$153,Assumptions!$AL$153+(Assumptions!$AM$153-Assumptions!$AL$153)*(D622-Assumptions!$AH$153)/(Assumptions!$P$153-Assumptions!$AH$153),Assumptions!$AM$153)))</f>
        <v>0</v>
      </c>
      <c r="N622" s="54">
        <f t="shared" si="18"/>
        <v>0</v>
      </c>
      <c r="O622" s="55">
        <f t="shared" si="19"/>
        <v>2906</v>
      </c>
      <c r="P622" s="29" t="str">
        <f>IF(D622&gt;=Assumptions!$P$153,"High",IF(D622&gt;=Assumptions!$AH$153,"Mid",IF(D622&lt;=Assumptions!$G$153,"Low","Loading")))</f>
        <v>Loading</v>
      </c>
      <c r="Q622" s="39">
        <f>MAX(K622,MIN(Assumptions!$S$153,O622),Q623)</f>
        <v>2906</v>
      </c>
      <c r="R622" s="30">
        <f>IF(AND(Q622&lt;=K622,INDEX(Assumptions!$C$26:$C$36,MATCH(G622,Assumptions!$A$26:$A$36,0))&lt;&gt;""),INDEX(Assumptions!$C$26:$C$36,MATCH(G622,Assumptions!$A$26:$A$36,0)),ROUND(G622*Q622,-2))</f>
        <v>3597600</v>
      </c>
      <c r="S622" s="56" t="str">
        <f>TRIM(IF(AND(Assumptions!$L$153&lt;&gt;"",D622&lt;Assumptions!$L$153),"View blocked / roof in front ("&amp;Assumptions!$M$153&amp;"); view premium still loading until L"&amp;Assumptions!$L$153&amp;". ","")&amp;IF(D622=Assumptions!$AH$153,"Mid-floor view premium fully loaded. ","")&amp;IF(D622=Assumptions!$P$153,"High-floor view premium fully loaded. ","")&amp;IF(Q622&lt;=K622,"At developer starting price.",""))</f>
        <v/>
      </c>
      <c r="T622" s="57" t="str">
        <f>Assumptions!$AJ$153</f>
        <v>SE: no afternoon sun. 171m pool &amp; landscape, nature reserve + landed; Luxury block. Most premium 4BR stack</v>
      </c>
    </row>
    <row r="623" spans="1:20" x14ac:dyDescent="0.2">
      <c r="A623" s="49" t="s">
        <v>772</v>
      </c>
      <c r="B623" s="29">
        <v>5</v>
      </c>
      <c r="C623" s="50">
        <v>27</v>
      </c>
      <c r="D623" s="50">
        <v>6</v>
      </c>
      <c r="E623" s="27" t="s">
        <v>48</v>
      </c>
      <c r="F623" s="29" t="s">
        <v>748</v>
      </c>
      <c r="G623" s="28">
        <v>1238</v>
      </c>
      <c r="H623" s="29" t="s">
        <v>65</v>
      </c>
      <c r="I623" s="38" t="str">
        <f>Assumptions!$I$153</f>
        <v>A</v>
      </c>
      <c r="J623" s="29" t="str">
        <f>IF(D623&lt;=Assumptions!$V$153,"Low",IF(D623&lt;=Assumptions!$W$153,"Mid","High"))</f>
        <v>Low</v>
      </c>
      <c r="K623" s="51">
        <f>Assumptions!$Q$153</f>
        <v>2737</v>
      </c>
      <c r="L623" s="52">
        <f>INDEX(Assumptions!$O$61:$O$90,D623)</f>
        <v>2892.72</v>
      </c>
      <c r="M623" s="53">
        <f>IF(D623&lt;=Assumptions!$G$153,Assumptions!$AK$153,IF(D623&lt;Assumptions!$AH$153,Assumptions!$AK$153+(Assumptions!$AL$153-Assumptions!$AK$153)*(D623-Assumptions!$G$153)/(Assumptions!$AH$153-Assumptions!$G$153),IF(D623&lt;Assumptions!$P$153,Assumptions!$AL$153+(Assumptions!$AM$153-Assumptions!$AL$153)*(D623-Assumptions!$AH$153)/(Assumptions!$P$153-Assumptions!$AH$153),Assumptions!$AM$153)))</f>
        <v>0</v>
      </c>
      <c r="N623" s="54">
        <f t="shared" si="18"/>
        <v>0</v>
      </c>
      <c r="O623" s="55">
        <f t="shared" si="19"/>
        <v>2893</v>
      </c>
      <c r="P623" s="29" t="str">
        <f>IF(D623&gt;=Assumptions!$P$153,"High",IF(D623&gt;=Assumptions!$AH$153,"Mid",IF(D623&lt;=Assumptions!$G$153,"Low","Loading")))</f>
        <v>Loading</v>
      </c>
      <c r="Q623" s="39">
        <f>MAX(K623,MIN(Assumptions!$S$153,O623),Q624)</f>
        <v>2893</v>
      </c>
      <c r="R623" s="30">
        <f>IF(AND(Q623&lt;=K623,INDEX(Assumptions!$C$26:$C$36,MATCH(G623,Assumptions!$A$26:$A$36,0))&lt;&gt;""),INDEX(Assumptions!$C$26:$C$36,MATCH(G623,Assumptions!$A$26:$A$36,0)),ROUND(G623*Q623,-2))</f>
        <v>3581500</v>
      </c>
      <c r="S623" s="56" t="str">
        <f>TRIM(IF(AND(Assumptions!$L$153&lt;&gt;"",D623&lt;Assumptions!$L$153),"View blocked / roof in front ("&amp;Assumptions!$M$153&amp;"); view premium still loading until L"&amp;Assumptions!$L$153&amp;". ","")&amp;IF(D623=Assumptions!$AH$153,"Mid-floor view premium fully loaded. ","")&amp;IF(D623=Assumptions!$P$153,"High-floor view premium fully loaded. ","")&amp;IF(Q623&lt;=K623,"At developer starting price.",""))</f>
        <v/>
      </c>
      <c r="T623" s="57" t="str">
        <f>Assumptions!$AJ$153</f>
        <v>SE: no afternoon sun. 171m pool &amp; landscape, nature reserve + landed; Luxury block. Most premium 4BR stack</v>
      </c>
    </row>
    <row r="624" spans="1:20" x14ac:dyDescent="0.2">
      <c r="A624" s="49" t="s">
        <v>773</v>
      </c>
      <c r="B624" s="29">
        <v>5</v>
      </c>
      <c r="C624" s="50">
        <v>27</v>
      </c>
      <c r="D624" s="50">
        <v>5</v>
      </c>
      <c r="E624" s="27" t="s">
        <v>48</v>
      </c>
      <c r="F624" s="29" t="s">
        <v>748</v>
      </c>
      <c r="G624" s="28">
        <v>1238</v>
      </c>
      <c r="H624" s="29" t="s">
        <v>65</v>
      </c>
      <c r="I624" s="38" t="str">
        <f>Assumptions!$I$153</f>
        <v>A</v>
      </c>
      <c r="J624" s="29" t="str">
        <f>IF(D624&lt;=Assumptions!$V$153,"Low",IF(D624&lt;=Assumptions!$W$153,"Mid","High"))</f>
        <v>Low</v>
      </c>
      <c r="K624" s="51">
        <f>Assumptions!$Q$153</f>
        <v>2737</v>
      </c>
      <c r="L624" s="52">
        <f>INDEX(Assumptions!$O$61:$O$90,D624)</f>
        <v>2879.26</v>
      </c>
      <c r="M624" s="53">
        <f>IF(D624&lt;=Assumptions!$G$153,Assumptions!$AK$153,IF(D624&lt;Assumptions!$AH$153,Assumptions!$AK$153+(Assumptions!$AL$153-Assumptions!$AK$153)*(D624-Assumptions!$G$153)/(Assumptions!$AH$153-Assumptions!$G$153),IF(D624&lt;Assumptions!$P$153,Assumptions!$AL$153+(Assumptions!$AM$153-Assumptions!$AL$153)*(D624-Assumptions!$AH$153)/(Assumptions!$P$153-Assumptions!$AH$153),Assumptions!$AM$153)))</f>
        <v>0</v>
      </c>
      <c r="N624" s="54">
        <f t="shared" si="18"/>
        <v>0</v>
      </c>
      <c r="O624" s="55">
        <f t="shared" si="19"/>
        <v>2879</v>
      </c>
      <c r="P624" s="29" t="str">
        <f>IF(D624&gt;=Assumptions!$P$153,"High",IF(D624&gt;=Assumptions!$AH$153,"Mid",IF(D624&lt;=Assumptions!$G$153,"Low","Loading")))</f>
        <v>Loading</v>
      </c>
      <c r="Q624" s="39">
        <f>MAX(K624,MIN(Assumptions!$S$153,O624),Q625)</f>
        <v>2879</v>
      </c>
      <c r="R624" s="30">
        <f>IF(AND(Q624&lt;=K624,INDEX(Assumptions!$C$26:$C$36,MATCH(G624,Assumptions!$A$26:$A$36,0))&lt;&gt;""),INDEX(Assumptions!$C$26:$C$36,MATCH(G624,Assumptions!$A$26:$A$36,0)),ROUND(G624*Q624,-2))</f>
        <v>3564200</v>
      </c>
      <c r="S624" s="56" t="str">
        <f>TRIM(IF(AND(Assumptions!$L$153&lt;&gt;"",D624&lt;Assumptions!$L$153),"View blocked / roof in front ("&amp;Assumptions!$M$153&amp;"); view premium still loading until L"&amp;Assumptions!$L$153&amp;". ","")&amp;IF(D624=Assumptions!$AH$153,"Mid-floor view premium fully loaded. ","")&amp;IF(D624=Assumptions!$P$153,"High-floor view premium fully loaded. ","")&amp;IF(Q624&lt;=K624,"At developer starting price.",""))</f>
        <v/>
      </c>
      <c r="T624" s="57" t="str">
        <f>Assumptions!$AJ$153</f>
        <v>SE: no afternoon sun. 171m pool &amp; landscape, nature reserve + landed; Luxury block. Most premium 4BR stack</v>
      </c>
    </row>
    <row r="625" spans="1:20" x14ac:dyDescent="0.2">
      <c r="A625" s="49" t="s">
        <v>774</v>
      </c>
      <c r="B625" s="29">
        <v>5</v>
      </c>
      <c r="C625" s="50">
        <v>27</v>
      </c>
      <c r="D625" s="50">
        <v>4</v>
      </c>
      <c r="E625" s="27" t="s">
        <v>48</v>
      </c>
      <c r="F625" s="29" t="s">
        <v>748</v>
      </c>
      <c r="G625" s="28">
        <v>1238</v>
      </c>
      <c r="H625" s="29" t="s">
        <v>65</v>
      </c>
      <c r="I625" s="38" t="str">
        <f>Assumptions!$I$153</f>
        <v>A</v>
      </c>
      <c r="J625" s="29" t="str">
        <f>IF(D625&lt;=Assumptions!$V$153,"Low",IF(D625&lt;=Assumptions!$W$153,"Mid","High"))</f>
        <v>Low</v>
      </c>
      <c r="K625" s="51">
        <f>Assumptions!$Q$153</f>
        <v>2737</v>
      </c>
      <c r="L625" s="52">
        <f>INDEX(Assumptions!$O$61:$O$90,D625)</f>
        <v>2865.7999999999997</v>
      </c>
      <c r="M625" s="53">
        <f>IF(D625&lt;=Assumptions!$G$153,Assumptions!$AK$153,IF(D625&lt;Assumptions!$AH$153,Assumptions!$AK$153+(Assumptions!$AL$153-Assumptions!$AK$153)*(D625-Assumptions!$G$153)/(Assumptions!$AH$153-Assumptions!$G$153),IF(D625&lt;Assumptions!$P$153,Assumptions!$AL$153+(Assumptions!$AM$153-Assumptions!$AL$153)*(D625-Assumptions!$AH$153)/(Assumptions!$P$153-Assumptions!$AH$153),Assumptions!$AM$153)))</f>
        <v>0</v>
      </c>
      <c r="N625" s="54">
        <f t="shared" si="18"/>
        <v>0</v>
      </c>
      <c r="O625" s="55">
        <f t="shared" si="19"/>
        <v>2866</v>
      </c>
      <c r="P625" s="29" t="str">
        <f>IF(D625&gt;=Assumptions!$P$153,"High",IF(D625&gt;=Assumptions!$AH$153,"Mid",IF(D625&lt;=Assumptions!$G$153,"Low","Loading")))</f>
        <v>Loading</v>
      </c>
      <c r="Q625" s="39">
        <f>MAX(K625,MIN(Assumptions!$S$153,O625),Q626)</f>
        <v>2866</v>
      </c>
      <c r="R625" s="30">
        <f>IF(AND(Q625&lt;=K625,INDEX(Assumptions!$C$26:$C$36,MATCH(G625,Assumptions!$A$26:$A$36,0))&lt;&gt;""),INDEX(Assumptions!$C$26:$C$36,MATCH(G625,Assumptions!$A$26:$A$36,0)),ROUND(G625*Q625,-2))</f>
        <v>3548100</v>
      </c>
      <c r="S625" s="56" t="str">
        <f>TRIM(IF(AND(Assumptions!$L$153&lt;&gt;"",D625&lt;Assumptions!$L$153),"View blocked / roof in front ("&amp;Assumptions!$M$153&amp;"); view premium still loading until L"&amp;Assumptions!$L$153&amp;". ","")&amp;IF(D625=Assumptions!$AH$153,"Mid-floor view premium fully loaded. ","")&amp;IF(D625=Assumptions!$P$153,"High-floor view premium fully loaded. ","")&amp;IF(Q625&lt;=K625,"At developer starting price.",""))</f>
        <v/>
      </c>
      <c r="T625" s="57" t="str">
        <f>Assumptions!$AJ$153</f>
        <v>SE: no afternoon sun. 171m pool &amp; landscape, nature reserve + landed; Luxury block. Most premium 4BR stack</v>
      </c>
    </row>
    <row r="626" spans="1:20" x14ac:dyDescent="0.2">
      <c r="A626" s="49" t="s">
        <v>775</v>
      </c>
      <c r="B626" s="29">
        <v>5</v>
      </c>
      <c r="C626" s="50">
        <v>27</v>
      </c>
      <c r="D626" s="50">
        <v>3</v>
      </c>
      <c r="E626" s="27" t="s">
        <v>48</v>
      </c>
      <c r="F626" s="29" t="s">
        <v>748</v>
      </c>
      <c r="G626" s="28">
        <v>1238</v>
      </c>
      <c r="H626" s="29" t="s">
        <v>65</v>
      </c>
      <c r="I626" s="38" t="str">
        <f>Assumptions!$I$153</f>
        <v>A</v>
      </c>
      <c r="J626" s="29" t="str">
        <f>IF(D626&lt;=Assumptions!$V$153,"Low",IF(D626&lt;=Assumptions!$W$153,"Mid","High"))</f>
        <v>Low</v>
      </c>
      <c r="K626" s="51">
        <f>Assumptions!$Q$153</f>
        <v>2737</v>
      </c>
      <c r="L626" s="52">
        <f>INDEX(Assumptions!$O$61:$O$90,D626)</f>
        <v>2852.34</v>
      </c>
      <c r="M626" s="53">
        <f>IF(D626&lt;=Assumptions!$G$153,Assumptions!$AK$153,IF(D626&lt;Assumptions!$AH$153,Assumptions!$AK$153+(Assumptions!$AL$153-Assumptions!$AK$153)*(D626-Assumptions!$G$153)/(Assumptions!$AH$153-Assumptions!$G$153),IF(D626&lt;Assumptions!$P$153,Assumptions!$AL$153+(Assumptions!$AM$153-Assumptions!$AL$153)*(D626-Assumptions!$AH$153)/(Assumptions!$P$153-Assumptions!$AH$153),Assumptions!$AM$153)))</f>
        <v>0</v>
      </c>
      <c r="N626" s="54">
        <f t="shared" si="18"/>
        <v>0</v>
      </c>
      <c r="O626" s="55">
        <f t="shared" si="19"/>
        <v>2852</v>
      </c>
      <c r="P626" s="29" t="str">
        <f>IF(D626&gt;=Assumptions!$P$153,"High",IF(D626&gt;=Assumptions!$AH$153,"Mid",IF(D626&lt;=Assumptions!$G$153,"Low","Loading")))</f>
        <v>Loading</v>
      </c>
      <c r="Q626" s="39">
        <f>MAX(K626,MIN(Assumptions!$S$153,O626),Q627)</f>
        <v>2852</v>
      </c>
      <c r="R626" s="30">
        <f>IF(AND(Q626&lt;=K626,INDEX(Assumptions!$C$26:$C$36,MATCH(G626,Assumptions!$A$26:$A$36,0))&lt;&gt;""),INDEX(Assumptions!$C$26:$C$36,MATCH(G626,Assumptions!$A$26:$A$36,0)),ROUND(G626*Q626,-2))</f>
        <v>3530800</v>
      </c>
      <c r="S626" s="56" t="str">
        <f>TRIM(IF(AND(Assumptions!$L$153&lt;&gt;"",D626&lt;Assumptions!$L$153),"View blocked / roof in front ("&amp;Assumptions!$M$153&amp;"); view premium still loading until L"&amp;Assumptions!$L$153&amp;". ","")&amp;IF(D626=Assumptions!$AH$153,"Mid-floor view premium fully loaded. ","")&amp;IF(D626=Assumptions!$P$153,"High-floor view premium fully loaded. ","")&amp;IF(Q626&lt;=K626,"At developer starting price.",""))</f>
        <v/>
      </c>
      <c r="T626" s="57" t="str">
        <f>Assumptions!$AJ$153</f>
        <v>SE: no afternoon sun. 171m pool &amp; landscape, nature reserve + landed; Luxury block. Most premium 4BR stack</v>
      </c>
    </row>
    <row r="627" spans="1:20" x14ac:dyDescent="0.2">
      <c r="A627" s="49" t="s">
        <v>776</v>
      </c>
      <c r="B627" s="29">
        <v>5</v>
      </c>
      <c r="C627" s="50">
        <v>27</v>
      </c>
      <c r="D627" s="50">
        <v>2</v>
      </c>
      <c r="E627" s="27" t="s">
        <v>48</v>
      </c>
      <c r="F627" s="29" t="s">
        <v>748</v>
      </c>
      <c r="G627" s="28">
        <v>1238</v>
      </c>
      <c r="H627" s="29" t="s">
        <v>65</v>
      </c>
      <c r="I627" s="38" t="str">
        <f>Assumptions!$I$153</f>
        <v>A</v>
      </c>
      <c r="J627" s="29" t="str">
        <f>IF(D627&lt;=Assumptions!$V$153,"Low",IF(D627&lt;=Assumptions!$W$153,"Mid","High"))</f>
        <v>Low</v>
      </c>
      <c r="K627" s="51">
        <f>Assumptions!$Q$153</f>
        <v>2737</v>
      </c>
      <c r="L627" s="52">
        <f>INDEX(Assumptions!$O$61:$O$90,D627)</f>
        <v>2838.88</v>
      </c>
      <c r="M627" s="53">
        <f>IF(D627&lt;=Assumptions!$G$153,Assumptions!$AK$153,IF(D627&lt;Assumptions!$AH$153,Assumptions!$AK$153+(Assumptions!$AL$153-Assumptions!$AK$153)*(D627-Assumptions!$G$153)/(Assumptions!$AH$153-Assumptions!$G$153),IF(D627&lt;Assumptions!$P$153,Assumptions!$AL$153+(Assumptions!$AM$153-Assumptions!$AL$153)*(D627-Assumptions!$AH$153)/(Assumptions!$P$153-Assumptions!$AH$153),Assumptions!$AM$153)))</f>
        <v>0</v>
      </c>
      <c r="N627" s="54">
        <f t="shared" si="18"/>
        <v>0</v>
      </c>
      <c r="O627" s="55">
        <f t="shared" si="19"/>
        <v>2839</v>
      </c>
      <c r="P627" s="29" t="str">
        <f>IF(D627&gt;=Assumptions!$P$153,"High",IF(D627&gt;=Assumptions!$AH$153,"Mid",IF(D627&lt;=Assumptions!$G$153,"Low","Loading")))</f>
        <v>Loading</v>
      </c>
      <c r="Q627" s="39">
        <f>MAX(K627,MIN(Assumptions!$S$153,O627),Q628)</f>
        <v>2839</v>
      </c>
      <c r="R627" s="30">
        <f>IF(AND(Q627&lt;=K627,INDEX(Assumptions!$C$26:$C$36,MATCH(G627,Assumptions!$A$26:$A$36,0))&lt;&gt;""),INDEX(Assumptions!$C$26:$C$36,MATCH(G627,Assumptions!$A$26:$A$36,0)),ROUND(G627*Q627,-2))</f>
        <v>3514700</v>
      </c>
      <c r="S627" s="56" t="str">
        <f>TRIM(IF(AND(Assumptions!$L$153&lt;&gt;"",D627&lt;Assumptions!$L$153),"View blocked / roof in front ("&amp;Assumptions!$M$153&amp;"); view premium still loading until L"&amp;Assumptions!$L$153&amp;". ","")&amp;IF(D627=Assumptions!$AH$153,"Mid-floor view premium fully loaded. ","")&amp;IF(D627=Assumptions!$P$153,"High-floor view premium fully loaded. ","")&amp;IF(Q627&lt;=K627,"At developer starting price.",""))</f>
        <v/>
      </c>
      <c r="T627" s="57" t="str">
        <f>Assumptions!$AJ$153</f>
        <v>SE: no afternoon sun. 171m pool &amp; landscape, nature reserve + landed; Luxury block. Most premium 4BR stack</v>
      </c>
    </row>
    <row r="628" spans="1:20" x14ac:dyDescent="0.2">
      <c r="A628" s="49" t="s">
        <v>777</v>
      </c>
      <c r="B628" s="29">
        <v>5</v>
      </c>
      <c r="C628" s="50">
        <v>27</v>
      </c>
      <c r="D628" s="50">
        <v>1</v>
      </c>
      <c r="E628" s="27" t="s">
        <v>48</v>
      </c>
      <c r="F628" s="29" t="s">
        <v>778</v>
      </c>
      <c r="G628" s="28">
        <v>1238</v>
      </c>
      <c r="H628" s="29" t="s">
        <v>65</v>
      </c>
      <c r="I628" s="38" t="str">
        <f>Assumptions!$I$153</f>
        <v>A</v>
      </c>
      <c r="J628" s="29" t="str">
        <f>IF(D628&lt;=Assumptions!$V$153,"Low",IF(D628&lt;=Assumptions!$W$153,"Mid","High"))</f>
        <v>Low</v>
      </c>
      <c r="K628" s="51">
        <f>Assumptions!$Q$153</f>
        <v>2737</v>
      </c>
      <c r="L628" s="52">
        <f>INDEX(Assumptions!$O$61:$O$90,D628)</f>
        <v>2825.4199999999996</v>
      </c>
      <c r="M628" s="53">
        <f>IF(D628&lt;=Assumptions!$G$153,Assumptions!$AK$153,IF(D628&lt;Assumptions!$AH$153,Assumptions!$AK$153+(Assumptions!$AL$153-Assumptions!$AK$153)*(D628-Assumptions!$G$153)/(Assumptions!$AH$153-Assumptions!$G$153),IF(D628&lt;Assumptions!$P$153,Assumptions!$AL$153+(Assumptions!$AM$153-Assumptions!$AL$153)*(D628-Assumptions!$AH$153)/(Assumptions!$P$153-Assumptions!$AH$153),Assumptions!$AM$153)))</f>
        <v>0</v>
      </c>
      <c r="N628" s="54">
        <f t="shared" si="18"/>
        <v>0</v>
      </c>
      <c r="O628" s="55">
        <f t="shared" si="19"/>
        <v>2825</v>
      </c>
      <c r="P628" s="29" t="str">
        <f>IF(D628&gt;=Assumptions!$P$153,"High",IF(D628&gt;=Assumptions!$AH$153,"Mid",IF(D628&lt;=Assumptions!$G$153,"Low","Loading")))</f>
        <v>Low</v>
      </c>
      <c r="Q628" s="39">
        <f>MAX(K628,MIN(Assumptions!$S$153,O628))</f>
        <v>2825</v>
      </c>
      <c r="R628" s="30">
        <f>IF(AND(Q628&lt;=K628,INDEX(Assumptions!$C$26:$C$36,MATCH(G628,Assumptions!$A$26:$A$36,0))&lt;&gt;""),INDEX(Assumptions!$C$26:$C$36,MATCH(G628,Assumptions!$A$26:$A$36,0)),ROUND(G628*Q628,-2))</f>
        <v>3497400</v>
      </c>
      <c r="S628" s="56" t="str">
        <f>TRIM(IF(AND(Assumptions!$L$153&lt;&gt;"",D628&lt;Assumptions!$L$153),"View blocked / roof in front ("&amp;Assumptions!$M$153&amp;"); view premium still loading until L"&amp;Assumptions!$L$153&amp;". ","")&amp;IF(D628=Assumptions!$AH$153,"Mid-floor view premium fully loaded. ","")&amp;IF(D628=Assumptions!$P$153,"High-floor view premium fully loaded. ","")&amp;IF(Q628&lt;=K628,"At developer starting price.",""))</f>
        <v/>
      </c>
      <c r="T628" s="57" t="str">
        <f>Assumptions!$AJ$153</f>
        <v>SE: no afternoon sun. 171m pool &amp; landscape, nature reserve + landed; Luxury block. Most premium 4BR stack</v>
      </c>
    </row>
    <row r="629" spans="1:20" x14ac:dyDescent="0.2">
      <c r="A629" s="49" t="s">
        <v>779</v>
      </c>
      <c r="B629" s="29">
        <v>7</v>
      </c>
      <c r="C629" s="50">
        <v>28</v>
      </c>
      <c r="D629" s="50">
        <v>30</v>
      </c>
      <c r="E629" s="27" t="s">
        <v>46</v>
      </c>
      <c r="F629" s="29" t="s">
        <v>780</v>
      </c>
      <c r="G629" s="28">
        <v>1055</v>
      </c>
      <c r="H629" s="29" t="s">
        <v>65</v>
      </c>
      <c r="I629" s="38" t="str">
        <f>Assumptions!$I$154</f>
        <v>A</v>
      </c>
      <c r="J629" s="29" t="str">
        <f>IF(D629&lt;=Assumptions!$V$154,"Low",IF(D629&lt;=Assumptions!$W$154,"Mid","High"))</f>
        <v>High</v>
      </c>
      <c r="K629" s="51">
        <f>Assumptions!$Q$154</f>
        <v>2633</v>
      </c>
      <c r="L629" s="52">
        <f>INDEX(Assumptions!$L$61:$L$90,D629)</f>
        <v>3253.7510526315791</v>
      </c>
      <c r="M629" s="53">
        <f>IF(D629&lt;=Assumptions!$G$154,Assumptions!$AK$154,IF(D629&lt;Assumptions!$AH$154,Assumptions!$AK$154+(Assumptions!$AL$154-Assumptions!$AK$154)*(D629-Assumptions!$G$154)/(Assumptions!$AH$154-Assumptions!$G$154),IF(D629&lt;Assumptions!$P$154,Assumptions!$AL$154+(Assumptions!$AM$154-Assumptions!$AL$154)*(D629-Assumptions!$AH$154)/(Assumptions!$P$154-Assumptions!$AH$154),Assumptions!$AM$154)))</f>
        <v>0</v>
      </c>
      <c r="N629" s="54">
        <f t="shared" si="18"/>
        <v>0</v>
      </c>
      <c r="O629" s="55">
        <f t="shared" si="19"/>
        <v>3254</v>
      </c>
      <c r="P629" s="29" t="str">
        <f>IF(D629&gt;=Assumptions!$P$154,"High",IF(D629&gt;=Assumptions!$AH$154,"Mid",IF(D629&lt;=Assumptions!$G$154,"Low","Loading")))</f>
        <v>High</v>
      </c>
      <c r="Q629" s="39">
        <f>MAX(K629,MIN(Assumptions!$S$154,O629),Q630)</f>
        <v>3254</v>
      </c>
      <c r="R629" s="30">
        <f>IF(AND(Q629&lt;=K629,INDEX(Assumptions!$C$26:$C$36,MATCH(G629,Assumptions!$A$26:$A$36,0))&lt;&gt;""),INDEX(Assumptions!$C$26:$C$36,MATCH(G629,Assumptions!$A$26:$A$36,0)),ROUND(G629*Q629,-2))</f>
        <v>3433000</v>
      </c>
      <c r="S629" s="56" t="str">
        <f>TRIM(IF(AND(Assumptions!$L$154&lt;&gt;"",D629&lt;Assumptions!$L$154),"View blocked / roof in front ("&amp;Assumptions!$M$154&amp;"); view premium still loading until L"&amp;Assumptions!$L$154&amp;". ","")&amp;IF(D629=Assumptions!$AH$154,"Mid-floor view premium fully loaded. ","")&amp;IF(D629=Assumptions!$P$154,"High-floor view premium fully loaded. ","")&amp;IF(Q629&lt;=K629,"At developer starting price.",""))</f>
        <v/>
      </c>
      <c r="T629" s="57" t="str">
        <f>Assumptions!$AJ$154</f>
        <v>SW. Unblocked landed estate + nature reserve + city view</v>
      </c>
    </row>
    <row r="630" spans="1:20" x14ac:dyDescent="0.2">
      <c r="A630" s="49" t="s">
        <v>781</v>
      </c>
      <c r="B630" s="29">
        <v>7</v>
      </c>
      <c r="C630" s="50">
        <v>28</v>
      </c>
      <c r="D630" s="50">
        <v>29</v>
      </c>
      <c r="E630" s="27" t="s">
        <v>46</v>
      </c>
      <c r="F630" s="29" t="s">
        <v>780</v>
      </c>
      <c r="G630" s="28">
        <v>1055</v>
      </c>
      <c r="H630" s="29" t="s">
        <v>65</v>
      </c>
      <c r="I630" s="38" t="str">
        <f>Assumptions!$I$154</f>
        <v>A</v>
      </c>
      <c r="J630" s="29" t="str">
        <f>IF(D630&lt;=Assumptions!$V$154,"Low",IF(D630&lt;=Assumptions!$W$154,"Mid","High"))</f>
        <v>High</v>
      </c>
      <c r="K630" s="51">
        <f>Assumptions!$Q$154</f>
        <v>2633</v>
      </c>
      <c r="L630" s="52">
        <f>INDEX(Assumptions!$L$61:$L$90,D630)</f>
        <v>3237.8352631578946</v>
      </c>
      <c r="M630" s="53">
        <f>IF(D630&lt;=Assumptions!$G$154,Assumptions!$AK$154,IF(D630&lt;Assumptions!$AH$154,Assumptions!$AK$154+(Assumptions!$AL$154-Assumptions!$AK$154)*(D630-Assumptions!$G$154)/(Assumptions!$AH$154-Assumptions!$G$154),IF(D630&lt;Assumptions!$P$154,Assumptions!$AL$154+(Assumptions!$AM$154-Assumptions!$AL$154)*(D630-Assumptions!$AH$154)/(Assumptions!$P$154-Assumptions!$AH$154),Assumptions!$AM$154)))</f>
        <v>0</v>
      </c>
      <c r="N630" s="54">
        <f t="shared" si="18"/>
        <v>0</v>
      </c>
      <c r="O630" s="55">
        <f t="shared" si="19"/>
        <v>3238</v>
      </c>
      <c r="P630" s="29" t="str">
        <f>IF(D630&gt;=Assumptions!$P$154,"High",IF(D630&gt;=Assumptions!$AH$154,"Mid",IF(D630&lt;=Assumptions!$G$154,"Low","Loading")))</f>
        <v>High</v>
      </c>
      <c r="Q630" s="39">
        <f>MAX(K630,MIN(Assumptions!$S$154,O630),Q631)</f>
        <v>3238</v>
      </c>
      <c r="R630" s="30">
        <f>IF(AND(Q630&lt;=K630,INDEX(Assumptions!$C$26:$C$36,MATCH(G630,Assumptions!$A$26:$A$36,0))&lt;&gt;""),INDEX(Assumptions!$C$26:$C$36,MATCH(G630,Assumptions!$A$26:$A$36,0)),ROUND(G630*Q630,-2))</f>
        <v>3416100</v>
      </c>
      <c r="S630" s="56" t="str">
        <f>TRIM(IF(AND(Assumptions!$L$154&lt;&gt;"",D630&lt;Assumptions!$L$154),"View blocked / roof in front ("&amp;Assumptions!$M$154&amp;"); view premium still loading until L"&amp;Assumptions!$L$154&amp;". ","")&amp;IF(D630=Assumptions!$AH$154,"Mid-floor view premium fully loaded. ","")&amp;IF(D630=Assumptions!$P$154,"High-floor view premium fully loaded. ","")&amp;IF(Q630&lt;=K630,"At developer starting price.",""))</f>
        <v/>
      </c>
      <c r="T630" s="57" t="str">
        <f>Assumptions!$AJ$154</f>
        <v>SW. Unblocked landed estate + nature reserve + city view</v>
      </c>
    </row>
    <row r="631" spans="1:20" x14ac:dyDescent="0.2">
      <c r="A631" s="49" t="s">
        <v>782</v>
      </c>
      <c r="B631" s="29">
        <v>7</v>
      </c>
      <c r="C631" s="50">
        <v>28</v>
      </c>
      <c r="D631" s="50">
        <v>28</v>
      </c>
      <c r="E631" s="27" t="s">
        <v>46</v>
      </c>
      <c r="F631" s="29" t="s">
        <v>780</v>
      </c>
      <c r="G631" s="28">
        <v>1055</v>
      </c>
      <c r="H631" s="29" t="s">
        <v>65</v>
      </c>
      <c r="I631" s="38" t="str">
        <f>Assumptions!$I$154</f>
        <v>A</v>
      </c>
      <c r="J631" s="29" t="str">
        <f>IF(D631&lt;=Assumptions!$V$154,"Low",IF(D631&lt;=Assumptions!$W$154,"Mid","High"))</f>
        <v>High</v>
      </c>
      <c r="K631" s="51">
        <f>Assumptions!$Q$154</f>
        <v>2633</v>
      </c>
      <c r="L631" s="52">
        <f>INDEX(Assumptions!$L$61:$L$90,D631)</f>
        <v>3221.9194736842105</v>
      </c>
      <c r="M631" s="53">
        <f>IF(D631&lt;=Assumptions!$G$154,Assumptions!$AK$154,IF(D631&lt;Assumptions!$AH$154,Assumptions!$AK$154+(Assumptions!$AL$154-Assumptions!$AK$154)*(D631-Assumptions!$G$154)/(Assumptions!$AH$154-Assumptions!$G$154),IF(D631&lt;Assumptions!$P$154,Assumptions!$AL$154+(Assumptions!$AM$154-Assumptions!$AL$154)*(D631-Assumptions!$AH$154)/(Assumptions!$P$154-Assumptions!$AH$154),Assumptions!$AM$154)))</f>
        <v>0</v>
      </c>
      <c r="N631" s="54">
        <f t="shared" si="18"/>
        <v>0</v>
      </c>
      <c r="O631" s="55">
        <f t="shared" si="19"/>
        <v>3222</v>
      </c>
      <c r="P631" s="29" t="str">
        <f>IF(D631&gt;=Assumptions!$P$154,"High",IF(D631&gt;=Assumptions!$AH$154,"Mid",IF(D631&lt;=Assumptions!$G$154,"Low","Loading")))</f>
        <v>High</v>
      </c>
      <c r="Q631" s="39">
        <f>MAX(K631,MIN(Assumptions!$S$154,O631),Q632)</f>
        <v>3222</v>
      </c>
      <c r="R631" s="30">
        <f>IF(AND(Q631&lt;=K631,INDEX(Assumptions!$C$26:$C$36,MATCH(G631,Assumptions!$A$26:$A$36,0))&lt;&gt;""),INDEX(Assumptions!$C$26:$C$36,MATCH(G631,Assumptions!$A$26:$A$36,0)),ROUND(G631*Q631,-2))</f>
        <v>3399200</v>
      </c>
      <c r="S631" s="56" t="str">
        <f>TRIM(IF(AND(Assumptions!$L$154&lt;&gt;"",D631&lt;Assumptions!$L$154),"View blocked / roof in front ("&amp;Assumptions!$M$154&amp;"); view premium still loading until L"&amp;Assumptions!$L$154&amp;". ","")&amp;IF(D631=Assumptions!$AH$154,"Mid-floor view premium fully loaded. ","")&amp;IF(D631=Assumptions!$P$154,"High-floor view premium fully loaded. ","")&amp;IF(Q631&lt;=K631,"At developer starting price.",""))</f>
        <v/>
      </c>
      <c r="T631" s="57" t="str">
        <f>Assumptions!$AJ$154</f>
        <v>SW. Unblocked landed estate + nature reserve + city view</v>
      </c>
    </row>
    <row r="632" spans="1:20" x14ac:dyDescent="0.2">
      <c r="A632" s="49" t="s">
        <v>783</v>
      </c>
      <c r="B632" s="29">
        <v>7</v>
      </c>
      <c r="C632" s="50">
        <v>28</v>
      </c>
      <c r="D632" s="50">
        <v>27</v>
      </c>
      <c r="E632" s="27" t="s">
        <v>46</v>
      </c>
      <c r="F632" s="29" t="s">
        <v>780</v>
      </c>
      <c r="G632" s="28">
        <v>1055</v>
      </c>
      <c r="H632" s="29" t="s">
        <v>65</v>
      </c>
      <c r="I632" s="38" t="str">
        <f>Assumptions!$I$154</f>
        <v>A</v>
      </c>
      <c r="J632" s="29" t="str">
        <f>IF(D632&lt;=Assumptions!$V$154,"Low",IF(D632&lt;=Assumptions!$W$154,"Mid","High"))</f>
        <v>High</v>
      </c>
      <c r="K632" s="51">
        <f>Assumptions!$Q$154</f>
        <v>2633</v>
      </c>
      <c r="L632" s="52">
        <f>INDEX(Assumptions!$L$61:$L$90,D632)</f>
        <v>3206.0036842105264</v>
      </c>
      <c r="M632" s="53">
        <f>IF(D632&lt;=Assumptions!$G$154,Assumptions!$AK$154,IF(D632&lt;Assumptions!$AH$154,Assumptions!$AK$154+(Assumptions!$AL$154-Assumptions!$AK$154)*(D632-Assumptions!$G$154)/(Assumptions!$AH$154-Assumptions!$G$154),IF(D632&lt;Assumptions!$P$154,Assumptions!$AL$154+(Assumptions!$AM$154-Assumptions!$AL$154)*(D632-Assumptions!$AH$154)/(Assumptions!$P$154-Assumptions!$AH$154),Assumptions!$AM$154)))</f>
        <v>0</v>
      </c>
      <c r="N632" s="54">
        <f t="shared" si="18"/>
        <v>0</v>
      </c>
      <c r="O632" s="55">
        <f t="shared" si="19"/>
        <v>3206</v>
      </c>
      <c r="P632" s="29" t="str">
        <f>IF(D632&gt;=Assumptions!$P$154,"High",IF(D632&gt;=Assumptions!$AH$154,"Mid",IF(D632&lt;=Assumptions!$G$154,"Low","Loading")))</f>
        <v>High</v>
      </c>
      <c r="Q632" s="39">
        <f>MAX(K632,MIN(Assumptions!$S$154,O632),Q633)</f>
        <v>3206</v>
      </c>
      <c r="R632" s="30">
        <f>IF(AND(Q632&lt;=K632,INDEX(Assumptions!$C$26:$C$36,MATCH(G632,Assumptions!$A$26:$A$36,0))&lt;&gt;""),INDEX(Assumptions!$C$26:$C$36,MATCH(G632,Assumptions!$A$26:$A$36,0)),ROUND(G632*Q632,-2))</f>
        <v>3382300</v>
      </c>
      <c r="S632" s="56" t="str">
        <f>TRIM(IF(AND(Assumptions!$L$154&lt;&gt;"",D632&lt;Assumptions!$L$154),"View blocked / roof in front ("&amp;Assumptions!$M$154&amp;"); view premium still loading until L"&amp;Assumptions!$L$154&amp;". ","")&amp;IF(D632=Assumptions!$AH$154,"Mid-floor view premium fully loaded. ","")&amp;IF(D632=Assumptions!$P$154,"High-floor view premium fully loaded. ","")&amp;IF(Q632&lt;=K632,"At developer starting price.",""))</f>
        <v/>
      </c>
      <c r="T632" s="57" t="str">
        <f>Assumptions!$AJ$154</f>
        <v>SW. Unblocked landed estate + nature reserve + city view</v>
      </c>
    </row>
    <row r="633" spans="1:20" x14ac:dyDescent="0.2">
      <c r="A633" s="49" t="s">
        <v>784</v>
      </c>
      <c r="B633" s="29">
        <v>7</v>
      </c>
      <c r="C633" s="50">
        <v>28</v>
      </c>
      <c r="D633" s="50">
        <v>26</v>
      </c>
      <c r="E633" s="27" t="s">
        <v>46</v>
      </c>
      <c r="F633" s="29" t="s">
        <v>780</v>
      </c>
      <c r="G633" s="28">
        <v>1055</v>
      </c>
      <c r="H633" s="29" t="s">
        <v>65</v>
      </c>
      <c r="I633" s="38" t="str">
        <f>Assumptions!$I$154</f>
        <v>A</v>
      </c>
      <c r="J633" s="29" t="str">
        <f>IF(D633&lt;=Assumptions!$V$154,"Low",IF(D633&lt;=Assumptions!$W$154,"Mid","High"))</f>
        <v>High</v>
      </c>
      <c r="K633" s="51">
        <f>Assumptions!$Q$154</f>
        <v>2633</v>
      </c>
      <c r="L633" s="52">
        <f>INDEX(Assumptions!$L$61:$L$90,D633)</f>
        <v>3190.0878947368424</v>
      </c>
      <c r="M633" s="53">
        <f>IF(D633&lt;=Assumptions!$G$154,Assumptions!$AK$154,IF(D633&lt;Assumptions!$AH$154,Assumptions!$AK$154+(Assumptions!$AL$154-Assumptions!$AK$154)*(D633-Assumptions!$G$154)/(Assumptions!$AH$154-Assumptions!$G$154),IF(D633&lt;Assumptions!$P$154,Assumptions!$AL$154+(Assumptions!$AM$154-Assumptions!$AL$154)*(D633-Assumptions!$AH$154)/(Assumptions!$P$154-Assumptions!$AH$154),Assumptions!$AM$154)))</f>
        <v>0</v>
      </c>
      <c r="N633" s="54">
        <f t="shared" si="18"/>
        <v>0</v>
      </c>
      <c r="O633" s="55">
        <f t="shared" si="19"/>
        <v>3190</v>
      </c>
      <c r="P633" s="29" t="str">
        <f>IF(D633&gt;=Assumptions!$P$154,"High",IF(D633&gt;=Assumptions!$AH$154,"Mid",IF(D633&lt;=Assumptions!$G$154,"Low","Loading")))</f>
        <v>High</v>
      </c>
      <c r="Q633" s="39">
        <f>MAX(K633,MIN(Assumptions!$S$154,O633),Q634)</f>
        <v>3190</v>
      </c>
      <c r="R633" s="30">
        <f>IF(AND(Q633&lt;=K633,INDEX(Assumptions!$C$26:$C$36,MATCH(G633,Assumptions!$A$26:$A$36,0))&lt;&gt;""),INDEX(Assumptions!$C$26:$C$36,MATCH(G633,Assumptions!$A$26:$A$36,0)),ROUND(G633*Q633,-2))</f>
        <v>3365500</v>
      </c>
      <c r="S633" s="56" t="str">
        <f>TRIM(IF(AND(Assumptions!$L$154&lt;&gt;"",D633&lt;Assumptions!$L$154),"View blocked / roof in front ("&amp;Assumptions!$M$154&amp;"); view premium still loading until L"&amp;Assumptions!$L$154&amp;". ","")&amp;IF(D633=Assumptions!$AH$154,"Mid-floor view premium fully loaded. ","")&amp;IF(D633=Assumptions!$P$154,"High-floor view premium fully loaded. ","")&amp;IF(Q633&lt;=K633,"At developer starting price.",""))</f>
        <v/>
      </c>
      <c r="T633" s="57" t="str">
        <f>Assumptions!$AJ$154</f>
        <v>SW. Unblocked landed estate + nature reserve + city view</v>
      </c>
    </row>
    <row r="634" spans="1:20" x14ac:dyDescent="0.2">
      <c r="A634" s="49" t="s">
        <v>785</v>
      </c>
      <c r="B634" s="29">
        <v>7</v>
      </c>
      <c r="C634" s="50">
        <v>28</v>
      </c>
      <c r="D634" s="50">
        <v>25</v>
      </c>
      <c r="E634" s="27" t="s">
        <v>46</v>
      </c>
      <c r="F634" s="29" t="s">
        <v>780</v>
      </c>
      <c r="G634" s="28">
        <v>1055</v>
      </c>
      <c r="H634" s="29" t="s">
        <v>65</v>
      </c>
      <c r="I634" s="38" t="str">
        <f>Assumptions!$I$154</f>
        <v>A</v>
      </c>
      <c r="J634" s="29" t="str">
        <f>IF(D634&lt;=Assumptions!$V$154,"Low",IF(D634&lt;=Assumptions!$W$154,"Mid","High"))</f>
        <v>High</v>
      </c>
      <c r="K634" s="51">
        <f>Assumptions!$Q$154</f>
        <v>2633</v>
      </c>
      <c r="L634" s="52">
        <f>INDEX(Assumptions!$L$61:$L$90,D634)</f>
        <v>3174.1721052631578</v>
      </c>
      <c r="M634" s="53">
        <f>IF(D634&lt;=Assumptions!$G$154,Assumptions!$AK$154,IF(D634&lt;Assumptions!$AH$154,Assumptions!$AK$154+(Assumptions!$AL$154-Assumptions!$AK$154)*(D634-Assumptions!$G$154)/(Assumptions!$AH$154-Assumptions!$G$154),IF(D634&lt;Assumptions!$P$154,Assumptions!$AL$154+(Assumptions!$AM$154-Assumptions!$AL$154)*(D634-Assumptions!$AH$154)/(Assumptions!$P$154-Assumptions!$AH$154),Assumptions!$AM$154)))</f>
        <v>0</v>
      </c>
      <c r="N634" s="54">
        <f t="shared" si="18"/>
        <v>0</v>
      </c>
      <c r="O634" s="55">
        <f t="shared" si="19"/>
        <v>3174</v>
      </c>
      <c r="P634" s="29" t="str">
        <f>IF(D634&gt;=Assumptions!$P$154,"High",IF(D634&gt;=Assumptions!$AH$154,"Mid",IF(D634&lt;=Assumptions!$G$154,"Low","Loading")))</f>
        <v>High</v>
      </c>
      <c r="Q634" s="39">
        <f>MAX(K634,MIN(Assumptions!$S$154,O634),Q635)</f>
        <v>3174</v>
      </c>
      <c r="R634" s="30">
        <f>IF(AND(Q634&lt;=K634,INDEX(Assumptions!$C$26:$C$36,MATCH(G634,Assumptions!$A$26:$A$36,0))&lt;&gt;""),INDEX(Assumptions!$C$26:$C$36,MATCH(G634,Assumptions!$A$26:$A$36,0)),ROUND(G634*Q634,-2))</f>
        <v>3348600</v>
      </c>
      <c r="S634" s="56" t="str">
        <f>TRIM(IF(AND(Assumptions!$L$154&lt;&gt;"",D634&lt;Assumptions!$L$154),"View blocked / roof in front ("&amp;Assumptions!$M$154&amp;"); view premium still loading until L"&amp;Assumptions!$L$154&amp;". ","")&amp;IF(D634=Assumptions!$AH$154,"Mid-floor view premium fully loaded. ","")&amp;IF(D634=Assumptions!$P$154,"High-floor view premium fully loaded. ","")&amp;IF(Q634&lt;=K634,"At developer starting price.",""))</f>
        <v/>
      </c>
      <c r="T634" s="57" t="str">
        <f>Assumptions!$AJ$154</f>
        <v>SW. Unblocked landed estate + nature reserve + city view</v>
      </c>
    </row>
    <row r="635" spans="1:20" x14ac:dyDescent="0.2">
      <c r="A635" s="49" t="s">
        <v>786</v>
      </c>
      <c r="B635" s="29">
        <v>7</v>
      </c>
      <c r="C635" s="50">
        <v>28</v>
      </c>
      <c r="D635" s="50">
        <v>24</v>
      </c>
      <c r="E635" s="27" t="s">
        <v>46</v>
      </c>
      <c r="F635" s="29" t="s">
        <v>780</v>
      </c>
      <c r="G635" s="28">
        <v>1055</v>
      </c>
      <c r="H635" s="29" t="s">
        <v>65</v>
      </c>
      <c r="I635" s="38" t="str">
        <f>Assumptions!$I$154</f>
        <v>A</v>
      </c>
      <c r="J635" s="29" t="str">
        <f>IF(D635&lt;=Assumptions!$V$154,"Low",IF(D635&lt;=Assumptions!$W$154,"Mid","High"))</f>
        <v>High</v>
      </c>
      <c r="K635" s="51">
        <f>Assumptions!$Q$154</f>
        <v>2633</v>
      </c>
      <c r="L635" s="52">
        <f>INDEX(Assumptions!$L$61:$L$90,D635)</f>
        <v>3158.2563157894738</v>
      </c>
      <c r="M635" s="53">
        <f>IF(D635&lt;=Assumptions!$G$154,Assumptions!$AK$154,IF(D635&lt;Assumptions!$AH$154,Assumptions!$AK$154+(Assumptions!$AL$154-Assumptions!$AK$154)*(D635-Assumptions!$G$154)/(Assumptions!$AH$154-Assumptions!$G$154),IF(D635&lt;Assumptions!$P$154,Assumptions!$AL$154+(Assumptions!$AM$154-Assumptions!$AL$154)*(D635-Assumptions!$AH$154)/(Assumptions!$P$154-Assumptions!$AH$154),Assumptions!$AM$154)))</f>
        <v>0</v>
      </c>
      <c r="N635" s="54">
        <f t="shared" si="18"/>
        <v>0</v>
      </c>
      <c r="O635" s="55">
        <f t="shared" si="19"/>
        <v>3158</v>
      </c>
      <c r="P635" s="29" t="str">
        <f>IF(D635&gt;=Assumptions!$P$154,"High",IF(D635&gt;=Assumptions!$AH$154,"Mid",IF(D635&lt;=Assumptions!$G$154,"Low","Loading")))</f>
        <v>High</v>
      </c>
      <c r="Q635" s="39">
        <f>MAX(K635,MIN(Assumptions!$S$154,O635),Q636)</f>
        <v>3158</v>
      </c>
      <c r="R635" s="30">
        <f>IF(AND(Q635&lt;=K635,INDEX(Assumptions!$C$26:$C$36,MATCH(G635,Assumptions!$A$26:$A$36,0))&lt;&gt;""),INDEX(Assumptions!$C$26:$C$36,MATCH(G635,Assumptions!$A$26:$A$36,0)),ROUND(G635*Q635,-2))</f>
        <v>3331700</v>
      </c>
      <c r="S635" s="56" t="str">
        <f>TRIM(IF(AND(Assumptions!$L$154&lt;&gt;"",D635&lt;Assumptions!$L$154),"View blocked / roof in front ("&amp;Assumptions!$M$154&amp;"); view premium still loading until L"&amp;Assumptions!$L$154&amp;". ","")&amp;IF(D635=Assumptions!$AH$154,"Mid-floor view premium fully loaded. ","")&amp;IF(D635=Assumptions!$P$154,"High-floor view premium fully loaded. ","")&amp;IF(Q635&lt;=K635,"At developer starting price.",""))</f>
        <v/>
      </c>
      <c r="T635" s="57" t="str">
        <f>Assumptions!$AJ$154</f>
        <v>SW. Unblocked landed estate + nature reserve + city view</v>
      </c>
    </row>
    <row r="636" spans="1:20" x14ac:dyDescent="0.2">
      <c r="A636" s="49" t="s">
        <v>787</v>
      </c>
      <c r="B636" s="29">
        <v>7</v>
      </c>
      <c r="C636" s="50">
        <v>28</v>
      </c>
      <c r="D636" s="50">
        <v>23</v>
      </c>
      <c r="E636" s="27" t="s">
        <v>46</v>
      </c>
      <c r="F636" s="29" t="s">
        <v>780</v>
      </c>
      <c r="G636" s="28">
        <v>1055</v>
      </c>
      <c r="H636" s="29" t="s">
        <v>65</v>
      </c>
      <c r="I636" s="38" t="str">
        <f>Assumptions!$I$154</f>
        <v>A</v>
      </c>
      <c r="J636" s="29" t="str">
        <f>IF(D636&lt;=Assumptions!$V$154,"Low",IF(D636&lt;=Assumptions!$W$154,"Mid","High"))</f>
        <v>High</v>
      </c>
      <c r="K636" s="51">
        <f>Assumptions!$Q$154</f>
        <v>2633</v>
      </c>
      <c r="L636" s="52">
        <f>INDEX(Assumptions!$L$61:$L$90,D636)</f>
        <v>3142.3405263157897</v>
      </c>
      <c r="M636" s="53">
        <f>IF(D636&lt;=Assumptions!$G$154,Assumptions!$AK$154,IF(D636&lt;Assumptions!$AH$154,Assumptions!$AK$154+(Assumptions!$AL$154-Assumptions!$AK$154)*(D636-Assumptions!$G$154)/(Assumptions!$AH$154-Assumptions!$G$154),IF(D636&lt;Assumptions!$P$154,Assumptions!$AL$154+(Assumptions!$AM$154-Assumptions!$AL$154)*(D636-Assumptions!$AH$154)/(Assumptions!$P$154-Assumptions!$AH$154),Assumptions!$AM$154)))</f>
        <v>0</v>
      </c>
      <c r="N636" s="54">
        <f t="shared" si="18"/>
        <v>0</v>
      </c>
      <c r="O636" s="55">
        <f t="shared" si="19"/>
        <v>3142</v>
      </c>
      <c r="P636" s="29" t="str">
        <f>IF(D636&gt;=Assumptions!$P$154,"High",IF(D636&gt;=Assumptions!$AH$154,"Mid",IF(D636&lt;=Assumptions!$G$154,"Low","Loading")))</f>
        <v>High</v>
      </c>
      <c r="Q636" s="39">
        <f>MAX(K636,MIN(Assumptions!$S$154,O636),Q637)</f>
        <v>3142</v>
      </c>
      <c r="R636" s="30">
        <f>IF(AND(Q636&lt;=K636,INDEX(Assumptions!$C$26:$C$36,MATCH(G636,Assumptions!$A$26:$A$36,0))&lt;&gt;""),INDEX(Assumptions!$C$26:$C$36,MATCH(G636,Assumptions!$A$26:$A$36,0)),ROUND(G636*Q636,-2))</f>
        <v>3314800</v>
      </c>
      <c r="S636" s="56" t="str">
        <f>TRIM(IF(AND(Assumptions!$L$154&lt;&gt;"",D636&lt;Assumptions!$L$154),"View blocked / roof in front ("&amp;Assumptions!$M$154&amp;"); view premium still loading until L"&amp;Assumptions!$L$154&amp;". ","")&amp;IF(D636=Assumptions!$AH$154,"Mid-floor view premium fully loaded. ","")&amp;IF(D636=Assumptions!$P$154,"High-floor view premium fully loaded. ","")&amp;IF(Q636&lt;=K636,"At developer starting price.",""))</f>
        <v/>
      </c>
      <c r="T636" s="57" t="str">
        <f>Assumptions!$AJ$154</f>
        <v>SW. Unblocked landed estate + nature reserve + city view</v>
      </c>
    </row>
    <row r="637" spans="1:20" x14ac:dyDescent="0.2">
      <c r="A637" s="49" t="s">
        <v>788</v>
      </c>
      <c r="B637" s="29">
        <v>7</v>
      </c>
      <c r="C637" s="50">
        <v>28</v>
      </c>
      <c r="D637" s="50">
        <v>22</v>
      </c>
      <c r="E637" s="27" t="s">
        <v>46</v>
      </c>
      <c r="F637" s="29" t="s">
        <v>780</v>
      </c>
      <c r="G637" s="28">
        <v>1055</v>
      </c>
      <c r="H637" s="29" t="s">
        <v>65</v>
      </c>
      <c r="I637" s="38" t="str">
        <f>Assumptions!$I$154</f>
        <v>A</v>
      </c>
      <c r="J637" s="29" t="str">
        <f>IF(D637&lt;=Assumptions!$V$154,"Low",IF(D637&lt;=Assumptions!$W$154,"Mid","High"))</f>
        <v>High</v>
      </c>
      <c r="K637" s="51">
        <f>Assumptions!$Q$154</f>
        <v>2633</v>
      </c>
      <c r="L637" s="52">
        <f>INDEX(Assumptions!$L$61:$L$90,D637)</f>
        <v>3126.4247368421056</v>
      </c>
      <c r="M637" s="53">
        <f>IF(D637&lt;=Assumptions!$G$154,Assumptions!$AK$154,IF(D637&lt;Assumptions!$AH$154,Assumptions!$AK$154+(Assumptions!$AL$154-Assumptions!$AK$154)*(D637-Assumptions!$G$154)/(Assumptions!$AH$154-Assumptions!$G$154),IF(D637&lt;Assumptions!$P$154,Assumptions!$AL$154+(Assumptions!$AM$154-Assumptions!$AL$154)*(D637-Assumptions!$AH$154)/(Assumptions!$P$154-Assumptions!$AH$154),Assumptions!$AM$154)))</f>
        <v>0</v>
      </c>
      <c r="N637" s="54">
        <f t="shared" si="18"/>
        <v>0</v>
      </c>
      <c r="O637" s="55">
        <f t="shared" si="19"/>
        <v>3126</v>
      </c>
      <c r="P637" s="29" t="str">
        <f>IF(D637&gt;=Assumptions!$P$154,"High",IF(D637&gt;=Assumptions!$AH$154,"Mid",IF(D637&lt;=Assumptions!$G$154,"Low","Loading")))</f>
        <v>High</v>
      </c>
      <c r="Q637" s="39">
        <f>MAX(K637,MIN(Assumptions!$S$154,O637),Q638)</f>
        <v>3126</v>
      </c>
      <c r="R637" s="30">
        <f>IF(AND(Q637&lt;=K637,INDEX(Assumptions!$C$26:$C$36,MATCH(G637,Assumptions!$A$26:$A$36,0))&lt;&gt;""),INDEX(Assumptions!$C$26:$C$36,MATCH(G637,Assumptions!$A$26:$A$36,0)),ROUND(G637*Q637,-2))</f>
        <v>3297900</v>
      </c>
      <c r="S637" s="56" t="str">
        <f>TRIM(IF(AND(Assumptions!$L$154&lt;&gt;"",D637&lt;Assumptions!$L$154),"View blocked / roof in front ("&amp;Assumptions!$M$154&amp;"); view premium still loading until L"&amp;Assumptions!$L$154&amp;". ","")&amp;IF(D637=Assumptions!$AH$154,"Mid-floor view premium fully loaded. ","")&amp;IF(D637=Assumptions!$P$154,"High-floor view premium fully loaded. ","")&amp;IF(Q637&lt;=K637,"At developer starting price.",""))</f>
        <v/>
      </c>
      <c r="T637" s="57" t="str">
        <f>Assumptions!$AJ$154</f>
        <v>SW. Unblocked landed estate + nature reserve + city view</v>
      </c>
    </row>
    <row r="638" spans="1:20" x14ac:dyDescent="0.2">
      <c r="A638" s="49" t="s">
        <v>789</v>
      </c>
      <c r="B638" s="29">
        <v>7</v>
      </c>
      <c r="C638" s="50">
        <v>28</v>
      </c>
      <c r="D638" s="50">
        <v>21</v>
      </c>
      <c r="E638" s="27" t="s">
        <v>46</v>
      </c>
      <c r="F638" s="29" t="s">
        <v>780</v>
      </c>
      <c r="G638" s="28">
        <v>1055</v>
      </c>
      <c r="H638" s="29" t="s">
        <v>65</v>
      </c>
      <c r="I638" s="38" t="str">
        <f>Assumptions!$I$154</f>
        <v>A</v>
      </c>
      <c r="J638" s="29" t="str">
        <f>IF(D638&lt;=Assumptions!$V$154,"Low",IF(D638&lt;=Assumptions!$W$154,"Mid","High"))</f>
        <v>High</v>
      </c>
      <c r="K638" s="51">
        <f>Assumptions!$Q$154</f>
        <v>2633</v>
      </c>
      <c r="L638" s="52">
        <f>INDEX(Assumptions!$L$61:$L$90,D638)</f>
        <v>3110.5089473684211</v>
      </c>
      <c r="M638" s="53">
        <f>IF(D638&lt;=Assumptions!$G$154,Assumptions!$AK$154,IF(D638&lt;Assumptions!$AH$154,Assumptions!$AK$154+(Assumptions!$AL$154-Assumptions!$AK$154)*(D638-Assumptions!$G$154)/(Assumptions!$AH$154-Assumptions!$G$154),IF(D638&lt;Assumptions!$P$154,Assumptions!$AL$154+(Assumptions!$AM$154-Assumptions!$AL$154)*(D638-Assumptions!$AH$154)/(Assumptions!$P$154-Assumptions!$AH$154),Assumptions!$AM$154)))</f>
        <v>0</v>
      </c>
      <c r="N638" s="54">
        <f t="shared" si="18"/>
        <v>0</v>
      </c>
      <c r="O638" s="55">
        <f t="shared" si="19"/>
        <v>3111</v>
      </c>
      <c r="P638" s="29" t="str">
        <f>IF(D638&gt;=Assumptions!$P$154,"High",IF(D638&gt;=Assumptions!$AH$154,"Mid",IF(D638&lt;=Assumptions!$G$154,"Low","Loading")))</f>
        <v>High</v>
      </c>
      <c r="Q638" s="39">
        <f>MAX(K638,MIN(Assumptions!$S$154,O638),Q639)</f>
        <v>3111</v>
      </c>
      <c r="R638" s="30">
        <f>IF(AND(Q638&lt;=K638,INDEX(Assumptions!$C$26:$C$36,MATCH(G638,Assumptions!$A$26:$A$36,0))&lt;&gt;""),INDEX(Assumptions!$C$26:$C$36,MATCH(G638,Assumptions!$A$26:$A$36,0)),ROUND(G638*Q638,-2))</f>
        <v>3282100</v>
      </c>
      <c r="S638" s="56" t="str">
        <f>TRIM(IF(AND(Assumptions!$L$154&lt;&gt;"",D638&lt;Assumptions!$L$154),"View blocked / roof in front ("&amp;Assumptions!$M$154&amp;"); view premium still loading until L"&amp;Assumptions!$L$154&amp;". ","")&amp;IF(D638=Assumptions!$AH$154,"Mid-floor view premium fully loaded. ","")&amp;IF(D638=Assumptions!$P$154,"High-floor view premium fully loaded. ","")&amp;IF(Q638&lt;=K638,"At developer starting price.",""))</f>
        <v>High-floor view premium fully loaded.</v>
      </c>
      <c r="T638" s="57" t="str">
        <f>Assumptions!$AJ$154</f>
        <v>SW. Unblocked landed estate + nature reserve + city view</v>
      </c>
    </row>
    <row r="639" spans="1:20" x14ac:dyDescent="0.2">
      <c r="A639" s="49" t="s">
        <v>790</v>
      </c>
      <c r="B639" s="29">
        <v>7</v>
      </c>
      <c r="C639" s="50">
        <v>28</v>
      </c>
      <c r="D639" s="50">
        <v>20</v>
      </c>
      <c r="E639" s="27" t="s">
        <v>46</v>
      </c>
      <c r="F639" s="29" t="s">
        <v>780</v>
      </c>
      <c r="G639" s="28">
        <v>1055</v>
      </c>
      <c r="H639" s="29" t="s">
        <v>65</v>
      </c>
      <c r="I639" s="38" t="str">
        <f>Assumptions!$I$154</f>
        <v>A</v>
      </c>
      <c r="J639" s="29" t="str">
        <f>IF(D639&lt;=Assumptions!$V$154,"Low",IF(D639&lt;=Assumptions!$W$154,"Mid","High"))</f>
        <v>Mid</v>
      </c>
      <c r="K639" s="51">
        <f>Assumptions!$Q$154</f>
        <v>2633</v>
      </c>
      <c r="L639" s="52">
        <f>INDEX(Assumptions!$L$61:$L$90,D639)</f>
        <v>3090.6931578947369</v>
      </c>
      <c r="M639" s="53">
        <f>IF(D639&lt;=Assumptions!$G$154,Assumptions!$AK$154,IF(D639&lt;Assumptions!$AH$154,Assumptions!$AK$154+(Assumptions!$AL$154-Assumptions!$AK$154)*(D639-Assumptions!$G$154)/(Assumptions!$AH$154-Assumptions!$G$154),IF(D639&lt;Assumptions!$P$154,Assumptions!$AL$154+(Assumptions!$AM$154-Assumptions!$AL$154)*(D639-Assumptions!$AH$154)/(Assumptions!$P$154-Assumptions!$AH$154),Assumptions!$AM$154)))</f>
        <v>0</v>
      </c>
      <c r="N639" s="54">
        <f t="shared" si="18"/>
        <v>0</v>
      </c>
      <c r="O639" s="55">
        <f t="shared" si="19"/>
        <v>3091</v>
      </c>
      <c r="P639" s="29" t="str">
        <f>IF(D639&gt;=Assumptions!$P$154,"High",IF(D639&gt;=Assumptions!$AH$154,"Mid",IF(D639&lt;=Assumptions!$G$154,"Low","Loading")))</f>
        <v>Mid</v>
      </c>
      <c r="Q639" s="39">
        <f>MAX(K639,MIN(Assumptions!$S$154,O639),Q640)</f>
        <v>3091</v>
      </c>
      <c r="R639" s="30">
        <f>IF(AND(Q639&lt;=K639,INDEX(Assumptions!$C$26:$C$36,MATCH(G639,Assumptions!$A$26:$A$36,0))&lt;&gt;""),INDEX(Assumptions!$C$26:$C$36,MATCH(G639,Assumptions!$A$26:$A$36,0)),ROUND(G639*Q639,-2))</f>
        <v>3261000</v>
      </c>
      <c r="S639" s="56" t="str">
        <f>TRIM(IF(AND(Assumptions!$L$154&lt;&gt;"",D639&lt;Assumptions!$L$154),"View blocked / roof in front ("&amp;Assumptions!$M$154&amp;"); view premium still loading until L"&amp;Assumptions!$L$154&amp;". ","")&amp;IF(D639=Assumptions!$AH$154,"Mid-floor view premium fully loaded. ","")&amp;IF(D639=Assumptions!$P$154,"High-floor view premium fully loaded. ","")&amp;IF(Q639&lt;=K639,"At developer starting price.",""))</f>
        <v/>
      </c>
      <c r="T639" s="57" t="str">
        <f>Assumptions!$AJ$154</f>
        <v>SW. Unblocked landed estate + nature reserve + city view</v>
      </c>
    </row>
    <row r="640" spans="1:20" x14ac:dyDescent="0.2">
      <c r="A640" s="49" t="s">
        <v>791</v>
      </c>
      <c r="B640" s="29">
        <v>7</v>
      </c>
      <c r="C640" s="50">
        <v>28</v>
      </c>
      <c r="D640" s="50">
        <v>19</v>
      </c>
      <c r="E640" s="27" t="s">
        <v>46</v>
      </c>
      <c r="F640" s="29" t="s">
        <v>780</v>
      </c>
      <c r="G640" s="28">
        <v>1055</v>
      </c>
      <c r="H640" s="29" t="s">
        <v>65</v>
      </c>
      <c r="I640" s="38" t="str">
        <f>Assumptions!$I$154</f>
        <v>A</v>
      </c>
      <c r="J640" s="29" t="str">
        <f>IF(D640&lt;=Assumptions!$V$154,"Low",IF(D640&lt;=Assumptions!$W$154,"Mid","High"))</f>
        <v>Mid</v>
      </c>
      <c r="K640" s="51">
        <f>Assumptions!$Q$154</f>
        <v>2633</v>
      </c>
      <c r="L640" s="52">
        <f>INDEX(Assumptions!$L$61:$L$90,D640)</f>
        <v>3070.8773684210528</v>
      </c>
      <c r="M640" s="53">
        <f>IF(D640&lt;=Assumptions!$G$154,Assumptions!$AK$154,IF(D640&lt;Assumptions!$AH$154,Assumptions!$AK$154+(Assumptions!$AL$154-Assumptions!$AK$154)*(D640-Assumptions!$G$154)/(Assumptions!$AH$154-Assumptions!$G$154),IF(D640&lt;Assumptions!$P$154,Assumptions!$AL$154+(Assumptions!$AM$154-Assumptions!$AL$154)*(D640-Assumptions!$AH$154)/(Assumptions!$P$154-Assumptions!$AH$154),Assumptions!$AM$154)))</f>
        <v>0</v>
      </c>
      <c r="N640" s="54">
        <f t="shared" si="18"/>
        <v>0</v>
      </c>
      <c r="O640" s="55">
        <f t="shared" si="19"/>
        <v>3071</v>
      </c>
      <c r="P640" s="29" t="str">
        <f>IF(D640&gt;=Assumptions!$P$154,"High",IF(D640&gt;=Assumptions!$AH$154,"Mid",IF(D640&lt;=Assumptions!$G$154,"Low","Loading")))</f>
        <v>Mid</v>
      </c>
      <c r="Q640" s="39">
        <f>MAX(K640,MIN(Assumptions!$S$154,O640),Q641)</f>
        <v>3071</v>
      </c>
      <c r="R640" s="30">
        <f>IF(AND(Q640&lt;=K640,INDEX(Assumptions!$C$26:$C$36,MATCH(G640,Assumptions!$A$26:$A$36,0))&lt;&gt;""),INDEX(Assumptions!$C$26:$C$36,MATCH(G640,Assumptions!$A$26:$A$36,0)),ROUND(G640*Q640,-2))</f>
        <v>3239900</v>
      </c>
      <c r="S640" s="56" t="str">
        <f>TRIM(IF(AND(Assumptions!$L$154&lt;&gt;"",D640&lt;Assumptions!$L$154),"View blocked / roof in front ("&amp;Assumptions!$M$154&amp;"); view premium still loading until L"&amp;Assumptions!$L$154&amp;". ","")&amp;IF(D640=Assumptions!$AH$154,"Mid-floor view premium fully loaded. ","")&amp;IF(D640=Assumptions!$P$154,"High-floor view premium fully loaded. ","")&amp;IF(Q640&lt;=K640,"At developer starting price.",""))</f>
        <v/>
      </c>
      <c r="T640" s="57" t="str">
        <f>Assumptions!$AJ$154</f>
        <v>SW. Unblocked landed estate + nature reserve + city view</v>
      </c>
    </row>
    <row r="641" spans="1:20" x14ac:dyDescent="0.2">
      <c r="A641" s="49" t="s">
        <v>792</v>
      </c>
      <c r="B641" s="29">
        <v>7</v>
      </c>
      <c r="C641" s="50">
        <v>28</v>
      </c>
      <c r="D641" s="50">
        <v>18</v>
      </c>
      <c r="E641" s="27" t="s">
        <v>46</v>
      </c>
      <c r="F641" s="29" t="s">
        <v>780</v>
      </c>
      <c r="G641" s="28">
        <v>1055</v>
      </c>
      <c r="H641" s="29" t="s">
        <v>65</v>
      </c>
      <c r="I641" s="38" t="str">
        <f>Assumptions!$I$154</f>
        <v>A</v>
      </c>
      <c r="J641" s="29" t="str">
        <f>IF(D641&lt;=Assumptions!$V$154,"Low",IF(D641&lt;=Assumptions!$W$154,"Mid","High"))</f>
        <v>Mid</v>
      </c>
      <c r="K641" s="51">
        <f>Assumptions!$Q$154</f>
        <v>2633</v>
      </c>
      <c r="L641" s="52">
        <f>INDEX(Assumptions!$L$61:$L$90,D641)</f>
        <v>3051.0615789473686</v>
      </c>
      <c r="M641" s="53">
        <f>IF(D641&lt;=Assumptions!$G$154,Assumptions!$AK$154,IF(D641&lt;Assumptions!$AH$154,Assumptions!$AK$154+(Assumptions!$AL$154-Assumptions!$AK$154)*(D641-Assumptions!$G$154)/(Assumptions!$AH$154-Assumptions!$G$154),IF(D641&lt;Assumptions!$P$154,Assumptions!$AL$154+(Assumptions!$AM$154-Assumptions!$AL$154)*(D641-Assumptions!$AH$154)/(Assumptions!$P$154-Assumptions!$AH$154),Assumptions!$AM$154)))</f>
        <v>0</v>
      </c>
      <c r="N641" s="54">
        <f t="shared" si="18"/>
        <v>0</v>
      </c>
      <c r="O641" s="55">
        <f t="shared" si="19"/>
        <v>3051</v>
      </c>
      <c r="P641" s="29" t="str">
        <f>IF(D641&gt;=Assumptions!$P$154,"High",IF(D641&gt;=Assumptions!$AH$154,"Mid",IF(D641&lt;=Assumptions!$G$154,"Low","Loading")))</f>
        <v>Mid</v>
      </c>
      <c r="Q641" s="39">
        <f>MAX(K641,MIN(Assumptions!$S$154,O641),Q642)</f>
        <v>3051</v>
      </c>
      <c r="R641" s="30">
        <f>IF(AND(Q641&lt;=K641,INDEX(Assumptions!$C$26:$C$36,MATCH(G641,Assumptions!$A$26:$A$36,0))&lt;&gt;""),INDEX(Assumptions!$C$26:$C$36,MATCH(G641,Assumptions!$A$26:$A$36,0)),ROUND(G641*Q641,-2))</f>
        <v>3218800</v>
      </c>
      <c r="S641" s="56" t="str">
        <f>TRIM(IF(AND(Assumptions!$L$154&lt;&gt;"",D641&lt;Assumptions!$L$154),"View blocked / roof in front ("&amp;Assumptions!$M$154&amp;"); view premium still loading until L"&amp;Assumptions!$L$154&amp;". ","")&amp;IF(D641=Assumptions!$AH$154,"Mid-floor view premium fully loaded. ","")&amp;IF(D641=Assumptions!$P$154,"High-floor view premium fully loaded. ","")&amp;IF(Q641&lt;=K641,"At developer starting price.",""))</f>
        <v/>
      </c>
      <c r="T641" s="57" t="str">
        <f>Assumptions!$AJ$154</f>
        <v>SW. Unblocked landed estate + nature reserve + city view</v>
      </c>
    </row>
    <row r="642" spans="1:20" x14ac:dyDescent="0.2">
      <c r="A642" s="49" t="s">
        <v>793</v>
      </c>
      <c r="B642" s="29">
        <v>7</v>
      </c>
      <c r="C642" s="50">
        <v>28</v>
      </c>
      <c r="D642" s="50">
        <v>17</v>
      </c>
      <c r="E642" s="27" t="s">
        <v>46</v>
      </c>
      <c r="F642" s="29" t="s">
        <v>780</v>
      </c>
      <c r="G642" s="28">
        <v>1055</v>
      </c>
      <c r="H642" s="29" t="s">
        <v>65</v>
      </c>
      <c r="I642" s="38" t="str">
        <f>Assumptions!$I$154</f>
        <v>A</v>
      </c>
      <c r="J642" s="29" t="str">
        <f>IF(D642&lt;=Assumptions!$V$154,"Low",IF(D642&lt;=Assumptions!$W$154,"Mid","High"))</f>
        <v>Mid</v>
      </c>
      <c r="K642" s="51">
        <f>Assumptions!$Q$154</f>
        <v>2633</v>
      </c>
      <c r="L642" s="52">
        <f>INDEX(Assumptions!$L$61:$L$90,D642)</f>
        <v>3031.2457894736845</v>
      </c>
      <c r="M642" s="53">
        <f>IF(D642&lt;=Assumptions!$G$154,Assumptions!$AK$154,IF(D642&lt;Assumptions!$AH$154,Assumptions!$AK$154+(Assumptions!$AL$154-Assumptions!$AK$154)*(D642-Assumptions!$G$154)/(Assumptions!$AH$154-Assumptions!$G$154),IF(D642&lt;Assumptions!$P$154,Assumptions!$AL$154+(Assumptions!$AM$154-Assumptions!$AL$154)*(D642-Assumptions!$AH$154)/(Assumptions!$P$154-Assumptions!$AH$154),Assumptions!$AM$154)))</f>
        <v>0</v>
      </c>
      <c r="N642" s="54">
        <f t="shared" si="18"/>
        <v>0</v>
      </c>
      <c r="O642" s="55">
        <f t="shared" si="19"/>
        <v>3031</v>
      </c>
      <c r="P642" s="29" t="str">
        <f>IF(D642&gt;=Assumptions!$P$154,"High",IF(D642&gt;=Assumptions!$AH$154,"Mid",IF(D642&lt;=Assumptions!$G$154,"Low","Loading")))</f>
        <v>Mid</v>
      </c>
      <c r="Q642" s="39">
        <f>MAX(K642,MIN(Assumptions!$S$154,O642),Q643)</f>
        <v>3031</v>
      </c>
      <c r="R642" s="30">
        <f>IF(AND(Q642&lt;=K642,INDEX(Assumptions!$C$26:$C$36,MATCH(G642,Assumptions!$A$26:$A$36,0))&lt;&gt;""),INDEX(Assumptions!$C$26:$C$36,MATCH(G642,Assumptions!$A$26:$A$36,0)),ROUND(G642*Q642,-2))</f>
        <v>3197700</v>
      </c>
      <c r="S642" s="56" t="str">
        <f>TRIM(IF(AND(Assumptions!$L$154&lt;&gt;"",D642&lt;Assumptions!$L$154),"View blocked / roof in front ("&amp;Assumptions!$M$154&amp;"); view premium still loading until L"&amp;Assumptions!$L$154&amp;". ","")&amp;IF(D642=Assumptions!$AH$154,"Mid-floor view premium fully loaded. ","")&amp;IF(D642=Assumptions!$P$154,"High-floor view premium fully loaded. ","")&amp;IF(Q642&lt;=K642,"At developer starting price.",""))</f>
        <v/>
      </c>
      <c r="T642" s="57" t="str">
        <f>Assumptions!$AJ$154</f>
        <v>SW. Unblocked landed estate + nature reserve + city view</v>
      </c>
    </row>
    <row r="643" spans="1:20" x14ac:dyDescent="0.2">
      <c r="A643" s="49" t="s">
        <v>794</v>
      </c>
      <c r="B643" s="29">
        <v>7</v>
      </c>
      <c r="C643" s="50">
        <v>28</v>
      </c>
      <c r="D643" s="50">
        <v>16</v>
      </c>
      <c r="E643" s="27" t="s">
        <v>46</v>
      </c>
      <c r="F643" s="29" t="s">
        <v>780</v>
      </c>
      <c r="G643" s="28">
        <v>1055</v>
      </c>
      <c r="H643" s="29" t="s">
        <v>65</v>
      </c>
      <c r="I643" s="38" t="str">
        <f>Assumptions!$I$154</f>
        <v>A</v>
      </c>
      <c r="J643" s="29" t="str">
        <f>IF(D643&lt;=Assumptions!$V$154,"Low",IF(D643&lt;=Assumptions!$W$154,"Mid","High"))</f>
        <v>Mid</v>
      </c>
      <c r="K643" s="51">
        <f>Assumptions!$Q$154</f>
        <v>2633</v>
      </c>
      <c r="L643" s="52">
        <f>INDEX(Assumptions!$L$61:$L$90,D643)</f>
        <v>3011.4300000000003</v>
      </c>
      <c r="M643" s="53">
        <f>IF(D643&lt;=Assumptions!$G$154,Assumptions!$AK$154,IF(D643&lt;Assumptions!$AH$154,Assumptions!$AK$154+(Assumptions!$AL$154-Assumptions!$AK$154)*(D643-Assumptions!$G$154)/(Assumptions!$AH$154-Assumptions!$G$154),IF(D643&lt;Assumptions!$P$154,Assumptions!$AL$154+(Assumptions!$AM$154-Assumptions!$AL$154)*(D643-Assumptions!$AH$154)/(Assumptions!$P$154-Assumptions!$AH$154),Assumptions!$AM$154)))</f>
        <v>0</v>
      </c>
      <c r="N643" s="54">
        <f t="shared" si="18"/>
        <v>0</v>
      </c>
      <c r="O643" s="55">
        <f t="shared" si="19"/>
        <v>3011</v>
      </c>
      <c r="P643" s="29" t="str">
        <f>IF(D643&gt;=Assumptions!$P$154,"High",IF(D643&gt;=Assumptions!$AH$154,"Mid",IF(D643&lt;=Assumptions!$G$154,"Low","Loading")))</f>
        <v>Mid</v>
      </c>
      <c r="Q643" s="39">
        <f>MAX(K643,MIN(Assumptions!$S$154,O643),Q644)</f>
        <v>3011</v>
      </c>
      <c r="R643" s="30">
        <f>IF(AND(Q643&lt;=K643,INDEX(Assumptions!$C$26:$C$36,MATCH(G643,Assumptions!$A$26:$A$36,0))&lt;&gt;""),INDEX(Assumptions!$C$26:$C$36,MATCH(G643,Assumptions!$A$26:$A$36,0)),ROUND(G643*Q643,-2))</f>
        <v>3176600</v>
      </c>
      <c r="S643" s="56" t="str">
        <f>TRIM(IF(AND(Assumptions!$L$154&lt;&gt;"",D643&lt;Assumptions!$L$154),"View blocked / roof in front ("&amp;Assumptions!$M$154&amp;"); view premium still loading until L"&amp;Assumptions!$L$154&amp;". ","")&amp;IF(D643=Assumptions!$AH$154,"Mid-floor view premium fully loaded. ","")&amp;IF(D643=Assumptions!$P$154,"High-floor view premium fully loaded. ","")&amp;IF(Q643&lt;=K643,"At developer starting price.",""))</f>
        <v/>
      </c>
      <c r="T643" s="57" t="str">
        <f>Assumptions!$AJ$154</f>
        <v>SW. Unblocked landed estate + nature reserve + city view</v>
      </c>
    </row>
    <row r="644" spans="1:20" x14ac:dyDescent="0.2">
      <c r="A644" s="49" t="s">
        <v>795</v>
      </c>
      <c r="B644" s="29">
        <v>7</v>
      </c>
      <c r="C644" s="50">
        <v>28</v>
      </c>
      <c r="D644" s="50">
        <v>15</v>
      </c>
      <c r="E644" s="27" t="s">
        <v>46</v>
      </c>
      <c r="F644" s="29" t="s">
        <v>780</v>
      </c>
      <c r="G644" s="28">
        <v>1055</v>
      </c>
      <c r="H644" s="29" t="s">
        <v>65</v>
      </c>
      <c r="I644" s="38" t="str">
        <f>Assumptions!$I$154</f>
        <v>A</v>
      </c>
      <c r="J644" s="29" t="str">
        <f>IF(D644&lt;=Assumptions!$V$154,"Low",IF(D644&lt;=Assumptions!$W$154,"Mid","High"))</f>
        <v>Mid</v>
      </c>
      <c r="K644" s="51">
        <f>Assumptions!$Q$154</f>
        <v>2633</v>
      </c>
      <c r="L644" s="52">
        <f>INDEX(Assumptions!$L$61:$L$90,D644)</f>
        <v>2992.65</v>
      </c>
      <c r="M644" s="53">
        <f>IF(D644&lt;=Assumptions!$G$154,Assumptions!$AK$154,IF(D644&lt;Assumptions!$AH$154,Assumptions!$AK$154+(Assumptions!$AL$154-Assumptions!$AK$154)*(D644-Assumptions!$G$154)/(Assumptions!$AH$154-Assumptions!$G$154),IF(D644&lt;Assumptions!$P$154,Assumptions!$AL$154+(Assumptions!$AM$154-Assumptions!$AL$154)*(D644-Assumptions!$AH$154)/(Assumptions!$P$154-Assumptions!$AH$154),Assumptions!$AM$154)))</f>
        <v>0</v>
      </c>
      <c r="N644" s="54">
        <f t="shared" si="18"/>
        <v>0</v>
      </c>
      <c r="O644" s="55">
        <f t="shared" si="19"/>
        <v>2993</v>
      </c>
      <c r="P644" s="29" t="str">
        <f>IF(D644&gt;=Assumptions!$P$154,"High",IF(D644&gt;=Assumptions!$AH$154,"Mid",IF(D644&lt;=Assumptions!$G$154,"Low","Loading")))</f>
        <v>Mid</v>
      </c>
      <c r="Q644" s="39">
        <f>MAX(K644,MIN(Assumptions!$S$154,O644),Q645)</f>
        <v>2993</v>
      </c>
      <c r="R644" s="30">
        <f>IF(AND(Q644&lt;=K644,INDEX(Assumptions!$C$26:$C$36,MATCH(G644,Assumptions!$A$26:$A$36,0))&lt;&gt;""),INDEX(Assumptions!$C$26:$C$36,MATCH(G644,Assumptions!$A$26:$A$36,0)),ROUND(G644*Q644,-2))</f>
        <v>3157600</v>
      </c>
      <c r="S644" s="56" t="str">
        <f>TRIM(IF(AND(Assumptions!$L$154&lt;&gt;"",D644&lt;Assumptions!$L$154),"View blocked / roof in front ("&amp;Assumptions!$M$154&amp;"); view premium still loading until L"&amp;Assumptions!$L$154&amp;". ","")&amp;IF(D644=Assumptions!$AH$154,"Mid-floor view premium fully loaded. ","")&amp;IF(D644=Assumptions!$P$154,"High-floor view premium fully loaded. ","")&amp;IF(Q644&lt;=K644,"At developer starting price.",""))</f>
        <v/>
      </c>
      <c r="T644" s="57" t="str">
        <f>Assumptions!$AJ$154</f>
        <v>SW. Unblocked landed estate + nature reserve + city view</v>
      </c>
    </row>
    <row r="645" spans="1:20" x14ac:dyDescent="0.2">
      <c r="A645" s="49" t="s">
        <v>796</v>
      </c>
      <c r="B645" s="29">
        <v>7</v>
      </c>
      <c r="C645" s="50">
        <v>28</v>
      </c>
      <c r="D645" s="50">
        <v>14</v>
      </c>
      <c r="E645" s="27" t="s">
        <v>46</v>
      </c>
      <c r="F645" s="29" t="s">
        <v>780</v>
      </c>
      <c r="G645" s="28">
        <v>1055</v>
      </c>
      <c r="H645" s="29" t="s">
        <v>65</v>
      </c>
      <c r="I645" s="38" t="str">
        <f>Assumptions!$I$154</f>
        <v>A</v>
      </c>
      <c r="J645" s="29" t="str">
        <f>IF(D645&lt;=Assumptions!$V$154,"Low",IF(D645&lt;=Assumptions!$W$154,"Mid","High"))</f>
        <v>Mid</v>
      </c>
      <c r="K645" s="51">
        <f>Assumptions!$Q$154</f>
        <v>2633</v>
      </c>
      <c r="L645" s="52">
        <f>INDEX(Assumptions!$L$61:$L$90,D645)</f>
        <v>2973.87</v>
      </c>
      <c r="M645" s="53">
        <f>IF(D645&lt;=Assumptions!$G$154,Assumptions!$AK$154,IF(D645&lt;Assumptions!$AH$154,Assumptions!$AK$154+(Assumptions!$AL$154-Assumptions!$AK$154)*(D645-Assumptions!$G$154)/(Assumptions!$AH$154-Assumptions!$G$154),IF(D645&lt;Assumptions!$P$154,Assumptions!$AL$154+(Assumptions!$AM$154-Assumptions!$AL$154)*(D645-Assumptions!$AH$154)/(Assumptions!$P$154-Assumptions!$AH$154),Assumptions!$AM$154)))</f>
        <v>0</v>
      </c>
      <c r="N645" s="54">
        <f t="shared" ref="N645:N708" si="20">M645/G645</f>
        <v>0</v>
      </c>
      <c r="O645" s="55">
        <f t="shared" ref="O645:O708" si="21">ROUND(L645+N645,0)</f>
        <v>2974</v>
      </c>
      <c r="P645" s="29" t="str">
        <f>IF(D645&gt;=Assumptions!$P$154,"High",IF(D645&gt;=Assumptions!$AH$154,"Mid",IF(D645&lt;=Assumptions!$G$154,"Low","Loading")))</f>
        <v>Mid</v>
      </c>
      <c r="Q645" s="39">
        <f>MAX(K645,MIN(Assumptions!$S$154,O645),Q646)</f>
        <v>2974</v>
      </c>
      <c r="R645" s="30">
        <f>IF(AND(Q645&lt;=K645,INDEX(Assumptions!$C$26:$C$36,MATCH(G645,Assumptions!$A$26:$A$36,0))&lt;&gt;""),INDEX(Assumptions!$C$26:$C$36,MATCH(G645,Assumptions!$A$26:$A$36,0)),ROUND(G645*Q645,-2))</f>
        <v>3137600</v>
      </c>
      <c r="S645" s="56" t="str">
        <f>TRIM(IF(AND(Assumptions!$L$154&lt;&gt;"",D645&lt;Assumptions!$L$154),"View blocked / roof in front ("&amp;Assumptions!$M$154&amp;"); view premium still loading until L"&amp;Assumptions!$L$154&amp;". ","")&amp;IF(D645=Assumptions!$AH$154,"Mid-floor view premium fully loaded. ","")&amp;IF(D645=Assumptions!$P$154,"High-floor view premium fully loaded. ","")&amp;IF(Q645&lt;=K645,"At developer starting price.",""))</f>
        <v/>
      </c>
      <c r="T645" s="57" t="str">
        <f>Assumptions!$AJ$154</f>
        <v>SW. Unblocked landed estate + nature reserve + city view</v>
      </c>
    </row>
    <row r="646" spans="1:20" x14ac:dyDescent="0.2">
      <c r="A646" s="49" t="s">
        <v>797</v>
      </c>
      <c r="B646" s="29">
        <v>7</v>
      </c>
      <c r="C646" s="50">
        <v>28</v>
      </c>
      <c r="D646" s="50">
        <v>13</v>
      </c>
      <c r="E646" s="27" t="s">
        <v>46</v>
      </c>
      <c r="F646" s="29" t="s">
        <v>780</v>
      </c>
      <c r="G646" s="28">
        <v>1055</v>
      </c>
      <c r="H646" s="29" t="s">
        <v>65</v>
      </c>
      <c r="I646" s="38" t="str">
        <f>Assumptions!$I$154</f>
        <v>A</v>
      </c>
      <c r="J646" s="29" t="str">
        <f>IF(D646&lt;=Assumptions!$V$154,"Low",IF(D646&lt;=Assumptions!$W$154,"Mid","High"))</f>
        <v>Mid</v>
      </c>
      <c r="K646" s="51">
        <f>Assumptions!$Q$154</f>
        <v>2633</v>
      </c>
      <c r="L646" s="52">
        <f>INDEX(Assumptions!$L$61:$L$90,D646)</f>
        <v>2955.09</v>
      </c>
      <c r="M646" s="53">
        <f>IF(D646&lt;=Assumptions!$G$154,Assumptions!$AK$154,IF(D646&lt;Assumptions!$AH$154,Assumptions!$AK$154+(Assumptions!$AL$154-Assumptions!$AK$154)*(D646-Assumptions!$G$154)/(Assumptions!$AH$154-Assumptions!$G$154),IF(D646&lt;Assumptions!$P$154,Assumptions!$AL$154+(Assumptions!$AM$154-Assumptions!$AL$154)*(D646-Assumptions!$AH$154)/(Assumptions!$P$154-Assumptions!$AH$154),Assumptions!$AM$154)))</f>
        <v>0</v>
      </c>
      <c r="N646" s="54">
        <f t="shared" si="20"/>
        <v>0</v>
      </c>
      <c r="O646" s="55">
        <f t="shared" si="21"/>
        <v>2955</v>
      </c>
      <c r="P646" s="29" t="str">
        <f>IF(D646&gt;=Assumptions!$P$154,"High",IF(D646&gt;=Assumptions!$AH$154,"Mid",IF(D646&lt;=Assumptions!$G$154,"Low","Loading")))</f>
        <v>Mid</v>
      </c>
      <c r="Q646" s="39">
        <f>MAX(K646,MIN(Assumptions!$S$154,O646),Q647)</f>
        <v>2955</v>
      </c>
      <c r="R646" s="30">
        <f>IF(AND(Q646&lt;=K646,INDEX(Assumptions!$C$26:$C$36,MATCH(G646,Assumptions!$A$26:$A$36,0))&lt;&gt;""),INDEX(Assumptions!$C$26:$C$36,MATCH(G646,Assumptions!$A$26:$A$36,0)),ROUND(G646*Q646,-2))</f>
        <v>3117500</v>
      </c>
      <c r="S646" s="56" t="str">
        <f>TRIM(IF(AND(Assumptions!$L$154&lt;&gt;"",D646&lt;Assumptions!$L$154),"View blocked / roof in front ("&amp;Assumptions!$M$154&amp;"); view premium still loading until L"&amp;Assumptions!$L$154&amp;". ","")&amp;IF(D646=Assumptions!$AH$154,"Mid-floor view premium fully loaded. ","")&amp;IF(D646=Assumptions!$P$154,"High-floor view premium fully loaded. ","")&amp;IF(Q646&lt;=K646,"At developer starting price.",""))</f>
        <v/>
      </c>
      <c r="T646" s="57" t="str">
        <f>Assumptions!$AJ$154</f>
        <v>SW. Unblocked landed estate + nature reserve + city view</v>
      </c>
    </row>
    <row r="647" spans="1:20" x14ac:dyDescent="0.2">
      <c r="A647" s="49" t="s">
        <v>798</v>
      </c>
      <c r="B647" s="29">
        <v>7</v>
      </c>
      <c r="C647" s="50">
        <v>28</v>
      </c>
      <c r="D647" s="50">
        <v>12</v>
      </c>
      <c r="E647" s="27" t="s">
        <v>46</v>
      </c>
      <c r="F647" s="29" t="s">
        <v>780</v>
      </c>
      <c r="G647" s="28">
        <v>1055</v>
      </c>
      <c r="H647" s="29" t="s">
        <v>65</v>
      </c>
      <c r="I647" s="38" t="str">
        <f>Assumptions!$I$154</f>
        <v>A</v>
      </c>
      <c r="J647" s="29" t="str">
        <f>IF(D647&lt;=Assumptions!$V$154,"Low",IF(D647&lt;=Assumptions!$W$154,"Mid","High"))</f>
        <v>Mid</v>
      </c>
      <c r="K647" s="51">
        <f>Assumptions!$Q$154</f>
        <v>2633</v>
      </c>
      <c r="L647" s="52">
        <f>INDEX(Assumptions!$L$61:$L$90,D647)</f>
        <v>2939.28</v>
      </c>
      <c r="M647" s="53">
        <f>IF(D647&lt;=Assumptions!$G$154,Assumptions!$AK$154,IF(D647&lt;Assumptions!$AH$154,Assumptions!$AK$154+(Assumptions!$AL$154-Assumptions!$AK$154)*(D647-Assumptions!$G$154)/(Assumptions!$AH$154-Assumptions!$G$154),IF(D647&lt;Assumptions!$P$154,Assumptions!$AL$154+(Assumptions!$AM$154-Assumptions!$AL$154)*(D647-Assumptions!$AH$154)/(Assumptions!$P$154-Assumptions!$AH$154),Assumptions!$AM$154)))</f>
        <v>0</v>
      </c>
      <c r="N647" s="54">
        <f t="shared" si="20"/>
        <v>0</v>
      </c>
      <c r="O647" s="55">
        <f t="shared" si="21"/>
        <v>2939</v>
      </c>
      <c r="P647" s="29" t="str">
        <f>IF(D647&gt;=Assumptions!$P$154,"High",IF(D647&gt;=Assumptions!$AH$154,"Mid",IF(D647&lt;=Assumptions!$G$154,"Low","Loading")))</f>
        <v>Mid</v>
      </c>
      <c r="Q647" s="39">
        <f>MAX(K647,MIN(Assumptions!$S$154,O647),Q648)</f>
        <v>2939</v>
      </c>
      <c r="R647" s="30">
        <f>IF(AND(Q647&lt;=K647,INDEX(Assumptions!$C$26:$C$36,MATCH(G647,Assumptions!$A$26:$A$36,0))&lt;&gt;""),INDEX(Assumptions!$C$26:$C$36,MATCH(G647,Assumptions!$A$26:$A$36,0)),ROUND(G647*Q647,-2))</f>
        <v>3100600</v>
      </c>
      <c r="S647" s="56" t="str">
        <f>TRIM(IF(AND(Assumptions!$L$154&lt;&gt;"",D647&lt;Assumptions!$L$154),"View blocked / roof in front ("&amp;Assumptions!$M$154&amp;"); view premium still loading until L"&amp;Assumptions!$L$154&amp;". ","")&amp;IF(D647=Assumptions!$AH$154,"Mid-floor view premium fully loaded. ","")&amp;IF(D647=Assumptions!$P$154,"High-floor view premium fully loaded. ","")&amp;IF(Q647&lt;=K647,"At developer starting price.",""))</f>
        <v>Mid-floor view premium fully loaded.</v>
      </c>
      <c r="T647" s="57" t="str">
        <f>Assumptions!$AJ$154</f>
        <v>SW. Unblocked landed estate + nature reserve + city view</v>
      </c>
    </row>
    <row r="648" spans="1:20" x14ac:dyDescent="0.2">
      <c r="A648" s="49" t="s">
        <v>799</v>
      </c>
      <c r="B648" s="29">
        <v>7</v>
      </c>
      <c r="C648" s="50">
        <v>28</v>
      </c>
      <c r="D648" s="50">
        <v>11</v>
      </c>
      <c r="E648" s="27" t="s">
        <v>46</v>
      </c>
      <c r="F648" s="29" t="s">
        <v>780</v>
      </c>
      <c r="G648" s="28">
        <v>1055</v>
      </c>
      <c r="H648" s="29" t="s">
        <v>65</v>
      </c>
      <c r="I648" s="38" t="str">
        <f>Assumptions!$I$154</f>
        <v>A</v>
      </c>
      <c r="J648" s="29" t="str">
        <f>IF(D648&lt;=Assumptions!$V$154,"Low",IF(D648&lt;=Assumptions!$W$154,"Mid","High"))</f>
        <v>Low</v>
      </c>
      <c r="K648" s="51">
        <f>Assumptions!$Q$154</f>
        <v>2633</v>
      </c>
      <c r="L648" s="52">
        <f>INDEX(Assumptions!$L$61:$L$90,D648)</f>
        <v>2924.4</v>
      </c>
      <c r="M648" s="53">
        <f>IF(D648&lt;=Assumptions!$G$154,Assumptions!$AK$154,IF(D648&lt;Assumptions!$AH$154,Assumptions!$AK$154+(Assumptions!$AL$154-Assumptions!$AK$154)*(D648-Assumptions!$G$154)/(Assumptions!$AH$154-Assumptions!$G$154),IF(D648&lt;Assumptions!$P$154,Assumptions!$AL$154+(Assumptions!$AM$154-Assumptions!$AL$154)*(D648-Assumptions!$AH$154)/(Assumptions!$P$154-Assumptions!$AH$154),Assumptions!$AM$154)))</f>
        <v>0</v>
      </c>
      <c r="N648" s="54">
        <f t="shared" si="20"/>
        <v>0</v>
      </c>
      <c r="O648" s="55">
        <f t="shared" si="21"/>
        <v>2924</v>
      </c>
      <c r="P648" s="29" t="str">
        <f>IF(D648&gt;=Assumptions!$P$154,"High",IF(D648&gt;=Assumptions!$AH$154,"Mid",IF(D648&lt;=Assumptions!$G$154,"Low","Loading")))</f>
        <v>Loading</v>
      </c>
      <c r="Q648" s="39">
        <f>MAX(K648,MIN(Assumptions!$S$154,O648),Q649)</f>
        <v>2924</v>
      </c>
      <c r="R648" s="30">
        <f>IF(AND(Q648&lt;=K648,INDEX(Assumptions!$C$26:$C$36,MATCH(G648,Assumptions!$A$26:$A$36,0))&lt;&gt;""),INDEX(Assumptions!$C$26:$C$36,MATCH(G648,Assumptions!$A$26:$A$36,0)),ROUND(G648*Q648,-2))</f>
        <v>3084800</v>
      </c>
      <c r="S648" s="56" t="str">
        <f>TRIM(IF(AND(Assumptions!$L$154&lt;&gt;"",D648&lt;Assumptions!$L$154),"View blocked / roof in front ("&amp;Assumptions!$M$154&amp;"); view premium still loading until L"&amp;Assumptions!$L$154&amp;". ","")&amp;IF(D648=Assumptions!$AH$154,"Mid-floor view premium fully loaded. ","")&amp;IF(D648=Assumptions!$P$154,"High-floor view premium fully loaded. ","")&amp;IF(Q648&lt;=K648,"At developer starting price.",""))</f>
        <v/>
      </c>
      <c r="T648" s="57" t="str">
        <f>Assumptions!$AJ$154</f>
        <v>SW. Unblocked landed estate + nature reserve + city view</v>
      </c>
    </row>
    <row r="649" spans="1:20" x14ac:dyDescent="0.2">
      <c r="A649" s="49" t="s">
        <v>800</v>
      </c>
      <c r="B649" s="29">
        <v>7</v>
      </c>
      <c r="C649" s="50">
        <v>28</v>
      </c>
      <c r="D649" s="50">
        <v>10</v>
      </c>
      <c r="E649" s="27" t="s">
        <v>46</v>
      </c>
      <c r="F649" s="29" t="s">
        <v>780</v>
      </c>
      <c r="G649" s="28">
        <v>1055</v>
      </c>
      <c r="H649" s="29" t="s">
        <v>65</v>
      </c>
      <c r="I649" s="38" t="str">
        <f>Assumptions!$I$154</f>
        <v>A</v>
      </c>
      <c r="J649" s="29" t="str">
        <f>IF(D649&lt;=Assumptions!$V$154,"Low",IF(D649&lt;=Assumptions!$W$154,"Mid","High"))</f>
        <v>Low</v>
      </c>
      <c r="K649" s="51">
        <f>Assumptions!$Q$154</f>
        <v>2633</v>
      </c>
      <c r="L649" s="52">
        <f>INDEX(Assumptions!$L$61:$L$90,D649)</f>
        <v>2909.52</v>
      </c>
      <c r="M649" s="53">
        <f>IF(D649&lt;=Assumptions!$G$154,Assumptions!$AK$154,IF(D649&lt;Assumptions!$AH$154,Assumptions!$AK$154+(Assumptions!$AL$154-Assumptions!$AK$154)*(D649-Assumptions!$G$154)/(Assumptions!$AH$154-Assumptions!$G$154),IF(D649&lt;Assumptions!$P$154,Assumptions!$AL$154+(Assumptions!$AM$154-Assumptions!$AL$154)*(D649-Assumptions!$AH$154)/(Assumptions!$P$154-Assumptions!$AH$154),Assumptions!$AM$154)))</f>
        <v>0</v>
      </c>
      <c r="N649" s="54">
        <f t="shared" si="20"/>
        <v>0</v>
      </c>
      <c r="O649" s="55">
        <f t="shared" si="21"/>
        <v>2910</v>
      </c>
      <c r="P649" s="29" t="str">
        <f>IF(D649&gt;=Assumptions!$P$154,"High",IF(D649&gt;=Assumptions!$AH$154,"Mid",IF(D649&lt;=Assumptions!$G$154,"Low","Loading")))</f>
        <v>Loading</v>
      </c>
      <c r="Q649" s="39">
        <f>MAX(K649,MIN(Assumptions!$S$154,O649),Q650)</f>
        <v>2910</v>
      </c>
      <c r="R649" s="30">
        <f>IF(AND(Q649&lt;=K649,INDEX(Assumptions!$C$26:$C$36,MATCH(G649,Assumptions!$A$26:$A$36,0))&lt;&gt;""),INDEX(Assumptions!$C$26:$C$36,MATCH(G649,Assumptions!$A$26:$A$36,0)),ROUND(G649*Q649,-2))</f>
        <v>3070100</v>
      </c>
      <c r="S649" s="56" t="str">
        <f>TRIM(IF(AND(Assumptions!$L$154&lt;&gt;"",D649&lt;Assumptions!$L$154),"View blocked / roof in front ("&amp;Assumptions!$M$154&amp;"); view premium still loading until L"&amp;Assumptions!$L$154&amp;". ","")&amp;IF(D649=Assumptions!$AH$154,"Mid-floor view premium fully loaded. ","")&amp;IF(D649=Assumptions!$P$154,"High-floor view premium fully loaded. ","")&amp;IF(Q649&lt;=K649,"At developer starting price.",""))</f>
        <v/>
      </c>
      <c r="T649" s="57" t="str">
        <f>Assumptions!$AJ$154</f>
        <v>SW. Unblocked landed estate + nature reserve + city view</v>
      </c>
    </row>
    <row r="650" spans="1:20" x14ac:dyDescent="0.2">
      <c r="A650" s="49" t="s">
        <v>801</v>
      </c>
      <c r="B650" s="29">
        <v>7</v>
      </c>
      <c r="C650" s="50">
        <v>28</v>
      </c>
      <c r="D650" s="50">
        <v>9</v>
      </c>
      <c r="E650" s="27" t="s">
        <v>46</v>
      </c>
      <c r="F650" s="29" t="s">
        <v>780</v>
      </c>
      <c r="G650" s="28">
        <v>1055</v>
      </c>
      <c r="H650" s="29" t="s">
        <v>65</v>
      </c>
      <c r="I650" s="38" t="str">
        <f>Assumptions!$I$154</f>
        <v>A</v>
      </c>
      <c r="J650" s="29" t="str">
        <f>IF(D650&lt;=Assumptions!$V$154,"Low",IF(D650&lt;=Assumptions!$W$154,"Mid","High"))</f>
        <v>Low</v>
      </c>
      <c r="K650" s="51">
        <f>Assumptions!$Q$154</f>
        <v>2633</v>
      </c>
      <c r="L650" s="52">
        <f>INDEX(Assumptions!$L$61:$L$90,D650)</f>
        <v>2894.64</v>
      </c>
      <c r="M650" s="53">
        <f>IF(D650&lt;=Assumptions!$G$154,Assumptions!$AK$154,IF(D650&lt;Assumptions!$AH$154,Assumptions!$AK$154+(Assumptions!$AL$154-Assumptions!$AK$154)*(D650-Assumptions!$G$154)/(Assumptions!$AH$154-Assumptions!$G$154),IF(D650&lt;Assumptions!$P$154,Assumptions!$AL$154+(Assumptions!$AM$154-Assumptions!$AL$154)*(D650-Assumptions!$AH$154)/(Assumptions!$P$154-Assumptions!$AH$154),Assumptions!$AM$154)))</f>
        <v>0</v>
      </c>
      <c r="N650" s="54">
        <f t="shared" si="20"/>
        <v>0</v>
      </c>
      <c r="O650" s="55">
        <f t="shared" si="21"/>
        <v>2895</v>
      </c>
      <c r="P650" s="29" t="str">
        <f>IF(D650&gt;=Assumptions!$P$154,"High",IF(D650&gt;=Assumptions!$AH$154,"Mid",IF(D650&lt;=Assumptions!$G$154,"Low","Loading")))</f>
        <v>Loading</v>
      </c>
      <c r="Q650" s="39">
        <f>MAX(K650,MIN(Assumptions!$S$154,O650),Q651)</f>
        <v>2895</v>
      </c>
      <c r="R650" s="30">
        <f>IF(AND(Q650&lt;=K650,INDEX(Assumptions!$C$26:$C$36,MATCH(G650,Assumptions!$A$26:$A$36,0))&lt;&gt;""),INDEX(Assumptions!$C$26:$C$36,MATCH(G650,Assumptions!$A$26:$A$36,0)),ROUND(G650*Q650,-2))</f>
        <v>3054200</v>
      </c>
      <c r="S650" s="56" t="str">
        <f>TRIM(IF(AND(Assumptions!$L$154&lt;&gt;"",D650&lt;Assumptions!$L$154),"View blocked / roof in front ("&amp;Assumptions!$M$154&amp;"); view premium still loading until L"&amp;Assumptions!$L$154&amp;". ","")&amp;IF(D650=Assumptions!$AH$154,"Mid-floor view premium fully loaded. ","")&amp;IF(D650=Assumptions!$P$154,"High-floor view premium fully loaded. ","")&amp;IF(Q650&lt;=K650,"At developer starting price.",""))</f>
        <v/>
      </c>
      <c r="T650" s="57" t="str">
        <f>Assumptions!$AJ$154</f>
        <v>SW. Unblocked landed estate + nature reserve + city view</v>
      </c>
    </row>
    <row r="651" spans="1:20" x14ac:dyDescent="0.2">
      <c r="A651" s="49" t="s">
        <v>802</v>
      </c>
      <c r="B651" s="29">
        <v>7</v>
      </c>
      <c r="C651" s="50">
        <v>28</v>
      </c>
      <c r="D651" s="50">
        <v>8</v>
      </c>
      <c r="E651" s="27" t="s">
        <v>46</v>
      </c>
      <c r="F651" s="29" t="s">
        <v>780</v>
      </c>
      <c r="G651" s="28">
        <v>1055</v>
      </c>
      <c r="H651" s="29" t="s">
        <v>65</v>
      </c>
      <c r="I651" s="38" t="str">
        <f>Assumptions!$I$154</f>
        <v>A</v>
      </c>
      <c r="J651" s="29" t="str">
        <f>IF(D651&lt;=Assumptions!$V$154,"Low",IF(D651&lt;=Assumptions!$W$154,"Mid","High"))</f>
        <v>Low</v>
      </c>
      <c r="K651" s="51">
        <f>Assumptions!$Q$154</f>
        <v>2633</v>
      </c>
      <c r="L651" s="52">
        <f>INDEX(Assumptions!$L$61:$L$90,D651)</f>
        <v>2879.76</v>
      </c>
      <c r="M651" s="53">
        <f>IF(D651&lt;=Assumptions!$G$154,Assumptions!$AK$154,IF(D651&lt;Assumptions!$AH$154,Assumptions!$AK$154+(Assumptions!$AL$154-Assumptions!$AK$154)*(D651-Assumptions!$G$154)/(Assumptions!$AH$154-Assumptions!$G$154),IF(D651&lt;Assumptions!$P$154,Assumptions!$AL$154+(Assumptions!$AM$154-Assumptions!$AL$154)*(D651-Assumptions!$AH$154)/(Assumptions!$P$154-Assumptions!$AH$154),Assumptions!$AM$154)))</f>
        <v>0</v>
      </c>
      <c r="N651" s="54">
        <f t="shared" si="20"/>
        <v>0</v>
      </c>
      <c r="O651" s="55">
        <f t="shared" si="21"/>
        <v>2880</v>
      </c>
      <c r="P651" s="29" t="str">
        <f>IF(D651&gt;=Assumptions!$P$154,"High",IF(D651&gt;=Assumptions!$AH$154,"Mid",IF(D651&lt;=Assumptions!$G$154,"Low","Loading")))</f>
        <v>Loading</v>
      </c>
      <c r="Q651" s="39">
        <f>MAX(K651,MIN(Assumptions!$S$154,O651),Q652)</f>
        <v>2880</v>
      </c>
      <c r="R651" s="30">
        <f>IF(AND(Q651&lt;=K651,INDEX(Assumptions!$C$26:$C$36,MATCH(G651,Assumptions!$A$26:$A$36,0))&lt;&gt;""),INDEX(Assumptions!$C$26:$C$36,MATCH(G651,Assumptions!$A$26:$A$36,0)),ROUND(G651*Q651,-2))</f>
        <v>3038400</v>
      </c>
      <c r="S651" s="56" t="str">
        <f>TRIM(IF(AND(Assumptions!$L$154&lt;&gt;"",D651&lt;Assumptions!$L$154),"View blocked / roof in front ("&amp;Assumptions!$M$154&amp;"); view premium still loading until L"&amp;Assumptions!$L$154&amp;". ","")&amp;IF(D651=Assumptions!$AH$154,"Mid-floor view premium fully loaded. ","")&amp;IF(D651=Assumptions!$P$154,"High-floor view premium fully loaded. ","")&amp;IF(Q651&lt;=K651,"At developer starting price.",""))</f>
        <v/>
      </c>
      <c r="T651" s="57" t="str">
        <f>Assumptions!$AJ$154</f>
        <v>SW. Unblocked landed estate + nature reserve + city view</v>
      </c>
    </row>
    <row r="652" spans="1:20" x14ac:dyDescent="0.2">
      <c r="A652" s="49" t="s">
        <v>803</v>
      </c>
      <c r="B652" s="29">
        <v>7</v>
      </c>
      <c r="C652" s="50">
        <v>28</v>
      </c>
      <c r="D652" s="50">
        <v>7</v>
      </c>
      <c r="E652" s="27" t="s">
        <v>46</v>
      </c>
      <c r="F652" s="29" t="s">
        <v>780</v>
      </c>
      <c r="G652" s="28">
        <v>1055</v>
      </c>
      <c r="H652" s="29" t="s">
        <v>65</v>
      </c>
      <c r="I652" s="38" t="str">
        <f>Assumptions!$I$154</f>
        <v>A</v>
      </c>
      <c r="J652" s="29" t="str">
        <f>IF(D652&lt;=Assumptions!$V$154,"Low",IF(D652&lt;=Assumptions!$W$154,"Mid","High"))</f>
        <v>Low</v>
      </c>
      <c r="K652" s="51">
        <f>Assumptions!$Q$154</f>
        <v>2633</v>
      </c>
      <c r="L652" s="52">
        <f>INDEX(Assumptions!$L$61:$L$90,D652)</f>
        <v>2864.88</v>
      </c>
      <c r="M652" s="53">
        <f>IF(D652&lt;=Assumptions!$G$154,Assumptions!$AK$154,IF(D652&lt;Assumptions!$AH$154,Assumptions!$AK$154+(Assumptions!$AL$154-Assumptions!$AK$154)*(D652-Assumptions!$G$154)/(Assumptions!$AH$154-Assumptions!$G$154),IF(D652&lt;Assumptions!$P$154,Assumptions!$AL$154+(Assumptions!$AM$154-Assumptions!$AL$154)*(D652-Assumptions!$AH$154)/(Assumptions!$P$154-Assumptions!$AH$154),Assumptions!$AM$154)))</f>
        <v>0</v>
      </c>
      <c r="N652" s="54">
        <f t="shared" si="20"/>
        <v>0</v>
      </c>
      <c r="O652" s="55">
        <f t="shared" si="21"/>
        <v>2865</v>
      </c>
      <c r="P652" s="29" t="str">
        <f>IF(D652&gt;=Assumptions!$P$154,"High",IF(D652&gt;=Assumptions!$AH$154,"Mid",IF(D652&lt;=Assumptions!$G$154,"Low","Loading")))</f>
        <v>Loading</v>
      </c>
      <c r="Q652" s="39">
        <f>MAX(K652,MIN(Assumptions!$S$154,O652),Q653)</f>
        <v>2865</v>
      </c>
      <c r="R652" s="30">
        <f>IF(AND(Q652&lt;=K652,INDEX(Assumptions!$C$26:$C$36,MATCH(G652,Assumptions!$A$26:$A$36,0))&lt;&gt;""),INDEX(Assumptions!$C$26:$C$36,MATCH(G652,Assumptions!$A$26:$A$36,0)),ROUND(G652*Q652,-2))</f>
        <v>3022600</v>
      </c>
      <c r="S652" s="56" t="str">
        <f>TRIM(IF(AND(Assumptions!$L$154&lt;&gt;"",D652&lt;Assumptions!$L$154),"View blocked / roof in front ("&amp;Assumptions!$M$154&amp;"); view premium still loading until L"&amp;Assumptions!$L$154&amp;". ","")&amp;IF(D652=Assumptions!$AH$154,"Mid-floor view premium fully loaded. ","")&amp;IF(D652=Assumptions!$P$154,"High-floor view premium fully loaded. ","")&amp;IF(Q652&lt;=K652,"At developer starting price.",""))</f>
        <v/>
      </c>
      <c r="T652" s="57" t="str">
        <f>Assumptions!$AJ$154</f>
        <v>SW. Unblocked landed estate + nature reserve + city view</v>
      </c>
    </row>
    <row r="653" spans="1:20" x14ac:dyDescent="0.2">
      <c r="A653" s="49" t="s">
        <v>804</v>
      </c>
      <c r="B653" s="29">
        <v>7</v>
      </c>
      <c r="C653" s="50">
        <v>28</v>
      </c>
      <c r="D653" s="50">
        <v>6</v>
      </c>
      <c r="E653" s="27" t="s">
        <v>46</v>
      </c>
      <c r="F653" s="29" t="s">
        <v>780</v>
      </c>
      <c r="G653" s="28">
        <v>1055</v>
      </c>
      <c r="H653" s="29" t="s">
        <v>65</v>
      </c>
      <c r="I653" s="38" t="str">
        <f>Assumptions!$I$154</f>
        <v>A</v>
      </c>
      <c r="J653" s="29" t="str">
        <f>IF(D653&lt;=Assumptions!$V$154,"Low",IF(D653&lt;=Assumptions!$W$154,"Mid","High"))</f>
        <v>Low</v>
      </c>
      <c r="K653" s="51">
        <f>Assumptions!$Q$154</f>
        <v>2633</v>
      </c>
      <c r="L653" s="52">
        <f>INDEX(Assumptions!$L$61:$L$90,D653)</f>
        <v>2850</v>
      </c>
      <c r="M653" s="53">
        <f>IF(D653&lt;=Assumptions!$G$154,Assumptions!$AK$154,IF(D653&lt;Assumptions!$AH$154,Assumptions!$AK$154+(Assumptions!$AL$154-Assumptions!$AK$154)*(D653-Assumptions!$G$154)/(Assumptions!$AH$154-Assumptions!$G$154),IF(D653&lt;Assumptions!$P$154,Assumptions!$AL$154+(Assumptions!$AM$154-Assumptions!$AL$154)*(D653-Assumptions!$AH$154)/(Assumptions!$P$154-Assumptions!$AH$154),Assumptions!$AM$154)))</f>
        <v>0</v>
      </c>
      <c r="N653" s="54">
        <f t="shared" si="20"/>
        <v>0</v>
      </c>
      <c r="O653" s="55">
        <f t="shared" si="21"/>
        <v>2850</v>
      </c>
      <c r="P653" s="29" t="str">
        <f>IF(D653&gt;=Assumptions!$P$154,"High",IF(D653&gt;=Assumptions!$AH$154,"Mid",IF(D653&lt;=Assumptions!$G$154,"Low","Loading")))</f>
        <v>Loading</v>
      </c>
      <c r="Q653" s="39">
        <f>MAX(K653,MIN(Assumptions!$S$154,O653),Q654)</f>
        <v>2850</v>
      </c>
      <c r="R653" s="30">
        <f>IF(AND(Q653&lt;=K653,INDEX(Assumptions!$C$26:$C$36,MATCH(G653,Assumptions!$A$26:$A$36,0))&lt;&gt;""),INDEX(Assumptions!$C$26:$C$36,MATCH(G653,Assumptions!$A$26:$A$36,0)),ROUND(G653*Q653,-2))</f>
        <v>3006800</v>
      </c>
      <c r="S653" s="56" t="str">
        <f>TRIM(IF(AND(Assumptions!$L$154&lt;&gt;"",D653&lt;Assumptions!$L$154),"View blocked / roof in front ("&amp;Assumptions!$M$154&amp;"); view premium still loading until L"&amp;Assumptions!$L$154&amp;". ","")&amp;IF(D653=Assumptions!$AH$154,"Mid-floor view premium fully loaded. ","")&amp;IF(D653=Assumptions!$P$154,"High-floor view premium fully loaded. ","")&amp;IF(Q653&lt;=K653,"At developer starting price.",""))</f>
        <v/>
      </c>
      <c r="T653" s="57" t="str">
        <f>Assumptions!$AJ$154</f>
        <v>SW. Unblocked landed estate + nature reserve + city view</v>
      </c>
    </row>
    <row r="654" spans="1:20" x14ac:dyDescent="0.2">
      <c r="A654" s="49" t="s">
        <v>805</v>
      </c>
      <c r="B654" s="29">
        <v>7</v>
      </c>
      <c r="C654" s="50">
        <v>28</v>
      </c>
      <c r="D654" s="50">
        <v>5</v>
      </c>
      <c r="E654" s="27" t="s">
        <v>46</v>
      </c>
      <c r="F654" s="29" t="s">
        <v>780</v>
      </c>
      <c r="G654" s="28">
        <v>1055</v>
      </c>
      <c r="H654" s="29" t="s">
        <v>65</v>
      </c>
      <c r="I654" s="38" t="str">
        <f>Assumptions!$I$154</f>
        <v>A</v>
      </c>
      <c r="J654" s="29" t="str">
        <f>IF(D654&lt;=Assumptions!$V$154,"Low",IF(D654&lt;=Assumptions!$W$154,"Mid","High"))</f>
        <v>Low</v>
      </c>
      <c r="K654" s="51">
        <f>Assumptions!$Q$154</f>
        <v>2633</v>
      </c>
      <c r="L654" s="52">
        <f>INDEX(Assumptions!$L$61:$L$90,D654)</f>
        <v>2835.12</v>
      </c>
      <c r="M654" s="53">
        <f>IF(D654&lt;=Assumptions!$G$154,Assumptions!$AK$154,IF(D654&lt;Assumptions!$AH$154,Assumptions!$AK$154+(Assumptions!$AL$154-Assumptions!$AK$154)*(D654-Assumptions!$G$154)/(Assumptions!$AH$154-Assumptions!$G$154),IF(D654&lt;Assumptions!$P$154,Assumptions!$AL$154+(Assumptions!$AM$154-Assumptions!$AL$154)*(D654-Assumptions!$AH$154)/(Assumptions!$P$154-Assumptions!$AH$154),Assumptions!$AM$154)))</f>
        <v>0</v>
      </c>
      <c r="N654" s="54">
        <f t="shared" si="20"/>
        <v>0</v>
      </c>
      <c r="O654" s="55">
        <f t="shared" si="21"/>
        <v>2835</v>
      </c>
      <c r="P654" s="29" t="str">
        <f>IF(D654&gt;=Assumptions!$P$154,"High",IF(D654&gt;=Assumptions!$AH$154,"Mid",IF(D654&lt;=Assumptions!$G$154,"Low","Loading")))</f>
        <v>Loading</v>
      </c>
      <c r="Q654" s="39">
        <f>MAX(K654,MIN(Assumptions!$S$154,O654),Q655)</f>
        <v>2835</v>
      </c>
      <c r="R654" s="30">
        <f>IF(AND(Q654&lt;=K654,INDEX(Assumptions!$C$26:$C$36,MATCH(G654,Assumptions!$A$26:$A$36,0))&lt;&gt;""),INDEX(Assumptions!$C$26:$C$36,MATCH(G654,Assumptions!$A$26:$A$36,0)),ROUND(G654*Q654,-2))</f>
        <v>2990900</v>
      </c>
      <c r="S654" s="56" t="str">
        <f>TRIM(IF(AND(Assumptions!$L$154&lt;&gt;"",D654&lt;Assumptions!$L$154),"View blocked / roof in front ("&amp;Assumptions!$M$154&amp;"); view premium still loading until L"&amp;Assumptions!$L$154&amp;". ","")&amp;IF(D654=Assumptions!$AH$154,"Mid-floor view premium fully loaded. ","")&amp;IF(D654=Assumptions!$P$154,"High-floor view premium fully loaded. ","")&amp;IF(Q654&lt;=K654,"At developer starting price.",""))</f>
        <v/>
      </c>
      <c r="T654" s="57" t="str">
        <f>Assumptions!$AJ$154</f>
        <v>SW. Unblocked landed estate + nature reserve + city view</v>
      </c>
    </row>
    <row r="655" spans="1:20" x14ac:dyDescent="0.2">
      <c r="A655" s="49" t="s">
        <v>806</v>
      </c>
      <c r="B655" s="29">
        <v>7</v>
      </c>
      <c r="C655" s="50">
        <v>28</v>
      </c>
      <c r="D655" s="50">
        <v>4</v>
      </c>
      <c r="E655" s="27" t="s">
        <v>46</v>
      </c>
      <c r="F655" s="29" t="s">
        <v>780</v>
      </c>
      <c r="G655" s="28">
        <v>1055</v>
      </c>
      <c r="H655" s="29" t="s">
        <v>65</v>
      </c>
      <c r="I655" s="38" t="str">
        <f>Assumptions!$I$154</f>
        <v>A</v>
      </c>
      <c r="J655" s="29" t="str">
        <f>IF(D655&lt;=Assumptions!$V$154,"Low",IF(D655&lt;=Assumptions!$W$154,"Mid","High"))</f>
        <v>Low</v>
      </c>
      <c r="K655" s="51">
        <f>Assumptions!$Q$154</f>
        <v>2633</v>
      </c>
      <c r="L655" s="52">
        <f>INDEX(Assumptions!$L$61:$L$90,D655)</f>
        <v>2820.24</v>
      </c>
      <c r="M655" s="53">
        <f>IF(D655&lt;=Assumptions!$G$154,Assumptions!$AK$154,IF(D655&lt;Assumptions!$AH$154,Assumptions!$AK$154+(Assumptions!$AL$154-Assumptions!$AK$154)*(D655-Assumptions!$G$154)/(Assumptions!$AH$154-Assumptions!$G$154),IF(D655&lt;Assumptions!$P$154,Assumptions!$AL$154+(Assumptions!$AM$154-Assumptions!$AL$154)*(D655-Assumptions!$AH$154)/(Assumptions!$P$154-Assumptions!$AH$154),Assumptions!$AM$154)))</f>
        <v>0</v>
      </c>
      <c r="N655" s="54">
        <f t="shared" si="20"/>
        <v>0</v>
      </c>
      <c r="O655" s="55">
        <f t="shared" si="21"/>
        <v>2820</v>
      </c>
      <c r="P655" s="29" t="str">
        <f>IF(D655&gt;=Assumptions!$P$154,"High",IF(D655&gt;=Assumptions!$AH$154,"Mid",IF(D655&lt;=Assumptions!$G$154,"Low","Loading")))</f>
        <v>Loading</v>
      </c>
      <c r="Q655" s="39">
        <f>MAX(K655,MIN(Assumptions!$S$154,O655),Q656)</f>
        <v>2820</v>
      </c>
      <c r="R655" s="30">
        <f>IF(AND(Q655&lt;=K655,INDEX(Assumptions!$C$26:$C$36,MATCH(G655,Assumptions!$A$26:$A$36,0))&lt;&gt;""),INDEX(Assumptions!$C$26:$C$36,MATCH(G655,Assumptions!$A$26:$A$36,0)),ROUND(G655*Q655,-2))</f>
        <v>2975100</v>
      </c>
      <c r="S655" s="56" t="str">
        <f>TRIM(IF(AND(Assumptions!$L$154&lt;&gt;"",D655&lt;Assumptions!$L$154),"View blocked / roof in front ("&amp;Assumptions!$M$154&amp;"); view premium still loading until L"&amp;Assumptions!$L$154&amp;". ","")&amp;IF(D655=Assumptions!$AH$154,"Mid-floor view premium fully loaded. ","")&amp;IF(D655=Assumptions!$P$154,"High-floor view premium fully loaded. ","")&amp;IF(Q655&lt;=K655,"At developer starting price.",""))</f>
        <v/>
      </c>
      <c r="T655" s="57" t="str">
        <f>Assumptions!$AJ$154</f>
        <v>SW. Unblocked landed estate + nature reserve + city view</v>
      </c>
    </row>
    <row r="656" spans="1:20" x14ac:dyDescent="0.2">
      <c r="A656" s="49" t="s">
        <v>807</v>
      </c>
      <c r="B656" s="29">
        <v>7</v>
      </c>
      <c r="C656" s="50">
        <v>28</v>
      </c>
      <c r="D656" s="50">
        <v>3</v>
      </c>
      <c r="E656" s="27" t="s">
        <v>46</v>
      </c>
      <c r="F656" s="29" t="s">
        <v>780</v>
      </c>
      <c r="G656" s="28">
        <v>1055</v>
      </c>
      <c r="H656" s="29" t="s">
        <v>65</v>
      </c>
      <c r="I656" s="38" t="str">
        <f>Assumptions!$I$154</f>
        <v>A</v>
      </c>
      <c r="J656" s="29" t="str">
        <f>IF(D656&lt;=Assumptions!$V$154,"Low",IF(D656&lt;=Assumptions!$W$154,"Mid","High"))</f>
        <v>Low</v>
      </c>
      <c r="K656" s="51">
        <f>Assumptions!$Q$154</f>
        <v>2633</v>
      </c>
      <c r="L656" s="52">
        <f>INDEX(Assumptions!$L$61:$L$90,D656)</f>
        <v>2805.36</v>
      </c>
      <c r="M656" s="53">
        <f>IF(D656&lt;=Assumptions!$G$154,Assumptions!$AK$154,IF(D656&lt;Assumptions!$AH$154,Assumptions!$AK$154+(Assumptions!$AL$154-Assumptions!$AK$154)*(D656-Assumptions!$G$154)/(Assumptions!$AH$154-Assumptions!$G$154),IF(D656&lt;Assumptions!$P$154,Assumptions!$AL$154+(Assumptions!$AM$154-Assumptions!$AL$154)*(D656-Assumptions!$AH$154)/(Assumptions!$P$154-Assumptions!$AH$154),Assumptions!$AM$154)))</f>
        <v>0</v>
      </c>
      <c r="N656" s="54">
        <f t="shared" si="20"/>
        <v>0</v>
      </c>
      <c r="O656" s="55">
        <f t="shared" si="21"/>
        <v>2805</v>
      </c>
      <c r="P656" s="29" t="str">
        <f>IF(D656&gt;=Assumptions!$P$154,"High",IF(D656&gt;=Assumptions!$AH$154,"Mid",IF(D656&lt;=Assumptions!$G$154,"Low","Loading")))</f>
        <v>Loading</v>
      </c>
      <c r="Q656" s="39">
        <f>MAX(K656,MIN(Assumptions!$S$154,O656),Q657)</f>
        <v>2805</v>
      </c>
      <c r="R656" s="30">
        <f>IF(AND(Q656&lt;=K656,INDEX(Assumptions!$C$26:$C$36,MATCH(G656,Assumptions!$A$26:$A$36,0))&lt;&gt;""),INDEX(Assumptions!$C$26:$C$36,MATCH(G656,Assumptions!$A$26:$A$36,0)),ROUND(G656*Q656,-2))</f>
        <v>2959300</v>
      </c>
      <c r="S656" s="56" t="str">
        <f>TRIM(IF(AND(Assumptions!$L$154&lt;&gt;"",D656&lt;Assumptions!$L$154),"View blocked / roof in front ("&amp;Assumptions!$M$154&amp;"); view premium still loading until L"&amp;Assumptions!$L$154&amp;". ","")&amp;IF(D656=Assumptions!$AH$154,"Mid-floor view premium fully loaded. ","")&amp;IF(D656=Assumptions!$P$154,"High-floor view premium fully loaded. ","")&amp;IF(Q656&lt;=K656,"At developer starting price.",""))</f>
        <v/>
      </c>
      <c r="T656" s="57" t="str">
        <f>Assumptions!$AJ$154</f>
        <v>SW. Unblocked landed estate + nature reserve + city view</v>
      </c>
    </row>
    <row r="657" spans="1:20" x14ac:dyDescent="0.2">
      <c r="A657" s="49" t="s">
        <v>808</v>
      </c>
      <c r="B657" s="29">
        <v>7</v>
      </c>
      <c r="C657" s="50">
        <v>28</v>
      </c>
      <c r="D657" s="50">
        <v>2</v>
      </c>
      <c r="E657" s="27" t="s">
        <v>46</v>
      </c>
      <c r="F657" s="29" t="s">
        <v>780</v>
      </c>
      <c r="G657" s="28">
        <v>1055</v>
      </c>
      <c r="H657" s="29" t="s">
        <v>65</v>
      </c>
      <c r="I657" s="38" t="str">
        <f>Assumptions!$I$154</f>
        <v>A</v>
      </c>
      <c r="J657" s="29" t="str">
        <f>IF(D657&lt;=Assumptions!$V$154,"Low",IF(D657&lt;=Assumptions!$W$154,"Mid","High"))</f>
        <v>Low</v>
      </c>
      <c r="K657" s="51">
        <f>Assumptions!$Q$154</f>
        <v>2633</v>
      </c>
      <c r="L657" s="52">
        <f>INDEX(Assumptions!$L$61:$L$90,D657)</f>
        <v>2790.48</v>
      </c>
      <c r="M657" s="53">
        <f>IF(D657&lt;=Assumptions!$G$154,Assumptions!$AK$154,IF(D657&lt;Assumptions!$AH$154,Assumptions!$AK$154+(Assumptions!$AL$154-Assumptions!$AK$154)*(D657-Assumptions!$G$154)/(Assumptions!$AH$154-Assumptions!$G$154),IF(D657&lt;Assumptions!$P$154,Assumptions!$AL$154+(Assumptions!$AM$154-Assumptions!$AL$154)*(D657-Assumptions!$AH$154)/(Assumptions!$P$154-Assumptions!$AH$154),Assumptions!$AM$154)))</f>
        <v>0</v>
      </c>
      <c r="N657" s="54">
        <f t="shared" si="20"/>
        <v>0</v>
      </c>
      <c r="O657" s="55">
        <f t="shared" si="21"/>
        <v>2790</v>
      </c>
      <c r="P657" s="29" t="str">
        <f>IF(D657&gt;=Assumptions!$P$154,"High",IF(D657&gt;=Assumptions!$AH$154,"Mid",IF(D657&lt;=Assumptions!$G$154,"Low","Loading")))</f>
        <v>Loading</v>
      </c>
      <c r="Q657" s="39">
        <f>MAX(K657,MIN(Assumptions!$S$154,O657),Q658)</f>
        <v>2790</v>
      </c>
      <c r="R657" s="30">
        <f>IF(AND(Q657&lt;=K657,INDEX(Assumptions!$C$26:$C$36,MATCH(G657,Assumptions!$A$26:$A$36,0))&lt;&gt;""),INDEX(Assumptions!$C$26:$C$36,MATCH(G657,Assumptions!$A$26:$A$36,0)),ROUND(G657*Q657,-2))</f>
        <v>2943500</v>
      </c>
      <c r="S657" s="56" t="str">
        <f>TRIM(IF(AND(Assumptions!$L$154&lt;&gt;"",D657&lt;Assumptions!$L$154),"View blocked / roof in front ("&amp;Assumptions!$M$154&amp;"); view premium still loading until L"&amp;Assumptions!$L$154&amp;". ","")&amp;IF(D657=Assumptions!$AH$154,"Mid-floor view premium fully loaded. ","")&amp;IF(D657=Assumptions!$P$154,"High-floor view premium fully loaded. ","")&amp;IF(Q657&lt;=K657,"At developer starting price.",""))</f>
        <v/>
      </c>
      <c r="T657" s="57" t="str">
        <f>Assumptions!$AJ$154</f>
        <v>SW. Unblocked landed estate + nature reserve + city view</v>
      </c>
    </row>
    <row r="658" spans="1:20" x14ac:dyDescent="0.2">
      <c r="A658" s="49" t="s">
        <v>809</v>
      </c>
      <c r="B658" s="29">
        <v>7</v>
      </c>
      <c r="C658" s="50">
        <v>28</v>
      </c>
      <c r="D658" s="50">
        <v>1</v>
      </c>
      <c r="E658" s="27" t="s">
        <v>46</v>
      </c>
      <c r="F658" s="29" t="s">
        <v>810</v>
      </c>
      <c r="G658" s="28">
        <v>1055</v>
      </c>
      <c r="H658" s="29" t="s">
        <v>65</v>
      </c>
      <c r="I658" s="38" t="str">
        <f>Assumptions!$I$154</f>
        <v>A</v>
      </c>
      <c r="J658" s="29" t="str">
        <f>IF(D658&lt;=Assumptions!$V$154,"Low",IF(D658&lt;=Assumptions!$W$154,"Mid","High"))</f>
        <v>Low</v>
      </c>
      <c r="K658" s="51">
        <f>Assumptions!$Q$154</f>
        <v>2633</v>
      </c>
      <c r="L658" s="52">
        <f>INDEX(Assumptions!$L$61:$L$90,D658)</f>
        <v>2775.6</v>
      </c>
      <c r="M658" s="53">
        <f>IF(D658&lt;=Assumptions!$G$154,Assumptions!$AK$154,IF(D658&lt;Assumptions!$AH$154,Assumptions!$AK$154+(Assumptions!$AL$154-Assumptions!$AK$154)*(D658-Assumptions!$G$154)/(Assumptions!$AH$154-Assumptions!$G$154),IF(D658&lt;Assumptions!$P$154,Assumptions!$AL$154+(Assumptions!$AM$154-Assumptions!$AL$154)*(D658-Assumptions!$AH$154)/(Assumptions!$P$154-Assumptions!$AH$154),Assumptions!$AM$154)))</f>
        <v>0</v>
      </c>
      <c r="N658" s="54">
        <f t="shared" si="20"/>
        <v>0</v>
      </c>
      <c r="O658" s="55">
        <f t="shared" si="21"/>
        <v>2776</v>
      </c>
      <c r="P658" s="29" t="str">
        <f>IF(D658&gt;=Assumptions!$P$154,"High",IF(D658&gt;=Assumptions!$AH$154,"Mid",IF(D658&lt;=Assumptions!$G$154,"Low","Loading")))</f>
        <v>Low</v>
      </c>
      <c r="Q658" s="39">
        <f>MAX(K658,MIN(Assumptions!$S$154,O658))</f>
        <v>2776</v>
      </c>
      <c r="R658" s="30">
        <f>IF(AND(Q658&lt;=K658,INDEX(Assumptions!$C$26:$C$36,MATCH(G658,Assumptions!$A$26:$A$36,0))&lt;&gt;""),INDEX(Assumptions!$C$26:$C$36,MATCH(G658,Assumptions!$A$26:$A$36,0)),ROUND(G658*Q658,-2))</f>
        <v>2928700</v>
      </c>
      <c r="S658" s="56" t="str">
        <f>TRIM(IF(AND(Assumptions!$L$154&lt;&gt;"",D658&lt;Assumptions!$L$154),"View blocked / roof in front ("&amp;Assumptions!$M$154&amp;"); view premium still loading until L"&amp;Assumptions!$L$154&amp;". ","")&amp;IF(D658=Assumptions!$AH$154,"Mid-floor view premium fully loaded. ","")&amp;IF(D658=Assumptions!$P$154,"High-floor view premium fully loaded. ","")&amp;IF(Q658&lt;=K658,"At developer starting price.",""))</f>
        <v/>
      </c>
      <c r="T658" s="57" t="str">
        <f>Assumptions!$AJ$154</f>
        <v>SW. Unblocked landed estate + nature reserve + city view</v>
      </c>
    </row>
    <row r="659" spans="1:20" x14ac:dyDescent="0.2">
      <c r="A659" s="49" t="s">
        <v>811</v>
      </c>
      <c r="B659" s="29">
        <v>7</v>
      </c>
      <c r="C659" s="50">
        <v>29</v>
      </c>
      <c r="D659" s="50">
        <v>30</v>
      </c>
      <c r="E659" s="27" t="s">
        <v>43</v>
      </c>
      <c r="F659" s="29" t="s">
        <v>812</v>
      </c>
      <c r="G659" s="28">
        <v>678</v>
      </c>
      <c r="H659" s="29" t="s">
        <v>65</v>
      </c>
      <c r="I659" s="38" t="str">
        <f>Assumptions!$I$155</f>
        <v>B</v>
      </c>
      <c r="J659" s="29" t="str">
        <f>IF(D659&lt;=Assumptions!$V$155,"Low",IF(D659&lt;=Assumptions!$W$155,"Mid","High"))</f>
        <v>High</v>
      </c>
      <c r="K659" s="51">
        <f>Assumptions!$Q$155</f>
        <v>2613</v>
      </c>
      <c r="L659" s="52">
        <f>INDEX(Assumptions!$D$61:$D$90,D659)</f>
        <v>3334.23</v>
      </c>
      <c r="M659" s="53">
        <f>IF(D659&lt;=Assumptions!$G$155,Assumptions!$AK$155,IF(D659&lt;Assumptions!$AH$155,Assumptions!$AK$155+(Assumptions!$AL$155-Assumptions!$AK$155)*(D659-Assumptions!$G$155)/(Assumptions!$AH$155-Assumptions!$G$155),IF(D659&lt;Assumptions!$P$155,Assumptions!$AL$155+(Assumptions!$AM$155-Assumptions!$AL$155)*(D659-Assumptions!$AH$155)/(Assumptions!$P$155-Assumptions!$AH$155),Assumptions!$AM$155)))</f>
        <v>25000</v>
      </c>
      <c r="N659" s="54">
        <f t="shared" si="20"/>
        <v>36.873156342182888</v>
      </c>
      <c r="O659" s="55">
        <f t="shared" si="21"/>
        <v>3371</v>
      </c>
      <c r="P659" s="29" t="str">
        <f>IF(D659&gt;=Assumptions!$P$155,"High",IF(D659&gt;=Assumptions!$AH$155,"Mid",IF(D659&lt;=Assumptions!$G$155,"Low","Loading")))</f>
        <v>High</v>
      </c>
      <c r="Q659" s="39">
        <f>MAX(K659,MIN(Assumptions!$S$155,O659),Q660)</f>
        <v>3371</v>
      </c>
      <c r="R659" s="30">
        <f>IF(AND(Q659&lt;=K659,INDEX(Assumptions!$C$26:$C$36,MATCH(G659,Assumptions!$A$26:$A$36,0))&lt;&gt;""),INDEX(Assumptions!$C$26:$C$36,MATCH(G659,Assumptions!$A$26:$A$36,0)),ROUND(G659*Q659,-2))</f>
        <v>2285500</v>
      </c>
      <c r="S659" s="56" t="str">
        <f>TRIM(IF(AND(Assumptions!$L$155&lt;&gt;"",D659&lt;Assumptions!$L$155),"View blocked / roof in front ("&amp;Assumptions!$M$155&amp;"); view premium still loading until L"&amp;Assumptions!$L$155&amp;". ","")&amp;IF(D659=Assumptions!$AH$155,"Mid-floor view premium fully loaded. ","")&amp;IF(D659=Assumptions!$P$155,"High-floor view premium fully loaded. ","")&amp;IF(Q659&lt;=K659,"At developer starting price.",""))</f>
        <v/>
      </c>
      <c r="T659" s="57" t="str">
        <f>Assumptions!$AJ$155</f>
        <v>NW. Wellness Club, golf course, landed, nature reserve; Lower Peirce Reservoir from L20</v>
      </c>
    </row>
    <row r="660" spans="1:20" x14ac:dyDescent="0.2">
      <c r="A660" s="49" t="s">
        <v>813</v>
      </c>
      <c r="B660" s="29">
        <v>7</v>
      </c>
      <c r="C660" s="50">
        <v>29</v>
      </c>
      <c r="D660" s="50">
        <v>29</v>
      </c>
      <c r="E660" s="27" t="s">
        <v>43</v>
      </c>
      <c r="F660" s="29" t="s">
        <v>812</v>
      </c>
      <c r="G660" s="28">
        <v>678</v>
      </c>
      <c r="H660" s="29" t="s">
        <v>65</v>
      </c>
      <c r="I660" s="38" t="str">
        <f>Assumptions!$I$155</f>
        <v>B</v>
      </c>
      <c r="J660" s="29" t="str">
        <f>IF(D660&lt;=Assumptions!$V$155,"Low",IF(D660&lt;=Assumptions!$W$155,"Mid","High"))</f>
        <v>High</v>
      </c>
      <c r="K660" s="51">
        <f>Assumptions!$Q$155</f>
        <v>2613</v>
      </c>
      <c r="L660" s="52">
        <f>INDEX(Assumptions!$D$61:$D$90,D660)</f>
        <v>3321.4550000000004</v>
      </c>
      <c r="M660" s="53">
        <f>IF(D660&lt;=Assumptions!$G$155,Assumptions!$AK$155,IF(D660&lt;Assumptions!$AH$155,Assumptions!$AK$155+(Assumptions!$AL$155-Assumptions!$AK$155)*(D660-Assumptions!$G$155)/(Assumptions!$AH$155-Assumptions!$G$155),IF(D660&lt;Assumptions!$P$155,Assumptions!$AL$155+(Assumptions!$AM$155-Assumptions!$AL$155)*(D660-Assumptions!$AH$155)/(Assumptions!$P$155-Assumptions!$AH$155),Assumptions!$AM$155)))</f>
        <v>25000</v>
      </c>
      <c r="N660" s="54">
        <f t="shared" si="20"/>
        <v>36.873156342182888</v>
      </c>
      <c r="O660" s="55">
        <f t="shared" si="21"/>
        <v>3358</v>
      </c>
      <c r="P660" s="29" t="str">
        <f>IF(D660&gt;=Assumptions!$P$155,"High",IF(D660&gt;=Assumptions!$AH$155,"Mid",IF(D660&lt;=Assumptions!$G$155,"Low","Loading")))</f>
        <v>High</v>
      </c>
      <c r="Q660" s="39">
        <f>MAX(K660,MIN(Assumptions!$S$155,O660),Q661)</f>
        <v>3358</v>
      </c>
      <c r="R660" s="30">
        <f>IF(AND(Q660&lt;=K660,INDEX(Assumptions!$C$26:$C$36,MATCH(G660,Assumptions!$A$26:$A$36,0))&lt;&gt;""),INDEX(Assumptions!$C$26:$C$36,MATCH(G660,Assumptions!$A$26:$A$36,0)),ROUND(G660*Q660,-2))</f>
        <v>2276700</v>
      </c>
      <c r="S660" s="56" t="str">
        <f>TRIM(IF(AND(Assumptions!$L$155&lt;&gt;"",D660&lt;Assumptions!$L$155),"View blocked / roof in front ("&amp;Assumptions!$M$155&amp;"); view premium still loading until L"&amp;Assumptions!$L$155&amp;". ","")&amp;IF(D660=Assumptions!$AH$155,"Mid-floor view premium fully loaded. ","")&amp;IF(D660=Assumptions!$P$155,"High-floor view premium fully loaded. ","")&amp;IF(Q660&lt;=K660,"At developer starting price.",""))</f>
        <v/>
      </c>
      <c r="T660" s="57" t="str">
        <f>Assumptions!$AJ$155</f>
        <v>NW. Wellness Club, golf course, landed, nature reserve; Lower Peirce Reservoir from L20</v>
      </c>
    </row>
    <row r="661" spans="1:20" x14ac:dyDescent="0.2">
      <c r="A661" s="49" t="s">
        <v>814</v>
      </c>
      <c r="B661" s="29">
        <v>7</v>
      </c>
      <c r="C661" s="50">
        <v>29</v>
      </c>
      <c r="D661" s="50">
        <v>28</v>
      </c>
      <c r="E661" s="27" t="s">
        <v>43</v>
      </c>
      <c r="F661" s="29" t="s">
        <v>812</v>
      </c>
      <c r="G661" s="28">
        <v>678</v>
      </c>
      <c r="H661" s="29" t="s">
        <v>65</v>
      </c>
      <c r="I661" s="38" t="str">
        <f>Assumptions!$I$155</f>
        <v>B</v>
      </c>
      <c r="J661" s="29" t="str">
        <f>IF(D661&lt;=Assumptions!$V$155,"Low",IF(D661&lt;=Assumptions!$W$155,"Mid","High"))</f>
        <v>High</v>
      </c>
      <c r="K661" s="51">
        <f>Assumptions!$Q$155</f>
        <v>2613</v>
      </c>
      <c r="L661" s="52">
        <f>INDEX(Assumptions!$D$61:$D$90,D661)</f>
        <v>3308.6800000000003</v>
      </c>
      <c r="M661" s="53">
        <f>IF(D661&lt;=Assumptions!$G$155,Assumptions!$AK$155,IF(D661&lt;Assumptions!$AH$155,Assumptions!$AK$155+(Assumptions!$AL$155-Assumptions!$AK$155)*(D661-Assumptions!$G$155)/(Assumptions!$AH$155-Assumptions!$G$155),IF(D661&lt;Assumptions!$P$155,Assumptions!$AL$155+(Assumptions!$AM$155-Assumptions!$AL$155)*(D661-Assumptions!$AH$155)/(Assumptions!$P$155-Assumptions!$AH$155),Assumptions!$AM$155)))</f>
        <v>25000</v>
      </c>
      <c r="N661" s="54">
        <f t="shared" si="20"/>
        <v>36.873156342182888</v>
      </c>
      <c r="O661" s="55">
        <f t="shared" si="21"/>
        <v>3346</v>
      </c>
      <c r="P661" s="29" t="str">
        <f>IF(D661&gt;=Assumptions!$P$155,"High",IF(D661&gt;=Assumptions!$AH$155,"Mid",IF(D661&lt;=Assumptions!$G$155,"Low","Loading")))</f>
        <v>High</v>
      </c>
      <c r="Q661" s="39">
        <f>MAX(K661,MIN(Assumptions!$S$155,O661),Q662)</f>
        <v>3346</v>
      </c>
      <c r="R661" s="30">
        <f>IF(AND(Q661&lt;=K661,INDEX(Assumptions!$C$26:$C$36,MATCH(G661,Assumptions!$A$26:$A$36,0))&lt;&gt;""),INDEX(Assumptions!$C$26:$C$36,MATCH(G661,Assumptions!$A$26:$A$36,0)),ROUND(G661*Q661,-2))</f>
        <v>2268600</v>
      </c>
      <c r="S661" s="56" t="str">
        <f>TRIM(IF(AND(Assumptions!$L$155&lt;&gt;"",D661&lt;Assumptions!$L$155),"View blocked / roof in front ("&amp;Assumptions!$M$155&amp;"); view premium still loading until L"&amp;Assumptions!$L$155&amp;". ","")&amp;IF(D661=Assumptions!$AH$155,"Mid-floor view premium fully loaded. ","")&amp;IF(D661=Assumptions!$P$155,"High-floor view premium fully loaded. ","")&amp;IF(Q661&lt;=K661,"At developer starting price.",""))</f>
        <v/>
      </c>
      <c r="T661" s="57" t="str">
        <f>Assumptions!$AJ$155</f>
        <v>NW. Wellness Club, golf course, landed, nature reserve; Lower Peirce Reservoir from L20</v>
      </c>
    </row>
    <row r="662" spans="1:20" x14ac:dyDescent="0.2">
      <c r="A662" s="49" t="s">
        <v>815</v>
      </c>
      <c r="B662" s="29">
        <v>7</v>
      </c>
      <c r="C662" s="50">
        <v>29</v>
      </c>
      <c r="D662" s="50">
        <v>27</v>
      </c>
      <c r="E662" s="27" t="s">
        <v>43</v>
      </c>
      <c r="F662" s="29" t="s">
        <v>812</v>
      </c>
      <c r="G662" s="28">
        <v>678</v>
      </c>
      <c r="H662" s="29" t="s">
        <v>65</v>
      </c>
      <c r="I662" s="38" t="str">
        <f>Assumptions!$I$155</f>
        <v>B</v>
      </c>
      <c r="J662" s="29" t="str">
        <f>IF(D662&lt;=Assumptions!$V$155,"Low",IF(D662&lt;=Assumptions!$W$155,"Mid","High"))</f>
        <v>High</v>
      </c>
      <c r="K662" s="51">
        <f>Assumptions!$Q$155</f>
        <v>2613</v>
      </c>
      <c r="L662" s="52">
        <f>INDEX(Assumptions!$D$61:$D$90,D662)</f>
        <v>3295.9050000000002</v>
      </c>
      <c r="M662" s="53">
        <f>IF(D662&lt;=Assumptions!$G$155,Assumptions!$AK$155,IF(D662&lt;Assumptions!$AH$155,Assumptions!$AK$155+(Assumptions!$AL$155-Assumptions!$AK$155)*(D662-Assumptions!$G$155)/(Assumptions!$AH$155-Assumptions!$G$155),IF(D662&lt;Assumptions!$P$155,Assumptions!$AL$155+(Assumptions!$AM$155-Assumptions!$AL$155)*(D662-Assumptions!$AH$155)/(Assumptions!$P$155-Assumptions!$AH$155),Assumptions!$AM$155)))</f>
        <v>25000</v>
      </c>
      <c r="N662" s="54">
        <f t="shared" si="20"/>
        <v>36.873156342182888</v>
      </c>
      <c r="O662" s="55">
        <f t="shared" si="21"/>
        <v>3333</v>
      </c>
      <c r="P662" s="29" t="str">
        <f>IF(D662&gt;=Assumptions!$P$155,"High",IF(D662&gt;=Assumptions!$AH$155,"Mid",IF(D662&lt;=Assumptions!$G$155,"Low","Loading")))</f>
        <v>High</v>
      </c>
      <c r="Q662" s="39">
        <f>MAX(K662,MIN(Assumptions!$S$155,O662),Q663)</f>
        <v>3333</v>
      </c>
      <c r="R662" s="30">
        <f>IF(AND(Q662&lt;=K662,INDEX(Assumptions!$C$26:$C$36,MATCH(G662,Assumptions!$A$26:$A$36,0))&lt;&gt;""),INDEX(Assumptions!$C$26:$C$36,MATCH(G662,Assumptions!$A$26:$A$36,0)),ROUND(G662*Q662,-2))</f>
        <v>2259800</v>
      </c>
      <c r="S662" s="56" t="str">
        <f>TRIM(IF(AND(Assumptions!$L$155&lt;&gt;"",D662&lt;Assumptions!$L$155),"View blocked / roof in front ("&amp;Assumptions!$M$155&amp;"); view premium still loading until L"&amp;Assumptions!$L$155&amp;". ","")&amp;IF(D662=Assumptions!$AH$155,"Mid-floor view premium fully loaded. ","")&amp;IF(D662=Assumptions!$P$155,"High-floor view premium fully loaded. ","")&amp;IF(Q662&lt;=K662,"At developer starting price.",""))</f>
        <v/>
      </c>
      <c r="T662" s="57" t="str">
        <f>Assumptions!$AJ$155</f>
        <v>NW. Wellness Club, golf course, landed, nature reserve; Lower Peirce Reservoir from L20</v>
      </c>
    </row>
    <row r="663" spans="1:20" x14ac:dyDescent="0.2">
      <c r="A663" s="49" t="s">
        <v>816</v>
      </c>
      <c r="B663" s="29">
        <v>7</v>
      </c>
      <c r="C663" s="50">
        <v>29</v>
      </c>
      <c r="D663" s="50">
        <v>26</v>
      </c>
      <c r="E663" s="27" t="s">
        <v>43</v>
      </c>
      <c r="F663" s="29" t="s">
        <v>812</v>
      </c>
      <c r="G663" s="28">
        <v>678</v>
      </c>
      <c r="H663" s="29" t="s">
        <v>65</v>
      </c>
      <c r="I663" s="38" t="str">
        <f>Assumptions!$I$155</f>
        <v>B</v>
      </c>
      <c r="J663" s="29" t="str">
        <f>IF(D663&lt;=Assumptions!$V$155,"Low",IF(D663&lt;=Assumptions!$W$155,"Mid","High"))</f>
        <v>High</v>
      </c>
      <c r="K663" s="51">
        <f>Assumptions!$Q$155</f>
        <v>2613</v>
      </c>
      <c r="L663" s="52">
        <f>INDEX(Assumptions!$D$61:$D$90,D663)</f>
        <v>3283.13</v>
      </c>
      <c r="M663" s="53">
        <f>IF(D663&lt;=Assumptions!$G$155,Assumptions!$AK$155,IF(D663&lt;Assumptions!$AH$155,Assumptions!$AK$155+(Assumptions!$AL$155-Assumptions!$AK$155)*(D663-Assumptions!$G$155)/(Assumptions!$AH$155-Assumptions!$G$155),IF(D663&lt;Assumptions!$P$155,Assumptions!$AL$155+(Assumptions!$AM$155-Assumptions!$AL$155)*(D663-Assumptions!$AH$155)/(Assumptions!$P$155-Assumptions!$AH$155),Assumptions!$AM$155)))</f>
        <v>25000</v>
      </c>
      <c r="N663" s="54">
        <f t="shared" si="20"/>
        <v>36.873156342182888</v>
      </c>
      <c r="O663" s="55">
        <f t="shared" si="21"/>
        <v>3320</v>
      </c>
      <c r="P663" s="29" t="str">
        <f>IF(D663&gt;=Assumptions!$P$155,"High",IF(D663&gt;=Assumptions!$AH$155,"Mid",IF(D663&lt;=Assumptions!$G$155,"Low","Loading")))</f>
        <v>High</v>
      </c>
      <c r="Q663" s="39">
        <f>MAX(K663,MIN(Assumptions!$S$155,O663),Q664)</f>
        <v>3320</v>
      </c>
      <c r="R663" s="30">
        <f>IF(AND(Q663&lt;=K663,INDEX(Assumptions!$C$26:$C$36,MATCH(G663,Assumptions!$A$26:$A$36,0))&lt;&gt;""),INDEX(Assumptions!$C$26:$C$36,MATCH(G663,Assumptions!$A$26:$A$36,0)),ROUND(G663*Q663,-2))</f>
        <v>2251000</v>
      </c>
      <c r="S663" s="56" t="str">
        <f>TRIM(IF(AND(Assumptions!$L$155&lt;&gt;"",D663&lt;Assumptions!$L$155),"View blocked / roof in front ("&amp;Assumptions!$M$155&amp;"); view premium still loading until L"&amp;Assumptions!$L$155&amp;". ","")&amp;IF(D663=Assumptions!$AH$155,"Mid-floor view premium fully loaded. ","")&amp;IF(D663=Assumptions!$P$155,"High-floor view premium fully loaded. ","")&amp;IF(Q663&lt;=K663,"At developer starting price.",""))</f>
        <v/>
      </c>
      <c r="T663" s="57" t="str">
        <f>Assumptions!$AJ$155</f>
        <v>NW. Wellness Club, golf course, landed, nature reserve; Lower Peirce Reservoir from L20</v>
      </c>
    </row>
    <row r="664" spans="1:20" x14ac:dyDescent="0.2">
      <c r="A664" s="49" t="s">
        <v>817</v>
      </c>
      <c r="B664" s="29">
        <v>7</v>
      </c>
      <c r="C664" s="50">
        <v>29</v>
      </c>
      <c r="D664" s="50">
        <v>25</v>
      </c>
      <c r="E664" s="27" t="s">
        <v>43</v>
      </c>
      <c r="F664" s="29" t="s">
        <v>812</v>
      </c>
      <c r="G664" s="28">
        <v>678</v>
      </c>
      <c r="H664" s="29" t="s">
        <v>65</v>
      </c>
      <c r="I664" s="38" t="str">
        <f>Assumptions!$I$155</f>
        <v>B</v>
      </c>
      <c r="J664" s="29" t="str">
        <f>IF(D664&lt;=Assumptions!$V$155,"Low",IF(D664&lt;=Assumptions!$W$155,"Mid","High"))</f>
        <v>High</v>
      </c>
      <c r="K664" s="51">
        <f>Assumptions!$Q$155</f>
        <v>2613</v>
      </c>
      <c r="L664" s="52">
        <f>INDEX(Assumptions!$D$61:$D$90,D664)</f>
        <v>3270.355</v>
      </c>
      <c r="M664" s="53">
        <f>IF(D664&lt;=Assumptions!$G$155,Assumptions!$AK$155,IF(D664&lt;Assumptions!$AH$155,Assumptions!$AK$155+(Assumptions!$AL$155-Assumptions!$AK$155)*(D664-Assumptions!$G$155)/(Assumptions!$AH$155-Assumptions!$G$155),IF(D664&lt;Assumptions!$P$155,Assumptions!$AL$155+(Assumptions!$AM$155-Assumptions!$AL$155)*(D664-Assumptions!$AH$155)/(Assumptions!$P$155-Assumptions!$AH$155),Assumptions!$AM$155)))</f>
        <v>25000</v>
      </c>
      <c r="N664" s="54">
        <f t="shared" si="20"/>
        <v>36.873156342182888</v>
      </c>
      <c r="O664" s="55">
        <f t="shared" si="21"/>
        <v>3307</v>
      </c>
      <c r="P664" s="29" t="str">
        <f>IF(D664&gt;=Assumptions!$P$155,"High",IF(D664&gt;=Assumptions!$AH$155,"Mid",IF(D664&lt;=Assumptions!$G$155,"Low","Loading")))</f>
        <v>High</v>
      </c>
      <c r="Q664" s="39">
        <f>MAX(K664,MIN(Assumptions!$S$155,O664),Q665)</f>
        <v>3307</v>
      </c>
      <c r="R664" s="30">
        <f>IF(AND(Q664&lt;=K664,INDEX(Assumptions!$C$26:$C$36,MATCH(G664,Assumptions!$A$26:$A$36,0))&lt;&gt;""),INDEX(Assumptions!$C$26:$C$36,MATCH(G664,Assumptions!$A$26:$A$36,0)),ROUND(G664*Q664,-2))</f>
        <v>2242100</v>
      </c>
      <c r="S664" s="56" t="str">
        <f>TRIM(IF(AND(Assumptions!$L$155&lt;&gt;"",D664&lt;Assumptions!$L$155),"View blocked / roof in front ("&amp;Assumptions!$M$155&amp;"); view premium still loading until L"&amp;Assumptions!$L$155&amp;". ","")&amp;IF(D664=Assumptions!$AH$155,"Mid-floor view premium fully loaded. ","")&amp;IF(D664=Assumptions!$P$155,"High-floor view premium fully loaded. ","")&amp;IF(Q664&lt;=K664,"At developer starting price.",""))</f>
        <v/>
      </c>
      <c r="T664" s="57" t="str">
        <f>Assumptions!$AJ$155</f>
        <v>NW. Wellness Club, golf course, landed, nature reserve; Lower Peirce Reservoir from L20</v>
      </c>
    </row>
    <row r="665" spans="1:20" x14ac:dyDescent="0.2">
      <c r="A665" s="49" t="s">
        <v>818</v>
      </c>
      <c r="B665" s="29">
        <v>7</v>
      </c>
      <c r="C665" s="50">
        <v>29</v>
      </c>
      <c r="D665" s="50">
        <v>24</v>
      </c>
      <c r="E665" s="27" t="s">
        <v>43</v>
      </c>
      <c r="F665" s="29" t="s">
        <v>812</v>
      </c>
      <c r="G665" s="28">
        <v>678</v>
      </c>
      <c r="H665" s="29" t="s">
        <v>65</v>
      </c>
      <c r="I665" s="38" t="str">
        <f>Assumptions!$I$155</f>
        <v>B</v>
      </c>
      <c r="J665" s="29" t="str">
        <f>IF(D665&lt;=Assumptions!$V$155,"Low",IF(D665&lt;=Assumptions!$W$155,"Mid","High"))</f>
        <v>High</v>
      </c>
      <c r="K665" s="51">
        <f>Assumptions!$Q$155</f>
        <v>2613</v>
      </c>
      <c r="L665" s="52">
        <f>INDEX(Assumptions!$D$61:$D$90,D665)</f>
        <v>3257.58</v>
      </c>
      <c r="M665" s="53">
        <f>IF(D665&lt;=Assumptions!$G$155,Assumptions!$AK$155,IF(D665&lt;Assumptions!$AH$155,Assumptions!$AK$155+(Assumptions!$AL$155-Assumptions!$AK$155)*(D665-Assumptions!$G$155)/(Assumptions!$AH$155-Assumptions!$G$155),IF(D665&lt;Assumptions!$P$155,Assumptions!$AL$155+(Assumptions!$AM$155-Assumptions!$AL$155)*(D665-Assumptions!$AH$155)/(Assumptions!$P$155-Assumptions!$AH$155),Assumptions!$AM$155)))</f>
        <v>25000</v>
      </c>
      <c r="N665" s="54">
        <f t="shared" si="20"/>
        <v>36.873156342182888</v>
      </c>
      <c r="O665" s="55">
        <f t="shared" si="21"/>
        <v>3294</v>
      </c>
      <c r="P665" s="29" t="str">
        <f>IF(D665&gt;=Assumptions!$P$155,"High",IF(D665&gt;=Assumptions!$AH$155,"Mid",IF(D665&lt;=Assumptions!$G$155,"Low","Loading")))</f>
        <v>High</v>
      </c>
      <c r="Q665" s="39">
        <f>MAX(K665,MIN(Assumptions!$S$155,O665),Q666)</f>
        <v>3294</v>
      </c>
      <c r="R665" s="30">
        <f>IF(AND(Q665&lt;=K665,INDEX(Assumptions!$C$26:$C$36,MATCH(G665,Assumptions!$A$26:$A$36,0))&lt;&gt;""),INDEX(Assumptions!$C$26:$C$36,MATCH(G665,Assumptions!$A$26:$A$36,0)),ROUND(G665*Q665,-2))</f>
        <v>2233300</v>
      </c>
      <c r="S665" s="56" t="str">
        <f>TRIM(IF(AND(Assumptions!$L$155&lt;&gt;"",D665&lt;Assumptions!$L$155),"View blocked / roof in front ("&amp;Assumptions!$M$155&amp;"); view premium still loading until L"&amp;Assumptions!$L$155&amp;". ","")&amp;IF(D665=Assumptions!$AH$155,"Mid-floor view premium fully loaded. ","")&amp;IF(D665=Assumptions!$P$155,"High-floor view premium fully loaded. ","")&amp;IF(Q665&lt;=K665,"At developer starting price.",""))</f>
        <v/>
      </c>
      <c r="T665" s="57" t="str">
        <f>Assumptions!$AJ$155</f>
        <v>NW. Wellness Club, golf course, landed, nature reserve; Lower Peirce Reservoir from L20</v>
      </c>
    </row>
    <row r="666" spans="1:20" x14ac:dyDescent="0.2">
      <c r="A666" s="49" t="s">
        <v>819</v>
      </c>
      <c r="B666" s="29">
        <v>7</v>
      </c>
      <c r="C666" s="50">
        <v>29</v>
      </c>
      <c r="D666" s="50">
        <v>23</v>
      </c>
      <c r="E666" s="27" t="s">
        <v>43</v>
      </c>
      <c r="F666" s="29" t="s">
        <v>812</v>
      </c>
      <c r="G666" s="28">
        <v>678</v>
      </c>
      <c r="H666" s="29" t="s">
        <v>65</v>
      </c>
      <c r="I666" s="38" t="str">
        <f>Assumptions!$I$155</f>
        <v>B</v>
      </c>
      <c r="J666" s="29" t="str">
        <f>IF(D666&lt;=Assumptions!$V$155,"Low",IF(D666&lt;=Assumptions!$W$155,"Mid","High"))</f>
        <v>High</v>
      </c>
      <c r="K666" s="51">
        <f>Assumptions!$Q$155</f>
        <v>2613</v>
      </c>
      <c r="L666" s="52">
        <f>INDEX(Assumptions!$D$61:$D$90,D666)</f>
        <v>3244.8049999999998</v>
      </c>
      <c r="M666" s="53">
        <f>IF(D666&lt;=Assumptions!$G$155,Assumptions!$AK$155,IF(D666&lt;Assumptions!$AH$155,Assumptions!$AK$155+(Assumptions!$AL$155-Assumptions!$AK$155)*(D666-Assumptions!$G$155)/(Assumptions!$AH$155-Assumptions!$G$155),IF(D666&lt;Assumptions!$P$155,Assumptions!$AL$155+(Assumptions!$AM$155-Assumptions!$AL$155)*(D666-Assumptions!$AH$155)/(Assumptions!$P$155-Assumptions!$AH$155),Assumptions!$AM$155)))</f>
        <v>25000</v>
      </c>
      <c r="N666" s="54">
        <f t="shared" si="20"/>
        <v>36.873156342182888</v>
      </c>
      <c r="O666" s="55">
        <f t="shared" si="21"/>
        <v>3282</v>
      </c>
      <c r="P666" s="29" t="str">
        <f>IF(D666&gt;=Assumptions!$P$155,"High",IF(D666&gt;=Assumptions!$AH$155,"Mid",IF(D666&lt;=Assumptions!$G$155,"Low","Loading")))</f>
        <v>High</v>
      </c>
      <c r="Q666" s="39">
        <f>MAX(K666,MIN(Assumptions!$S$155,O666),Q667)</f>
        <v>3282</v>
      </c>
      <c r="R666" s="30">
        <f>IF(AND(Q666&lt;=K666,INDEX(Assumptions!$C$26:$C$36,MATCH(G666,Assumptions!$A$26:$A$36,0))&lt;&gt;""),INDEX(Assumptions!$C$26:$C$36,MATCH(G666,Assumptions!$A$26:$A$36,0)),ROUND(G666*Q666,-2))</f>
        <v>2225200</v>
      </c>
      <c r="S666" s="56" t="str">
        <f>TRIM(IF(AND(Assumptions!$L$155&lt;&gt;"",D666&lt;Assumptions!$L$155),"View blocked / roof in front ("&amp;Assumptions!$M$155&amp;"); view premium still loading until L"&amp;Assumptions!$L$155&amp;". ","")&amp;IF(D666=Assumptions!$AH$155,"Mid-floor view premium fully loaded. ","")&amp;IF(D666=Assumptions!$P$155,"High-floor view premium fully loaded. ","")&amp;IF(Q666&lt;=K666,"At developer starting price.",""))</f>
        <v/>
      </c>
      <c r="T666" s="57" t="str">
        <f>Assumptions!$AJ$155</f>
        <v>NW. Wellness Club, golf course, landed, nature reserve; Lower Peirce Reservoir from L20</v>
      </c>
    </row>
    <row r="667" spans="1:20" x14ac:dyDescent="0.2">
      <c r="A667" s="49" t="s">
        <v>820</v>
      </c>
      <c r="B667" s="29">
        <v>7</v>
      </c>
      <c r="C667" s="50">
        <v>29</v>
      </c>
      <c r="D667" s="50">
        <v>22</v>
      </c>
      <c r="E667" s="27" t="s">
        <v>43</v>
      </c>
      <c r="F667" s="29" t="s">
        <v>812</v>
      </c>
      <c r="G667" s="28">
        <v>678</v>
      </c>
      <c r="H667" s="29" t="s">
        <v>65</v>
      </c>
      <c r="I667" s="38" t="str">
        <f>Assumptions!$I$155</f>
        <v>B</v>
      </c>
      <c r="J667" s="29" t="str">
        <f>IF(D667&lt;=Assumptions!$V$155,"Low",IF(D667&lt;=Assumptions!$W$155,"Mid","High"))</f>
        <v>High</v>
      </c>
      <c r="K667" s="51">
        <f>Assumptions!$Q$155</f>
        <v>2613</v>
      </c>
      <c r="L667" s="52">
        <f>INDEX(Assumptions!$D$61:$D$90,D667)</f>
        <v>3232.03</v>
      </c>
      <c r="M667" s="53">
        <f>IF(D667&lt;=Assumptions!$G$155,Assumptions!$AK$155,IF(D667&lt;Assumptions!$AH$155,Assumptions!$AK$155+(Assumptions!$AL$155-Assumptions!$AK$155)*(D667-Assumptions!$G$155)/(Assumptions!$AH$155-Assumptions!$G$155),IF(D667&lt;Assumptions!$P$155,Assumptions!$AL$155+(Assumptions!$AM$155-Assumptions!$AL$155)*(D667-Assumptions!$AH$155)/(Assumptions!$P$155-Assumptions!$AH$155),Assumptions!$AM$155)))</f>
        <v>25000</v>
      </c>
      <c r="N667" s="54">
        <f t="shared" si="20"/>
        <v>36.873156342182888</v>
      </c>
      <c r="O667" s="55">
        <f t="shared" si="21"/>
        <v>3269</v>
      </c>
      <c r="P667" s="29" t="str">
        <f>IF(D667&gt;=Assumptions!$P$155,"High",IF(D667&gt;=Assumptions!$AH$155,"Mid",IF(D667&lt;=Assumptions!$G$155,"Low","Loading")))</f>
        <v>High</v>
      </c>
      <c r="Q667" s="39">
        <f>MAX(K667,MIN(Assumptions!$S$155,O667),Q668)</f>
        <v>3269</v>
      </c>
      <c r="R667" s="30">
        <f>IF(AND(Q667&lt;=K667,INDEX(Assumptions!$C$26:$C$36,MATCH(G667,Assumptions!$A$26:$A$36,0))&lt;&gt;""),INDEX(Assumptions!$C$26:$C$36,MATCH(G667,Assumptions!$A$26:$A$36,0)),ROUND(G667*Q667,-2))</f>
        <v>2216400</v>
      </c>
      <c r="S667" s="56" t="str">
        <f>TRIM(IF(AND(Assumptions!$L$155&lt;&gt;"",D667&lt;Assumptions!$L$155),"View blocked / roof in front ("&amp;Assumptions!$M$155&amp;"); view premium still loading until L"&amp;Assumptions!$L$155&amp;". ","")&amp;IF(D667=Assumptions!$AH$155,"Mid-floor view premium fully loaded. ","")&amp;IF(D667=Assumptions!$P$155,"High-floor view premium fully loaded. ","")&amp;IF(Q667&lt;=K667,"At developer starting price.",""))</f>
        <v/>
      </c>
      <c r="T667" s="57" t="str">
        <f>Assumptions!$AJ$155</f>
        <v>NW. Wellness Club, golf course, landed, nature reserve; Lower Peirce Reservoir from L20</v>
      </c>
    </row>
    <row r="668" spans="1:20" x14ac:dyDescent="0.2">
      <c r="A668" s="49" t="s">
        <v>821</v>
      </c>
      <c r="B668" s="29">
        <v>7</v>
      </c>
      <c r="C668" s="50">
        <v>29</v>
      </c>
      <c r="D668" s="50">
        <v>21</v>
      </c>
      <c r="E668" s="27" t="s">
        <v>43</v>
      </c>
      <c r="F668" s="29" t="s">
        <v>812</v>
      </c>
      <c r="G668" s="28">
        <v>678</v>
      </c>
      <c r="H668" s="29" t="s">
        <v>65</v>
      </c>
      <c r="I668" s="38" t="str">
        <f>Assumptions!$I$155</f>
        <v>B</v>
      </c>
      <c r="J668" s="29" t="str">
        <f>IF(D668&lt;=Assumptions!$V$155,"Low",IF(D668&lt;=Assumptions!$W$155,"Mid","High"))</f>
        <v>Mid</v>
      </c>
      <c r="K668" s="51">
        <f>Assumptions!$Q$155</f>
        <v>2613</v>
      </c>
      <c r="L668" s="52">
        <f>INDEX(Assumptions!$D$61:$D$90,D668)</f>
        <v>3219.2550000000001</v>
      </c>
      <c r="M668" s="53">
        <f>IF(D668&lt;=Assumptions!$G$155,Assumptions!$AK$155,IF(D668&lt;Assumptions!$AH$155,Assumptions!$AK$155+(Assumptions!$AL$155-Assumptions!$AK$155)*(D668-Assumptions!$G$155)/(Assumptions!$AH$155-Assumptions!$G$155),IF(D668&lt;Assumptions!$P$155,Assumptions!$AL$155+(Assumptions!$AM$155-Assumptions!$AL$155)*(D668-Assumptions!$AH$155)/(Assumptions!$P$155-Assumptions!$AH$155),Assumptions!$AM$155)))</f>
        <v>25000</v>
      </c>
      <c r="N668" s="54">
        <f t="shared" si="20"/>
        <v>36.873156342182888</v>
      </c>
      <c r="O668" s="55">
        <f t="shared" si="21"/>
        <v>3256</v>
      </c>
      <c r="P668" s="29" t="str">
        <f>IF(D668&gt;=Assumptions!$P$155,"High",IF(D668&gt;=Assumptions!$AH$155,"Mid",IF(D668&lt;=Assumptions!$G$155,"Low","Loading")))</f>
        <v>High</v>
      </c>
      <c r="Q668" s="39">
        <f>MAX(K668,MIN(Assumptions!$S$155,O668),Q669)</f>
        <v>3256</v>
      </c>
      <c r="R668" s="30">
        <f>IF(AND(Q668&lt;=K668,INDEX(Assumptions!$C$26:$C$36,MATCH(G668,Assumptions!$A$26:$A$36,0))&lt;&gt;""),INDEX(Assumptions!$C$26:$C$36,MATCH(G668,Assumptions!$A$26:$A$36,0)),ROUND(G668*Q668,-2))</f>
        <v>2207600</v>
      </c>
      <c r="S668" s="56" t="str">
        <f>TRIM(IF(AND(Assumptions!$L$155&lt;&gt;"",D668&lt;Assumptions!$L$155),"View blocked / roof in front ("&amp;Assumptions!$M$155&amp;"); view premium still loading until L"&amp;Assumptions!$L$155&amp;". ","")&amp;IF(D668=Assumptions!$AH$155,"Mid-floor view premium fully loaded. ","")&amp;IF(D668=Assumptions!$P$155,"High-floor view premium fully loaded. ","")&amp;IF(Q668&lt;=K668,"At developer starting price.",""))</f>
        <v/>
      </c>
      <c r="T668" s="57" t="str">
        <f>Assumptions!$AJ$155</f>
        <v>NW. Wellness Club, golf course, landed, nature reserve; Lower Peirce Reservoir from L20</v>
      </c>
    </row>
    <row r="669" spans="1:20" x14ac:dyDescent="0.2">
      <c r="A669" s="49" t="s">
        <v>822</v>
      </c>
      <c r="B669" s="29">
        <v>7</v>
      </c>
      <c r="C669" s="50">
        <v>29</v>
      </c>
      <c r="D669" s="50">
        <v>20</v>
      </c>
      <c r="E669" s="27" t="s">
        <v>43</v>
      </c>
      <c r="F669" s="29" t="s">
        <v>812</v>
      </c>
      <c r="G669" s="28">
        <v>678</v>
      </c>
      <c r="H669" s="29" t="s">
        <v>65</v>
      </c>
      <c r="I669" s="38" t="str">
        <f>Assumptions!$I$155</f>
        <v>B</v>
      </c>
      <c r="J669" s="29" t="str">
        <f>IF(D669&lt;=Assumptions!$V$155,"Low",IF(D669&lt;=Assumptions!$W$155,"Mid","High"))</f>
        <v>Mid</v>
      </c>
      <c r="K669" s="51">
        <f>Assumptions!$Q$155</f>
        <v>2613</v>
      </c>
      <c r="L669" s="52">
        <f>INDEX(Assumptions!$D$61:$D$90,D669)</f>
        <v>3200.18</v>
      </c>
      <c r="M669" s="53">
        <f>IF(D669&lt;=Assumptions!$G$155,Assumptions!$AK$155,IF(D669&lt;Assumptions!$AH$155,Assumptions!$AK$155+(Assumptions!$AL$155-Assumptions!$AK$155)*(D669-Assumptions!$G$155)/(Assumptions!$AH$155-Assumptions!$G$155),IF(D669&lt;Assumptions!$P$155,Assumptions!$AL$155+(Assumptions!$AM$155-Assumptions!$AL$155)*(D669-Assumptions!$AH$155)/(Assumptions!$P$155-Assumptions!$AH$155),Assumptions!$AM$155)))</f>
        <v>25000</v>
      </c>
      <c r="N669" s="54">
        <f t="shared" si="20"/>
        <v>36.873156342182888</v>
      </c>
      <c r="O669" s="55">
        <f t="shared" si="21"/>
        <v>3237</v>
      </c>
      <c r="P669" s="29" t="str">
        <f>IF(D669&gt;=Assumptions!$P$155,"High",IF(D669&gt;=Assumptions!$AH$155,"Mid",IF(D669&lt;=Assumptions!$G$155,"Low","Loading")))</f>
        <v>High</v>
      </c>
      <c r="Q669" s="39">
        <f>MAX(K669,MIN(Assumptions!$S$155,O669),Q670)</f>
        <v>3237</v>
      </c>
      <c r="R669" s="30">
        <f>IF(AND(Q669&lt;=K669,INDEX(Assumptions!$C$26:$C$36,MATCH(G669,Assumptions!$A$26:$A$36,0))&lt;&gt;""),INDEX(Assumptions!$C$26:$C$36,MATCH(G669,Assumptions!$A$26:$A$36,0)),ROUND(G669*Q669,-2))</f>
        <v>2194700</v>
      </c>
      <c r="S669" s="56" t="str">
        <f>TRIM(IF(AND(Assumptions!$L$155&lt;&gt;"",D669&lt;Assumptions!$L$155),"View blocked / roof in front ("&amp;Assumptions!$M$155&amp;"); view premium still loading until L"&amp;Assumptions!$L$155&amp;". ","")&amp;IF(D669=Assumptions!$AH$155,"Mid-floor view premium fully loaded. ","")&amp;IF(D669=Assumptions!$P$155,"High-floor view premium fully loaded. ","")&amp;IF(Q669&lt;=K669,"At developer starting price.",""))</f>
        <v>High-floor view premium fully loaded.</v>
      </c>
      <c r="T669" s="57" t="str">
        <f>Assumptions!$AJ$155</f>
        <v>NW. Wellness Club, golf course, landed, nature reserve; Lower Peirce Reservoir from L20</v>
      </c>
    </row>
    <row r="670" spans="1:20" x14ac:dyDescent="0.2">
      <c r="A670" s="49" t="s">
        <v>823</v>
      </c>
      <c r="B670" s="29">
        <v>7</v>
      </c>
      <c r="C670" s="50">
        <v>29</v>
      </c>
      <c r="D670" s="50">
        <v>19</v>
      </c>
      <c r="E670" s="27" t="s">
        <v>43</v>
      </c>
      <c r="F670" s="29" t="s">
        <v>812</v>
      </c>
      <c r="G670" s="28">
        <v>678</v>
      </c>
      <c r="H670" s="29" t="s">
        <v>65</v>
      </c>
      <c r="I670" s="38" t="str">
        <f>Assumptions!$I$155</f>
        <v>B</v>
      </c>
      <c r="J670" s="29" t="str">
        <f>IF(D670&lt;=Assumptions!$V$155,"Low",IF(D670&lt;=Assumptions!$W$155,"Mid","High"))</f>
        <v>Mid</v>
      </c>
      <c r="K670" s="51">
        <f>Assumptions!$Q$155</f>
        <v>2613</v>
      </c>
      <c r="L670" s="52">
        <f>INDEX(Assumptions!$D$61:$D$90,D670)</f>
        <v>3181.105</v>
      </c>
      <c r="M670" s="53">
        <f>IF(D670&lt;=Assumptions!$G$155,Assumptions!$AK$155,IF(D670&lt;Assumptions!$AH$155,Assumptions!$AK$155+(Assumptions!$AL$155-Assumptions!$AK$155)*(D670-Assumptions!$G$155)/(Assumptions!$AH$155-Assumptions!$G$155),IF(D670&lt;Assumptions!$P$155,Assumptions!$AL$155+(Assumptions!$AM$155-Assumptions!$AL$155)*(D670-Assumptions!$AH$155)/(Assumptions!$P$155-Assumptions!$AH$155),Assumptions!$AM$155)))</f>
        <v>25384.615384615383</v>
      </c>
      <c r="N670" s="54">
        <f t="shared" si="20"/>
        <v>37.440435670524167</v>
      </c>
      <c r="O670" s="55">
        <f t="shared" si="21"/>
        <v>3219</v>
      </c>
      <c r="P670" s="29" t="str">
        <f>IF(D670&gt;=Assumptions!$P$155,"High",IF(D670&gt;=Assumptions!$AH$155,"Mid",IF(D670&lt;=Assumptions!$G$155,"Low","Loading")))</f>
        <v>Mid</v>
      </c>
      <c r="Q670" s="39">
        <f>MAX(K670,MIN(Assumptions!$S$155,O670),Q671)</f>
        <v>3219</v>
      </c>
      <c r="R670" s="30">
        <f>IF(AND(Q670&lt;=K670,INDEX(Assumptions!$C$26:$C$36,MATCH(G670,Assumptions!$A$26:$A$36,0))&lt;&gt;""),INDEX(Assumptions!$C$26:$C$36,MATCH(G670,Assumptions!$A$26:$A$36,0)),ROUND(G670*Q670,-2))</f>
        <v>2182500</v>
      </c>
      <c r="S670" s="56" t="str">
        <f>TRIM(IF(AND(Assumptions!$L$155&lt;&gt;"",D670&lt;Assumptions!$L$155),"View blocked / roof in front ("&amp;Assumptions!$M$155&amp;"); view premium still loading until L"&amp;Assumptions!$L$155&amp;". ","")&amp;IF(D670=Assumptions!$AH$155,"Mid-floor view premium fully loaded. ","")&amp;IF(D670=Assumptions!$P$155,"High-floor view premium fully loaded. ","")&amp;IF(Q670&lt;=K670,"At developer starting price.",""))</f>
        <v/>
      </c>
      <c r="T670" s="57" t="str">
        <f>Assumptions!$AJ$155</f>
        <v>NW. Wellness Club, golf course, landed, nature reserve; Lower Peirce Reservoir from L20</v>
      </c>
    </row>
    <row r="671" spans="1:20" x14ac:dyDescent="0.2">
      <c r="A671" s="49" t="s">
        <v>824</v>
      </c>
      <c r="B671" s="29">
        <v>7</v>
      </c>
      <c r="C671" s="50">
        <v>29</v>
      </c>
      <c r="D671" s="50">
        <v>18</v>
      </c>
      <c r="E671" s="27" t="s">
        <v>43</v>
      </c>
      <c r="F671" s="29" t="s">
        <v>812</v>
      </c>
      <c r="G671" s="28">
        <v>678</v>
      </c>
      <c r="H671" s="29" t="s">
        <v>65</v>
      </c>
      <c r="I671" s="38" t="str">
        <f>Assumptions!$I$155</f>
        <v>B</v>
      </c>
      <c r="J671" s="29" t="str">
        <f>IF(D671&lt;=Assumptions!$V$155,"Low",IF(D671&lt;=Assumptions!$W$155,"Mid","High"))</f>
        <v>Mid</v>
      </c>
      <c r="K671" s="51">
        <f>Assumptions!$Q$155</f>
        <v>2613</v>
      </c>
      <c r="L671" s="52">
        <f>INDEX(Assumptions!$D$61:$D$90,D671)</f>
        <v>3162.0299999999997</v>
      </c>
      <c r="M671" s="53">
        <f>IF(D671&lt;=Assumptions!$G$155,Assumptions!$AK$155,IF(D671&lt;Assumptions!$AH$155,Assumptions!$AK$155+(Assumptions!$AL$155-Assumptions!$AK$155)*(D671-Assumptions!$G$155)/(Assumptions!$AH$155-Assumptions!$G$155),IF(D671&lt;Assumptions!$P$155,Assumptions!$AL$155+(Assumptions!$AM$155-Assumptions!$AL$155)*(D671-Assumptions!$AH$155)/(Assumptions!$P$155-Assumptions!$AH$155),Assumptions!$AM$155)))</f>
        <v>25769.23076923077</v>
      </c>
      <c r="N671" s="54">
        <f t="shared" si="20"/>
        <v>38.007714998865438</v>
      </c>
      <c r="O671" s="55">
        <f t="shared" si="21"/>
        <v>3200</v>
      </c>
      <c r="P671" s="29" t="str">
        <f>IF(D671&gt;=Assumptions!$P$155,"High",IF(D671&gt;=Assumptions!$AH$155,"Mid",IF(D671&lt;=Assumptions!$G$155,"Low","Loading")))</f>
        <v>Mid</v>
      </c>
      <c r="Q671" s="39">
        <f>MAX(K671,MIN(Assumptions!$S$155,O671),Q672)</f>
        <v>3200</v>
      </c>
      <c r="R671" s="30">
        <f>IF(AND(Q671&lt;=K671,INDEX(Assumptions!$C$26:$C$36,MATCH(G671,Assumptions!$A$26:$A$36,0))&lt;&gt;""),INDEX(Assumptions!$C$26:$C$36,MATCH(G671,Assumptions!$A$26:$A$36,0)),ROUND(G671*Q671,-2))</f>
        <v>2169600</v>
      </c>
      <c r="S671" s="56" t="str">
        <f>TRIM(IF(AND(Assumptions!$L$155&lt;&gt;"",D671&lt;Assumptions!$L$155),"View blocked / roof in front ("&amp;Assumptions!$M$155&amp;"); view premium still loading until L"&amp;Assumptions!$L$155&amp;". ","")&amp;IF(D671=Assumptions!$AH$155,"Mid-floor view premium fully loaded. ","")&amp;IF(D671=Assumptions!$P$155,"High-floor view premium fully loaded. ","")&amp;IF(Q671&lt;=K671,"At developer starting price.",""))</f>
        <v/>
      </c>
      <c r="T671" s="57" t="str">
        <f>Assumptions!$AJ$155</f>
        <v>NW. Wellness Club, golf course, landed, nature reserve; Lower Peirce Reservoir from L20</v>
      </c>
    </row>
    <row r="672" spans="1:20" x14ac:dyDescent="0.2">
      <c r="A672" s="49" t="s">
        <v>825</v>
      </c>
      <c r="B672" s="29">
        <v>7</v>
      </c>
      <c r="C672" s="50">
        <v>29</v>
      </c>
      <c r="D672" s="50">
        <v>17</v>
      </c>
      <c r="E672" s="27" t="s">
        <v>43</v>
      </c>
      <c r="F672" s="29" t="s">
        <v>812</v>
      </c>
      <c r="G672" s="28">
        <v>678</v>
      </c>
      <c r="H672" s="29" t="s">
        <v>65</v>
      </c>
      <c r="I672" s="38" t="str">
        <f>Assumptions!$I$155</f>
        <v>B</v>
      </c>
      <c r="J672" s="29" t="str">
        <f>IF(D672&lt;=Assumptions!$V$155,"Low",IF(D672&lt;=Assumptions!$W$155,"Mid","High"))</f>
        <v>Mid</v>
      </c>
      <c r="K672" s="51">
        <f>Assumptions!$Q$155</f>
        <v>2613</v>
      </c>
      <c r="L672" s="52">
        <f>INDEX(Assumptions!$D$61:$D$90,D672)</f>
        <v>3142.8252380952381</v>
      </c>
      <c r="M672" s="53">
        <f>IF(D672&lt;=Assumptions!$G$155,Assumptions!$AK$155,IF(D672&lt;Assumptions!$AH$155,Assumptions!$AK$155+(Assumptions!$AL$155-Assumptions!$AK$155)*(D672-Assumptions!$G$155)/(Assumptions!$AH$155-Assumptions!$G$155),IF(D672&lt;Assumptions!$P$155,Assumptions!$AL$155+(Assumptions!$AM$155-Assumptions!$AL$155)*(D672-Assumptions!$AH$155)/(Assumptions!$P$155-Assumptions!$AH$155),Assumptions!$AM$155)))</f>
        <v>26153.846153846152</v>
      </c>
      <c r="N672" s="54">
        <f t="shared" si="20"/>
        <v>38.574994327206717</v>
      </c>
      <c r="O672" s="55">
        <f t="shared" si="21"/>
        <v>3181</v>
      </c>
      <c r="P672" s="29" t="str">
        <f>IF(D672&gt;=Assumptions!$P$155,"High",IF(D672&gt;=Assumptions!$AH$155,"Mid",IF(D672&lt;=Assumptions!$G$155,"Low","Loading")))</f>
        <v>Mid</v>
      </c>
      <c r="Q672" s="39">
        <f>MAX(K672,MIN(Assumptions!$S$155,O672),Q673)</f>
        <v>3181</v>
      </c>
      <c r="R672" s="30">
        <f>IF(AND(Q672&lt;=K672,INDEX(Assumptions!$C$26:$C$36,MATCH(G672,Assumptions!$A$26:$A$36,0))&lt;&gt;""),INDEX(Assumptions!$C$26:$C$36,MATCH(G672,Assumptions!$A$26:$A$36,0)),ROUND(G672*Q672,-2))</f>
        <v>2156700</v>
      </c>
      <c r="S672" s="56" t="str">
        <f>TRIM(IF(AND(Assumptions!$L$155&lt;&gt;"",D672&lt;Assumptions!$L$155),"View blocked / roof in front ("&amp;Assumptions!$M$155&amp;"); view premium still loading until L"&amp;Assumptions!$L$155&amp;". ","")&amp;IF(D672=Assumptions!$AH$155,"Mid-floor view premium fully loaded. ","")&amp;IF(D672=Assumptions!$P$155,"High-floor view premium fully loaded. ","")&amp;IF(Q672&lt;=K672,"At developer starting price.",""))</f>
        <v/>
      </c>
      <c r="T672" s="57" t="str">
        <f>Assumptions!$AJ$155</f>
        <v>NW. Wellness Club, golf course, landed, nature reserve; Lower Peirce Reservoir from L20</v>
      </c>
    </row>
    <row r="673" spans="1:20" x14ac:dyDescent="0.2">
      <c r="A673" s="49" t="s">
        <v>826</v>
      </c>
      <c r="B673" s="29">
        <v>7</v>
      </c>
      <c r="C673" s="50">
        <v>29</v>
      </c>
      <c r="D673" s="50">
        <v>16</v>
      </c>
      <c r="E673" s="27" t="s">
        <v>43</v>
      </c>
      <c r="F673" s="29" t="s">
        <v>812</v>
      </c>
      <c r="G673" s="28">
        <v>678</v>
      </c>
      <c r="H673" s="29" t="s">
        <v>65</v>
      </c>
      <c r="I673" s="38" t="str">
        <f>Assumptions!$I$155</f>
        <v>B</v>
      </c>
      <c r="J673" s="29" t="str">
        <f>IF(D673&lt;=Assumptions!$V$155,"Low",IF(D673&lt;=Assumptions!$W$155,"Mid","High"))</f>
        <v>Mid</v>
      </c>
      <c r="K673" s="51">
        <f>Assumptions!$Q$155</f>
        <v>2613</v>
      </c>
      <c r="L673" s="52">
        <f>INDEX(Assumptions!$D$61:$D$90,D673)</f>
        <v>3123.620476190476</v>
      </c>
      <c r="M673" s="53">
        <f>IF(D673&lt;=Assumptions!$G$155,Assumptions!$AK$155,IF(D673&lt;Assumptions!$AH$155,Assumptions!$AK$155+(Assumptions!$AL$155-Assumptions!$AK$155)*(D673-Assumptions!$G$155)/(Assumptions!$AH$155-Assumptions!$G$155),IF(D673&lt;Assumptions!$P$155,Assumptions!$AL$155+(Assumptions!$AM$155-Assumptions!$AL$155)*(D673-Assumptions!$AH$155)/(Assumptions!$P$155-Assumptions!$AH$155),Assumptions!$AM$155)))</f>
        <v>26538.461538461539</v>
      </c>
      <c r="N673" s="54">
        <f t="shared" si="20"/>
        <v>39.142273655547996</v>
      </c>
      <c r="O673" s="55">
        <f t="shared" si="21"/>
        <v>3163</v>
      </c>
      <c r="P673" s="29" t="str">
        <f>IF(D673&gt;=Assumptions!$P$155,"High",IF(D673&gt;=Assumptions!$AH$155,"Mid",IF(D673&lt;=Assumptions!$G$155,"Low","Loading")))</f>
        <v>Mid</v>
      </c>
      <c r="Q673" s="39">
        <f>MAX(K673,MIN(Assumptions!$S$155,O673),Q674)</f>
        <v>3163</v>
      </c>
      <c r="R673" s="30">
        <f>IF(AND(Q673&lt;=K673,INDEX(Assumptions!$C$26:$C$36,MATCH(G673,Assumptions!$A$26:$A$36,0))&lt;&gt;""),INDEX(Assumptions!$C$26:$C$36,MATCH(G673,Assumptions!$A$26:$A$36,0)),ROUND(G673*Q673,-2))</f>
        <v>2144500</v>
      </c>
      <c r="S673" s="56" t="str">
        <f>TRIM(IF(AND(Assumptions!$L$155&lt;&gt;"",D673&lt;Assumptions!$L$155),"View blocked / roof in front ("&amp;Assumptions!$M$155&amp;"); view premium still loading until L"&amp;Assumptions!$L$155&amp;". ","")&amp;IF(D673=Assumptions!$AH$155,"Mid-floor view premium fully loaded. ","")&amp;IF(D673=Assumptions!$P$155,"High-floor view premium fully loaded. ","")&amp;IF(Q673&lt;=K673,"At developer starting price.",""))</f>
        <v/>
      </c>
      <c r="T673" s="57" t="str">
        <f>Assumptions!$AJ$155</f>
        <v>NW. Wellness Club, golf course, landed, nature reserve; Lower Peirce Reservoir from L20</v>
      </c>
    </row>
    <row r="674" spans="1:20" x14ac:dyDescent="0.2">
      <c r="A674" s="49" t="s">
        <v>827</v>
      </c>
      <c r="B674" s="29">
        <v>7</v>
      </c>
      <c r="C674" s="50">
        <v>29</v>
      </c>
      <c r="D674" s="50">
        <v>15</v>
      </c>
      <c r="E674" s="27" t="s">
        <v>43</v>
      </c>
      <c r="F674" s="29" t="s">
        <v>812</v>
      </c>
      <c r="G674" s="28">
        <v>678</v>
      </c>
      <c r="H674" s="29" t="s">
        <v>65</v>
      </c>
      <c r="I674" s="38" t="str">
        <f>Assumptions!$I$155</f>
        <v>B</v>
      </c>
      <c r="J674" s="29" t="str">
        <f>IF(D674&lt;=Assumptions!$V$155,"Low",IF(D674&lt;=Assumptions!$W$155,"Mid","High"))</f>
        <v>Mid</v>
      </c>
      <c r="K674" s="51">
        <f>Assumptions!$Q$155</f>
        <v>2613</v>
      </c>
      <c r="L674" s="52">
        <f>INDEX(Assumptions!$D$61:$D$90,D674)</f>
        <v>3104.4157142857139</v>
      </c>
      <c r="M674" s="53">
        <f>IF(D674&lt;=Assumptions!$G$155,Assumptions!$AK$155,IF(D674&lt;Assumptions!$AH$155,Assumptions!$AK$155+(Assumptions!$AL$155-Assumptions!$AK$155)*(D674-Assumptions!$G$155)/(Assumptions!$AH$155-Assumptions!$G$155),IF(D674&lt;Assumptions!$P$155,Assumptions!$AL$155+(Assumptions!$AM$155-Assumptions!$AL$155)*(D674-Assumptions!$AH$155)/(Assumptions!$P$155-Assumptions!$AH$155),Assumptions!$AM$155)))</f>
        <v>26923.076923076922</v>
      </c>
      <c r="N674" s="54">
        <f t="shared" si="20"/>
        <v>39.709552983889267</v>
      </c>
      <c r="O674" s="55">
        <f t="shared" si="21"/>
        <v>3144</v>
      </c>
      <c r="P674" s="29" t="str">
        <f>IF(D674&gt;=Assumptions!$P$155,"High",IF(D674&gt;=Assumptions!$AH$155,"Mid",IF(D674&lt;=Assumptions!$G$155,"Low","Loading")))</f>
        <v>Mid</v>
      </c>
      <c r="Q674" s="39">
        <f>MAX(K674,MIN(Assumptions!$S$155,O674),Q675)</f>
        <v>3144</v>
      </c>
      <c r="R674" s="30">
        <f>IF(AND(Q674&lt;=K674,INDEX(Assumptions!$C$26:$C$36,MATCH(G674,Assumptions!$A$26:$A$36,0))&lt;&gt;""),INDEX(Assumptions!$C$26:$C$36,MATCH(G674,Assumptions!$A$26:$A$36,0)),ROUND(G674*Q674,-2))</f>
        <v>2131600</v>
      </c>
      <c r="S674" s="56" t="str">
        <f>TRIM(IF(AND(Assumptions!$L$155&lt;&gt;"",D674&lt;Assumptions!$L$155),"View blocked / roof in front ("&amp;Assumptions!$M$155&amp;"); view premium still loading until L"&amp;Assumptions!$L$155&amp;". ","")&amp;IF(D674=Assumptions!$AH$155,"Mid-floor view premium fully loaded. ","")&amp;IF(D674=Assumptions!$P$155,"High-floor view premium fully loaded. ","")&amp;IF(Q674&lt;=K674,"At developer starting price.",""))</f>
        <v>Mid-floor view premium fully loaded.</v>
      </c>
      <c r="T674" s="57" t="str">
        <f>Assumptions!$AJ$155</f>
        <v>NW. Wellness Club, golf course, landed, nature reserve; Lower Peirce Reservoir from L20</v>
      </c>
    </row>
    <row r="675" spans="1:20" x14ac:dyDescent="0.2">
      <c r="A675" s="49" t="s">
        <v>828</v>
      </c>
      <c r="B675" s="29">
        <v>7</v>
      </c>
      <c r="C675" s="50">
        <v>29</v>
      </c>
      <c r="D675" s="50">
        <v>14</v>
      </c>
      <c r="E675" s="27" t="s">
        <v>43</v>
      </c>
      <c r="F675" s="29" t="s">
        <v>812</v>
      </c>
      <c r="G675" s="28">
        <v>678</v>
      </c>
      <c r="H675" s="29" t="s">
        <v>65</v>
      </c>
      <c r="I675" s="38" t="str">
        <f>Assumptions!$I$155</f>
        <v>B</v>
      </c>
      <c r="J675" s="29" t="str">
        <f>IF(D675&lt;=Assumptions!$V$155,"Low",IF(D675&lt;=Assumptions!$W$155,"Mid","High"))</f>
        <v>Low</v>
      </c>
      <c r="K675" s="51">
        <f>Assumptions!$Q$155</f>
        <v>2613</v>
      </c>
      <c r="L675" s="52">
        <f>INDEX(Assumptions!$D$61:$D$90,D675)</f>
        <v>3085.2109523809522</v>
      </c>
      <c r="M675" s="53">
        <f>IF(D675&lt;=Assumptions!$G$155,Assumptions!$AK$155,IF(D675&lt;Assumptions!$AH$155,Assumptions!$AK$155+(Assumptions!$AL$155-Assumptions!$AK$155)*(D675-Assumptions!$G$155)/(Assumptions!$AH$155-Assumptions!$G$155),IF(D675&lt;Assumptions!$P$155,Assumptions!$AL$155+(Assumptions!$AM$155-Assumptions!$AL$155)*(D675-Assumptions!$AH$155)/(Assumptions!$P$155-Assumptions!$AH$155),Assumptions!$AM$155)))</f>
        <v>21428.571428571435</v>
      </c>
      <c r="N675" s="54">
        <f t="shared" si="20"/>
        <v>31.605562579013917</v>
      </c>
      <c r="O675" s="55">
        <f t="shared" si="21"/>
        <v>3117</v>
      </c>
      <c r="P675" s="29" t="str">
        <f>IF(D675&gt;=Assumptions!$P$155,"High",IF(D675&gt;=Assumptions!$AH$155,"Mid",IF(D675&lt;=Assumptions!$G$155,"Low","Loading")))</f>
        <v>Loading</v>
      </c>
      <c r="Q675" s="39">
        <f>MAX(K675,MIN(Assumptions!$S$155,O675),Q676)</f>
        <v>3117</v>
      </c>
      <c r="R675" s="30">
        <f>IF(AND(Q675&lt;=K675,INDEX(Assumptions!$C$26:$C$36,MATCH(G675,Assumptions!$A$26:$A$36,0))&lt;&gt;""),INDEX(Assumptions!$C$26:$C$36,MATCH(G675,Assumptions!$A$26:$A$36,0)),ROUND(G675*Q675,-2))</f>
        <v>2113300</v>
      </c>
      <c r="S675" s="56" t="str">
        <f>TRIM(IF(AND(Assumptions!$L$155&lt;&gt;"",D675&lt;Assumptions!$L$155),"View blocked / roof in front ("&amp;Assumptions!$M$155&amp;"); view premium still loading until L"&amp;Assumptions!$L$155&amp;". ","")&amp;IF(D675=Assumptions!$AH$155,"Mid-floor view premium fully loaded. ","")&amp;IF(D675=Assumptions!$P$155,"High-floor view premium fully loaded. ","")&amp;IF(Q675&lt;=K675,"At developer starting price.",""))</f>
        <v/>
      </c>
      <c r="T675" s="57" t="str">
        <f>Assumptions!$AJ$155</f>
        <v>NW. Wellness Club, golf course, landed, nature reserve; Lower Peirce Reservoir from L20</v>
      </c>
    </row>
    <row r="676" spans="1:20" x14ac:dyDescent="0.2">
      <c r="A676" s="49" t="s">
        <v>829</v>
      </c>
      <c r="B676" s="29">
        <v>7</v>
      </c>
      <c r="C676" s="50">
        <v>29</v>
      </c>
      <c r="D676" s="50">
        <v>13</v>
      </c>
      <c r="E676" s="27" t="s">
        <v>43</v>
      </c>
      <c r="F676" s="29" t="s">
        <v>812</v>
      </c>
      <c r="G676" s="28">
        <v>678</v>
      </c>
      <c r="H676" s="29" t="s">
        <v>65</v>
      </c>
      <c r="I676" s="38" t="str">
        <f>Assumptions!$I$155</f>
        <v>B</v>
      </c>
      <c r="J676" s="29" t="str">
        <f>IF(D676&lt;=Assumptions!$V$155,"Low",IF(D676&lt;=Assumptions!$W$155,"Mid","High"))</f>
        <v>Low</v>
      </c>
      <c r="K676" s="51">
        <f>Assumptions!$Q$155</f>
        <v>2613</v>
      </c>
      <c r="L676" s="52">
        <f>INDEX(Assumptions!$D$61:$D$90,D676)</f>
        <v>3066.0061904761901</v>
      </c>
      <c r="M676" s="53">
        <f>IF(D676&lt;=Assumptions!$G$155,Assumptions!$AK$155,IF(D676&lt;Assumptions!$AH$155,Assumptions!$AK$155+(Assumptions!$AL$155-Assumptions!$AK$155)*(D676-Assumptions!$G$155)/(Assumptions!$AH$155-Assumptions!$G$155),IF(D676&lt;Assumptions!$P$155,Assumptions!$AL$155+(Assumptions!$AM$155-Assumptions!$AL$155)*(D676-Assumptions!$AH$155)/(Assumptions!$P$155-Assumptions!$AH$155),Assumptions!$AM$155)))</f>
        <v>15934.065934065933</v>
      </c>
      <c r="N676" s="54">
        <f t="shared" si="20"/>
        <v>23.501572174138545</v>
      </c>
      <c r="O676" s="55">
        <f t="shared" si="21"/>
        <v>3090</v>
      </c>
      <c r="P676" s="29" t="str">
        <f>IF(D676&gt;=Assumptions!$P$155,"High",IF(D676&gt;=Assumptions!$AH$155,"Mid",IF(D676&lt;=Assumptions!$G$155,"Low","Loading")))</f>
        <v>Loading</v>
      </c>
      <c r="Q676" s="39">
        <f>MAX(K676,MIN(Assumptions!$S$155,O676),Q677)</f>
        <v>3090</v>
      </c>
      <c r="R676" s="30">
        <f>IF(AND(Q676&lt;=K676,INDEX(Assumptions!$C$26:$C$36,MATCH(G676,Assumptions!$A$26:$A$36,0))&lt;&gt;""),INDEX(Assumptions!$C$26:$C$36,MATCH(G676,Assumptions!$A$26:$A$36,0)),ROUND(G676*Q676,-2))</f>
        <v>2095000</v>
      </c>
      <c r="S676" s="56" t="str">
        <f>TRIM(IF(AND(Assumptions!$L$155&lt;&gt;"",D676&lt;Assumptions!$L$155),"View blocked / roof in front ("&amp;Assumptions!$M$155&amp;"); view premium still loading until L"&amp;Assumptions!$L$155&amp;". ","")&amp;IF(D676=Assumptions!$AH$155,"Mid-floor view premium fully loaded. ","")&amp;IF(D676=Assumptions!$P$155,"High-floor view premium fully loaded. ","")&amp;IF(Q676&lt;=K676,"At developer starting price.",""))</f>
        <v/>
      </c>
      <c r="T676" s="57" t="str">
        <f>Assumptions!$AJ$155</f>
        <v>NW. Wellness Club, golf course, landed, nature reserve; Lower Peirce Reservoir from L20</v>
      </c>
    </row>
    <row r="677" spans="1:20" x14ac:dyDescent="0.2">
      <c r="A677" s="49" t="s">
        <v>830</v>
      </c>
      <c r="B677" s="29">
        <v>7</v>
      </c>
      <c r="C677" s="50">
        <v>29</v>
      </c>
      <c r="D677" s="50">
        <v>12</v>
      </c>
      <c r="E677" s="27" t="s">
        <v>43</v>
      </c>
      <c r="F677" s="29" t="s">
        <v>812</v>
      </c>
      <c r="G677" s="28">
        <v>678</v>
      </c>
      <c r="H677" s="29" t="s">
        <v>65</v>
      </c>
      <c r="I677" s="38" t="str">
        <f>Assumptions!$I$155</f>
        <v>B</v>
      </c>
      <c r="J677" s="29" t="str">
        <f>IF(D677&lt;=Assumptions!$V$155,"Low",IF(D677&lt;=Assumptions!$W$155,"Mid","High"))</f>
        <v>Low</v>
      </c>
      <c r="K677" s="51">
        <f>Assumptions!$Q$155</f>
        <v>2613</v>
      </c>
      <c r="L677" s="52">
        <f>INDEX(Assumptions!$D$61:$D$90,D677)</f>
        <v>3046.8014285714285</v>
      </c>
      <c r="M677" s="53">
        <f>IF(D677&lt;=Assumptions!$G$155,Assumptions!$AK$155,IF(D677&lt;Assumptions!$AH$155,Assumptions!$AK$155+(Assumptions!$AL$155-Assumptions!$AK$155)*(D677-Assumptions!$G$155)/(Assumptions!$AH$155-Assumptions!$G$155),IF(D677&lt;Assumptions!$P$155,Assumptions!$AL$155+(Assumptions!$AM$155-Assumptions!$AL$155)*(D677-Assumptions!$AH$155)/(Assumptions!$P$155-Assumptions!$AH$155),Assumptions!$AM$155)))</f>
        <v>10439.560439560439</v>
      </c>
      <c r="N677" s="54">
        <f t="shared" si="20"/>
        <v>15.397581769263184</v>
      </c>
      <c r="O677" s="55">
        <f t="shared" si="21"/>
        <v>3062</v>
      </c>
      <c r="P677" s="29" t="str">
        <f>IF(D677&gt;=Assumptions!$P$155,"High",IF(D677&gt;=Assumptions!$AH$155,"Mid",IF(D677&lt;=Assumptions!$G$155,"Low","Loading")))</f>
        <v>Loading</v>
      </c>
      <c r="Q677" s="39">
        <f>MAX(K677,MIN(Assumptions!$S$155,O677),Q678)</f>
        <v>3062</v>
      </c>
      <c r="R677" s="30">
        <f>IF(AND(Q677&lt;=K677,INDEX(Assumptions!$C$26:$C$36,MATCH(G677,Assumptions!$A$26:$A$36,0))&lt;&gt;""),INDEX(Assumptions!$C$26:$C$36,MATCH(G677,Assumptions!$A$26:$A$36,0)),ROUND(G677*Q677,-2))</f>
        <v>2076000</v>
      </c>
      <c r="S677" s="56" t="str">
        <f>TRIM(IF(AND(Assumptions!$L$155&lt;&gt;"",D677&lt;Assumptions!$L$155),"View blocked / roof in front ("&amp;Assumptions!$M$155&amp;"); view premium still loading until L"&amp;Assumptions!$L$155&amp;". ","")&amp;IF(D677=Assumptions!$AH$155,"Mid-floor view premium fully loaded. ","")&amp;IF(D677=Assumptions!$P$155,"High-floor view premium fully loaded. ","")&amp;IF(Q677&lt;=K677,"At developer starting price.",""))</f>
        <v/>
      </c>
      <c r="T677" s="57" t="str">
        <f>Assumptions!$AJ$155</f>
        <v>NW. Wellness Club, golf course, landed, nature reserve; Lower Peirce Reservoir from L20</v>
      </c>
    </row>
    <row r="678" spans="1:20" x14ac:dyDescent="0.2">
      <c r="A678" s="49" t="s">
        <v>831</v>
      </c>
      <c r="B678" s="29">
        <v>7</v>
      </c>
      <c r="C678" s="50">
        <v>29</v>
      </c>
      <c r="D678" s="50">
        <v>11</v>
      </c>
      <c r="E678" s="27" t="s">
        <v>43</v>
      </c>
      <c r="F678" s="29" t="s">
        <v>812</v>
      </c>
      <c r="G678" s="28">
        <v>678</v>
      </c>
      <c r="H678" s="29" t="s">
        <v>65</v>
      </c>
      <c r="I678" s="38" t="str">
        <f>Assumptions!$I$155</f>
        <v>B</v>
      </c>
      <c r="J678" s="29" t="str">
        <f>IF(D678&lt;=Assumptions!$V$155,"Low",IF(D678&lt;=Assumptions!$W$155,"Mid","High"))</f>
        <v>Low</v>
      </c>
      <c r="K678" s="51">
        <f>Assumptions!$Q$155</f>
        <v>2613</v>
      </c>
      <c r="L678" s="52">
        <f>INDEX(Assumptions!$D$61:$D$90,D678)</f>
        <v>3027.5966666666664</v>
      </c>
      <c r="M678" s="53">
        <f>IF(D678&lt;=Assumptions!$G$155,Assumptions!$AK$155,IF(D678&lt;Assumptions!$AH$155,Assumptions!$AK$155+(Assumptions!$AL$155-Assumptions!$AK$155)*(D678-Assumptions!$G$155)/(Assumptions!$AH$155-Assumptions!$G$155),IF(D678&lt;Assumptions!$P$155,Assumptions!$AL$155+(Assumptions!$AM$155-Assumptions!$AL$155)*(D678-Assumptions!$AH$155)/(Assumptions!$P$155-Assumptions!$AH$155),Assumptions!$AM$155)))</f>
        <v>4945.0549450549443</v>
      </c>
      <c r="N678" s="54">
        <f t="shared" si="20"/>
        <v>7.2935913643878232</v>
      </c>
      <c r="O678" s="55">
        <f t="shared" si="21"/>
        <v>3035</v>
      </c>
      <c r="P678" s="29" t="str">
        <f>IF(D678&gt;=Assumptions!$P$155,"High",IF(D678&gt;=Assumptions!$AH$155,"Mid",IF(D678&lt;=Assumptions!$G$155,"Low","Loading")))</f>
        <v>Loading</v>
      </c>
      <c r="Q678" s="39">
        <f>MAX(K678,MIN(Assumptions!$S$155,O678),Q679)</f>
        <v>3035</v>
      </c>
      <c r="R678" s="30">
        <f>IF(AND(Q678&lt;=K678,INDEX(Assumptions!$C$26:$C$36,MATCH(G678,Assumptions!$A$26:$A$36,0))&lt;&gt;""),INDEX(Assumptions!$C$26:$C$36,MATCH(G678,Assumptions!$A$26:$A$36,0)),ROUND(G678*Q678,-2))</f>
        <v>2057700</v>
      </c>
      <c r="S678" s="56" t="str">
        <f>TRIM(IF(AND(Assumptions!$L$155&lt;&gt;"",D678&lt;Assumptions!$L$155),"View blocked / roof in front ("&amp;Assumptions!$M$155&amp;"); view premium still loading until L"&amp;Assumptions!$L$155&amp;". ","")&amp;IF(D678=Assumptions!$AH$155,"Mid-floor view premium fully loaded. ","")&amp;IF(D678=Assumptions!$P$155,"High-floor view premium fully loaded. ","")&amp;IF(Q678&lt;=K678,"At developer starting price.",""))</f>
        <v/>
      </c>
      <c r="T678" s="57" t="str">
        <f>Assumptions!$AJ$155</f>
        <v>NW. Wellness Club, golf course, landed, nature reserve; Lower Peirce Reservoir from L20</v>
      </c>
    </row>
    <row r="679" spans="1:20" x14ac:dyDescent="0.2">
      <c r="A679" s="49" t="s">
        <v>832</v>
      </c>
      <c r="B679" s="29">
        <v>7</v>
      </c>
      <c r="C679" s="50">
        <v>29</v>
      </c>
      <c r="D679" s="50">
        <v>10</v>
      </c>
      <c r="E679" s="27" t="s">
        <v>43</v>
      </c>
      <c r="F679" s="29" t="s">
        <v>812</v>
      </c>
      <c r="G679" s="28">
        <v>678</v>
      </c>
      <c r="H679" s="29" t="s">
        <v>65</v>
      </c>
      <c r="I679" s="38" t="str">
        <f>Assumptions!$I$155</f>
        <v>B</v>
      </c>
      <c r="J679" s="29" t="str">
        <f>IF(D679&lt;=Assumptions!$V$155,"Low",IF(D679&lt;=Assumptions!$W$155,"Mid","High"))</f>
        <v>Low</v>
      </c>
      <c r="K679" s="51">
        <f>Assumptions!$Q$155</f>
        <v>2613</v>
      </c>
      <c r="L679" s="52">
        <f>INDEX(Assumptions!$D$61:$D$90,D679)</f>
        <v>3008.3919047619042</v>
      </c>
      <c r="M679" s="53">
        <f>IF(D679&lt;=Assumptions!$G$155,Assumptions!$AK$155,IF(D679&lt;Assumptions!$AH$155,Assumptions!$AK$155+(Assumptions!$AL$155-Assumptions!$AK$155)*(D679-Assumptions!$G$155)/(Assumptions!$AH$155-Assumptions!$G$155),IF(D679&lt;Assumptions!$P$155,Assumptions!$AL$155+(Assumptions!$AM$155-Assumptions!$AL$155)*(D679-Assumptions!$AH$155)/(Assumptions!$P$155-Assumptions!$AH$155),Assumptions!$AM$155)))</f>
        <v>-549.45054945055017</v>
      </c>
      <c r="N679" s="54">
        <f t="shared" si="20"/>
        <v>-0.81039904048753708</v>
      </c>
      <c r="O679" s="55">
        <f t="shared" si="21"/>
        <v>3008</v>
      </c>
      <c r="P679" s="29" t="str">
        <f>IF(D679&gt;=Assumptions!$P$155,"High",IF(D679&gt;=Assumptions!$AH$155,"Mid",IF(D679&lt;=Assumptions!$G$155,"Low","Loading")))</f>
        <v>Loading</v>
      </c>
      <c r="Q679" s="39">
        <f>MAX(K679,MIN(Assumptions!$S$155,O679),Q680)</f>
        <v>3008</v>
      </c>
      <c r="R679" s="30">
        <f>IF(AND(Q679&lt;=K679,INDEX(Assumptions!$C$26:$C$36,MATCH(G679,Assumptions!$A$26:$A$36,0))&lt;&gt;""),INDEX(Assumptions!$C$26:$C$36,MATCH(G679,Assumptions!$A$26:$A$36,0)),ROUND(G679*Q679,-2))</f>
        <v>2039400</v>
      </c>
      <c r="S679" s="56" t="str">
        <f>TRIM(IF(AND(Assumptions!$L$155&lt;&gt;"",D679&lt;Assumptions!$L$155),"View blocked / roof in front ("&amp;Assumptions!$M$155&amp;"); view premium still loading until L"&amp;Assumptions!$L$155&amp;". ","")&amp;IF(D679=Assumptions!$AH$155,"Mid-floor view premium fully loaded. ","")&amp;IF(D679=Assumptions!$P$155,"High-floor view premium fully loaded. ","")&amp;IF(Q679&lt;=K679,"At developer starting price.",""))</f>
        <v/>
      </c>
      <c r="T679" s="57" t="str">
        <f>Assumptions!$AJ$155</f>
        <v>NW. Wellness Club, golf course, landed, nature reserve; Lower Peirce Reservoir from L20</v>
      </c>
    </row>
    <row r="680" spans="1:20" x14ac:dyDescent="0.2">
      <c r="A680" s="49" t="s">
        <v>833</v>
      </c>
      <c r="B680" s="29">
        <v>7</v>
      </c>
      <c r="C680" s="50">
        <v>29</v>
      </c>
      <c r="D680" s="50">
        <v>9</v>
      </c>
      <c r="E680" s="27" t="s">
        <v>43</v>
      </c>
      <c r="F680" s="29" t="s">
        <v>812</v>
      </c>
      <c r="G680" s="28">
        <v>678</v>
      </c>
      <c r="H680" s="29" t="s">
        <v>65</v>
      </c>
      <c r="I680" s="38" t="str">
        <f>Assumptions!$I$155</f>
        <v>B</v>
      </c>
      <c r="J680" s="29" t="str">
        <f>IF(D680&lt;=Assumptions!$V$155,"Low",IF(D680&lt;=Assumptions!$W$155,"Mid","High"))</f>
        <v>Low</v>
      </c>
      <c r="K680" s="51">
        <f>Assumptions!$Q$155</f>
        <v>2613</v>
      </c>
      <c r="L680" s="52">
        <f>INDEX(Assumptions!$D$61:$D$90,D680)</f>
        <v>2989.1871428571426</v>
      </c>
      <c r="M680" s="53">
        <f>IF(D680&lt;=Assumptions!$G$155,Assumptions!$AK$155,IF(D680&lt;Assumptions!$AH$155,Assumptions!$AK$155+(Assumptions!$AL$155-Assumptions!$AK$155)*(D680-Assumptions!$G$155)/(Assumptions!$AH$155-Assumptions!$G$155),IF(D680&lt;Assumptions!$P$155,Assumptions!$AL$155+(Assumptions!$AM$155-Assumptions!$AL$155)*(D680-Assumptions!$AH$155)/(Assumptions!$P$155-Assumptions!$AH$155),Assumptions!$AM$155)))</f>
        <v>-6043.9560439560446</v>
      </c>
      <c r="N680" s="54">
        <f t="shared" si="20"/>
        <v>-8.9143894453628985</v>
      </c>
      <c r="O680" s="55">
        <f t="shared" si="21"/>
        <v>2980</v>
      </c>
      <c r="P680" s="29" t="str">
        <f>IF(D680&gt;=Assumptions!$P$155,"High",IF(D680&gt;=Assumptions!$AH$155,"Mid",IF(D680&lt;=Assumptions!$G$155,"Low","Loading")))</f>
        <v>Loading</v>
      </c>
      <c r="Q680" s="39">
        <f>MAX(K680,MIN(Assumptions!$S$155,O680),Q681)</f>
        <v>2980</v>
      </c>
      <c r="R680" s="30">
        <f>IF(AND(Q680&lt;=K680,INDEX(Assumptions!$C$26:$C$36,MATCH(G680,Assumptions!$A$26:$A$36,0))&lt;&gt;""),INDEX(Assumptions!$C$26:$C$36,MATCH(G680,Assumptions!$A$26:$A$36,0)),ROUND(G680*Q680,-2))</f>
        <v>2020400</v>
      </c>
      <c r="S680" s="56" t="str">
        <f>TRIM(IF(AND(Assumptions!$L$155&lt;&gt;"",D680&lt;Assumptions!$L$155),"View blocked / roof in front ("&amp;Assumptions!$M$155&amp;"); view premium still loading until L"&amp;Assumptions!$L$155&amp;". ","")&amp;IF(D680=Assumptions!$AH$155,"Mid-floor view premium fully loaded. ","")&amp;IF(D680=Assumptions!$P$155,"High-floor view premium fully loaded. ","")&amp;IF(Q680&lt;=K680,"At developer starting price.",""))</f>
        <v/>
      </c>
      <c r="T680" s="57" t="str">
        <f>Assumptions!$AJ$155</f>
        <v>NW. Wellness Club, golf course, landed, nature reserve; Lower Peirce Reservoir from L20</v>
      </c>
    </row>
    <row r="681" spans="1:20" x14ac:dyDescent="0.2">
      <c r="A681" s="49" t="s">
        <v>834</v>
      </c>
      <c r="B681" s="29">
        <v>7</v>
      </c>
      <c r="C681" s="50">
        <v>29</v>
      </c>
      <c r="D681" s="50">
        <v>8</v>
      </c>
      <c r="E681" s="27" t="s">
        <v>43</v>
      </c>
      <c r="F681" s="29" t="s">
        <v>812</v>
      </c>
      <c r="G681" s="28">
        <v>678</v>
      </c>
      <c r="H681" s="29" t="s">
        <v>65</v>
      </c>
      <c r="I681" s="38" t="str">
        <f>Assumptions!$I$155</f>
        <v>B</v>
      </c>
      <c r="J681" s="29" t="str">
        <f>IF(D681&lt;=Assumptions!$V$155,"Low",IF(D681&lt;=Assumptions!$W$155,"Mid","High"))</f>
        <v>Low</v>
      </c>
      <c r="K681" s="51">
        <f>Assumptions!$Q$155</f>
        <v>2613</v>
      </c>
      <c r="L681" s="52">
        <f>INDEX(Assumptions!$D$61:$D$90,D681)</f>
        <v>2969.9823809523805</v>
      </c>
      <c r="M681" s="53">
        <f>IF(D681&lt;=Assumptions!$G$155,Assumptions!$AK$155,IF(D681&lt;Assumptions!$AH$155,Assumptions!$AK$155+(Assumptions!$AL$155-Assumptions!$AK$155)*(D681-Assumptions!$G$155)/(Assumptions!$AH$155-Assumptions!$G$155),IF(D681&lt;Assumptions!$P$155,Assumptions!$AL$155+(Assumptions!$AM$155-Assumptions!$AL$155)*(D681-Assumptions!$AH$155)/(Assumptions!$P$155-Assumptions!$AH$155),Assumptions!$AM$155)))</f>
        <v>-11538.461538461539</v>
      </c>
      <c r="N681" s="54">
        <f t="shared" si="20"/>
        <v>-17.018379850238258</v>
      </c>
      <c r="O681" s="55">
        <f t="shared" si="21"/>
        <v>2953</v>
      </c>
      <c r="P681" s="29" t="str">
        <f>IF(D681&gt;=Assumptions!$P$155,"High",IF(D681&gt;=Assumptions!$AH$155,"Mid",IF(D681&lt;=Assumptions!$G$155,"Low","Loading")))</f>
        <v>Loading</v>
      </c>
      <c r="Q681" s="39">
        <f>MAX(K681,MIN(Assumptions!$S$155,O681),Q682)</f>
        <v>2953</v>
      </c>
      <c r="R681" s="30">
        <f>IF(AND(Q681&lt;=K681,INDEX(Assumptions!$C$26:$C$36,MATCH(G681,Assumptions!$A$26:$A$36,0))&lt;&gt;""),INDEX(Assumptions!$C$26:$C$36,MATCH(G681,Assumptions!$A$26:$A$36,0)),ROUND(G681*Q681,-2))</f>
        <v>2002100</v>
      </c>
      <c r="S681" s="56" t="str">
        <f>TRIM(IF(AND(Assumptions!$L$155&lt;&gt;"",D681&lt;Assumptions!$L$155),"View blocked / roof in front ("&amp;Assumptions!$M$155&amp;"); view premium still loading until L"&amp;Assumptions!$L$155&amp;". ","")&amp;IF(D681=Assumptions!$AH$155,"Mid-floor view premium fully loaded. ","")&amp;IF(D681=Assumptions!$P$155,"High-floor view premium fully loaded. ","")&amp;IF(Q681&lt;=K681,"At developer starting price.",""))</f>
        <v/>
      </c>
      <c r="T681" s="57" t="str">
        <f>Assumptions!$AJ$155</f>
        <v>NW. Wellness Club, golf course, landed, nature reserve; Lower Peirce Reservoir from L20</v>
      </c>
    </row>
    <row r="682" spans="1:20" x14ac:dyDescent="0.2">
      <c r="A682" s="49" t="s">
        <v>835</v>
      </c>
      <c r="B682" s="29">
        <v>7</v>
      </c>
      <c r="C682" s="50">
        <v>29</v>
      </c>
      <c r="D682" s="50">
        <v>7</v>
      </c>
      <c r="E682" s="27" t="s">
        <v>43</v>
      </c>
      <c r="F682" s="29" t="s">
        <v>812</v>
      </c>
      <c r="G682" s="28">
        <v>678</v>
      </c>
      <c r="H682" s="29" t="s">
        <v>65</v>
      </c>
      <c r="I682" s="38" t="str">
        <f>Assumptions!$I$155</f>
        <v>B</v>
      </c>
      <c r="J682" s="29" t="str">
        <f>IF(D682&lt;=Assumptions!$V$155,"Low",IF(D682&lt;=Assumptions!$W$155,"Mid","High"))</f>
        <v>Low</v>
      </c>
      <c r="K682" s="51">
        <f>Assumptions!$Q$155</f>
        <v>2613</v>
      </c>
      <c r="L682" s="52">
        <f>INDEX(Assumptions!$D$61:$D$90,D682)</f>
        <v>2950.7776190476193</v>
      </c>
      <c r="M682" s="53">
        <f>IF(D682&lt;=Assumptions!$G$155,Assumptions!$AK$155,IF(D682&lt;Assumptions!$AH$155,Assumptions!$AK$155+(Assumptions!$AL$155-Assumptions!$AK$155)*(D682-Assumptions!$G$155)/(Assumptions!$AH$155-Assumptions!$G$155),IF(D682&lt;Assumptions!$P$155,Assumptions!$AL$155+(Assumptions!$AM$155-Assumptions!$AL$155)*(D682-Assumptions!$AH$155)/(Assumptions!$P$155-Assumptions!$AH$155),Assumptions!$AM$155)))</f>
        <v>-17032.967032967033</v>
      </c>
      <c r="N682" s="54">
        <f t="shared" si="20"/>
        <v>-25.122370255113619</v>
      </c>
      <c r="O682" s="55">
        <f t="shared" si="21"/>
        <v>2926</v>
      </c>
      <c r="P682" s="29" t="str">
        <f>IF(D682&gt;=Assumptions!$P$155,"High",IF(D682&gt;=Assumptions!$AH$155,"Mid",IF(D682&lt;=Assumptions!$G$155,"Low","Loading")))</f>
        <v>Loading</v>
      </c>
      <c r="Q682" s="39">
        <f>MAX(K682,MIN(Assumptions!$S$155,O682),Q683)</f>
        <v>2926</v>
      </c>
      <c r="R682" s="30">
        <f>IF(AND(Q682&lt;=K682,INDEX(Assumptions!$C$26:$C$36,MATCH(G682,Assumptions!$A$26:$A$36,0))&lt;&gt;""),INDEX(Assumptions!$C$26:$C$36,MATCH(G682,Assumptions!$A$26:$A$36,0)),ROUND(G682*Q682,-2))</f>
        <v>1983800</v>
      </c>
      <c r="S682" s="56" t="str">
        <f>TRIM(IF(AND(Assumptions!$L$155&lt;&gt;"",D682&lt;Assumptions!$L$155),"View blocked / roof in front ("&amp;Assumptions!$M$155&amp;"); view premium still loading until L"&amp;Assumptions!$L$155&amp;". ","")&amp;IF(D682=Assumptions!$AH$155,"Mid-floor view premium fully loaded. ","")&amp;IF(D682=Assumptions!$P$155,"High-floor view premium fully loaded. ","")&amp;IF(Q682&lt;=K682,"At developer starting price.",""))</f>
        <v/>
      </c>
      <c r="T682" s="57" t="str">
        <f>Assumptions!$AJ$155</f>
        <v>NW. Wellness Club, golf course, landed, nature reserve; Lower Peirce Reservoir from L20</v>
      </c>
    </row>
    <row r="683" spans="1:20" x14ac:dyDescent="0.2">
      <c r="A683" s="49" t="s">
        <v>836</v>
      </c>
      <c r="B683" s="29">
        <v>7</v>
      </c>
      <c r="C683" s="50">
        <v>29</v>
      </c>
      <c r="D683" s="50">
        <v>6</v>
      </c>
      <c r="E683" s="27" t="s">
        <v>43</v>
      </c>
      <c r="F683" s="29" t="s">
        <v>812</v>
      </c>
      <c r="G683" s="28">
        <v>678</v>
      </c>
      <c r="H683" s="29" t="s">
        <v>65</v>
      </c>
      <c r="I683" s="38" t="str">
        <f>Assumptions!$I$155</f>
        <v>B</v>
      </c>
      <c r="J683" s="29" t="str">
        <f>IF(D683&lt;=Assumptions!$V$155,"Low",IF(D683&lt;=Assumptions!$W$155,"Mid","High"))</f>
        <v>Low</v>
      </c>
      <c r="K683" s="51">
        <f>Assumptions!$Q$155</f>
        <v>2613</v>
      </c>
      <c r="L683" s="52">
        <f>INDEX(Assumptions!$D$61:$D$90,D683)</f>
        <v>2931.5728571428572</v>
      </c>
      <c r="M683" s="53">
        <f>IF(D683&lt;=Assumptions!$G$155,Assumptions!$AK$155,IF(D683&lt;Assumptions!$AH$155,Assumptions!$AK$155+(Assumptions!$AL$155-Assumptions!$AK$155)*(D683-Assumptions!$G$155)/(Assumptions!$AH$155-Assumptions!$G$155),IF(D683&lt;Assumptions!$P$155,Assumptions!$AL$155+(Assumptions!$AM$155-Assumptions!$AL$155)*(D683-Assumptions!$AH$155)/(Assumptions!$P$155-Assumptions!$AH$155),Assumptions!$AM$155)))</f>
        <v>-22527.472527472528</v>
      </c>
      <c r="N683" s="54">
        <f t="shared" si="20"/>
        <v>-33.226360659988977</v>
      </c>
      <c r="O683" s="55">
        <f t="shared" si="21"/>
        <v>2898</v>
      </c>
      <c r="P683" s="29" t="str">
        <f>IF(D683&gt;=Assumptions!$P$155,"High",IF(D683&gt;=Assumptions!$AH$155,"Mid",IF(D683&lt;=Assumptions!$G$155,"Low","Loading")))</f>
        <v>Loading</v>
      </c>
      <c r="Q683" s="39">
        <f>MAX(K683,MIN(Assumptions!$S$155,O683),Q684)</f>
        <v>2898</v>
      </c>
      <c r="R683" s="30">
        <f>IF(AND(Q683&lt;=K683,INDEX(Assumptions!$C$26:$C$36,MATCH(G683,Assumptions!$A$26:$A$36,0))&lt;&gt;""),INDEX(Assumptions!$C$26:$C$36,MATCH(G683,Assumptions!$A$26:$A$36,0)),ROUND(G683*Q683,-2))</f>
        <v>1964800</v>
      </c>
      <c r="S683" s="56" t="str">
        <f>TRIM(IF(AND(Assumptions!$L$155&lt;&gt;"",D683&lt;Assumptions!$L$155),"View blocked / roof in front ("&amp;Assumptions!$M$155&amp;"); view premium still loading until L"&amp;Assumptions!$L$155&amp;". ","")&amp;IF(D683=Assumptions!$AH$155,"Mid-floor view premium fully loaded. ","")&amp;IF(D683=Assumptions!$P$155,"High-floor view premium fully loaded. ","")&amp;IF(Q683&lt;=K683,"At developer starting price.",""))</f>
        <v/>
      </c>
      <c r="T683" s="57" t="str">
        <f>Assumptions!$AJ$155</f>
        <v>NW. Wellness Club, golf course, landed, nature reserve; Lower Peirce Reservoir from L20</v>
      </c>
    </row>
    <row r="684" spans="1:20" x14ac:dyDescent="0.2">
      <c r="A684" s="49" t="s">
        <v>837</v>
      </c>
      <c r="B684" s="29">
        <v>7</v>
      </c>
      <c r="C684" s="50">
        <v>29</v>
      </c>
      <c r="D684" s="50">
        <v>5</v>
      </c>
      <c r="E684" s="27" t="s">
        <v>43</v>
      </c>
      <c r="F684" s="29" t="s">
        <v>812</v>
      </c>
      <c r="G684" s="28">
        <v>678</v>
      </c>
      <c r="H684" s="29" t="s">
        <v>65</v>
      </c>
      <c r="I684" s="38" t="str">
        <f>Assumptions!$I$155</f>
        <v>B</v>
      </c>
      <c r="J684" s="29" t="str">
        <f>IF(D684&lt;=Assumptions!$V$155,"Low",IF(D684&lt;=Assumptions!$W$155,"Mid","High"))</f>
        <v>Low</v>
      </c>
      <c r="K684" s="51">
        <f>Assumptions!$Q$155</f>
        <v>2613</v>
      </c>
      <c r="L684" s="52">
        <f>INDEX(Assumptions!$D$61:$D$90,D684)</f>
        <v>2912.3680952380951</v>
      </c>
      <c r="M684" s="53">
        <f>IF(D684&lt;=Assumptions!$G$155,Assumptions!$AK$155,IF(D684&lt;Assumptions!$AH$155,Assumptions!$AK$155+(Assumptions!$AL$155-Assumptions!$AK$155)*(D684-Assumptions!$G$155)/(Assumptions!$AH$155-Assumptions!$G$155),IF(D684&lt;Assumptions!$P$155,Assumptions!$AL$155+(Assumptions!$AM$155-Assumptions!$AL$155)*(D684-Assumptions!$AH$155)/(Assumptions!$P$155-Assumptions!$AH$155),Assumptions!$AM$155)))</f>
        <v>-28021.978021978022</v>
      </c>
      <c r="N684" s="54">
        <f t="shared" si="20"/>
        <v>-41.330351064864338</v>
      </c>
      <c r="O684" s="55">
        <f t="shared" si="21"/>
        <v>2871</v>
      </c>
      <c r="P684" s="29" t="str">
        <f>IF(D684&gt;=Assumptions!$P$155,"High",IF(D684&gt;=Assumptions!$AH$155,"Mid",IF(D684&lt;=Assumptions!$G$155,"Low","Loading")))</f>
        <v>Loading</v>
      </c>
      <c r="Q684" s="39">
        <f>MAX(K684,MIN(Assumptions!$S$155,O684),Q685)</f>
        <v>2871</v>
      </c>
      <c r="R684" s="30">
        <f>IF(AND(Q684&lt;=K684,INDEX(Assumptions!$C$26:$C$36,MATCH(G684,Assumptions!$A$26:$A$36,0))&lt;&gt;""),INDEX(Assumptions!$C$26:$C$36,MATCH(G684,Assumptions!$A$26:$A$36,0)),ROUND(G684*Q684,-2))</f>
        <v>1946500</v>
      </c>
      <c r="S684" s="56" t="str">
        <f>TRIM(IF(AND(Assumptions!$L$155&lt;&gt;"",D684&lt;Assumptions!$L$155),"View blocked / roof in front ("&amp;Assumptions!$M$155&amp;"); view premium still loading until L"&amp;Assumptions!$L$155&amp;". ","")&amp;IF(D684=Assumptions!$AH$155,"Mid-floor view premium fully loaded. ","")&amp;IF(D684=Assumptions!$P$155,"High-floor view premium fully loaded. ","")&amp;IF(Q684&lt;=K684,"At developer starting price.",""))</f>
        <v/>
      </c>
      <c r="T684" s="57" t="str">
        <f>Assumptions!$AJ$155</f>
        <v>NW. Wellness Club, golf course, landed, nature reserve; Lower Peirce Reservoir from L20</v>
      </c>
    </row>
    <row r="685" spans="1:20" x14ac:dyDescent="0.2">
      <c r="A685" s="49" t="s">
        <v>838</v>
      </c>
      <c r="B685" s="29">
        <v>7</v>
      </c>
      <c r="C685" s="50">
        <v>29</v>
      </c>
      <c r="D685" s="50">
        <v>4</v>
      </c>
      <c r="E685" s="27" t="s">
        <v>43</v>
      </c>
      <c r="F685" s="29" t="s">
        <v>812</v>
      </c>
      <c r="G685" s="28">
        <v>678</v>
      </c>
      <c r="H685" s="29" t="s">
        <v>65</v>
      </c>
      <c r="I685" s="38" t="str">
        <f>Assumptions!$I$155</f>
        <v>B</v>
      </c>
      <c r="J685" s="29" t="str">
        <f>IF(D685&lt;=Assumptions!$V$155,"Low",IF(D685&lt;=Assumptions!$W$155,"Mid","High"))</f>
        <v>Low</v>
      </c>
      <c r="K685" s="51">
        <f>Assumptions!$Q$155</f>
        <v>2613</v>
      </c>
      <c r="L685" s="52">
        <f>INDEX(Assumptions!$D$61:$D$90,D685)</f>
        <v>2893.1633333333334</v>
      </c>
      <c r="M685" s="53">
        <f>IF(D685&lt;=Assumptions!$G$155,Assumptions!$AK$155,IF(D685&lt;Assumptions!$AH$155,Assumptions!$AK$155+(Assumptions!$AL$155-Assumptions!$AK$155)*(D685-Assumptions!$G$155)/(Assumptions!$AH$155-Assumptions!$G$155),IF(D685&lt;Assumptions!$P$155,Assumptions!$AL$155+(Assumptions!$AM$155-Assumptions!$AL$155)*(D685-Assumptions!$AH$155)/(Assumptions!$P$155-Assumptions!$AH$155),Assumptions!$AM$155)))</f>
        <v>-33516.483516483517</v>
      </c>
      <c r="N685" s="54">
        <f t="shared" si="20"/>
        <v>-49.434341469739699</v>
      </c>
      <c r="O685" s="55">
        <f t="shared" si="21"/>
        <v>2844</v>
      </c>
      <c r="P685" s="29" t="str">
        <f>IF(D685&gt;=Assumptions!$P$155,"High",IF(D685&gt;=Assumptions!$AH$155,"Mid",IF(D685&lt;=Assumptions!$G$155,"Low","Loading")))</f>
        <v>Loading</v>
      </c>
      <c r="Q685" s="39">
        <f>MAX(K685,MIN(Assumptions!$S$155,O685),Q686)</f>
        <v>2844</v>
      </c>
      <c r="R685" s="30">
        <f>IF(AND(Q685&lt;=K685,INDEX(Assumptions!$C$26:$C$36,MATCH(G685,Assumptions!$A$26:$A$36,0))&lt;&gt;""),INDEX(Assumptions!$C$26:$C$36,MATCH(G685,Assumptions!$A$26:$A$36,0)),ROUND(G685*Q685,-2))</f>
        <v>1928200</v>
      </c>
      <c r="S685" s="56" t="str">
        <f>TRIM(IF(AND(Assumptions!$L$155&lt;&gt;"",D685&lt;Assumptions!$L$155),"View blocked / roof in front ("&amp;Assumptions!$M$155&amp;"); view premium still loading until L"&amp;Assumptions!$L$155&amp;". ","")&amp;IF(D685=Assumptions!$AH$155,"Mid-floor view premium fully loaded. ","")&amp;IF(D685=Assumptions!$P$155,"High-floor view premium fully loaded. ","")&amp;IF(Q685&lt;=K685,"At developer starting price.",""))</f>
        <v>View blocked / roof in front (Wellness Pod Pavilion 1: 18% of view, 24.2 to 30.1m away); view premium still loading until L5.</v>
      </c>
      <c r="T685" s="57" t="str">
        <f>Assumptions!$AJ$155</f>
        <v>NW. Wellness Club, golf course, landed, nature reserve; Lower Peirce Reservoir from L20</v>
      </c>
    </row>
    <row r="686" spans="1:20" x14ac:dyDescent="0.2">
      <c r="A686" s="49" t="s">
        <v>839</v>
      </c>
      <c r="B686" s="29">
        <v>7</v>
      </c>
      <c r="C686" s="50">
        <v>29</v>
      </c>
      <c r="D686" s="50">
        <v>3</v>
      </c>
      <c r="E686" s="27" t="s">
        <v>43</v>
      </c>
      <c r="F686" s="29" t="s">
        <v>812</v>
      </c>
      <c r="G686" s="28">
        <v>678</v>
      </c>
      <c r="H686" s="29" t="s">
        <v>65</v>
      </c>
      <c r="I686" s="38" t="str">
        <f>Assumptions!$I$155</f>
        <v>B</v>
      </c>
      <c r="J686" s="29" t="str">
        <f>IF(D686&lt;=Assumptions!$V$155,"Low",IF(D686&lt;=Assumptions!$W$155,"Mid","High"))</f>
        <v>Low</v>
      </c>
      <c r="K686" s="51">
        <f>Assumptions!$Q$155</f>
        <v>2613</v>
      </c>
      <c r="L686" s="52">
        <f>INDEX(Assumptions!$D$61:$D$90,D686)</f>
        <v>2873.9585714285713</v>
      </c>
      <c r="M686" s="53">
        <f>IF(D686&lt;=Assumptions!$G$155,Assumptions!$AK$155,IF(D686&lt;Assumptions!$AH$155,Assumptions!$AK$155+(Assumptions!$AL$155-Assumptions!$AK$155)*(D686-Assumptions!$G$155)/(Assumptions!$AH$155-Assumptions!$G$155),IF(D686&lt;Assumptions!$P$155,Assumptions!$AL$155+(Assumptions!$AM$155-Assumptions!$AL$155)*(D686-Assumptions!$AH$155)/(Assumptions!$P$155-Assumptions!$AH$155),Assumptions!$AM$155)))</f>
        <v>-39010.989010989011</v>
      </c>
      <c r="N686" s="54">
        <f t="shared" si="20"/>
        <v>-57.538331874615061</v>
      </c>
      <c r="O686" s="55">
        <f t="shared" si="21"/>
        <v>2816</v>
      </c>
      <c r="P686" s="29" t="str">
        <f>IF(D686&gt;=Assumptions!$P$155,"High",IF(D686&gt;=Assumptions!$AH$155,"Mid",IF(D686&lt;=Assumptions!$G$155,"Low","Loading")))</f>
        <v>Loading</v>
      </c>
      <c r="Q686" s="39">
        <f>MAX(K686,MIN(Assumptions!$S$155,O686),Q687)</f>
        <v>2816</v>
      </c>
      <c r="R686" s="30">
        <f>IF(AND(Q686&lt;=K686,INDEX(Assumptions!$C$26:$C$36,MATCH(G686,Assumptions!$A$26:$A$36,0))&lt;&gt;""),INDEX(Assumptions!$C$26:$C$36,MATCH(G686,Assumptions!$A$26:$A$36,0)),ROUND(G686*Q686,-2))</f>
        <v>1909200</v>
      </c>
      <c r="S686" s="56" t="str">
        <f>TRIM(IF(AND(Assumptions!$L$155&lt;&gt;"",D686&lt;Assumptions!$L$155),"View blocked / roof in front ("&amp;Assumptions!$M$155&amp;"); view premium still loading until L"&amp;Assumptions!$L$155&amp;". ","")&amp;IF(D686=Assumptions!$AH$155,"Mid-floor view premium fully loaded. ","")&amp;IF(D686=Assumptions!$P$155,"High-floor view premium fully loaded. ","")&amp;IF(Q686&lt;=K686,"At developer starting price.",""))</f>
        <v>View blocked / roof in front (Wellness Pod Pavilion 1: 18% of view, 24.2 to 30.1m away); view premium still loading until L5.</v>
      </c>
      <c r="T686" s="57" t="str">
        <f>Assumptions!$AJ$155</f>
        <v>NW. Wellness Club, golf course, landed, nature reserve; Lower Peirce Reservoir from L20</v>
      </c>
    </row>
    <row r="687" spans="1:20" x14ac:dyDescent="0.2">
      <c r="A687" s="49" t="s">
        <v>840</v>
      </c>
      <c r="B687" s="29">
        <v>7</v>
      </c>
      <c r="C687" s="50">
        <v>29</v>
      </c>
      <c r="D687" s="50">
        <v>2</v>
      </c>
      <c r="E687" s="27" t="s">
        <v>43</v>
      </c>
      <c r="F687" s="29" t="s">
        <v>812</v>
      </c>
      <c r="G687" s="28">
        <v>678</v>
      </c>
      <c r="H687" s="29" t="s">
        <v>65</v>
      </c>
      <c r="I687" s="38" t="str">
        <f>Assumptions!$I$155</f>
        <v>B</v>
      </c>
      <c r="J687" s="29" t="str">
        <f>IF(D687&lt;=Assumptions!$V$155,"Low",IF(D687&lt;=Assumptions!$W$155,"Mid","High"))</f>
        <v>Low</v>
      </c>
      <c r="K687" s="51">
        <f>Assumptions!$Q$155</f>
        <v>2613</v>
      </c>
      <c r="L687" s="52">
        <f>INDEX(Assumptions!$D$61:$D$90,D687)</f>
        <v>2854.7538095238097</v>
      </c>
      <c r="M687" s="53">
        <f>IF(D687&lt;=Assumptions!$G$155,Assumptions!$AK$155,IF(D687&lt;Assumptions!$AH$155,Assumptions!$AK$155+(Assumptions!$AL$155-Assumptions!$AK$155)*(D687-Assumptions!$G$155)/(Assumptions!$AH$155-Assumptions!$G$155),IF(D687&lt;Assumptions!$P$155,Assumptions!$AL$155+(Assumptions!$AM$155-Assumptions!$AL$155)*(D687-Assumptions!$AH$155)/(Assumptions!$P$155-Assumptions!$AH$155),Assumptions!$AM$155)))</f>
        <v>-44505.494505494506</v>
      </c>
      <c r="N687" s="54">
        <f t="shared" si="20"/>
        <v>-65.642322279490415</v>
      </c>
      <c r="O687" s="55">
        <f t="shared" si="21"/>
        <v>2789</v>
      </c>
      <c r="P687" s="29" t="str">
        <f>IF(D687&gt;=Assumptions!$P$155,"High",IF(D687&gt;=Assumptions!$AH$155,"Mid",IF(D687&lt;=Assumptions!$G$155,"Low","Loading")))</f>
        <v>Loading</v>
      </c>
      <c r="Q687" s="39">
        <f>MAX(K687,MIN(Assumptions!$S$155,O687),Q688)</f>
        <v>2789</v>
      </c>
      <c r="R687" s="30">
        <f>IF(AND(Q687&lt;=K687,INDEX(Assumptions!$C$26:$C$36,MATCH(G687,Assumptions!$A$26:$A$36,0))&lt;&gt;""),INDEX(Assumptions!$C$26:$C$36,MATCH(G687,Assumptions!$A$26:$A$36,0)),ROUND(G687*Q687,-2))</f>
        <v>1890900</v>
      </c>
      <c r="S687" s="56" t="str">
        <f>TRIM(IF(AND(Assumptions!$L$155&lt;&gt;"",D687&lt;Assumptions!$L$155),"View blocked / roof in front ("&amp;Assumptions!$M$155&amp;"); view premium still loading until L"&amp;Assumptions!$L$155&amp;". ","")&amp;IF(D687=Assumptions!$AH$155,"Mid-floor view premium fully loaded. ","")&amp;IF(D687=Assumptions!$P$155,"High-floor view premium fully loaded. ","")&amp;IF(Q687&lt;=K687,"At developer starting price.",""))</f>
        <v>View blocked / roof in front (Wellness Pod Pavilion 1: 18% of view, 24.2 to 30.1m away); view premium still loading until L5.</v>
      </c>
      <c r="T687" s="57" t="str">
        <f>Assumptions!$AJ$155</f>
        <v>NW. Wellness Club, golf course, landed, nature reserve; Lower Peirce Reservoir from L20</v>
      </c>
    </row>
    <row r="688" spans="1:20" x14ac:dyDescent="0.2">
      <c r="A688" s="49" t="s">
        <v>841</v>
      </c>
      <c r="B688" s="29">
        <v>7</v>
      </c>
      <c r="C688" s="50">
        <v>29</v>
      </c>
      <c r="D688" s="50">
        <v>1</v>
      </c>
      <c r="E688" s="27" t="s">
        <v>43</v>
      </c>
      <c r="F688" s="29" t="s">
        <v>842</v>
      </c>
      <c r="G688" s="28">
        <v>678</v>
      </c>
      <c r="H688" s="29" t="s">
        <v>65</v>
      </c>
      <c r="I688" s="38" t="str">
        <f>Assumptions!$I$155</f>
        <v>B</v>
      </c>
      <c r="J688" s="29" t="str">
        <f>IF(D688&lt;=Assumptions!$V$155,"Low",IF(D688&lt;=Assumptions!$W$155,"Mid","High"))</f>
        <v>Low</v>
      </c>
      <c r="K688" s="51">
        <f>Assumptions!$Q$155</f>
        <v>2613</v>
      </c>
      <c r="L688" s="52">
        <f>INDEX(Assumptions!$D$61:$D$90,D688)</f>
        <v>2835.5490476190475</v>
      </c>
      <c r="M688" s="53">
        <f>IF(D688&lt;=Assumptions!$G$155,Assumptions!$AK$155,IF(D688&lt;Assumptions!$AH$155,Assumptions!$AK$155+(Assumptions!$AL$155-Assumptions!$AK$155)*(D688-Assumptions!$G$155)/(Assumptions!$AH$155-Assumptions!$G$155),IF(D688&lt;Assumptions!$P$155,Assumptions!$AL$155+(Assumptions!$AM$155-Assumptions!$AL$155)*(D688-Assumptions!$AH$155)/(Assumptions!$P$155-Assumptions!$AH$155),Assumptions!$AM$155)))</f>
        <v>-50000</v>
      </c>
      <c r="N688" s="54">
        <f t="shared" si="20"/>
        <v>-73.746312684365776</v>
      </c>
      <c r="O688" s="55">
        <f t="shared" si="21"/>
        <v>2762</v>
      </c>
      <c r="P688" s="29" t="str">
        <f>IF(D688&gt;=Assumptions!$P$155,"High",IF(D688&gt;=Assumptions!$AH$155,"Mid",IF(D688&lt;=Assumptions!$G$155,"Low","Loading")))</f>
        <v>Low</v>
      </c>
      <c r="Q688" s="39">
        <f>MAX(K688,MIN(Assumptions!$S$155,O688))</f>
        <v>2762</v>
      </c>
      <c r="R688" s="30">
        <f>IF(AND(Q688&lt;=K688,INDEX(Assumptions!$C$26:$C$36,MATCH(G688,Assumptions!$A$26:$A$36,0))&lt;&gt;""),INDEX(Assumptions!$C$26:$C$36,MATCH(G688,Assumptions!$A$26:$A$36,0)),ROUND(G688*Q688,-2))</f>
        <v>1872600</v>
      </c>
      <c r="S688" s="56" t="str">
        <f>TRIM(IF(AND(Assumptions!$L$155&lt;&gt;"",D688&lt;Assumptions!$L$155),"View blocked / roof in front ("&amp;Assumptions!$M$155&amp;"); view premium still loading until L"&amp;Assumptions!$L$155&amp;". ","")&amp;IF(D688=Assumptions!$AH$155,"Mid-floor view premium fully loaded. ","")&amp;IF(D688=Assumptions!$P$155,"High-floor view premium fully loaded. ","")&amp;IF(Q688&lt;=K688,"At developer starting price.",""))</f>
        <v>View blocked / roof in front (Wellness Pod Pavilion 1: 18% of view, 24.2 to 30.1m away); view premium still loading until L5.</v>
      </c>
      <c r="T688" s="57" t="str">
        <f>Assumptions!$AJ$155</f>
        <v>NW. Wellness Club, golf course, landed, nature reserve; Lower Peirce Reservoir from L20</v>
      </c>
    </row>
    <row r="689" spans="1:20" x14ac:dyDescent="0.2">
      <c r="A689" s="49" t="s">
        <v>843</v>
      </c>
      <c r="B689" s="29">
        <v>7</v>
      </c>
      <c r="C689" s="50">
        <v>30</v>
      </c>
      <c r="D689" s="50">
        <v>30</v>
      </c>
      <c r="E689" s="27" t="s">
        <v>43</v>
      </c>
      <c r="F689" s="29" t="s">
        <v>562</v>
      </c>
      <c r="G689" s="28">
        <v>678</v>
      </c>
      <c r="H689" s="29" t="s">
        <v>65</v>
      </c>
      <c r="I689" s="38" t="str">
        <f>Assumptions!$I$156</f>
        <v>B</v>
      </c>
      <c r="J689" s="29" t="str">
        <f>IF(D689&lt;=Assumptions!$V$156,"Low",IF(D689&lt;=Assumptions!$W$156,"Mid","High"))</f>
        <v>High</v>
      </c>
      <c r="K689" s="51">
        <f>Assumptions!$Q$156</f>
        <v>2613</v>
      </c>
      <c r="L689" s="52">
        <f>INDEX(Assumptions!$D$61:$D$90,D689)</f>
        <v>3334.23</v>
      </c>
      <c r="M689" s="53">
        <f>IF(D689&lt;=Assumptions!$G$156,Assumptions!$AK$156,IF(D689&lt;Assumptions!$AH$156,Assumptions!$AK$156+(Assumptions!$AL$156-Assumptions!$AK$156)*(D689-Assumptions!$G$156)/(Assumptions!$AH$156-Assumptions!$G$156),IF(D689&lt;Assumptions!$P$156,Assumptions!$AL$156+(Assumptions!$AM$156-Assumptions!$AL$156)*(D689-Assumptions!$AH$156)/(Assumptions!$P$156-Assumptions!$AH$156),Assumptions!$AM$156)))</f>
        <v>25000</v>
      </c>
      <c r="N689" s="54">
        <f t="shared" si="20"/>
        <v>36.873156342182888</v>
      </c>
      <c r="O689" s="55">
        <f t="shared" si="21"/>
        <v>3371</v>
      </c>
      <c r="P689" s="29" t="str">
        <f>IF(D689&gt;=Assumptions!$P$156,"High",IF(D689&gt;=Assumptions!$AH$156,"Mid",IF(D689&lt;=Assumptions!$G$156,"Low","Loading")))</f>
        <v>High</v>
      </c>
      <c r="Q689" s="39">
        <f>MAX(K689,MIN(Assumptions!$S$156,O689),Q690)</f>
        <v>3371</v>
      </c>
      <c r="R689" s="30">
        <f>IF(AND(Q689&lt;=K689,INDEX(Assumptions!$C$26:$C$36,MATCH(G689,Assumptions!$A$26:$A$36,0))&lt;&gt;""),INDEX(Assumptions!$C$26:$C$36,MATCH(G689,Assumptions!$A$26:$A$36,0)),ROUND(G689*Q689,-2))</f>
        <v>2285500</v>
      </c>
      <c r="S689" s="56" t="str">
        <f>TRIM(IF(AND(Assumptions!$L$156&lt;&gt;"",D689&lt;Assumptions!$L$156),"View blocked / roof in front ("&amp;Assumptions!$M$156&amp;"); view premium still loading until L"&amp;Assumptions!$L$156&amp;". ","")&amp;IF(D689=Assumptions!$AH$156,"Mid-floor view premium fully loaded. ","")&amp;IF(D689=Assumptions!$P$156,"High-floor view premium fully loaded. ","")&amp;IF(Q689&lt;=K689,"At developer starting price.",""))</f>
        <v/>
      </c>
      <c r="T689" s="57" t="str">
        <f>Assumptions!$AJ$156</f>
        <v>NW. Wellness Club, golf course, landed, nature reserve; Lower Peirce Reservoir from L20</v>
      </c>
    </row>
    <row r="690" spans="1:20" x14ac:dyDescent="0.2">
      <c r="A690" s="49" t="s">
        <v>844</v>
      </c>
      <c r="B690" s="29">
        <v>7</v>
      </c>
      <c r="C690" s="50">
        <v>30</v>
      </c>
      <c r="D690" s="50">
        <v>29</v>
      </c>
      <c r="E690" s="27" t="s">
        <v>43</v>
      </c>
      <c r="F690" s="29" t="s">
        <v>562</v>
      </c>
      <c r="G690" s="28">
        <v>678</v>
      </c>
      <c r="H690" s="29" t="s">
        <v>65</v>
      </c>
      <c r="I690" s="38" t="str">
        <f>Assumptions!$I$156</f>
        <v>B</v>
      </c>
      <c r="J690" s="29" t="str">
        <f>IF(D690&lt;=Assumptions!$V$156,"Low",IF(D690&lt;=Assumptions!$W$156,"Mid","High"))</f>
        <v>High</v>
      </c>
      <c r="K690" s="51">
        <f>Assumptions!$Q$156</f>
        <v>2613</v>
      </c>
      <c r="L690" s="52">
        <f>INDEX(Assumptions!$D$61:$D$90,D690)</f>
        <v>3321.4550000000004</v>
      </c>
      <c r="M690" s="53">
        <f>IF(D690&lt;=Assumptions!$G$156,Assumptions!$AK$156,IF(D690&lt;Assumptions!$AH$156,Assumptions!$AK$156+(Assumptions!$AL$156-Assumptions!$AK$156)*(D690-Assumptions!$G$156)/(Assumptions!$AH$156-Assumptions!$G$156),IF(D690&lt;Assumptions!$P$156,Assumptions!$AL$156+(Assumptions!$AM$156-Assumptions!$AL$156)*(D690-Assumptions!$AH$156)/(Assumptions!$P$156-Assumptions!$AH$156),Assumptions!$AM$156)))</f>
        <v>25000</v>
      </c>
      <c r="N690" s="54">
        <f t="shared" si="20"/>
        <v>36.873156342182888</v>
      </c>
      <c r="O690" s="55">
        <f t="shared" si="21"/>
        <v>3358</v>
      </c>
      <c r="P690" s="29" t="str">
        <f>IF(D690&gt;=Assumptions!$P$156,"High",IF(D690&gt;=Assumptions!$AH$156,"Mid",IF(D690&lt;=Assumptions!$G$156,"Low","Loading")))</f>
        <v>High</v>
      </c>
      <c r="Q690" s="39">
        <f>MAX(K690,MIN(Assumptions!$S$156,O690),Q691)</f>
        <v>3358</v>
      </c>
      <c r="R690" s="30">
        <f>IF(AND(Q690&lt;=K690,INDEX(Assumptions!$C$26:$C$36,MATCH(G690,Assumptions!$A$26:$A$36,0))&lt;&gt;""),INDEX(Assumptions!$C$26:$C$36,MATCH(G690,Assumptions!$A$26:$A$36,0)),ROUND(G690*Q690,-2))</f>
        <v>2276700</v>
      </c>
      <c r="S690" s="56" t="str">
        <f>TRIM(IF(AND(Assumptions!$L$156&lt;&gt;"",D690&lt;Assumptions!$L$156),"View blocked / roof in front ("&amp;Assumptions!$M$156&amp;"); view premium still loading until L"&amp;Assumptions!$L$156&amp;". ","")&amp;IF(D690=Assumptions!$AH$156,"Mid-floor view premium fully loaded. ","")&amp;IF(D690=Assumptions!$P$156,"High-floor view premium fully loaded. ","")&amp;IF(Q690&lt;=K690,"At developer starting price.",""))</f>
        <v/>
      </c>
      <c r="T690" s="57" t="str">
        <f>Assumptions!$AJ$156</f>
        <v>NW. Wellness Club, golf course, landed, nature reserve; Lower Peirce Reservoir from L20</v>
      </c>
    </row>
    <row r="691" spans="1:20" x14ac:dyDescent="0.2">
      <c r="A691" s="49" t="s">
        <v>845</v>
      </c>
      <c r="B691" s="29">
        <v>7</v>
      </c>
      <c r="C691" s="50">
        <v>30</v>
      </c>
      <c r="D691" s="50">
        <v>28</v>
      </c>
      <c r="E691" s="27" t="s">
        <v>43</v>
      </c>
      <c r="F691" s="29" t="s">
        <v>562</v>
      </c>
      <c r="G691" s="28">
        <v>678</v>
      </c>
      <c r="H691" s="29" t="s">
        <v>65</v>
      </c>
      <c r="I691" s="38" t="str">
        <f>Assumptions!$I$156</f>
        <v>B</v>
      </c>
      <c r="J691" s="29" t="str">
        <f>IF(D691&lt;=Assumptions!$V$156,"Low",IF(D691&lt;=Assumptions!$W$156,"Mid","High"))</f>
        <v>High</v>
      </c>
      <c r="K691" s="51">
        <f>Assumptions!$Q$156</f>
        <v>2613</v>
      </c>
      <c r="L691" s="52">
        <f>INDEX(Assumptions!$D$61:$D$90,D691)</f>
        <v>3308.6800000000003</v>
      </c>
      <c r="M691" s="53">
        <f>IF(D691&lt;=Assumptions!$G$156,Assumptions!$AK$156,IF(D691&lt;Assumptions!$AH$156,Assumptions!$AK$156+(Assumptions!$AL$156-Assumptions!$AK$156)*(D691-Assumptions!$G$156)/(Assumptions!$AH$156-Assumptions!$G$156),IF(D691&lt;Assumptions!$P$156,Assumptions!$AL$156+(Assumptions!$AM$156-Assumptions!$AL$156)*(D691-Assumptions!$AH$156)/(Assumptions!$P$156-Assumptions!$AH$156),Assumptions!$AM$156)))</f>
        <v>25000</v>
      </c>
      <c r="N691" s="54">
        <f t="shared" si="20"/>
        <v>36.873156342182888</v>
      </c>
      <c r="O691" s="55">
        <f t="shared" si="21"/>
        <v>3346</v>
      </c>
      <c r="P691" s="29" t="str">
        <f>IF(D691&gt;=Assumptions!$P$156,"High",IF(D691&gt;=Assumptions!$AH$156,"Mid",IF(D691&lt;=Assumptions!$G$156,"Low","Loading")))</f>
        <v>High</v>
      </c>
      <c r="Q691" s="39">
        <f>MAX(K691,MIN(Assumptions!$S$156,O691),Q692)</f>
        <v>3346</v>
      </c>
      <c r="R691" s="30">
        <f>IF(AND(Q691&lt;=K691,INDEX(Assumptions!$C$26:$C$36,MATCH(G691,Assumptions!$A$26:$A$36,0))&lt;&gt;""),INDEX(Assumptions!$C$26:$C$36,MATCH(G691,Assumptions!$A$26:$A$36,0)),ROUND(G691*Q691,-2))</f>
        <v>2268600</v>
      </c>
      <c r="S691" s="56" t="str">
        <f>TRIM(IF(AND(Assumptions!$L$156&lt;&gt;"",D691&lt;Assumptions!$L$156),"View blocked / roof in front ("&amp;Assumptions!$M$156&amp;"); view premium still loading until L"&amp;Assumptions!$L$156&amp;". ","")&amp;IF(D691=Assumptions!$AH$156,"Mid-floor view premium fully loaded. ","")&amp;IF(D691=Assumptions!$P$156,"High-floor view premium fully loaded. ","")&amp;IF(Q691&lt;=K691,"At developer starting price.",""))</f>
        <v/>
      </c>
      <c r="T691" s="57" t="str">
        <f>Assumptions!$AJ$156</f>
        <v>NW. Wellness Club, golf course, landed, nature reserve; Lower Peirce Reservoir from L20</v>
      </c>
    </row>
    <row r="692" spans="1:20" x14ac:dyDescent="0.2">
      <c r="A692" s="49" t="s">
        <v>846</v>
      </c>
      <c r="B692" s="29">
        <v>7</v>
      </c>
      <c r="C692" s="50">
        <v>30</v>
      </c>
      <c r="D692" s="50">
        <v>27</v>
      </c>
      <c r="E692" s="27" t="s">
        <v>43</v>
      </c>
      <c r="F692" s="29" t="s">
        <v>562</v>
      </c>
      <c r="G692" s="28">
        <v>678</v>
      </c>
      <c r="H692" s="29" t="s">
        <v>65</v>
      </c>
      <c r="I692" s="38" t="str">
        <f>Assumptions!$I$156</f>
        <v>B</v>
      </c>
      <c r="J692" s="29" t="str">
        <f>IF(D692&lt;=Assumptions!$V$156,"Low",IF(D692&lt;=Assumptions!$W$156,"Mid","High"))</f>
        <v>High</v>
      </c>
      <c r="K692" s="51">
        <f>Assumptions!$Q$156</f>
        <v>2613</v>
      </c>
      <c r="L692" s="52">
        <f>INDEX(Assumptions!$D$61:$D$90,D692)</f>
        <v>3295.9050000000002</v>
      </c>
      <c r="M692" s="53">
        <f>IF(D692&lt;=Assumptions!$G$156,Assumptions!$AK$156,IF(D692&lt;Assumptions!$AH$156,Assumptions!$AK$156+(Assumptions!$AL$156-Assumptions!$AK$156)*(D692-Assumptions!$G$156)/(Assumptions!$AH$156-Assumptions!$G$156),IF(D692&lt;Assumptions!$P$156,Assumptions!$AL$156+(Assumptions!$AM$156-Assumptions!$AL$156)*(D692-Assumptions!$AH$156)/(Assumptions!$P$156-Assumptions!$AH$156),Assumptions!$AM$156)))</f>
        <v>25000</v>
      </c>
      <c r="N692" s="54">
        <f t="shared" si="20"/>
        <v>36.873156342182888</v>
      </c>
      <c r="O692" s="55">
        <f t="shared" si="21"/>
        <v>3333</v>
      </c>
      <c r="P692" s="29" t="str">
        <f>IF(D692&gt;=Assumptions!$P$156,"High",IF(D692&gt;=Assumptions!$AH$156,"Mid",IF(D692&lt;=Assumptions!$G$156,"Low","Loading")))</f>
        <v>High</v>
      </c>
      <c r="Q692" s="39">
        <f>MAX(K692,MIN(Assumptions!$S$156,O692),Q693)</f>
        <v>3333</v>
      </c>
      <c r="R692" s="30">
        <f>IF(AND(Q692&lt;=K692,INDEX(Assumptions!$C$26:$C$36,MATCH(G692,Assumptions!$A$26:$A$36,0))&lt;&gt;""),INDEX(Assumptions!$C$26:$C$36,MATCH(G692,Assumptions!$A$26:$A$36,0)),ROUND(G692*Q692,-2))</f>
        <v>2259800</v>
      </c>
      <c r="S692" s="56" t="str">
        <f>TRIM(IF(AND(Assumptions!$L$156&lt;&gt;"",D692&lt;Assumptions!$L$156),"View blocked / roof in front ("&amp;Assumptions!$M$156&amp;"); view premium still loading until L"&amp;Assumptions!$L$156&amp;". ","")&amp;IF(D692=Assumptions!$AH$156,"Mid-floor view premium fully loaded. ","")&amp;IF(D692=Assumptions!$P$156,"High-floor view premium fully loaded. ","")&amp;IF(Q692&lt;=K692,"At developer starting price.",""))</f>
        <v/>
      </c>
      <c r="T692" s="57" t="str">
        <f>Assumptions!$AJ$156</f>
        <v>NW. Wellness Club, golf course, landed, nature reserve; Lower Peirce Reservoir from L20</v>
      </c>
    </row>
    <row r="693" spans="1:20" x14ac:dyDescent="0.2">
      <c r="A693" s="49" t="s">
        <v>847</v>
      </c>
      <c r="B693" s="29">
        <v>7</v>
      </c>
      <c r="C693" s="50">
        <v>30</v>
      </c>
      <c r="D693" s="50">
        <v>26</v>
      </c>
      <c r="E693" s="27" t="s">
        <v>43</v>
      </c>
      <c r="F693" s="29" t="s">
        <v>562</v>
      </c>
      <c r="G693" s="28">
        <v>678</v>
      </c>
      <c r="H693" s="29" t="s">
        <v>65</v>
      </c>
      <c r="I693" s="38" t="str">
        <f>Assumptions!$I$156</f>
        <v>B</v>
      </c>
      <c r="J693" s="29" t="str">
        <f>IF(D693&lt;=Assumptions!$V$156,"Low",IF(D693&lt;=Assumptions!$W$156,"Mid","High"))</f>
        <v>High</v>
      </c>
      <c r="K693" s="51">
        <f>Assumptions!$Q$156</f>
        <v>2613</v>
      </c>
      <c r="L693" s="52">
        <f>INDEX(Assumptions!$D$61:$D$90,D693)</f>
        <v>3283.13</v>
      </c>
      <c r="M693" s="53">
        <f>IF(D693&lt;=Assumptions!$G$156,Assumptions!$AK$156,IF(D693&lt;Assumptions!$AH$156,Assumptions!$AK$156+(Assumptions!$AL$156-Assumptions!$AK$156)*(D693-Assumptions!$G$156)/(Assumptions!$AH$156-Assumptions!$G$156),IF(D693&lt;Assumptions!$P$156,Assumptions!$AL$156+(Assumptions!$AM$156-Assumptions!$AL$156)*(D693-Assumptions!$AH$156)/(Assumptions!$P$156-Assumptions!$AH$156),Assumptions!$AM$156)))</f>
        <v>25000</v>
      </c>
      <c r="N693" s="54">
        <f t="shared" si="20"/>
        <v>36.873156342182888</v>
      </c>
      <c r="O693" s="55">
        <f t="shared" si="21"/>
        <v>3320</v>
      </c>
      <c r="P693" s="29" t="str">
        <f>IF(D693&gt;=Assumptions!$P$156,"High",IF(D693&gt;=Assumptions!$AH$156,"Mid",IF(D693&lt;=Assumptions!$G$156,"Low","Loading")))</f>
        <v>High</v>
      </c>
      <c r="Q693" s="39">
        <f>MAX(K693,MIN(Assumptions!$S$156,O693),Q694)</f>
        <v>3320</v>
      </c>
      <c r="R693" s="30">
        <f>IF(AND(Q693&lt;=K693,INDEX(Assumptions!$C$26:$C$36,MATCH(G693,Assumptions!$A$26:$A$36,0))&lt;&gt;""),INDEX(Assumptions!$C$26:$C$36,MATCH(G693,Assumptions!$A$26:$A$36,0)),ROUND(G693*Q693,-2))</f>
        <v>2251000</v>
      </c>
      <c r="S693" s="56" t="str">
        <f>TRIM(IF(AND(Assumptions!$L$156&lt;&gt;"",D693&lt;Assumptions!$L$156),"View blocked / roof in front ("&amp;Assumptions!$M$156&amp;"); view premium still loading until L"&amp;Assumptions!$L$156&amp;". ","")&amp;IF(D693=Assumptions!$AH$156,"Mid-floor view premium fully loaded. ","")&amp;IF(D693=Assumptions!$P$156,"High-floor view premium fully loaded. ","")&amp;IF(Q693&lt;=K693,"At developer starting price.",""))</f>
        <v/>
      </c>
      <c r="T693" s="57" t="str">
        <f>Assumptions!$AJ$156</f>
        <v>NW. Wellness Club, golf course, landed, nature reserve; Lower Peirce Reservoir from L20</v>
      </c>
    </row>
    <row r="694" spans="1:20" x14ac:dyDescent="0.2">
      <c r="A694" s="49" t="s">
        <v>848</v>
      </c>
      <c r="B694" s="29">
        <v>7</v>
      </c>
      <c r="C694" s="50">
        <v>30</v>
      </c>
      <c r="D694" s="50">
        <v>25</v>
      </c>
      <c r="E694" s="27" t="s">
        <v>43</v>
      </c>
      <c r="F694" s="29" t="s">
        <v>562</v>
      </c>
      <c r="G694" s="28">
        <v>678</v>
      </c>
      <c r="H694" s="29" t="s">
        <v>65</v>
      </c>
      <c r="I694" s="38" t="str">
        <f>Assumptions!$I$156</f>
        <v>B</v>
      </c>
      <c r="J694" s="29" t="str">
        <f>IF(D694&lt;=Assumptions!$V$156,"Low",IF(D694&lt;=Assumptions!$W$156,"Mid","High"))</f>
        <v>High</v>
      </c>
      <c r="K694" s="51">
        <f>Assumptions!$Q$156</f>
        <v>2613</v>
      </c>
      <c r="L694" s="52">
        <f>INDEX(Assumptions!$D$61:$D$90,D694)</f>
        <v>3270.355</v>
      </c>
      <c r="M694" s="53">
        <f>IF(D694&lt;=Assumptions!$G$156,Assumptions!$AK$156,IF(D694&lt;Assumptions!$AH$156,Assumptions!$AK$156+(Assumptions!$AL$156-Assumptions!$AK$156)*(D694-Assumptions!$G$156)/(Assumptions!$AH$156-Assumptions!$G$156),IF(D694&lt;Assumptions!$P$156,Assumptions!$AL$156+(Assumptions!$AM$156-Assumptions!$AL$156)*(D694-Assumptions!$AH$156)/(Assumptions!$P$156-Assumptions!$AH$156),Assumptions!$AM$156)))</f>
        <v>25000</v>
      </c>
      <c r="N694" s="54">
        <f t="shared" si="20"/>
        <v>36.873156342182888</v>
      </c>
      <c r="O694" s="55">
        <f t="shared" si="21"/>
        <v>3307</v>
      </c>
      <c r="P694" s="29" t="str">
        <f>IF(D694&gt;=Assumptions!$P$156,"High",IF(D694&gt;=Assumptions!$AH$156,"Mid",IF(D694&lt;=Assumptions!$G$156,"Low","Loading")))</f>
        <v>High</v>
      </c>
      <c r="Q694" s="39">
        <f>MAX(K694,MIN(Assumptions!$S$156,O694),Q695)</f>
        <v>3307</v>
      </c>
      <c r="R694" s="30">
        <f>IF(AND(Q694&lt;=K694,INDEX(Assumptions!$C$26:$C$36,MATCH(G694,Assumptions!$A$26:$A$36,0))&lt;&gt;""),INDEX(Assumptions!$C$26:$C$36,MATCH(G694,Assumptions!$A$26:$A$36,0)),ROUND(G694*Q694,-2))</f>
        <v>2242100</v>
      </c>
      <c r="S694" s="56" t="str">
        <f>TRIM(IF(AND(Assumptions!$L$156&lt;&gt;"",D694&lt;Assumptions!$L$156),"View blocked / roof in front ("&amp;Assumptions!$M$156&amp;"); view premium still loading until L"&amp;Assumptions!$L$156&amp;". ","")&amp;IF(D694=Assumptions!$AH$156,"Mid-floor view premium fully loaded. ","")&amp;IF(D694=Assumptions!$P$156,"High-floor view premium fully loaded. ","")&amp;IF(Q694&lt;=K694,"At developer starting price.",""))</f>
        <v/>
      </c>
      <c r="T694" s="57" t="str">
        <f>Assumptions!$AJ$156</f>
        <v>NW. Wellness Club, golf course, landed, nature reserve; Lower Peirce Reservoir from L20</v>
      </c>
    </row>
    <row r="695" spans="1:20" x14ac:dyDescent="0.2">
      <c r="A695" s="49" t="s">
        <v>849</v>
      </c>
      <c r="B695" s="29">
        <v>7</v>
      </c>
      <c r="C695" s="50">
        <v>30</v>
      </c>
      <c r="D695" s="50">
        <v>24</v>
      </c>
      <c r="E695" s="27" t="s">
        <v>43</v>
      </c>
      <c r="F695" s="29" t="s">
        <v>562</v>
      </c>
      <c r="G695" s="28">
        <v>678</v>
      </c>
      <c r="H695" s="29" t="s">
        <v>65</v>
      </c>
      <c r="I695" s="38" t="str">
        <f>Assumptions!$I$156</f>
        <v>B</v>
      </c>
      <c r="J695" s="29" t="str">
        <f>IF(D695&lt;=Assumptions!$V$156,"Low",IF(D695&lt;=Assumptions!$W$156,"Mid","High"))</f>
        <v>High</v>
      </c>
      <c r="K695" s="51">
        <f>Assumptions!$Q$156</f>
        <v>2613</v>
      </c>
      <c r="L695" s="52">
        <f>INDEX(Assumptions!$D$61:$D$90,D695)</f>
        <v>3257.58</v>
      </c>
      <c r="M695" s="53">
        <f>IF(D695&lt;=Assumptions!$G$156,Assumptions!$AK$156,IF(D695&lt;Assumptions!$AH$156,Assumptions!$AK$156+(Assumptions!$AL$156-Assumptions!$AK$156)*(D695-Assumptions!$G$156)/(Assumptions!$AH$156-Assumptions!$G$156),IF(D695&lt;Assumptions!$P$156,Assumptions!$AL$156+(Assumptions!$AM$156-Assumptions!$AL$156)*(D695-Assumptions!$AH$156)/(Assumptions!$P$156-Assumptions!$AH$156),Assumptions!$AM$156)))</f>
        <v>25000</v>
      </c>
      <c r="N695" s="54">
        <f t="shared" si="20"/>
        <v>36.873156342182888</v>
      </c>
      <c r="O695" s="55">
        <f t="shared" si="21"/>
        <v>3294</v>
      </c>
      <c r="P695" s="29" t="str">
        <f>IF(D695&gt;=Assumptions!$P$156,"High",IF(D695&gt;=Assumptions!$AH$156,"Mid",IF(D695&lt;=Assumptions!$G$156,"Low","Loading")))</f>
        <v>High</v>
      </c>
      <c r="Q695" s="39">
        <f>MAX(K695,MIN(Assumptions!$S$156,O695),Q696)</f>
        <v>3294</v>
      </c>
      <c r="R695" s="30">
        <f>IF(AND(Q695&lt;=K695,INDEX(Assumptions!$C$26:$C$36,MATCH(G695,Assumptions!$A$26:$A$36,0))&lt;&gt;""),INDEX(Assumptions!$C$26:$C$36,MATCH(G695,Assumptions!$A$26:$A$36,0)),ROUND(G695*Q695,-2))</f>
        <v>2233300</v>
      </c>
      <c r="S695" s="56" t="str">
        <f>TRIM(IF(AND(Assumptions!$L$156&lt;&gt;"",D695&lt;Assumptions!$L$156),"View blocked / roof in front ("&amp;Assumptions!$M$156&amp;"); view premium still loading until L"&amp;Assumptions!$L$156&amp;". ","")&amp;IF(D695=Assumptions!$AH$156,"Mid-floor view premium fully loaded. ","")&amp;IF(D695=Assumptions!$P$156,"High-floor view premium fully loaded. ","")&amp;IF(Q695&lt;=K695,"At developer starting price.",""))</f>
        <v/>
      </c>
      <c r="T695" s="57" t="str">
        <f>Assumptions!$AJ$156</f>
        <v>NW. Wellness Club, golf course, landed, nature reserve; Lower Peirce Reservoir from L20</v>
      </c>
    </row>
    <row r="696" spans="1:20" x14ac:dyDescent="0.2">
      <c r="A696" s="49" t="s">
        <v>850</v>
      </c>
      <c r="B696" s="29">
        <v>7</v>
      </c>
      <c r="C696" s="50">
        <v>30</v>
      </c>
      <c r="D696" s="50">
        <v>23</v>
      </c>
      <c r="E696" s="27" t="s">
        <v>43</v>
      </c>
      <c r="F696" s="29" t="s">
        <v>562</v>
      </c>
      <c r="G696" s="28">
        <v>678</v>
      </c>
      <c r="H696" s="29" t="s">
        <v>65</v>
      </c>
      <c r="I696" s="38" t="str">
        <f>Assumptions!$I$156</f>
        <v>B</v>
      </c>
      <c r="J696" s="29" t="str">
        <f>IF(D696&lt;=Assumptions!$V$156,"Low",IF(D696&lt;=Assumptions!$W$156,"Mid","High"))</f>
        <v>High</v>
      </c>
      <c r="K696" s="51">
        <f>Assumptions!$Q$156</f>
        <v>2613</v>
      </c>
      <c r="L696" s="52">
        <f>INDEX(Assumptions!$D$61:$D$90,D696)</f>
        <v>3244.8049999999998</v>
      </c>
      <c r="M696" s="53">
        <f>IF(D696&lt;=Assumptions!$G$156,Assumptions!$AK$156,IF(D696&lt;Assumptions!$AH$156,Assumptions!$AK$156+(Assumptions!$AL$156-Assumptions!$AK$156)*(D696-Assumptions!$G$156)/(Assumptions!$AH$156-Assumptions!$G$156),IF(D696&lt;Assumptions!$P$156,Assumptions!$AL$156+(Assumptions!$AM$156-Assumptions!$AL$156)*(D696-Assumptions!$AH$156)/(Assumptions!$P$156-Assumptions!$AH$156),Assumptions!$AM$156)))</f>
        <v>25000</v>
      </c>
      <c r="N696" s="54">
        <f t="shared" si="20"/>
        <v>36.873156342182888</v>
      </c>
      <c r="O696" s="55">
        <f t="shared" si="21"/>
        <v>3282</v>
      </c>
      <c r="P696" s="29" t="str">
        <f>IF(D696&gt;=Assumptions!$P$156,"High",IF(D696&gt;=Assumptions!$AH$156,"Mid",IF(D696&lt;=Assumptions!$G$156,"Low","Loading")))</f>
        <v>High</v>
      </c>
      <c r="Q696" s="39">
        <f>MAX(K696,MIN(Assumptions!$S$156,O696),Q697)</f>
        <v>3282</v>
      </c>
      <c r="R696" s="30">
        <f>IF(AND(Q696&lt;=K696,INDEX(Assumptions!$C$26:$C$36,MATCH(G696,Assumptions!$A$26:$A$36,0))&lt;&gt;""),INDEX(Assumptions!$C$26:$C$36,MATCH(G696,Assumptions!$A$26:$A$36,0)),ROUND(G696*Q696,-2))</f>
        <v>2225200</v>
      </c>
      <c r="S696" s="56" t="str">
        <f>TRIM(IF(AND(Assumptions!$L$156&lt;&gt;"",D696&lt;Assumptions!$L$156),"View blocked / roof in front ("&amp;Assumptions!$M$156&amp;"); view premium still loading until L"&amp;Assumptions!$L$156&amp;". ","")&amp;IF(D696=Assumptions!$AH$156,"Mid-floor view premium fully loaded. ","")&amp;IF(D696=Assumptions!$P$156,"High-floor view premium fully loaded. ","")&amp;IF(Q696&lt;=K696,"At developer starting price.",""))</f>
        <v/>
      </c>
      <c r="T696" s="57" t="str">
        <f>Assumptions!$AJ$156</f>
        <v>NW. Wellness Club, golf course, landed, nature reserve; Lower Peirce Reservoir from L20</v>
      </c>
    </row>
    <row r="697" spans="1:20" x14ac:dyDescent="0.2">
      <c r="A697" s="49" t="s">
        <v>851</v>
      </c>
      <c r="B697" s="29">
        <v>7</v>
      </c>
      <c r="C697" s="50">
        <v>30</v>
      </c>
      <c r="D697" s="50">
        <v>22</v>
      </c>
      <c r="E697" s="27" t="s">
        <v>43</v>
      </c>
      <c r="F697" s="29" t="s">
        <v>562</v>
      </c>
      <c r="G697" s="28">
        <v>678</v>
      </c>
      <c r="H697" s="29" t="s">
        <v>65</v>
      </c>
      <c r="I697" s="38" t="str">
        <f>Assumptions!$I$156</f>
        <v>B</v>
      </c>
      <c r="J697" s="29" t="str">
        <f>IF(D697&lt;=Assumptions!$V$156,"Low",IF(D697&lt;=Assumptions!$W$156,"Mid","High"))</f>
        <v>High</v>
      </c>
      <c r="K697" s="51">
        <f>Assumptions!$Q$156</f>
        <v>2613</v>
      </c>
      <c r="L697" s="52">
        <f>INDEX(Assumptions!$D$61:$D$90,D697)</f>
        <v>3232.03</v>
      </c>
      <c r="M697" s="53">
        <f>IF(D697&lt;=Assumptions!$G$156,Assumptions!$AK$156,IF(D697&lt;Assumptions!$AH$156,Assumptions!$AK$156+(Assumptions!$AL$156-Assumptions!$AK$156)*(D697-Assumptions!$G$156)/(Assumptions!$AH$156-Assumptions!$G$156),IF(D697&lt;Assumptions!$P$156,Assumptions!$AL$156+(Assumptions!$AM$156-Assumptions!$AL$156)*(D697-Assumptions!$AH$156)/(Assumptions!$P$156-Assumptions!$AH$156),Assumptions!$AM$156)))</f>
        <v>25000</v>
      </c>
      <c r="N697" s="54">
        <f t="shared" si="20"/>
        <v>36.873156342182888</v>
      </c>
      <c r="O697" s="55">
        <f t="shared" si="21"/>
        <v>3269</v>
      </c>
      <c r="P697" s="29" t="str">
        <f>IF(D697&gt;=Assumptions!$P$156,"High",IF(D697&gt;=Assumptions!$AH$156,"Mid",IF(D697&lt;=Assumptions!$G$156,"Low","Loading")))</f>
        <v>High</v>
      </c>
      <c r="Q697" s="39">
        <f>MAX(K697,MIN(Assumptions!$S$156,O697),Q698)</f>
        <v>3269</v>
      </c>
      <c r="R697" s="30">
        <f>IF(AND(Q697&lt;=K697,INDEX(Assumptions!$C$26:$C$36,MATCH(G697,Assumptions!$A$26:$A$36,0))&lt;&gt;""),INDEX(Assumptions!$C$26:$C$36,MATCH(G697,Assumptions!$A$26:$A$36,0)),ROUND(G697*Q697,-2))</f>
        <v>2216400</v>
      </c>
      <c r="S697" s="56" t="str">
        <f>TRIM(IF(AND(Assumptions!$L$156&lt;&gt;"",D697&lt;Assumptions!$L$156),"View blocked / roof in front ("&amp;Assumptions!$M$156&amp;"); view premium still loading until L"&amp;Assumptions!$L$156&amp;". ","")&amp;IF(D697=Assumptions!$AH$156,"Mid-floor view premium fully loaded. ","")&amp;IF(D697=Assumptions!$P$156,"High-floor view premium fully loaded. ","")&amp;IF(Q697&lt;=K697,"At developer starting price.",""))</f>
        <v/>
      </c>
      <c r="T697" s="57" t="str">
        <f>Assumptions!$AJ$156</f>
        <v>NW. Wellness Club, golf course, landed, nature reserve; Lower Peirce Reservoir from L20</v>
      </c>
    </row>
    <row r="698" spans="1:20" x14ac:dyDescent="0.2">
      <c r="A698" s="49" t="s">
        <v>852</v>
      </c>
      <c r="B698" s="29">
        <v>7</v>
      </c>
      <c r="C698" s="50">
        <v>30</v>
      </c>
      <c r="D698" s="50">
        <v>21</v>
      </c>
      <c r="E698" s="27" t="s">
        <v>43</v>
      </c>
      <c r="F698" s="29" t="s">
        <v>562</v>
      </c>
      <c r="G698" s="28">
        <v>678</v>
      </c>
      <c r="H698" s="29" t="s">
        <v>65</v>
      </c>
      <c r="I698" s="38" t="str">
        <f>Assumptions!$I$156</f>
        <v>B</v>
      </c>
      <c r="J698" s="29" t="str">
        <f>IF(D698&lt;=Assumptions!$V$156,"Low",IF(D698&lt;=Assumptions!$W$156,"Mid","High"))</f>
        <v>Mid</v>
      </c>
      <c r="K698" s="51">
        <f>Assumptions!$Q$156</f>
        <v>2613</v>
      </c>
      <c r="L698" s="52">
        <f>INDEX(Assumptions!$D$61:$D$90,D698)</f>
        <v>3219.2550000000001</v>
      </c>
      <c r="M698" s="53">
        <f>IF(D698&lt;=Assumptions!$G$156,Assumptions!$AK$156,IF(D698&lt;Assumptions!$AH$156,Assumptions!$AK$156+(Assumptions!$AL$156-Assumptions!$AK$156)*(D698-Assumptions!$G$156)/(Assumptions!$AH$156-Assumptions!$G$156),IF(D698&lt;Assumptions!$P$156,Assumptions!$AL$156+(Assumptions!$AM$156-Assumptions!$AL$156)*(D698-Assumptions!$AH$156)/(Assumptions!$P$156-Assumptions!$AH$156),Assumptions!$AM$156)))</f>
        <v>25000</v>
      </c>
      <c r="N698" s="54">
        <f t="shared" si="20"/>
        <v>36.873156342182888</v>
      </c>
      <c r="O698" s="55">
        <f t="shared" si="21"/>
        <v>3256</v>
      </c>
      <c r="P698" s="29" t="str">
        <f>IF(D698&gt;=Assumptions!$P$156,"High",IF(D698&gt;=Assumptions!$AH$156,"Mid",IF(D698&lt;=Assumptions!$G$156,"Low","Loading")))</f>
        <v>High</v>
      </c>
      <c r="Q698" s="39">
        <f>MAX(K698,MIN(Assumptions!$S$156,O698),Q699)</f>
        <v>3256</v>
      </c>
      <c r="R698" s="30">
        <f>IF(AND(Q698&lt;=K698,INDEX(Assumptions!$C$26:$C$36,MATCH(G698,Assumptions!$A$26:$A$36,0))&lt;&gt;""),INDEX(Assumptions!$C$26:$C$36,MATCH(G698,Assumptions!$A$26:$A$36,0)),ROUND(G698*Q698,-2))</f>
        <v>2207600</v>
      </c>
      <c r="S698" s="56" t="str">
        <f>TRIM(IF(AND(Assumptions!$L$156&lt;&gt;"",D698&lt;Assumptions!$L$156),"View blocked / roof in front ("&amp;Assumptions!$M$156&amp;"); view premium still loading until L"&amp;Assumptions!$L$156&amp;". ","")&amp;IF(D698=Assumptions!$AH$156,"Mid-floor view premium fully loaded. ","")&amp;IF(D698=Assumptions!$P$156,"High-floor view premium fully loaded. ","")&amp;IF(Q698&lt;=K698,"At developer starting price.",""))</f>
        <v/>
      </c>
      <c r="T698" s="57" t="str">
        <f>Assumptions!$AJ$156</f>
        <v>NW. Wellness Club, golf course, landed, nature reserve; Lower Peirce Reservoir from L20</v>
      </c>
    </row>
    <row r="699" spans="1:20" x14ac:dyDescent="0.2">
      <c r="A699" s="49" t="s">
        <v>853</v>
      </c>
      <c r="B699" s="29">
        <v>7</v>
      </c>
      <c r="C699" s="50">
        <v>30</v>
      </c>
      <c r="D699" s="50">
        <v>20</v>
      </c>
      <c r="E699" s="27" t="s">
        <v>43</v>
      </c>
      <c r="F699" s="29" t="s">
        <v>562</v>
      </c>
      <c r="G699" s="28">
        <v>678</v>
      </c>
      <c r="H699" s="29" t="s">
        <v>65</v>
      </c>
      <c r="I699" s="38" t="str">
        <f>Assumptions!$I$156</f>
        <v>B</v>
      </c>
      <c r="J699" s="29" t="str">
        <f>IF(D699&lt;=Assumptions!$V$156,"Low",IF(D699&lt;=Assumptions!$W$156,"Mid","High"))</f>
        <v>Mid</v>
      </c>
      <c r="K699" s="51">
        <f>Assumptions!$Q$156</f>
        <v>2613</v>
      </c>
      <c r="L699" s="52">
        <f>INDEX(Assumptions!$D$61:$D$90,D699)</f>
        <v>3200.18</v>
      </c>
      <c r="M699" s="53">
        <f>IF(D699&lt;=Assumptions!$G$156,Assumptions!$AK$156,IF(D699&lt;Assumptions!$AH$156,Assumptions!$AK$156+(Assumptions!$AL$156-Assumptions!$AK$156)*(D699-Assumptions!$G$156)/(Assumptions!$AH$156-Assumptions!$G$156),IF(D699&lt;Assumptions!$P$156,Assumptions!$AL$156+(Assumptions!$AM$156-Assumptions!$AL$156)*(D699-Assumptions!$AH$156)/(Assumptions!$P$156-Assumptions!$AH$156),Assumptions!$AM$156)))</f>
        <v>25000</v>
      </c>
      <c r="N699" s="54">
        <f t="shared" si="20"/>
        <v>36.873156342182888</v>
      </c>
      <c r="O699" s="55">
        <f t="shared" si="21"/>
        <v>3237</v>
      </c>
      <c r="P699" s="29" t="str">
        <f>IF(D699&gt;=Assumptions!$P$156,"High",IF(D699&gt;=Assumptions!$AH$156,"Mid",IF(D699&lt;=Assumptions!$G$156,"Low","Loading")))</f>
        <v>High</v>
      </c>
      <c r="Q699" s="39">
        <f>MAX(K699,MIN(Assumptions!$S$156,O699),Q700)</f>
        <v>3237</v>
      </c>
      <c r="R699" s="30">
        <f>IF(AND(Q699&lt;=K699,INDEX(Assumptions!$C$26:$C$36,MATCH(G699,Assumptions!$A$26:$A$36,0))&lt;&gt;""),INDEX(Assumptions!$C$26:$C$36,MATCH(G699,Assumptions!$A$26:$A$36,0)),ROUND(G699*Q699,-2))</f>
        <v>2194700</v>
      </c>
      <c r="S699" s="56" t="str">
        <f>TRIM(IF(AND(Assumptions!$L$156&lt;&gt;"",D699&lt;Assumptions!$L$156),"View blocked / roof in front ("&amp;Assumptions!$M$156&amp;"); view premium still loading until L"&amp;Assumptions!$L$156&amp;". ","")&amp;IF(D699=Assumptions!$AH$156,"Mid-floor view premium fully loaded. ","")&amp;IF(D699=Assumptions!$P$156,"High-floor view premium fully loaded. ","")&amp;IF(Q699&lt;=K699,"At developer starting price.",""))</f>
        <v>High-floor view premium fully loaded.</v>
      </c>
      <c r="T699" s="57" t="str">
        <f>Assumptions!$AJ$156</f>
        <v>NW. Wellness Club, golf course, landed, nature reserve; Lower Peirce Reservoir from L20</v>
      </c>
    </row>
    <row r="700" spans="1:20" x14ac:dyDescent="0.2">
      <c r="A700" s="49" t="s">
        <v>854</v>
      </c>
      <c r="B700" s="29">
        <v>7</v>
      </c>
      <c r="C700" s="50">
        <v>30</v>
      </c>
      <c r="D700" s="50">
        <v>19</v>
      </c>
      <c r="E700" s="27" t="s">
        <v>43</v>
      </c>
      <c r="F700" s="29" t="s">
        <v>562</v>
      </c>
      <c r="G700" s="28">
        <v>678</v>
      </c>
      <c r="H700" s="29" t="s">
        <v>65</v>
      </c>
      <c r="I700" s="38" t="str">
        <f>Assumptions!$I$156</f>
        <v>B</v>
      </c>
      <c r="J700" s="29" t="str">
        <f>IF(D700&lt;=Assumptions!$V$156,"Low",IF(D700&lt;=Assumptions!$W$156,"Mid","High"))</f>
        <v>Mid</v>
      </c>
      <c r="K700" s="51">
        <f>Assumptions!$Q$156</f>
        <v>2613</v>
      </c>
      <c r="L700" s="52">
        <f>INDEX(Assumptions!$D$61:$D$90,D700)</f>
        <v>3181.105</v>
      </c>
      <c r="M700" s="53">
        <f>IF(D700&lt;=Assumptions!$G$156,Assumptions!$AK$156,IF(D700&lt;Assumptions!$AH$156,Assumptions!$AK$156+(Assumptions!$AL$156-Assumptions!$AK$156)*(D700-Assumptions!$G$156)/(Assumptions!$AH$156-Assumptions!$G$156),IF(D700&lt;Assumptions!$P$156,Assumptions!$AL$156+(Assumptions!$AM$156-Assumptions!$AL$156)*(D700-Assumptions!$AH$156)/(Assumptions!$P$156-Assumptions!$AH$156),Assumptions!$AM$156)))</f>
        <v>25384.615384615383</v>
      </c>
      <c r="N700" s="54">
        <f t="shared" si="20"/>
        <v>37.440435670524167</v>
      </c>
      <c r="O700" s="55">
        <f t="shared" si="21"/>
        <v>3219</v>
      </c>
      <c r="P700" s="29" t="str">
        <f>IF(D700&gt;=Assumptions!$P$156,"High",IF(D700&gt;=Assumptions!$AH$156,"Mid",IF(D700&lt;=Assumptions!$G$156,"Low","Loading")))</f>
        <v>Mid</v>
      </c>
      <c r="Q700" s="39">
        <f>MAX(K700,MIN(Assumptions!$S$156,O700),Q701)</f>
        <v>3219</v>
      </c>
      <c r="R700" s="30">
        <f>IF(AND(Q700&lt;=K700,INDEX(Assumptions!$C$26:$C$36,MATCH(G700,Assumptions!$A$26:$A$36,0))&lt;&gt;""),INDEX(Assumptions!$C$26:$C$36,MATCH(G700,Assumptions!$A$26:$A$36,0)),ROUND(G700*Q700,-2))</f>
        <v>2182500</v>
      </c>
      <c r="S700" s="56" t="str">
        <f>TRIM(IF(AND(Assumptions!$L$156&lt;&gt;"",D700&lt;Assumptions!$L$156),"View blocked / roof in front ("&amp;Assumptions!$M$156&amp;"); view premium still loading until L"&amp;Assumptions!$L$156&amp;". ","")&amp;IF(D700=Assumptions!$AH$156,"Mid-floor view premium fully loaded. ","")&amp;IF(D700=Assumptions!$P$156,"High-floor view premium fully loaded. ","")&amp;IF(Q700&lt;=K700,"At developer starting price.",""))</f>
        <v/>
      </c>
      <c r="T700" s="57" t="str">
        <f>Assumptions!$AJ$156</f>
        <v>NW. Wellness Club, golf course, landed, nature reserve; Lower Peirce Reservoir from L20</v>
      </c>
    </row>
    <row r="701" spans="1:20" x14ac:dyDescent="0.2">
      <c r="A701" s="49" t="s">
        <v>855</v>
      </c>
      <c r="B701" s="29">
        <v>7</v>
      </c>
      <c r="C701" s="50">
        <v>30</v>
      </c>
      <c r="D701" s="50">
        <v>18</v>
      </c>
      <c r="E701" s="27" t="s">
        <v>43</v>
      </c>
      <c r="F701" s="29" t="s">
        <v>562</v>
      </c>
      <c r="G701" s="28">
        <v>678</v>
      </c>
      <c r="H701" s="29" t="s">
        <v>65</v>
      </c>
      <c r="I701" s="38" t="str">
        <f>Assumptions!$I$156</f>
        <v>B</v>
      </c>
      <c r="J701" s="29" t="str">
        <f>IF(D701&lt;=Assumptions!$V$156,"Low",IF(D701&lt;=Assumptions!$W$156,"Mid","High"))</f>
        <v>Mid</v>
      </c>
      <c r="K701" s="51">
        <f>Assumptions!$Q$156</f>
        <v>2613</v>
      </c>
      <c r="L701" s="52">
        <f>INDEX(Assumptions!$D$61:$D$90,D701)</f>
        <v>3162.0299999999997</v>
      </c>
      <c r="M701" s="53">
        <f>IF(D701&lt;=Assumptions!$G$156,Assumptions!$AK$156,IF(D701&lt;Assumptions!$AH$156,Assumptions!$AK$156+(Assumptions!$AL$156-Assumptions!$AK$156)*(D701-Assumptions!$G$156)/(Assumptions!$AH$156-Assumptions!$G$156),IF(D701&lt;Assumptions!$P$156,Assumptions!$AL$156+(Assumptions!$AM$156-Assumptions!$AL$156)*(D701-Assumptions!$AH$156)/(Assumptions!$P$156-Assumptions!$AH$156),Assumptions!$AM$156)))</f>
        <v>25769.23076923077</v>
      </c>
      <c r="N701" s="54">
        <f t="shared" si="20"/>
        <v>38.007714998865438</v>
      </c>
      <c r="O701" s="55">
        <f t="shared" si="21"/>
        <v>3200</v>
      </c>
      <c r="P701" s="29" t="str">
        <f>IF(D701&gt;=Assumptions!$P$156,"High",IF(D701&gt;=Assumptions!$AH$156,"Mid",IF(D701&lt;=Assumptions!$G$156,"Low","Loading")))</f>
        <v>Mid</v>
      </c>
      <c r="Q701" s="39">
        <f>MAX(K701,MIN(Assumptions!$S$156,O701),Q702)</f>
        <v>3200</v>
      </c>
      <c r="R701" s="30">
        <f>IF(AND(Q701&lt;=K701,INDEX(Assumptions!$C$26:$C$36,MATCH(G701,Assumptions!$A$26:$A$36,0))&lt;&gt;""),INDEX(Assumptions!$C$26:$C$36,MATCH(G701,Assumptions!$A$26:$A$36,0)),ROUND(G701*Q701,-2))</f>
        <v>2169600</v>
      </c>
      <c r="S701" s="56" t="str">
        <f>TRIM(IF(AND(Assumptions!$L$156&lt;&gt;"",D701&lt;Assumptions!$L$156),"View blocked / roof in front ("&amp;Assumptions!$M$156&amp;"); view premium still loading until L"&amp;Assumptions!$L$156&amp;". ","")&amp;IF(D701=Assumptions!$AH$156,"Mid-floor view premium fully loaded. ","")&amp;IF(D701=Assumptions!$P$156,"High-floor view premium fully loaded. ","")&amp;IF(Q701&lt;=K701,"At developer starting price.",""))</f>
        <v/>
      </c>
      <c r="T701" s="57" t="str">
        <f>Assumptions!$AJ$156</f>
        <v>NW. Wellness Club, golf course, landed, nature reserve; Lower Peirce Reservoir from L20</v>
      </c>
    </row>
    <row r="702" spans="1:20" x14ac:dyDescent="0.2">
      <c r="A702" s="49" t="s">
        <v>856</v>
      </c>
      <c r="B702" s="29">
        <v>7</v>
      </c>
      <c r="C702" s="50">
        <v>30</v>
      </c>
      <c r="D702" s="50">
        <v>17</v>
      </c>
      <c r="E702" s="27" t="s">
        <v>43</v>
      </c>
      <c r="F702" s="29" t="s">
        <v>562</v>
      </c>
      <c r="G702" s="28">
        <v>678</v>
      </c>
      <c r="H702" s="29" t="s">
        <v>65</v>
      </c>
      <c r="I702" s="38" t="str">
        <f>Assumptions!$I$156</f>
        <v>B</v>
      </c>
      <c r="J702" s="29" t="str">
        <f>IF(D702&lt;=Assumptions!$V$156,"Low",IF(D702&lt;=Assumptions!$W$156,"Mid","High"))</f>
        <v>Mid</v>
      </c>
      <c r="K702" s="51">
        <f>Assumptions!$Q$156</f>
        <v>2613</v>
      </c>
      <c r="L702" s="52">
        <f>INDEX(Assumptions!$D$61:$D$90,D702)</f>
        <v>3142.8252380952381</v>
      </c>
      <c r="M702" s="53">
        <f>IF(D702&lt;=Assumptions!$G$156,Assumptions!$AK$156,IF(D702&lt;Assumptions!$AH$156,Assumptions!$AK$156+(Assumptions!$AL$156-Assumptions!$AK$156)*(D702-Assumptions!$G$156)/(Assumptions!$AH$156-Assumptions!$G$156),IF(D702&lt;Assumptions!$P$156,Assumptions!$AL$156+(Assumptions!$AM$156-Assumptions!$AL$156)*(D702-Assumptions!$AH$156)/(Assumptions!$P$156-Assumptions!$AH$156),Assumptions!$AM$156)))</f>
        <v>26153.846153846152</v>
      </c>
      <c r="N702" s="54">
        <f t="shared" si="20"/>
        <v>38.574994327206717</v>
      </c>
      <c r="O702" s="55">
        <f t="shared" si="21"/>
        <v>3181</v>
      </c>
      <c r="P702" s="29" t="str">
        <f>IF(D702&gt;=Assumptions!$P$156,"High",IF(D702&gt;=Assumptions!$AH$156,"Mid",IF(D702&lt;=Assumptions!$G$156,"Low","Loading")))</f>
        <v>Mid</v>
      </c>
      <c r="Q702" s="39">
        <f>MAX(K702,MIN(Assumptions!$S$156,O702),Q703)</f>
        <v>3181</v>
      </c>
      <c r="R702" s="30">
        <f>IF(AND(Q702&lt;=K702,INDEX(Assumptions!$C$26:$C$36,MATCH(G702,Assumptions!$A$26:$A$36,0))&lt;&gt;""),INDEX(Assumptions!$C$26:$C$36,MATCH(G702,Assumptions!$A$26:$A$36,0)),ROUND(G702*Q702,-2))</f>
        <v>2156700</v>
      </c>
      <c r="S702" s="56" t="str">
        <f>TRIM(IF(AND(Assumptions!$L$156&lt;&gt;"",D702&lt;Assumptions!$L$156),"View blocked / roof in front ("&amp;Assumptions!$M$156&amp;"); view premium still loading until L"&amp;Assumptions!$L$156&amp;". ","")&amp;IF(D702=Assumptions!$AH$156,"Mid-floor view premium fully loaded. ","")&amp;IF(D702=Assumptions!$P$156,"High-floor view premium fully loaded. ","")&amp;IF(Q702&lt;=K702,"At developer starting price.",""))</f>
        <v/>
      </c>
      <c r="T702" s="57" t="str">
        <f>Assumptions!$AJ$156</f>
        <v>NW. Wellness Club, golf course, landed, nature reserve; Lower Peirce Reservoir from L20</v>
      </c>
    </row>
    <row r="703" spans="1:20" x14ac:dyDescent="0.2">
      <c r="A703" s="49" t="s">
        <v>857</v>
      </c>
      <c r="B703" s="29">
        <v>7</v>
      </c>
      <c r="C703" s="50">
        <v>30</v>
      </c>
      <c r="D703" s="50">
        <v>16</v>
      </c>
      <c r="E703" s="27" t="s">
        <v>43</v>
      </c>
      <c r="F703" s="29" t="s">
        <v>562</v>
      </c>
      <c r="G703" s="28">
        <v>678</v>
      </c>
      <c r="H703" s="29" t="s">
        <v>65</v>
      </c>
      <c r="I703" s="38" t="str">
        <f>Assumptions!$I$156</f>
        <v>B</v>
      </c>
      <c r="J703" s="29" t="str">
        <f>IF(D703&lt;=Assumptions!$V$156,"Low",IF(D703&lt;=Assumptions!$W$156,"Mid","High"))</f>
        <v>Mid</v>
      </c>
      <c r="K703" s="51">
        <f>Assumptions!$Q$156</f>
        <v>2613</v>
      </c>
      <c r="L703" s="52">
        <f>INDEX(Assumptions!$D$61:$D$90,D703)</f>
        <v>3123.620476190476</v>
      </c>
      <c r="M703" s="53">
        <f>IF(D703&lt;=Assumptions!$G$156,Assumptions!$AK$156,IF(D703&lt;Assumptions!$AH$156,Assumptions!$AK$156+(Assumptions!$AL$156-Assumptions!$AK$156)*(D703-Assumptions!$G$156)/(Assumptions!$AH$156-Assumptions!$G$156),IF(D703&lt;Assumptions!$P$156,Assumptions!$AL$156+(Assumptions!$AM$156-Assumptions!$AL$156)*(D703-Assumptions!$AH$156)/(Assumptions!$P$156-Assumptions!$AH$156),Assumptions!$AM$156)))</f>
        <v>26538.461538461539</v>
      </c>
      <c r="N703" s="54">
        <f t="shared" si="20"/>
        <v>39.142273655547996</v>
      </c>
      <c r="O703" s="55">
        <f t="shared" si="21"/>
        <v>3163</v>
      </c>
      <c r="P703" s="29" t="str">
        <f>IF(D703&gt;=Assumptions!$P$156,"High",IF(D703&gt;=Assumptions!$AH$156,"Mid",IF(D703&lt;=Assumptions!$G$156,"Low","Loading")))</f>
        <v>Mid</v>
      </c>
      <c r="Q703" s="39">
        <f>MAX(K703,MIN(Assumptions!$S$156,O703),Q704)</f>
        <v>3163</v>
      </c>
      <c r="R703" s="30">
        <f>IF(AND(Q703&lt;=K703,INDEX(Assumptions!$C$26:$C$36,MATCH(G703,Assumptions!$A$26:$A$36,0))&lt;&gt;""),INDEX(Assumptions!$C$26:$C$36,MATCH(G703,Assumptions!$A$26:$A$36,0)),ROUND(G703*Q703,-2))</f>
        <v>2144500</v>
      </c>
      <c r="S703" s="56" t="str">
        <f>TRIM(IF(AND(Assumptions!$L$156&lt;&gt;"",D703&lt;Assumptions!$L$156),"View blocked / roof in front ("&amp;Assumptions!$M$156&amp;"); view premium still loading until L"&amp;Assumptions!$L$156&amp;". ","")&amp;IF(D703=Assumptions!$AH$156,"Mid-floor view premium fully loaded. ","")&amp;IF(D703=Assumptions!$P$156,"High-floor view premium fully loaded. ","")&amp;IF(Q703&lt;=K703,"At developer starting price.",""))</f>
        <v/>
      </c>
      <c r="T703" s="57" t="str">
        <f>Assumptions!$AJ$156</f>
        <v>NW. Wellness Club, golf course, landed, nature reserve; Lower Peirce Reservoir from L20</v>
      </c>
    </row>
    <row r="704" spans="1:20" x14ac:dyDescent="0.2">
      <c r="A704" s="49" t="s">
        <v>858</v>
      </c>
      <c r="B704" s="29">
        <v>7</v>
      </c>
      <c r="C704" s="50">
        <v>30</v>
      </c>
      <c r="D704" s="50">
        <v>15</v>
      </c>
      <c r="E704" s="27" t="s">
        <v>43</v>
      </c>
      <c r="F704" s="29" t="s">
        <v>562</v>
      </c>
      <c r="G704" s="28">
        <v>678</v>
      </c>
      <c r="H704" s="29" t="s">
        <v>65</v>
      </c>
      <c r="I704" s="38" t="str">
        <f>Assumptions!$I$156</f>
        <v>B</v>
      </c>
      <c r="J704" s="29" t="str">
        <f>IF(D704&lt;=Assumptions!$V$156,"Low",IF(D704&lt;=Assumptions!$W$156,"Mid","High"))</f>
        <v>Mid</v>
      </c>
      <c r="K704" s="51">
        <f>Assumptions!$Q$156</f>
        <v>2613</v>
      </c>
      <c r="L704" s="52">
        <f>INDEX(Assumptions!$D$61:$D$90,D704)</f>
        <v>3104.4157142857139</v>
      </c>
      <c r="M704" s="53">
        <f>IF(D704&lt;=Assumptions!$G$156,Assumptions!$AK$156,IF(D704&lt;Assumptions!$AH$156,Assumptions!$AK$156+(Assumptions!$AL$156-Assumptions!$AK$156)*(D704-Assumptions!$G$156)/(Assumptions!$AH$156-Assumptions!$G$156),IF(D704&lt;Assumptions!$P$156,Assumptions!$AL$156+(Assumptions!$AM$156-Assumptions!$AL$156)*(D704-Assumptions!$AH$156)/(Assumptions!$P$156-Assumptions!$AH$156),Assumptions!$AM$156)))</f>
        <v>26923.076923076922</v>
      </c>
      <c r="N704" s="54">
        <f t="shared" si="20"/>
        <v>39.709552983889267</v>
      </c>
      <c r="O704" s="55">
        <f t="shared" si="21"/>
        <v>3144</v>
      </c>
      <c r="P704" s="29" t="str">
        <f>IF(D704&gt;=Assumptions!$P$156,"High",IF(D704&gt;=Assumptions!$AH$156,"Mid",IF(D704&lt;=Assumptions!$G$156,"Low","Loading")))</f>
        <v>Mid</v>
      </c>
      <c r="Q704" s="39">
        <f>MAX(K704,MIN(Assumptions!$S$156,O704),Q705)</f>
        <v>3144</v>
      </c>
      <c r="R704" s="30">
        <f>IF(AND(Q704&lt;=K704,INDEX(Assumptions!$C$26:$C$36,MATCH(G704,Assumptions!$A$26:$A$36,0))&lt;&gt;""),INDEX(Assumptions!$C$26:$C$36,MATCH(G704,Assumptions!$A$26:$A$36,0)),ROUND(G704*Q704,-2))</f>
        <v>2131600</v>
      </c>
      <c r="S704" s="56" t="str">
        <f>TRIM(IF(AND(Assumptions!$L$156&lt;&gt;"",D704&lt;Assumptions!$L$156),"View blocked / roof in front ("&amp;Assumptions!$M$156&amp;"); view premium still loading until L"&amp;Assumptions!$L$156&amp;". ","")&amp;IF(D704=Assumptions!$AH$156,"Mid-floor view premium fully loaded. ","")&amp;IF(D704=Assumptions!$P$156,"High-floor view premium fully loaded. ","")&amp;IF(Q704&lt;=K704,"At developer starting price.",""))</f>
        <v>Mid-floor view premium fully loaded.</v>
      </c>
      <c r="T704" s="57" t="str">
        <f>Assumptions!$AJ$156</f>
        <v>NW. Wellness Club, golf course, landed, nature reserve; Lower Peirce Reservoir from L20</v>
      </c>
    </row>
    <row r="705" spans="1:20" x14ac:dyDescent="0.2">
      <c r="A705" s="49" t="s">
        <v>859</v>
      </c>
      <c r="B705" s="29">
        <v>7</v>
      </c>
      <c r="C705" s="50">
        <v>30</v>
      </c>
      <c r="D705" s="50">
        <v>14</v>
      </c>
      <c r="E705" s="27" t="s">
        <v>43</v>
      </c>
      <c r="F705" s="29" t="s">
        <v>562</v>
      </c>
      <c r="G705" s="28">
        <v>678</v>
      </c>
      <c r="H705" s="29" t="s">
        <v>65</v>
      </c>
      <c r="I705" s="38" t="str">
        <f>Assumptions!$I$156</f>
        <v>B</v>
      </c>
      <c r="J705" s="29" t="str">
        <f>IF(D705&lt;=Assumptions!$V$156,"Low",IF(D705&lt;=Assumptions!$W$156,"Mid","High"))</f>
        <v>Low</v>
      </c>
      <c r="K705" s="51">
        <f>Assumptions!$Q$156</f>
        <v>2613</v>
      </c>
      <c r="L705" s="52">
        <f>INDEX(Assumptions!$D$61:$D$90,D705)</f>
        <v>3085.2109523809522</v>
      </c>
      <c r="M705" s="53">
        <f>IF(D705&lt;=Assumptions!$G$156,Assumptions!$AK$156,IF(D705&lt;Assumptions!$AH$156,Assumptions!$AK$156+(Assumptions!$AL$156-Assumptions!$AK$156)*(D705-Assumptions!$G$156)/(Assumptions!$AH$156-Assumptions!$G$156),IF(D705&lt;Assumptions!$P$156,Assumptions!$AL$156+(Assumptions!$AM$156-Assumptions!$AL$156)*(D705-Assumptions!$AH$156)/(Assumptions!$P$156-Assumptions!$AH$156),Assumptions!$AM$156)))</f>
        <v>20512.820512820515</v>
      </c>
      <c r="N705" s="54">
        <f t="shared" si="20"/>
        <v>30.254897511534683</v>
      </c>
      <c r="O705" s="55">
        <f t="shared" si="21"/>
        <v>3115</v>
      </c>
      <c r="P705" s="29" t="str">
        <f>IF(D705&gt;=Assumptions!$P$156,"High",IF(D705&gt;=Assumptions!$AH$156,"Mid",IF(D705&lt;=Assumptions!$G$156,"Low","Loading")))</f>
        <v>Loading</v>
      </c>
      <c r="Q705" s="39">
        <f>MAX(K705,MIN(Assumptions!$S$156,O705),Q706)</f>
        <v>3115</v>
      </c>
      <c r="R705" s="30">
        <f>IF(AND(Q705&lt;=K705,INDEX(Assumptions!$C$26:$C$36,MATCH(G705,Assumptions!$A$26:$A$36,0))&lt;&gt;""),INDEX(Assumptions!$C$26:$C$36,MATCH(G705,Assumptions!$A$26:$A$36,0)),ROUND(G705*Q705,-2))</f>
        <v>2112000</v>
      </c>
      <c r="S705" s="56" t="str">
        <f>TRIM(IF(AND(Assumptions!$L$156&lt;&gt;"",D705&lt;Assumptions!$L$156),"View blocked / roof in front ("&amp;Assumptions!$M$156&amp;"); view premium still loading until L"&amp;Assumptions!$L$156&amp;". ","")&amp;IF(D705=Assumptions!$AH$156,"Mid-floor view premium fully loaded. ","")&amp;IF(D705=Assumptions!$P$156,"High-floor view premium fully loaded. ","")&amp;IF(Q705&lt;=K705,"At developer starting price.",""))</f>
        <v/>
      </c>
      <c r="T705" s="57" t="str">
        <f>Assumptions!$AJ$156</f>
        <v>NW. Wellness Club, golf course, landed, nature reserve; Lower Peirce Reservoir from L20</v>
      </c>
    </row>
    <row r="706" spans="1:20" x14ac:dyDescent="0.2">
      <c r="A706" s="49" t="s">
        <v>860</v>
      </c>
      <c r="B706" s="29">
        <v>7</v>
      </c>
      <c r="C706" s="50">
        <v>30</v>
      </c>
      <c r="D706" s="50">
        <v>13</v>
      </c>
      <c r="E706" s="27" t="s">
        <v>43</v>
      </c>
      <c r="F706" s="29" t="s">
        <v>562</v>
      </c>
      <c r="G706" s="28">
        <v>678</v>
      </c>
      <c r="H706" s="29" t="s">
        <v>65</v>
      </c>
      <c r="I706" s="38" t="str">
        <f>Assumptions!$I$156</f>
        <v>B</v>
      </c>
      <c r="J706" s="29" t="str">
        <f>IF(D706&lt;=Assumptions!$V$156,"Low",IF(D706&lt;=Assumptions!$W$156,"Mid","High"))</f>
        <v>Low</v>
      </c>
      <c r="K706" s="51">
        <f>Assumptions!$Q$156</f>
        <v>2613</v>
      </c>
      <c r="L706" s="52">
        <f>INDEX(Assumptions!$D$61:$D$90,D706)</f>
        <v>3066.0061904761901</v>
      </c>
      <c r="M706" s="53">
        <f>IF(D706&lt;=Assumptions!$G$156,Assumptions!$AK$156,IF(D706&lt;Assumptions!$AH$156,Assumptions!$AK$156+(Assumptions!$AL$156-Assumptions!$AK$156)*(D706-Assumptions!$G$156)/(Assumptions!$AH$156-Assumptions!$G$156),IF(D706&lt;Assumptions!$P$156,Assumptions!$AL$156+(Assumptions!$AM$156-Assumptions!$AL$156)*(D706-Assumptions!$AH$156)/(Assumptions!$P$156-Assumptions!$AH$156),Assumptions!$AM$156)))</f>
        <v>14102.564102564102</v>
      </c>
      <c r="N706" s="54">
        <f t="shared" si="20"/>
        <v>20.800242039180091</v>
      </c>
      <c r="O706" s="55">
        <f t="shared" si="21"/>
        <v>3087</v>
      </c>
      <c r="P706" s="29" t="str">
        <f>IF(D706&gt;=Assumptions!$P$156,"High",IF(D706&gt;=Assumptions!$AH$156,"Mid",IF(D706&lt;=Assumptions!$G$156,"Low","Loading")))</f>
        <v>Loading</v>
      </c>
      <c r="Q706" s="39">
        <f>MAX(K706,MIN(Assumptions!$S$156,O706),Q707)</f>
        <v>3087</v>
      </c>
      <c r="R706" s="30">
        <f>IF(AND(Q706&lt;=K706,INDEX(Assumptions!$C$26:$C$36,MATCH(G706,Assumptions!$A$26:$A$36,0))&lt;&gt;""),INDEX(Assumptions!$C$26:$C$36,MATCH(G706,Assumptions!$A$26:$A$36,0)),ROUND(G706*Q706,-2))</f>
        <v>2093000</v>
      </c>
      <c r="S706" s="56" t="str">
        <f>TRIM(IF(AND(Assumptions!$L$156&lt;&gt;"",D706&lt;Assumptions!$L$156),"View blocked / roof in front ("&amp;Assumptions!$M$156&amp;"); view premium still loading until L"&amp;Assumptions!$L$156&amp;". ","")&amp;IF(D706=Assumptions!$AH$156,"Mid-floor view premium fully loaded. ","")&amp;IF(D706=Assumptions!$P$156,"High-floor view premium fully loaded. ","")&amp;IF(Q706&lt;=K706,"At developer starting price.",""))</f>
        <v/>
      </c>
      <c r="T706" s="57" t="str">
        <f>Assumptions!$AJ$156</f>
        <v>NW. Wellness Club, golf course, landed, nature reserve; Lower Peirce Reservoir from L20</v>
      </c>
    </row>
    <row r="707" spans="1:20" x14ac:dyDescent="0.2">
      <c r="A707" s="49" t="s">
        <v>861</v>
      </c>
      <c r="B707" s="29">
        <v>7</v>
      </c>
      <c r="C707" s="50">
        <v>30</v>
      </c>
      <c r="D707" s="50">
        <v>12</v>
      </c>
      <c r="E707" s="27" t="s">
        <v>43</v>
      </c>
      <c r="F707" s="29" t="s">
        <v>562</v>
      </c>
      <c r="G707" s="28">
        <v>678</v>
      </c>
      <c r="H707" s="29" t="s">
        <v>65</v>
      </c>
      <c r="I707" s="38" t="str">
        <f>Assumptions!$I$156</f>
        <v>B</v>
      </c>
      <c r="J707" s="29" t="str">
        <f>IF(D707&lt;=Assumptions!$V$156,"Low",IF(D707&lt;=Assumptions!$W$156,"Mid","High"))</f>
        <v>Low</v>
      </c>
      <c r="K707" s="51">
        <f>Assumptions!$Q$156</f>
        <v>2613</v>
      </c>
      <c r="L707" s="52">
        <f>INDEX(Assumptions!$D$61:$D$90,D707)</f>
        <v>3046.8014285714285</v>
      </c>
      <c r="M707" s="53">
        <f>IF(D707&lt;=Assumptions!$G$156,Assumptions!$AK$156,IF(D707&lt;Assumptions!$AH$156,Assumptions!$AK$156+(Assumptions!$AL$156-Assumptions!$AK$156)*(D707-Assumptions!$G$156)/(Assumptions!$AH$156-Assumptions!$G$156),IF(D707&lt;Assumptions!$P$156,Assumptions!$AL$156+(Assumptions!$AM$156-Assumptions!$AL$156)*(D707-Assumptions!$AH$156)/(Assumptions!$P$156-Assumptions!$AH$156),Assumptions!$AM$156)))</f>
        <v>7692.3076923076878</v>
      </c>
      <c r="N707" s="54">
        <f t="shared" si="20"/>
        <v>11.345586566825498</v>
      </c>
      <c r="O707" s="55">
        <f t="shared" si="21"/>
        <v>3058</v>
      </c>
      <c r="P707" s="29" t="str">
        <f>IF(D707&gt;=Assumptions!$P$156,"High",IF(D707&gt;=Assumptions!$AH$156,"Mid",IF(D707&lt;=Assumptions!$G$156,"Low","Loading")))</f>
        <v>Loading</v>
      </c>
      <c r="Q707" s="39">
        <f>MAX(K707,MIN(Assumptions!$S$156,O707),Q708)</f>
        <v>3058</v>
      </c>
      <c r="R707" s="30">
        <f>IF(AND(Q707&lt;=K707,INDEX(Assumptions!$C$26:$C$36,MATCH(G707,Assumptions!$A$26:$A$36,0))&lt;&gt;""),INDEX(Assumptions!$C$26:$C$36,MATCH(G707,Assumptions!$A$26:$A$36,0)),ROUND(G707*Q707,-2))</f>
        <v>2073300</v>
      </c>
      <c r="S707" s="56" t="str">
        <f>TRIM(IF(AND(Assumptions!$L$156&lt;&gt;"",D707&lt;Assumptions!$L$156),"View blocked / roof in front ("&amp;Assumptions!$M$156&amp;"); view premium still loading until L"&amp;Assumptions!$L$156&amp;". ","")&amp;IF(D707=Assumptions!$AH$156,"Mid-floor view premium fully loaded. ","")&amp;IF(D707=Assumptions!$P$156,"High-floor view premium fully loaded. ","")&amp;IF(Q707&lt;=K707,"At developer starting price.",""))</f>
        <v/>
      </c>
      <c r="T707" s="57" t="str">
        <f>Assumptions!$AJ$156</f>
        <v>NW. Wellness Club, golf course, landed, nature reserve; Lower Peirce Reservoir from L20</v>
      </c>
    </row>
    <row r="708" spans="1:20" x14ac:dyDescent="0.2">
      <c r="A708" s="49" t="s">
        <v>862</v>
      </c>
      <c r="B708" s="29">
        <v>7</v>
      </c>
      <c r="C708" s="50">
        <v>30</v>
      </c>
      <c r="D708" s="50">
        <v>11</v>
      </c>
      <c r="E708" s="27" t="s">
        <v>43</v>
      </c>
      <c r="F708" s="29" t="s">
        <v>562</v>
      </c>
      <c r="G708" s="28">
        <v>678</v>
      </c>
      <c r="H708" s="29" t="s">
        <v>65</v>
      </c>
      <c r="I708" s="38" t="str">
        <f>Assumptions!$I$156</f>
        <v>B</v>
      </c>
      <c r="J708" s="29" t="str">
        <f>IF(D708&lt;=Assumptions!$V$156,"Low",IF(D708&lt;=Assumptions!$W$156,"Mid","High"))</f>
        <v>Low</v>
      </c>
      <c r="K708" s="51">
        <f>Assumptions!$Q$156</f>
        <v>2613</v>
      </c>
      <c r="L708" s="52">
        <f>INDEX(Assumptions!$D$61:$D$90,D708)</f>
        <v>3027.5966666666664</v>
      </c>
      <c r="M708" s="53">
        <f>IF(D708&lt;=Assumptions!$G$156,Assumptions!$AK$156,IF(D708&lt;Assumptions!$AH$156,Assumptions!$AK$156+(Assumptions!$AL$156-Assumptions!$AK$156)*(D708-Assumptions!$G$156)/(Assumptions!$AH$156-Assumptions!$G$156),IF(D708&lt;Assumptions!$P$156,Assumptions!$AL$156+(Assumptions!$AM$156-Assumptions!$AL$156)*(D708-Assumptions!$AH$156)/(Assumptions!$P$156-Assumptions!$AH$156),Assumptions!$AM$156)))</f>
        <v>1282.0512820512813</v>
      </c>
      <c r="N708" s="54">
        <f t="shared" si="20"/>
        <v>1.8909310944709163</v>
      </c>
      <c r="O708" s="55">
        <f t="shared" si="21"/>
        <v>3029</v>
      </c>
      <c r="P708" s="29" t="str">
        <f>IF(D708&gt;=Assumptions!$P$156,"High",IF(D708&gt;=Assumptions!$AH$156,"Mid",IF(D708&lt;=Assumptions!$G$156,"Low","Loading")))</f>
        <v>Loading</v>
      </c>
      <c r="Q708" s="39">
        <f>MAX(K708,MIN(Assumptions!$S$156,O708),Q709)</f>
        <v>3029</v>
      </c>
      <c r="R708" s="30">
        <f>IF(AND(Q708&lt;=K708,INDEX(Assumptions!$C$26:$C$36,MATCH(G708,Assumptions!$A$26:$A$36,0))&lt;&gt;""),INDEX(Assumptions!$C$26:$C$36,MATCH(G708,Assumptions!$A$26:$A$36,0)),ROUND(G708*Q708,-2))</f>
        <v>2053700</v>
      </c>
      <c r="S708" s="56" t="str">
        <f>TRIM(IF(AND(Assumptions!$L$156&lt;&gt;"",D708&lt;Assumptions!$L$156),"View blocked / roof in front ("&amp;Assumptions!$M$156&amp;"); view premium still loading until L"&amp;Assumptions!$L$156&amp;". ","")&amp;IF(D708=Assumptions!$AH$156,"Mid-floor view premium fully loaded. ","")&amp;IF(D708=Assumptions!$P$156,"High-floor view premium fully loaded. ","")&amp;IF(Q708&lt;=K708,"At developer starting price.",""))</f>
        <v/>
      </c>
      <c r="T708" s="57" t="str">
        <f>Assumptions!$AJ$156</f>
        <v>NW. Wellness Club, golf course, landed, nature reserve; Lower Peirce Reservoir from L20</v>
      </c>
    </row>
    <row r="709" spans="1:20" x14ac:dyDescent="0.2">
      <c r="A709" s="49" t="s">
        <v>863</v>
      </c>
      <c r="B709" s="29">
        <v>7</v>
      </c>
      <c r="C709" s="50">
        <v>30</v>
      </c>
      <c r="D709" s="50">
        <v>10</v>
      </c>
      <c r="E709" s="27" t="s">
        <v>43</v>
      </c>
      <c r="F709" s="29" t="s">
        <v>562</v>
      </c>
      <c r="G709" s="28">
        <v>678</v>
      </c>
      <c r="H709" s="29" t="s">
        <v>65</v>
      </c>
      <c r="I709" s="38" t="str">
        <f>Assumptions!$I$156</f>
        <v>B</v>
      </c>
      <c r="J709" s="29" t="str">
        <f>IF(D709&lt;=Assumptions!$V$156,"Low",IF(D709&lt;=Assumptions!$W$156,"Mid","High"))</f>
        <v>Low</v>
      </c>
      <c r="K709" s="51">
        <f>Assumptions!$Q$156</f>
        <v>2613</v>
      </c>
      <c r="L709" s="52">
        <f>INDEX(Assumptions!$D$61:$D$90,D709)</f>
        <v>3008.3919047619042</v>
      </c>
      <c r="M709" s="53">
        <f>IF(D709&lt;=Assumptions!$G$156,Assumptions!$AK$156,IF(D709&lt;Assumptions!$AH$156,Assumptions!$AK$156+(Assumptions!$AL$156-Assumptions!$AK$156)*(D709-Assumptions!$G$156)/(Assumptions!$AH$156-Assumptions!$G$156),IF(D709&lt;Assumptions!$P$156,Assumptions!$AL$156+(Assumptions!$AM$156-Assumptions!$AL$156)*(D709-Assumptions!$AH$156)/(Assumptions!$P$156-Assumptions!$AH$156),Assumptions!$AM$156)))</f>
        <v>-5128.2051282051252</v>
      </c>
      <c r="N709" s="54">
        <f t="shared" ref="N709:N772" si="22">M709/G709</f>
        <v>-7.5637243778836654</v>
      </c>
      <c r="O709" s="55">
        <f t="shared" ref="O709:O772" si="23">ROUND(L709+N709,0)</f>
        <v>3001</v>
      </c>
      <c r="P709" s="29" t="str">
        <f>IF(D709&gt;=Assumptions!$P$156,"High",IF(D709&gt;=Assumptions!$AH$156,"Mid",IF(D709&lt;=Assumptions!$G$156,"Low","Loading")))</f>
        <v>Loading</v>
      </c>
      <c r="Q709" s="39">
        <f>MAX(K709,MIN(Assumptions!$S$156,O709),Q710)</f>
        <v>3001</v>
      </c>
      <c r="R709" s="30">
        <f>IF(AND(Q709&lt;=K709,INDEX(Assumptions!$C$26:$C$36,MATCH(G709,Assumptions!$A$26:$A$36,0))&lt;&gt;""),INDEX(Assumptions!$C$26:$C$36,MATCH(G709,Assumptions!$A$26:$A$36,0)),ROUND(G709*Q709,-2))</f>
        <v>2034700</v>
      </c>
      <c r="S709" s="56" t="str">
        <f>TRIM(IF(AND(Assumptions!$L$156&lt;&gt;"",D709&lt;Assumptions!$L$156),"View blocked / roof in front ("&amp;Assumptions!$M$156&amp;"); view premium still loading until L"&amp;Assumptions!$L$156&amp;". ","")&amp;IF(D709=Assumptions!$AH$156,"Mid-floor view premium fully loaded. ","")&amp;IF(D709=Assumptions!$P$156,"High-floor view premium fully loaded. ","")&amp;IF(Q709&lt;=K709,"At developer starting price.",""))</f>
        <v/>
      </c>
      <c r="T709" s="57" t="str">
        <f>Assumptions!$AJ$156</f>
        <v>NW. Wellness Club, golf course, landed, nature reserve; Lower Peirce Reservoir from L20</v>
      </c>
    </row>
    <row r="710" spans="1:20" x14ac:dyDescent="0.2">
      <c r="A710" s="49" t="s">
        <v>864</v>
      </c>
      <c r="B710" s="29">
        <v>7</v>
      </c>
      <c r="C710" s="50">
        <v>30</v>
      </c>
      <c r="D710" s="50">
        <v>9</v>
      </c>
      <c r="E710" s="27" t="s">
        <v>43</v>
      </c>
      <c r="F710" s="29" t="s">
        <v>562</v>
      </c>
      <c r="G710" s="28">
        <v>678</v>
      </c>
      <c r="H710" s="29" t="s">
        <v>65</v>
      </c>
      <c r="I710" s="38" t="str">
        <f>Assumptions!$I$156</f>
        <v>B</v>
      </c>
      <c r="J710" s="29" t="str">
        <f>IF(D710&lt;=Assumptions!$V$156,"Low",IF(D710&lt;=Assumptions!$W$156,"Mid","High"))</f>
        <v>Low</v>
      </c>
      <c r="K710" s="51">
        <f>Assumptions!$Q$156</f>
        <v>2613</v>
      </c>
      <c r="L710" s="52">
        <f>INDEX(Assumptions!$D$61:$D$90,D710)</f>
        <v>2989.1871428571426</v>
      </c>
      <c r="M710" s="53">
        <f>IF(D710&lt;=Assumptions!$G$156,Assumptions!$AK$156,IF(D710&lt;Assumptions!$AH$156,Assumptions!$AK$156+(Assumptions!$AL$156-Assumptions!$AK$156)*(D710-Assumptions!$G$156)/(Assumptions!$AH$156-Assumptions!$G$156),IF(D710&lt;Assumptions!$P$156,Assumptions!$AL$156+(Assumptions!$AM$156-Assumptions!$AL$156)*(D710-Assumptions!$AH$156)/(Assumptions!$P$156-Assumptions!$AH$156),Assumptions!$AM$156)))</f>
        <v>-11538.461538461539</v>
      </c>
      <c r="N710" s="54">
        <f t="shared" si="22"/>
        <v>-17.018379850238258</v>
      </c>
      <c r="O710" s="55">
        <f t="shared" si="23"/>
        <v>2972</v>
      </c>
      <c r="P710" s="29" t="str">
        <f>IF(D710&gt;=Assumptions!$P$156,"High",IF(D710&gt;=Assumptions!$AH$156,"Mid",IF(D710&lt;=Assumptions!$G$156,"Low","Loading")))</f>
        <v>Loading</v>
      </c>
      <c r="Q710" s="39">
        <f>MAX(K710,MIN(Assumptions!$S$156,O710),Q711)</f>
        <v>2972</v>
      </c>
      <c r="R710" s="30">
        <f>IF(AND(Q710&lt;=K710,INDEX(Assumptions!$C$26:$C$36,MATCH(G710,Assumptions!$A$26:$A$36,0))&lt;&gt;""),INDEX(Assumptions!$C$26:$C$36,MATCH(G710,Assumptions!$A$26:$A$36,0)),ROUND(G710*Q710,-2))</f>
        <v>2015000</v>
      </c>
      <c r="S710" s="56" t="str">
        <f>TRIM(IF(AND(Assumptions!$L$156&lt;&gt;"",D710&lt;Assumptions!$L$156),"View blocked / roof in front ("&amp;Assumptions!$M$156&amp;"); view premium still loading until L"&amp;Assumptions!$L$156&amp;". ","")&amp;IF(D710=Assumptions!$AH$156,"Mid-floor view premium fully loaded. ","")&amp;IF(D710=Assumptions!$P$156,"High-floor view premium fully loaded. ","")&amp;IF(Q710&lt;=K710,"At developer starting price.",""))</f>
        <v/>
      </c>
      <c r="T710" s="57" t="str">
        <f>Assumptions!$AJ$156</f>
        <v>NW. Wellness Club, golf course, landed, nature reserve; Lower Peirce Reservoir from L20</v>
      </c>
    </row>
    <row r="711" spans="1:20" x14ac:dyDescent="0.2">
      <c r="A711" s="49" t="s">
        <v>865</v>
      </c>
      <c r="B711" s="29">
        <v>7</v>
      </c>
      <c r="C711" s="50">
        <v>30</v>
      </c>
      <c r="D711" s="50">
        <v>8</v>
      </c>
      <c r="E711" s="27" t="s">
        <v>43</v>
      </c>
      <c r="F711" s="29" t="s">
        <v>562</v>
      </c>
      <c r="G711" s="28">
        <v>678</v>
      </c>
      <c r="H711" s="29" t="s">
        <v>65</v>
      </c>
      <c r="I711" s="38" t="str">
        <f>Assumptions!$I$156</f>
        <v>B</v>
      </c>
      <c r="J711" s="29" t="str">
        <f>IF(D711&lt;=Assumptions!$V$156,"Low",IF(D711&lt;=Assumptions!$W$156,"Mid","High"))</f>
        <v>Low</v>
      </c>
      <c r="K711" s="51">
        <f>Assumptions!$Q$156</f>
        <v>2613</v>
      </c>
      <c r="L711" s="52">
        <f>INDEX(Assumptions!$D$61:$D$90,D711)</f>
        <v>2969.9823809523805</v>
      </c>
      <c r="M711" s="53">
        <f>IF(D711&lt;=Assumptions!$G$156,Assumptions!$AK$156,IF(D711&lt;Assumptions!$AH$156,Assumptions!$AK$156+(Assumptions!$AL$156-Assumptions!$AK$156)*(D711-Assumptions!$G$156)/(Assumptions!$AH$156-Assumptions!$G$156),IF(D711&lt;Assumptions!$P$156,Assumptions!$AL$156+(Assumptions!$AM$156-Assumptions!$AL$156)*(D711-Assumptions!$AH$156)/(Assumptions!$P$156-Assumptions!$AH$156),Assumptions!$AM$156)))</f>
        <v>-17948.717948717949</v>
      </c>
      <c r="N711" s="54">
        <f t="shared" si="22"/>
        <v>-26.473035322592846</v>
      </c>
      <c r="O711" s="55">
        <f t="shared" si="23"/>
        <v>2944</v>
      </c>
      <c r="P711" s="29" t="str">
        <f>IF(D711&gt;=Assumptions!$P$156,"High",IF(D711&gt;=Assumptions!$AH$156,"Mid",IF(D711&lt;=Assumptions!$G$156,"Low","Loading")))</f>
        <v>Loading</v>
      </c>
      <c r="Q711" s="39">
        <f>MAX(K711,MIN(Assumptions!$S$156,O711),Q712)</f>
        <v>2944</v>
      </c>
      <c r="R711" s="30">
        <f>IF(AND(Q711&lt;=K711,INDEX(Assumptions!$C$26:$C$36,MATCH(G711,Assumptions!$A$26:$A$36,0))&lt;&gt;""),INDEX(Assumptions!$C$26:$C$36,MATCH(G711,Assumptions!$A$26:$A$36,0)),ROUND(G711*Q711,-2))</f>
        <v>1996000</v>
      </c>
      <c r="S711" s="56" t="str">
        <f>TRIM(IF(AND(Assumptions!$L$156&lt;&gt;"",D711&lt;Assumptions!$L$156),"View blocked / roof in front ("&amp;Assumptions!$M$156&amp;"); view premium still loading until L"&amp;Assumptions!$L$156&amp;". ","")&amp;IF(D711=Assumptions!$AH$156,"Mid-floor view premium fully loaded. ","")&amp;IF(D711=Assumptions!$P$156,"High-floor view premium fully loaded. ","")&amp;IF(Q711&lt;=K711,"At developer starting price.",""))</f>
        <v/>
      </c>
      <c r="T711" s="57" t="str">
        <f>Assumptions!$AJ$156</f>
        <v>NW. Wellness Club, golf course, landed, nature reserve; Lower Peirce Reservoir from L20</v>
      </c>
    </row>
    <row r="712" spans="1:20" x14ac:dyDescent="0.2">
      <c r="A712" s="49" t="s">
        <v>866</v>
      </c>
      <c r="B712" s="29">
        <v>7</v>
      </c>
      <c r="C712" s="50">
        <v>30</v>
      </c>
      <c r="D712" s="50">
        <v>7</v>
      </c>
      <c r="E712" s="27" t="s">
        <v>43</v>
      </c>
      <c r="F712" s="29" t="s">
        <v>562</v>
      </c>
      <c r="G712" s="28">
        <v>678</v>
      </c>
      <c r="H712" s="29" t="s">
        <v>65</v>
      </c>
      <c r="I712" s="38" t="str">
        <f>Assumptions!$I$156</f>
        <v>B</v>
      </c>
      <c r="J712" s="29" t="str">
        <f>IF(D712&lt;=Assumptions!$V$156,"Low",IF(D712&lt;=Assumptions!$W$156,"Mid","High"))</f>
        <v>Low</v>
      </c>
      <c r="K712" s="51">
        <f>Assumptions!$Q$156</f>
        <v>2613</v>
      </c>
      <c r="L712" s="52">
        <f>INDEX(Assumptions!$D$61:$D$90,D712)</f>
        <v>2950.7776190476193</v>
      </c>
      <c r="M712" s="53">
        <f>IF(D712&lt;=Assumptions!$G$156,Assumptions!$AK$156,IF(D712&lt;Assumptions!$AH$156,Assumptions!$AK$156+(Assumptions!$AL$156-Assumptions!$AK$156)*(D712-Assumptions!$G$156)/(Assumptions!$AH$156-Assumptions!$G$156),IF(D712&lt;Assumptions!$P$156,Assumptions!$AL$156+(Assumptions!$AM$156-Assumptions!$AL$156)*(D712-Assumptions!$AH$156)/(Assumptions!$P$156-Assumptions!$AH$156),Assumptions!$AM$156)))</f>
        <v>-24358.974358974359</v>
      </c>
      <c r="N712" s="54">
        <f t="shared" si="22"/>
        <v>-35.927690794947431</v>
      </c>
      <c r="O712" s="55">
        <f t="shared" si="23"/>
        <v>2915</v>
      </c>
      <c r="P712" s="29" t="str">
        <f>IF(D712&gt;=Assumptions!$P$156,"High",IF(D712&gt;=Assumptions!$AH$156,"Mid",IF(D712&lt;=Assumptions!$G$156,"Low","Loading")))</f>
        <v>Loading</v>
      </c>
      <c r="Q712" s="39">
        <f>MAX(K712,MIN(Assumptions!$S$156,O712),Q713)</f>
        <v>2915</v>
      </c>
      <c r="R712" s="30">
        <f>IF(AND(Q712&lt;=K712,INDEX(Assumptions!$C$26:$C$36,MATCH(G712,Assumptions!$A$26:$A$36,0))&lt;&gt;""),INDEX(Assumptions!$C$26:$C$36,MATCH(G712,Assumptions!$A$26:$A$36,0)),ROUND(G712*Q712,-2))</f>
        <v>1976400</v>
      </c>
      <c r="S712" s="56" t="str">
        <f>TRIM(IF(AND(Assumptions!$L$156&lt;&gt;"",D712&lt;Assumptions!$L$156),"View blocked / roof in front ("&amp;Assumptions!$M$156&amp;"); view premium still loading until L"&amp;Assumptions!$L$156&amp;". ","")&amp;IF(D712=Assumptions!$AH$156,"Mid-floor view premium fully loaded. ","")&amp;IF(D712=Assumptions!$P$156,"High-floor view premium fully loaded. ","")&amp;IF(Q712&lt;=K712,"At developer starting price.",""))</f>
        <v/>
      </c>
      <c r="T712" s="57" t="str">
        <f>Assumptions!$AJ$156</f>
        <v>NW. Wellness Club, golf course, landed, nature reserve; Lower Peirce Reservoir from L20</v>
      </c>
    </row>
    <row r="713" spans="1:20" x14ac:dyDescent="0.2">
      <c r="A713" s="49" t="s">
        <v>867</v>
      </c>
      <c r="B713" s="29">
        <v>7</v>
      </c>
      <c r="C713" s="50">
        <v>30</v>
      </c>
      <c r="D713" s="50">
        <v>6</v>
      </c>
      <c r="E713" s="27" t="s">
        <v>43</v>
      </c>
      <c r="F713" s="29" t="s">
        <v>562</v>
      </c>
      <c r="G713" s="28">
        <v>678</v>
      </c>
      <c r="H713" s="29" t="s">
        <v>65</v>
      </c>
      <c r="I713" s="38" t="str">
        <f>Assumptions!$I$156</f>
        <v>B</v>
      </c>
      <c r="J713" s="29" t="str">
        <f>IF(D713&lt;=Assumptions!$V$156,"Low",IF(D713&lt;=Assumptions!$W$156,"Mid","High"))</f>
        <v>Low</v>
      </c>
      <c r="K713" s="51">
        <f>Assumptions!$Q$156</f>
        <v>2613</v>
      </c>
      <c r="L713" s="52">
        <f>INDEX(Assumptions!$D$61:$D$90,D713)</f>
        <v>2931.5728571428572</v>
      </c>
      <c r="M713" s="53">
        <f>IF(D713&lt;=Assumptions!$G$156,Assumptions!$AK$156,IF(D713&lt;Assumptions!$AH$156,Assumptions!$AK$156+(Assumptions!$AL$156-Assumptions!$AK$156)*(D713-Assumptions!$G$156)/(Assumptions!$AH$156-Assumptions!$G$156),IF(D713&lt;Assumptions!$P$156,Assumptions!$AL$156+(Assumptions!$AM$156-Assumptions!$AL$156)*(D713-Assumptions!$AH$156)/(Assumptions!$P$156-Assumptions!$AH$156),Assumptions!$AM$156)))</f>
        <v>-30769.23076923077</v>
      </c>
      <c r="N713" s="54">
        <f t="shared" si="22"/>
        <v>-45.382346267302019</v>
      </c>
      <c r="O713" s="55">
        <f t="shared" si="23"/>
        <v>2886</v>
      </c>
      <c r="P713" s="29" t="str">
        <f>IF(D713&gt;=Assumptions!$P$156,"High",IF(D713&gt;=Assumptions!$AH$156,"Mid",IF(D713&lt;=Assumptions!$G$156,"Low","Loading")))</f>
        <v>Loading</v>
      </c>
      <c r="Q713" s="39">
        <f>MAX(K713,MIN(Assumptions!$S$156,O713),Q714)</f>
        <v>2886</v>
      </c>
      <c r="R713" s="30">
        <f>IF(AND(Q713&lt;=K713,INDEX(Assumptions!$C$26:$C$36,MATCH(G713,Assumptions!$A$26:$A$36,0))&lt;&gt;""),INDEX(Assumptions!$C$26:$C$36,MATCH(G713,Assumptions!$A$26:$A$36,0)),ROUND(G713*Q713,-2))</f>
        <v>1956700</v>
      </c>
      <c r="S713" s="56" t="str">
        <f>TRIM(IF(AND(Assumptions!$L$156&lt;&gt;"",D713&lt;Assumptions!$L$156),"View blocked / roof in front ("&amp;Assumptions!$M$156&amp;"); view premium still loading until L"&amp;Assumptions!$L$156&amp;". ","")&amp;IF(D713=Assumptions!$AH$156,"Mid-floor view premium fully loaded. ","")&amp;IF(D713=Assumptions!$P$156,"High-floor view premium fully loaded. ","")&amp;IF(Q713&lt;=K713,"At developer starting price.",""))</f>
        <v/>
      </c>
      <c r="T713" s="57" t="str">
        <f>Assumptions!$AJ$156</f>
        <v>NW. Wellness Club, golf course, landed, nature reserve; Lower Peirce Reservoir from L20</v>
      </c>
    </row>
    <row r="714" spans="1:20" x14ac:dyDescent="0.2">
      <c r="A714" s="49" t="s">
        <v>868</v>
      </c>
      <c r="B714" s="29">
        <v>7</v>
      </c>
      <c r="C714" s="50">
        <v>30</v>
      </c>
      <c r="D714" s="50">
        <v>5</v>
      </c>
      <c r="E714" s="27" t="s">
        <v>43</v>
      </c>
      <c r="F714" s="29" t="s">
        <v>562</v>
      </c>
      <c r="G714" s="28">
        <v>678</v>
      </c>
      <c r="H714" s="29" t="s">
        <v>65</v>
      </c>
      <c r="I714" s="38" t="str">
        <f>Assumptions!$I$156</f>
        <v>B</v>
      </c>
      <c r="J714" s="29" t="str">
        <f>IF(D714&lt;=Assumptions!$V$156,"Low",IF(D714&lt;=Assumptions!$W$156,"Mid","High"))</f>
        <v>Low</v>
      </c>
      <c r="K714" s="51">
        <f>Assumptions!$Q$156</f>
        <v>2613</v>
      </c>
      <c r="L714" s="52">
        <f>INDEX(Assumptions!$D$61:$D$90,D714)</f>
        <v>2912.3680952380951</v>
      </c>
      <c r="M714" s="53">
        <f>IF(D714&lt;=Assumptions!$G$156,Assumptions!$AK$156,IF(D714&lt;Assumptions!$AH$156,Assumptions!$AK$156+(Assumptions!$AL$156-Assumptions!$AK$156)*(D714-Assumptions!$G$156)/(Assumptions!$AH$156-Assumptions!$G$156),IF(D714&lt;Assumptions!$P$156,Assumptions!$AL$156+(Assumptions!$AM$156-Assumptions!$AL$156)*(D714-Assumptions!$AH$156)/(Assumptions!$P$156-Assumptions!$AH$156),Assumptions!$AM$156)))</f>
        <v>-37179.48717948718</v>
      </c>
      <c r="N714" s="54">
        <f t="shared" si="22"/>
        <v>-54.837001739656607</v>
      </c>
      <c r="O714" s="55">
        <f t="shared" si="23"/>
        <v>2858</v>
      </c>
      <c r="P714" s="29" t="str">
        <f>IF(D714&gt;=Assumptions!$P$156,"High",IF(D714&gt;=Assumptions!$AH$156,"Mid",IF(D714&lt;=Assumptions!$G$156,"Low","Loading")))</f>
        <v>Loading</v>
      </c>
      <c r="Q714" s="39">
        <f>MAX(K714,MIN(Assumptions!$S$156,O714),Q715)</f>
        <v>2858</v>
      </c>
      <c r="R714" s="30">
        <f>IF(AND(Q714&lt;=K714,INDEX(Assumptions!$C$26:$C$36,MATCH(G714,Assumptions!$A$26:$A$36,0))&lt;&gt;""),INDEX(Assumptions!$C$26:$C$36,MATCH(G714,Assumptions!$A$26:$A$36,0)),ROUND(G714*Q714,-2))</f>
        <v>1937700</v>
      </c>
      <c r="S714" s="56" t="str">
        <f>TRIM(IF(AND(Assumptions!$L$156&lt;&gt;"",D714&lt;Assumptions!$L$156),"View blocked / roof in front ("&amp;Assumptions!$M$156&amp;"); view premium still loading until L"&amp;Assumptions!$L$156&amp;". ","")&amp;IF(D714=Assumptions!$AH$156,"Mid-floor view premium fully loaded. ","")&amp;IF(D714=Assumptions!$P$156,"High-floor view premium fully loaded. ","")&amp;IF(Q714&lt;=K714,"At developer starting price.",""))</f>
        <v/>
      </c>
      <c r="T714" s="57" t="str">
        <f>Assumptions!$AJ$156</f>
        <v>NW. Wellness Club, golf course, landed, nature reserve; Lower Peirce Reservoir from L20</v>
      </c>
    </row>
    <row r="715" spans="1:20" x14ac:dyDescent="0.2">
      <c r="A715" s="49" t="s">
        <v>869</v>
      </c>
      <c r="B715" s="29">
        <v>7</v>
      </c>
      <c r="C715" s="50">
        <v>30</v>
      </c>
      <c r="D715" s="50">
        <v>4</v>
      </c>
      <c r="E715" s="27" t="s">
        <v>43</v>
      </c>
      <c r="F715" s="29" t="s">
        <v>562</v>
      </c>
      <c r="G715" s="28">
        <v>678</v>
      </c>
      <c r="H715" s="29" t="s">
        <v>65</v>
      </c>
      <c r="I715" s="38" t="str">
        <f>Assumptions!$I$156</f>
        <v>B</v>
      </c>
      <c r="J715" s="29" t="str">
        <f>IF(D715&lt;=Assumptions!$V$156,"Low",IF(D715&lt;=Assumptions!$W$156,"Mid","High"))</f>
        <v>Low</v>
      </c>
      <c r="K715" s="51">
        <f>Assumptions!$Q$156</f>
        <v>2613</v>
      </c>
      <c r="L715" s="52">
        <f>INDEX(Assumptions!$D$61:$D$90,D715)</f>
        <v>2893.1633333333334</v>
      </c>
      <c r="M715" s="53">
        <f>IF(D715&lt;=Assumptions!$G$156,Assumptions!$AK$156,IF(D715&lt;Assumptions!$AH$156,Assumptions!$AK$156+(Assumptions!$AL$156-Assumptions!$AK$156)*(D715-Assumptions!$G$156)/(Assumptions!$AH$156-Assumptions!$G$156),IF(D715&lt;Assumptions!$P$156,Assumptions!$AL$156+(Assumptions!$AM$156-Assumptions!$AL$156)*(D715-Assumptions!$AH$156)/(Assumptions!$P$156-Assumptions!$AH$156),Assumptions!$AM$156)))</f>
        <v>-43589.743589743593</v>
      </c>
      <c r="N715" s="54">
        <f t="shared" si="22"/>
        <v>-64.291657212011202</v>
      </c>
      <c r="O715" s="55">
        <f t="shared" si="23"/>
        <v>2829</v>
      </c>
      <c r="P715" s="29" t="str">
        <f>IF(D715&gt;=Assumptions!$P$156,"High",IF(D715&gt;=Assumptions!$AH$156,"Mid",IF(D715&lt;=Assumptions!$G$156,"Low","Loading")))</f>
        <v>Loading</v>
      </c>
      <c r="Q715" s="39">
        <f>MAX(K715,MIN(Assumptions!$S$156,O715),Q716)</f>
        <v>2829</v>
      </c>
      <c r="R715" s="30">
        <f>IF(AND(Q715&lt;=K715,INDEX(Assumptions!$C$26:$C$36,MATCH(G715,Assumptions!$A$26:$A$36,0))&lt;&gt;""),INDEX(Assumptions!$C$26:$C$36,MATCH(G715,Assumptions!$A$26:$A$36,0)),ROUND(G715*Q715,-2))</f>
        <v>1918100</v>
      </c>
      <c r="S715" s="56" t="str">
        <f>TRIM(IF(AND(Assumptions!$L$156&lt;&gt;"",D715&lt;Assumptions!$L$156),"View blocked / roof in front ("&amp;Assumptions!$M$156&amp;"); view premium still loading until L"&amp;Assumptions!$L$156&amp;". ","")&amp;IF(D715=Assumptions!$AH$156,"Mid-floor view premium fully loaded. ","")&amp;IF(D715=Assumptions!$P$156,"High-floor view premium fully loaded. ","")&amp;IF(Q715&lt;=K715,"At developer starting price.",""))</f>
        <v>View blocked / roof in front (Wellness Pod Pavilion 1: 36% of view, 26.2 to 32.1m away); view premium still loading until L5.</v>
      </c>
      <c r="T715" s="57" t="str">
        <f>Assumptions!$AJ$156</f>
        <v>NW. Wellness Club, golf course, landed, nature reserve; Lower Peirce Reservoir from L20</v>
      </c>
    </row>
    <row r="716" spans="1:20" x14ac:dyDescent="0.2">
      <c r="A716" s="49" t="s">
        <v>870</v>
      </c>
      <c r="B716" s="29">
        <v>7</v>
      </c>
      <c r="C716" s="50">
        <v>30</v>
      </c>
      <c r="D716" s="50">
        <v>3</v>
      </c>
      <c r="E716" s="27" t="s">
        <v>43</v>
      </c>
      <c r="F716" s="29" t="s">
        <v>562</v>
      </c>
      <c r="G716" s="28">
        <v>678</v>
      </c>
      <c r="H716" s="29" t="s">
        <v>65</v>
      </c>
      <c r="I716" s="38" t="str">
        <f>Assumptions!$I$156</f>
        <v>B</v>
      </c>
      <c r="J716" s="29" t="str">
        <f>IF(D716&lt;=Assumptions!$V$156,"Low",IF(D716&lt;=Assumptions!$W$156,"Mid","High"))</f>
        <v>Low</v>
      </c>
      <c r="K716" s="51">
        <f>Assumptions!$Q$156</f>
        <v>2613</v>
      </c>
      <c r="L716" s="52">
        <f>INDEX(Assumptions!$D$61:$D$90,D716)</f>
        <v>2873.9585714285713</v>
      </c>
      <c r="M716" s="53">
        <f>IF(D716&lt;=Assumptions!$G$156,Assumptions!$AK$156,IF(D716&lt;Assumptions!$AH$156,Assumptions!$AK$156+(Assumptions!$AL$156-Assumptions!$AK$156)*(D716-Assumptions!$G$156)/(Assumptions!$AH$156-Assumptions!$G$156),IF(D716&lt;Assumptions!$P$156,Assumptions!$AL$156+(Assumptions!$AM$156-Assumptions!$AL$156)*(D716-Assumptions!$AH$156)/(Assumptions!$P$156-Assumptions!$AH$156),Assumptions!$AM$156)))</f>
        <v>-50000</v>
      </c>
      <c r="N716" s="54">
        <f t="shared" si="22"/>
        <v>-73.746312684365776</v>
      </c>
      <c r="O716" s="55">
        <f t="shared" si="23"/>
        <v>2800</v>
      </c>
      <c r="P716" s="29" t="str">
        <f>IF(D716&gt;=Assumptions!$P$156,"High",IF(D716&gt;=Assumptions!$AH$156,"Mid",IF(D716&lt;=Assumptions!$G$156,"Low","Loading")))</f>
        <v>Low</v>
      </c>
      <c r="Q716" s="39">
        <f>MAX(K716,MIN(Assumptions!$S$156,O716))</f>
        <v>2800</v>
      </c>
      <c r="R716" s="30">
        <f>IF(AND(Q716&lt;=K716,INDEX(Assumptions!$C$26:$C$36,MATCH(G716,Assumptions!$A$26:$A$36,0))&lt;&gt;""),INDEX(Assumptions!$C$26:$C$36,MATCH(G716,Assumptions!$A$26:$A$36,0)),ROUND(G716*Q716,-2))</f>
        <v>1898400</v>
      </c>
      <c r="S716" s="56" t="str">
        <f>TRIM(IF(AND(Assumptions!$L$156&lt;&gt;"",D716&lt;Assumptions!$L$156),"View blocked / roof in front ("&amp;Assumptions!$M$156&amp;"); view premium still loading until L"&amp;Assumptions!$L$156&amp;". ","")&amp;IF(D716=Assumptions!$AH$156,"Mid-floor view premium fully loaded. ","")&amp;IF(D716=Assumptions!$P$156,"High-floor view premium fully loaded. ","")&amp;IF(Q716&lt;=K716,"At developer starting price.",""))</f>
        <v>View blocked / roof in front (Wellness Pod Pavilion 1: 36% of view, 26.2 to 32.1m away); view premium still loading until L5.</v>
      </c>
      <c r="T716" s="57" t="str">
        <f>Assumptions!$AJ$156</f>
        <v>NW. Wellness Club, golf course, landed, nature reserve; Lower Peirce Reservoir from L20</v>
      </c>
    </row>
    <row r="717" spans="1:20" x14ac:dyDescent="0.2">
      <c r="A717" s="49" t="s">
        <v>871</v>
      </c>
      <c r="B717" s="29">
        <v>7</v>
      </c>
      <c r="C717" s="50">
        <v>31</v>
      </c>
      <c r="D717" s="50">
        <v>30</v>
      </c>
      <c r="E717" s="27" t="s">
        <v>44</v>
      </c>
      <c r="F717" s="29" t="s">
        <v>872</v>
      </c>
      <c r="G717" s="28">
        <v>732</v>
      </c>
      <c r="H717" s="29" t="s">
        <v>65</v>
      </c>
      <c r="I717" s="38" t="str">
        <f>Assumptions!$I$157</f>
        <v>B</v>
      </c>
      <c r="J717" s="29" t="str">
        <f>IF(D717&lt;=Assumptions!$V$157,"Low",IF(D717&lt;=Assumptions!$W$157,"Mid","High"))</f>
        <v>High</v>
      </c>
      <c r="K717" s="51">
        <f>Assumptions!$Q$157</f>
        <v>2630</v>
      </c>
      <c r="L717" s="52">
        <f>INDEX(Assumptions!$F$61:$F$90,D717)</f>
        <v>3320.9647368421051</v>
      </c>
      <c r="M717" s="53">
        <f>IF(D717&lt;=Assumptions!$G$157,Assumptions!$AK$157,IF(D717&lt;Assumptions!$AH$157,Assumptions!$AK$157+(Assumptions!$AL$157-Assumptions!$AK$157)*(D717-Assumptions!$G$157)/(Assumptions!$AH$157-Assumptions!$G$157),IF(D717&lt;Assumptions!$P$157,Assumptions!$AL$157+(Assumptions!$AM$157-Assumptions!$AL$157)*(D717-Assumptions!$AH$157)/(Assumptions!$P$157-Assumptions!$AH$157),Assumptions!$AM$157)))</f>
        <v>50000</v>
      </c>
      <c r="N717" s="54">
        <f t="shared" si="22"/>
        <v>68.306010928961754</v>
      </c>
      <c r="O717" s="55">
        <f t="shared" si="23"/>
        <v>3389</v>
      </c>
      <c r="P717" s="29" t="str">
        <f>IF(D717&gt;=Assumptions!$P$157,"High",IF(D717&gt;=Assumptions!$AH$157,"Mid",IF(D717&lt;=Assumptions!$G$157,"Low","Loading")))</f>
        <v>High</v>
      </c>
      <c r="Q717" s="39">
        <f>MAX(K717,MIN(Assumptions!$S$157,O717),Q718)</f>
        <v>3389</v>
      </c>
      <c r="R717" s="30">
        <f>IF(AND(Q717&lt;=K717,INDEX(Assumptions!$C$26:$C$36,MATCH(G717,Assumptions!$A$26:$A$36,0))&lt;&gt;""),INDEX(Assumptions!$C$26:$C$36,MATCH(G717,Assumptions!$A$26:$A$36,0)),ROUND(G717*Q717,-2))</f>
        <v>2480700</v>
      </c>
      <c r="S717" s="56" t="str">
        <f>TRIM(IF(AND(Assumptions!$L$157&lt;&gt;"",D717&lt;Assumptions!$L$157),"View blocked / roof in front ("&amp;Assumptions!$M$157&amp;"); view premium still loading until L"&amp;Assumptions!$L$157&amp;". ","")&amp;IF(D717=Assumptions!$AH$157,"Mid-floor view premium fully loaded. ","")&amp;IF(D717=Assumptions!$P$157,"High-floor view premium fully loaded. ","")&amp;IF(Q717&lt;=K717,"At developer starting price.",""))</f>
        <v/>
      </c>
      <c r="T717" s="57" t="str">
        <f>Assumptions!$AJ$157</f>
        <v>NW. Wellness Club, golf course, landed, nature reserve; Lower Peirce Reservoir from L20</v>
      </c>
    </row>
    <row r="718" spans="1:20" x14ac:dyDescent="0.2">
      <c r="A718" s="49" t="s">
        <v>873</v>
      </c>
      <c r="B718" s="29">
        <v>7</v>
      </c>
      <c r="C718" s="50">
        <v>31</v>
      </c>
      <c r="D718" s="50">
        <v>29</v>
      </c>
      <c r="E718" s="27" t="s">
        <v>44</v>
      </c>
      <c r="F718" s="29" t="s">
        <v>872</v>
      </c>
      <c r="G718" s="28">
        <v>732</v>
      </c>
      <c r="H718" s="29" t="s">
        <v>65</v>
      </c>
      <c r="I718" s="38" t="str">
        <f>Assumptions!$I$157</f>
        <v>B</v>
      </c>
      <c r="J718" s="29" t="str">
        <f>IF(D718&lt;=Assumptions!$V$157,"Low",IF(D718&lt;=Assumptions!$W$157,"Mid","High"))</f>
        <v>High</v>
      </c>
      <c r="K718" s="51">
        <f>Assumptions!$Q$157</f>
        <v>2630</v>
      </c>
      <c r="L718" s="52">
        <f>INDEX(Assumptions!$F$61:$F$90,D718)</f>
        <v>3311.7436842105262</v>
      </c>
      <c r="M718" s="53">
        <f>IF(D718&lt;=Assumptions!$G$157,Assumptions!$AK$157,IF(D718&lt;Assumptions!$AH$157,Assumptions!$AK$157+(Assumptions!$AL$157-Assumptions!$AK$157)*(D718-Assumptions!$G$157)/(Assumptions!$AH$157-Assumptions!$G$157),IF(D718&lt;Assumptions!$P$157,Assumptions!$AL$157+(Assumptions!$AM$157-Assumptions!$AL$157)*(D718-Assumptions!$AH$157)/(Assumptions!$P$157-Assumptions!$AH$157),Assumptions!$AM$157)))</f>
        <v>50000</v>
      </c>
      <c r="N718" s="54">
        <f t="shared" si="22"/>
        <v>68.306010928961754</v>
      </c>
      <c r="O718" s="55">
        <f t="shared" si="23"/>
        <v>3380</v>
      </c>
      <c r="P718" s="29" t="str">
        <f>IF(D718&gt;=Assumptions!$P$157,"High",IF(D718&gt;=Assumptions!$AH$157,"Mid",IF(D718&lt;=Assumptions!$G$157,"Low","Loading")))</f>
        <v>High</v>
      </c>
      <c r="Q718" s="39">
        <f>MAX(K718,MIN(Assumptions!$S$157,O718),Q719)</f>
        <v>3380</v>
      </c>
      <c r="R718" s="30">
        <f>IF(AND(Q718&lt;=K718,INDEX(Assumptions!$C$26:$C$36,MATCH(G718,Assumptions!$A$26:$A$36,0))&lt;&gt;""),INDEX(Assumptions!$C$26:$C$36,MATCH(G718,Assumptions!$A$26:$A$36,0)),ROUND(G718*Q718,-2))</f>
        <v>2474200</v>
      </c>
      <c r="S718" s="56" t="str">
        <f>TRIM(IF(AND(Assumptions!$L$157&lt;&gt;"",D718&lt;Assumptions!$L$157),"View blocked / roof in front ("&amp;Assumptions!$M$157&amp;"); view premium still loading until L"&amp;Assumptions!$L$157&amp;". ","")&amp;IF(D718=Assumptions!$AH$157,"Mid-floor view premium fully loaded. ","")&amp;IF(D718=Assumptions!$P$157,"High-floor view premium fully loaded. ","")&amp;IF(Q718&lt;=K718,"At developer starting price.",""))</f>
        <v/>
      </c>
      <c r="T718" s="57" t="str">
        <f>Assumptions!$AJ$157</f>
        <v>NW. Wellness Club, golf course, landed, nature reserve; Lower Peirce Reservoir from L20</v>
      </c>
    </row>
    <row r="719" spans="1:20" x14ac:dyDescent="0.2">
      <c r="A719" s="49" t="s">
        <v>874</v>
      </c>
      <c r="B719" s="29">
        <v>7</v>
      </c>
      <c r="C719" s="50">
        <v>31</v>
      </c>
      <c r="D719" s="50">
        <v>28</v>
      </c>
      <c r="E719" s="27" t="s">
        <v>44</v>
      </c>
      <c r="F719" s="29" t="s">
        <v>872</v>
      </c>
      <c r="G719" s="28">
        <v>732</v>
      </c>
      <c r="H719" s="29" t="s">
        <v>65</v>
      </c>
      <c r="I719" s="38" t="str">
        <f>Assumptions!$I$157</f>
        <v>B</v>
      </c>
      <c r="J719" s="29" t="str">
        <f>IF(D719&lt;=Assumptions!$V$157,"Low",IF(D719&lt;=Assumptions!$W$157,"Mid","High"))</f>
        <v>High</v>
      </c>
      <c r="K719" s="51">
        <f>Assumptions!$Q$157</f>
        <v>2630</v>
      </c>
      <c r="L719" s="52">
        <f>INDEX(Assumptions!$F$61:$F$90,D719)</f>
        <v>3302.5226315789473</v>
      </c>
      <c r="M719" s="53">
        <f>IF(D719&lt;=Assumptions!$G$157,Assumptions!$AK$157,IF(D719&lt;Assumptions!$AH$157,Assumptions!$AK$157+(Assumptions!$AL$157-Assumptions!$AK$157)*(D719-Assumptions!$G$157)/(Assumptions!$AH$157-Assumptions!$G$157),IF(D719&lt;Assumptions!$P$157,Assumptions!$AL$157+(Assumptions!$AM$157-Assumptions!$AL$157)*(D719-Assumptions!$AH$157)/(Assumptions!$P$157-Assumptions!$AH$157),Assumptions!$AM$157)))</f>
        <v>50000</v>
      </c>
      <c r="N719" s="54">
        <f t="shared" si="22"/>
        <v>68.306010928961754</v>
      </c>
      <c r="O719" s="55">
        <f t="shared" si="23"/>
        <v>3371</v>
      </c>
      <c r="P719" s="29" t="str">
        <f>IF(D719&gt;=Assumptions!$P$157,"High",IF(D719&gt;=Assumptions!$AH$157,"Mid",IF(D719&lt;=Assumptions!$G$157,"Low","Loading")))</f>
        <v>High</v>
      </c>
      <c r="Q719" s="39">
        <f>MAX(K719,MIN(Assumptions!$S$157,O719),Q720)</f>
        <v>3371</v>
      </c>
      <c r="R719" s="30">
        <f>IF(AND(Q719&lt;=K719,INDEX(Assumptions!$C$26:$C$36,MATCH(G719,Assumptions!$A$26:$A$36,0))&lt;&gt;""),INDEX(Assumptions!$C$26:$C$36,MATCH(G719,Assumptions!$A$26:$A$36,0)),ROUND(G719*Q719,-2))</f>
        <v>2467600</v>
      </c>
      <c r="S719" s="56" t="str">
        <f>TRIM(IF(AND(Assumptions!$L$157&lt;&gt;"",D719&lt;Assumptions!$L$157),"View blocked / roof in front ("&amp;Assumptions!$M$157&amp;"); view premium still loading until L"&amp;Assumptions!$L$157&amp;". ","")&amp;IF(D719=Assumptions!$AH$157,"Mid-floor view premium fully loaded. ","")&amp;IF(D719=Assumptions!$P$157,"High-floor view premium fully loaded. ","")&amp;IF(Q719&lt;=K719,"At developer starting price.",""))</f>
        <v/>
      </c>
      <c r="T719" s="57" t="str">
        <f>Assumptions!$AJ$157</f>
        <v>NW. Wellness Club, golf course, landed, nature reserve; Lower Peirce Reservoir from L20</v>
      </c>
    </row>
    <row r="720" spans="1:20" x14ac:dyDescent="0.2">
      <c r="A720" s="49" t="s">
        <v>875</v>
      </c>
      <c r="B720" s="29">
        <v>7</v>
      </c>
      <c r="C720" s="50">
        <v>31</v>
      </c>
      <c r="D720" s="50">
        <v>27</v>
      </c>
      <c r="E720" s="27" t="s">
        <v>44</v>
      </c>
      <c r="F720" s="29" t="s">
        <v>872</v>
      </c>
      <c r="G720" s="28">
        <v>732</v>
      </c>
      <c r="H720" s="29" t="s">
        <v>65</v>
      </c>
      <c r="I720" s="38" t="str">
        <f>Assumptions!$I$157</f>
        <v>B</v>
      </c>
      <c r="J720" s="29" t="str">
        <f>IF(D720&lt;=Assumptions!$V$157,"Low",IF(D720&lt;=Assumptions!$W$157,"Mid","High"))</f>
        <v>High</v>
      </c>
      <c r="K720" s="51">
        <f>Assumptions!$Q$157</f>
        <v>2630</v>
      </c>
      <c r="L720" s="52">
        <f>INDEX(Assumptions!$F$61:$F$90,D720)</f>
        <v>3293.3015789473684</v>
      </c>
      <c r="M720" s="53">
        <f>IF(D720&lt;=Assumptions!$G$157,Assumptions!$AK$157,IF(D720&lt;Assumptions!$AH$157,Assumptions!$AK$157+(Assumptions!$AL$157-Assumptions!$AK$157)*(D720-Assumptions!$G$157)/(Assumptions!$AH$157-Assumptions!$G$157),IF(D720&lt;Assumptions!$P$157,Assumptions!$AL$157+(Assumptions!$AM$157-Assumptions!$AL$157)*(D720-Assumptions!$AH$157)/(Assumptions!$P$157-Assumptions!$AH$157),Assumptions!$AM$157)))</f>
        <v>50000</v>
      </c>
      <c r="N720" s="54">
        <f t="shared" si="22"/>
        <v>68.306010928961754</v>
      </c>
      <c r="O720" s="55">
        <f t="shared" si="23"/>
        <v>3362</v>
      </c>
      <c r="P720" s="29" t="str">
        <f>IF(D720&gt;=Assumptions!$P$157,"High",IF(D720&gt;=Assumptions!$AH$157,"Mid",IF(D720&lt;=Assumptions!$G$157,"Low","Loading")))</f>
        <v>High</v>
      </c>
      <c r="Q720" s="39">
        <f>MAX(K720,MIN(Assumptions!$S$157,O720),Q721)</f>
        <v>3362</v>
      </c>
      <c r="R720" s="30">
        <f>IF(AND(Q720&lt;=K720,INDEX(Assumptions!$C$26:$C$36,MATCH(G720,Assumptions!$A$26:$A$36,0))&lt;&gt;""),INDEX(Assumptions!$C$26:$C$36,MATCH(G720,Assumptions!$A$26:$A$36,0)),ROUND(G720*Q720,-2))</f>
        <v>2461000</v>
      </c>
      <c r="S720" s="56" t="str">
        <f>TRIM(IF(AND(Assumptions!$L$157&lt;&gt;"",D720&lt;Assumptions!$L$157),"View blocked / roof in front ("&amp;Assumptions!$M$157&amp;"); view premium still loading until L"&amp;Assumptions!$L$157&amp;". ","")&amp;IF(D720=Assumptions!$AH$157,"Mid-floor view premium fully loaded. ","")&amp;IF(D720=Assumptions!$P$157,"High-floor view premium fully loaded. ","")&amp;IF(Q720&lt;=K720,"At developer starting price.",""))</f>
        <v/>
      </c>
      <c r="T720" s="57" t="str">
        <f>Assumptions!$AJ$157</f>
        <v>NW. Wellness Club, golf course, landed, nature reserve; Lower Peirce Reservoir from L20</v>
      </c>
    </row>
    <row r="721" spans="1:20" x14ac:dyDescent="0.2">
      <c r="A721" s="49" t="s">
        <v>876</v>
      </c>
      <c r="B721" s="29">
        <v>7</v>
      </c>
      <c r="C721" s="50">
        <v>31</v>
      </c>
      <c r="D721" s="50">
        <v>26</v>
      </c>
      <c r="E721" s="27" t="s">
        <v>44</v>
      </c>
      <c r="F721" s="29" t="s">
        <v>872</v>
      </c>
      <c r="G721" s="28">
        <v>732</v>
      </c>
      <c r="H721" s="29" t="s">
        <v>65</v>
      </c>
      <c r="I721" s="38" t="str">
        <f>Assumptions!$I$157</f>
        <v>B</v>
      </c>
      <c r="J721" s="29" t="str">
        <f>IF(D721&lt;=Assumptions!$V$157,"Low",IF(D721&lt;=Assumptions!$W$157,"Mid","High"))</f>
        <v>High</v>
      </c>
      <c r="K721" s="51">
        <f>Assumptions!$Q$157</f>
        <v>2630</v>
      </c>
      <c r="L721" s="52">
        <f>INDEX(Assumptions!$F$61:$F$90,D721)</f>
        <v>3284.0805263157895</v>
      </c>
      <c r="M721" s="53">
        <f>IF(D721&lt;=Assumptions!$G$157,Assumptions!$AK$157,IF(D721&lt;Assumptions!$AH$157,Assumptions!$AK$157+(Assumptions!$AL$157-Assumptions!$AK$157)*(D721-Assumptions!$G$157)/(Assumptions!$AH$157-Assumptions!$G$157),IF(D721&lt;Assumptions!$P$157,Assumptions!$AL$157+(Assumptions!$AM$157-Assumptions!$AL$157)*(D721-Assumptions!$AH$157)/(Assumptions!$P$157-Assumptions!$AH$157),Assumptions!$AM$157)))</f>
        <v>50000</v>
      </c>
      <c r="N721" s="54">
        <f t="shared" si="22"/>
        <v>68.306010928961754</v>
      </c>
      <c r="O721" s="55">
        <f t="shared" si="23"/>
        <v>3352</v>
      </c>
      <c r="P721" s="29" t="str">
        <f>IF(D721&gt;=Assumptions!$P$157,"High",IF(D721&gt;=Assumptions!$AH$157,"Mid",IF(D721&lt;=Assumptions!$G$157,"Low","Loading")))</f>
        <v>High</v>
      </c>
      <c r="Q721" s="39">
        <f>MAX(K721,MIN(Assumptions!$S$157,O721),Q722)</f>
        <v>3352</v>
      </c>
      <c r="R721" s="30">
        <f>IF(AND(Q721&lt;=K721,INDEX(Assumptions!$C$26:$C$36,MATCH(G721,Assumptions!$A$26:$A$36,0))&lt;&gt;""),INDEX(Assumptions!$C$26:$C$36,MATCH(G721,Assumptions!$A$26:$A$36,0)),ROUND(G721*Q721,-2))</f>
        <v>2453700</v>
      </c>
      <c r="S721" s="56" t="str">
        <f>TRIM(IF(AND(Assumptions!$L$157&lt;&gt;"",D721&lt;Assumptions!$L$157),"View blocked / roof in front ("&amp;Assumptions!$M$157&amp;"); view premium still loading until L"&amp;Assumptions!$L$157&amp;". ","")&amp;IF(D721=Assumptions!$AH$157,"Mid-floor view premium fully loaded. ","")&amp;IF(D721=Assumptions!$P$157,"High-floor view premium fully loaded. ","")&amp;IF(Q721&lt;=K721,"At developer starting price.",""))</f>
        <v/>
      </c>
      <c r="T721" s="57" t="str">
        <f>Assumptions!$AJ$157</f>
        <v>NW. Wellness Club, golf course, landed, nature reserve; Lower Peirce Reservoir from L20</v>
      </c>
    </row>
    <row r="722" spans="1:20" x14ac:dyDescent="0.2">
      <c r="A722" s="49" t="s">
        <v>877</v>
      </c>
      <c r="B722" s="29">
        <v>7</v>
      </c>
      <c r="C722" s="50">
        <v>31</v>
      </c>
      <c r="D722" s="50">
        <v>25</v>
      </c>
      <c r="E722" s="27" t="s">
        <v>44</v>
      </c>
      <c r="F722" s="29" t="s">
        <v>872</v>
      </c>
      <c r="G722" s="28">
        <v>732</v>
      </c>
      <c r="H722" s="29" t="s">
        <v>65</v>
      </c>
      <c r="I722" s="38" t="str">
        <f>Assumptions!$I$157</f>
        <v>B</v>
      </c>
      <c r="J722" s="29" t="str">
        <f>IF(D722&lt;=Assumptions!$V$157,"Low",IF(D722&lt;=Assumptions!$W$157,"Mid","High"))</f>
        <v>High</v>
      </c>
      <c r="K722" s="51">
        <f>Assumptions!$Q$157</f>
        <v>2630</v>
      </c>
      <c r="L722" s="52">
        <f>INDEX(Assumptions!$F$61:$F$90,D722)</f>
        <v>3274.8594736842101</v>
      </c>
      <c r="M722" s="53">
        <f>IF(D722&lt;=Assumptions!$G$157,Assumptions!$AK$157,IF(D722&lt;Assumptions!$AH$157,Assumptions!$AK$157+(Assumptions!$AL$157-Assumptions!$AK$157)*(D722-Assumptions!$G$157)/(Assumptions!$AH$157-Assumptions!$G$157),IF(D722&lt;Assumptions!$P$157,Assumptions!$AL$157+(Assumptions!$AM$157-Assumptions!$AL$157)*(D722-Assumptions!$AH$157)/(Assumptions!$P$157-Assumptions!$AH$157),Assumptions!$AM$157)))</f>
        <v>50000</v>
      </c>
      <c r="N722" s="54">
        <f t="shared" si="22"/>
        <v>68.306010928961754</v>
      </c>
      <c r="O722" s="55">
        <f t="shared" si="23"/>
        <v>3343</v>
      </c>
      <c r="P722" s="29" t="str">
        <f>IF(D722&gt;=Assumptions!$P$157,"High",IF(D722&gt;=Assumptions!$AH$157,"Mid",IF(D722&lt;=Assumptions!$G$157,"Low","Loading")))</f>
        <v>High</v>
      </c>
      <c r="Q722" s="39">
        <f>MAX(K722,MIN(Assumptions!$S$157,O722),Q723)</f>
        <v>3343</v>
      </c>
      <c r="R722" s="30">
        <f>IF(AND(Q722&lt;=K722,INDEX(Assumptions!$C$26:$C$36,MATCH(G722,Assumptions!$A$26:$A$36,0))&lt;&gt;""),INDEX(Assumptions!$C$26:$C$36,MATCH(G722,Assumptions!$A$26:$A$36,0)),ROUND(G722*Q722,-2))</f>
        <v>2447100</v>
      </c>
      <c r="S722" s="56" t="str">
        <f>TRIM(IF(AND(Assumptions!$L$157&lt;&gt;"",D722&lt;Assumptions!$L$157),"View blocked / roof in front ("&amp;Assumptions!$M$157&amp;"); view premium still loading until L"&amp;Assumptions!$L$157&amp;". ","")&amp;IF(D722=Assumptions!$AH$157,"Mid-floor view premium fully loaded. ","")&amp;IF(D722=Assumptions!$P$157,"High-floor view premium fully loaded. ","")&amp;IF(Q722&lt;=K722,"At developer starting price.",""))</f>
        <v/>
      </c>
      <c r="T722" s="57" t="str">
        <f>Assumptions!$AJ$157</f>
        <v>NW. Wellness Club, golf course, landed, nature reserve; Lower Peirce Reservoir from L20</v>
      </c>
    </row>
    <row r="723" spans="1:20" x14ac:dyDescent="0.2">
      <c r="A723" s="49" t="s">
        <v>878</v>
      </c>
      <c r="B723" s="29">
        <v>7</v>
      </c>
      <c r="C723" s="50">
        <v>31</v>
      </c>
      <c r="D723" s="50">
        <v>24</v>
      </c>
      <c r="E723" s="27" t="s">
        <v>44</v>
      </c>
      <c r="F723" s="29" t="s">
        <v>872</v>
      </c>
      <c r="G723" s="28">
        <v>732</v>
      </c>
      <c r="H723" s="29" t="s">
        <v>65</v>
      </c>
      <c r="I723" s="38" t="str">
        <f>Assumptions!$I$157</f>
        <v>B</v>
      </c>
      <c r="J723" s="29" t="str">
        <f>IF(D723&lt;=Assumptions!$V$157,"Low",IF(D723&lt;=Assumptions!$W$157,"Mid","High"))</f>
        <v>High</v>
      </c>
      <c r="K723" s="51">
        <f>Assumptions!$Q$157</f>
        <v>2630</v>
      </c>
      <c r="L723" s="52">
        <f>INDEX(Assumptions!$F$61:$F$90,D723)</f>
        <v>3265.6384210526312</v>
      </c>
      <c r="M723" s="53">
        <f>IF(D723&lt;=Assumptions!$G$157,Assumptions!$AK$157,IF(D723&lt;Assumptions!$AH$157,Assumptions!$AK$157+(Assumptions!$AL$157-Assumptions!$AK$157)*(D723-Assumptions!$G$157)/(Assumptions!$AH$157-Assumptions!$G$157),IF(D723&lt;Assumptions!$P$157,Assumptions!$AL$157+(Assumptions!$AM$157-Assumptions!$AL$157)*(D723-Assumptions!$AH$157)/(Assumptions!$P$157-Assumptions!$AH$157),Assumptions!$AM$157)))</f>
        <v>50000</v>
      </c>
      <c r="N723" s="54">
        <f t="shared" si="22"/>
        <v>68.306010928961754</v>
      </c>
      <c r="O723" s="55">
        <f t="shared" si="23"/>
        <v>3334</v>
      </c>
      <c r="P723" s="29" t="str">
        <f>IF(D723&gt;=Assumptions!$P$157,"High",IF(D723&gt;=Assumptions!$AH$157,"Mid",IF(D723&lt;=Assumptions!$G$157,"Low","Loading")))</f>
        <v>High</v>
      </c>
      <c r="Q723" s="39">
        <f>MAX(K723,MIN(Assumptions!$S$157,O723),Q724)</f>
        <v>3334</v>
      </c>
      <c r="R723" s="30">
        <f>IF(AND(Q723&lt;=K723,INDEX(Assumptions!$C$26:$C$36,MATCH(G723,Assumptions!$A$26:$A$36,0))&lt;&gt;""),INDEX(Assumptions!$C$26:$C$36,MATCH(G723,Assumptions!$A$26:$A$36,0)),ROUND(G723*Q723,-2))</f>
        <v>2440500</v>
      </c>
      <c r="S723" s="56" t="str">
        <f>TRIM(IF(AND(Assumptions!$L$157&lt;&gt;"",D723&lt;Assumptions!$L$157),"View blocked / roof in front ("&amp;Assumptions!$M$157&amp;"); view premium still loading until L"&amp;Assumptions!$L$157&amp;". ","")&amp;IF(D723=Assumptions!$AH$157,"Mid-floor view premium fully loaded. ","")&amp;IF(D723=Assumptions!$P$157,"High-floor view premium fully loaded. ","")&amp;IF(Q723&lt;=K723,"At developer starting price.",""))</f>
        <v/>
      </c>
      <c r="T723" s="57" t="str">
        <f>Assumptions!$AJ$157</f>
        <v>NW. Wellness Club, golf course, landed, nature reserve; Lower Peirce Reservoir from L20</v>
      </c>
    </row>
    <row r="724" spans="1:20" x14ac:dyDescent="0.2">
      <c r="A724" s="49" t="s">
        <v>879</v>
      </c>
      <c r="B724" s="29">
        <v>7</v>
      </c>
      <c r="C724" s="50">
        <v>31</v>
      </c>
      <c r="D724" s="50">
        <v>23</v>
      </c>
      <c r="E724" s="27" t="s">
        <v>44</v>
      </c>
      <c r="F724" s="29" t="s">
        <v>872</v>
      </c>
      <c r="G724" s="28">
        <v>732</v>
      </c>
      <c r="H724" s="29" t="s">
        <v>65</v>
      </c>
      <c r="I724" s="38" t="str">
        <f>Assumptions!$I$157</f>
        <v>B</v>
      </c>
      <c r="J724" s="29" t="str">
        <f>IF(D724&lt;=Assumptions!$V$157,"Low",IF(D724&lt;=Assumptions!$W$157,"Mid","High"))</f>
        <v>High</v>
      </c>
      <c r="K724" s="51">
        <f>Assumptions!$Q$157</f>
        <v>2630</v>
      </c>
      <c r="L724" s="52">
        <f>INDEX(Assumptions!$F$61:$F$90,D724)</f>
        <v>3256.4173684210523</v>
      </c>
      <c r="M724" s="53">
        <f>IF(D724&lt;=Assumptions!$G$157,Assumptions!$AK$157,IF(D724&lt;Assumptions!$AH$157,Assumptions!$AK$157+(Assumptions!$AL$157-Assumptions!$AK$157)*(D724-Assumptions!$G$157)/(Assumptions!$AH$157-Assumptions!$G$157),IF(D724&lt;Assumptions!$P$157,Assumptions!$AL$157+(Assumptions!$AM$157-Assumptions!$AL$157)*(D724-Assumptions!$AH$157)/(Assumptions!$P$157-Assumptions!$AH$157),Assumptions!$AM$157)))</f>
        <v>50000</v>
      </c>
      <c r="N724" s="54">
        <f t="shared" si="22"/>
        <v>68.306010928961754</v>
      </c>
      <c r="O724" s="55">
        <f t="shared" si="23"/>
        <v>3325</v>
      </c>
      <c r="P724" s="29" t="str">
        <f>IF(D724&gt;=Assumptions!$P$157,"High",IF(D724&gt;=Assumptions!$AH$157,"Mid",IF(D724&lt;=Assumptions!$G$157,"Low","Loading")))</f>
        <v>High</v>
      </c>
      <c r="Q724" s="39">
        <f>MAX(K724,MIN(Assumptions!$S$157,O724),Q725)</f>
        <v>3325</v>
      </c>
      <c r="R724" s="30">
        <f>IF(AND(Q724&lt;=K724,INDEX(Assumptions!$C$26:$C$36,MATCH(G724,Assumptions!$A$26:$A$36,0))&lt;&gt;""),INDEX(Assumptions!$C$26:$C$36,MATCH(G724,Assumptions!$A$26:$A$36,0)),ROUND(G724*Q724,-2))</f>
        <v>2433900</v>
      </c>
      <c r="S724" s="56" t="str">
        <f>TRIM(IF(AND(Assumptions!$L$157&lt;&gt;"",D724&lt;Assumptions!$L$157),"View blocked / roof in front ("&amp;Assumptions!$M$157&amp;"); view premium still loading until L"&amp;Assumptions!$L$157&amp;". ","")&amp;IF(D724=Assumptions!$AH$157,"Mid-floor view premium fully loaded. ","")&amp;IF(D724=Assumptions!$P$157,"High-floor view premium fully loaded. ","")&amp;IF(Q724&lt;=K724,"At developer starting price.",""))</f>
        <v/>
      </c>
      <c r="T724" s="57" t="str">
        <f>Assumptions!$AJ$157</f>
        <v>NW. Wellness Club, golf course, landed, nature reserve; Lower Peirce Reservoir from L20</v>
      </c>
    </row>
    <row r="725" spans="1:20" x14ac:dyDescent="0.2">
      <c r="A725" s="49" t="s">
        <v>880</v>
      </c>
      <c r="B725" s="29">
        <v>7</v>
      </c>
      <c r="C725" s="50">
        <v>31</v>
      </c>
      <c r="D725" s="50">
        <v>22</v>
      </c>
      <c r="E725" s="27" t="s">
        <v>44</v>
      </c>
      <c r="F725" s="29" t="s">
        <v>872</v>
      </c>
      <c r="G725" s="28">
        <v>732</v>
      </c>
      <c r="H725" s="29" t="s">
        <v>65</v>
      </c>
      <c r="I725" s="38" t="str">
        <f>Assumptions!$I$157</f>
        <v>B</v>
      </c>
      <c r="J725" s="29" t="str">
        <f>IF(D725&lt;=Assumptions!$V$157,"Low",IF(D725&lt;=Assumptions!$W$157,"Mid","High"))</f>
        <v>High</v>
      </c>
      <c r="K725" s="51">
        <f>Assumptions!$Q$157</f>
        <v>2630</v>
      </c>
      <c r="L725" s="52">
        <f>INDEX(Assumptions!$F$61:$F$90,D725)</f>
        <v>3247.1963157894734</v>
      </c>
      <c r="M725" s="53">
        <f>IF(D725&lt;=Assumptions!$G$157,Assumptions!$AK$157,IF(D725&lt;Assumptions!$AH$157,Assumptions!$AK$157+(Assumptions!$AL$157-Assumptions!$AK$157)*(D725-Assumptions!$G$157)/(Assumptions!$AH$157-Assumptions!$G$157),IF(D725&lt;Assumptions!$P$157,Assumptions!$AL$157+(Assumptions!$AM$157-Assumptions!$AL$157)*(D725-Assumptions!$AH$157)/(Assumptions!$P$157-Assumptions!$AH$157),Assumptions!$AM$157)))</f>
        <v>50000</v>
      </c>
      <c r="N725" s="54">
        <f t="shared" si="22"/>
        <v>68.306010928961754</v>
      </c>
      <c r="O725" s="55">
        <f t="shared" si="23"/>
        <v>3316</v>
      </c>
      <c r="P725" s="29" t="str">
        <f>IF(D725&gt;=Assumptions!$P$157,"High",IF(D725&gt;=Assumptions!$AH$157,"Mid",IF(D725&lt;=Assumptions!$G$157,"Low","Loading")))</f>
        <v>High</v>
      </c>
      <c r="Q725" s="39">
        <f>MAX(K725,MIN(Assumptions!$S$157,O725),Q726)</f>
        <v>3316</v>
      </c>
      <c r="R725" s="30">
        <f>IF(AND(Q725&lt;=K725,INDEX(Assumptions!$C$26:$C$36,MATCH(G725,Assumptions!$A$26:$A$36,0))&lt;&gt;""),INDEX(Assumptions!$C$26:$C$36,MATCH(G725,Assumptions!$A$26:$A$36,0)),ROUND(G725*Q725,-2))</f>
        <v>2427300</v>
      </c>
      <c r="S725" s="56" t="str">
        <f>TRIM(IF(AND(Assumptions!$L$157&lt;&gt;"",D725&lt;Assumptions!$L$157),"View blocked / roof in front ("&amp;Assumptions!$M$157&amp;"); view premium still loading until L"&amp;Assumptions!$L$157&amp;". ","")&amp;IF(D725=Assumptions!$AH$157,"Mid-floor view premium fully loaded. ","")&amp;IF(D725=Assumptions!$P$157,"High-floor view premium fully loaded. ","")&amp;IF(Q725&lt;=K725,"At developer starting price.",""))</f>
        <v/>
      </c>
      <c r="T725" s="57" t="str">
        <f>Assumptions!$AJ$157</f>
        <v>NW. Wellness Club, golf course, landed, nature reserve; Lower Peirce Reservoir from L20</v>
      </c>
    </row>
    <row r="726" spans="1:20" x14ac:dyDescent="0.2">
      <c r="A726" s="49" t="s">
        <v>881</v>
      </c>
      <c r="B726" s="29">
        <v>7</v>
      </c>
      <c r="C726" s="50">
        <v>31</v>
      </c>
      <c r="D726" s="50">
        <v>21</v>
      </c>
      <c r="E726" s="27" t="s">
        <v>44</v>
      </c>
      <c r="F726" s="29" t="s">
        <v>872</v>
      </c>
      <c r="G726" s="28">
        <v>732</v>
      </c>
      <c r="H726" s="29" t="s">
        <v>65</v>
      </c>
      <c r="I726" s="38" t="str">
        <f>Assumptions!$I$157</f>
        <v>B</v>
      </c>
      <c r="J726" s="29" t="str">
        <f>IF(D726&lt;=Assumptions!$V$157,"Low",IF(D726&lt;=Assumptions!$W$157,"Mid","High"))</f>
        <v>High</v>
      </c>
      <c r="K726" s="51">
        <f>Assumptions!$Q$157</f>
        <v>2630</v>
      </c>
      <c r="L726" s="52">
        <f>INDEX(Assumptions!$F$61:$F$90,D726)</f>
        <v>3237.9752631578945</v>
      </c>
      <c r="M726" s="53">
        <f>IF(D726&lt;=Assumptions!$G$157,Assumptions!$AK$157,IF(D726&lt;Assumptions!$AH$157,Assumptions!$AK$157+(Assumptions!$AL$157-Assumptions!$AK$157)*(D726-Assumptions!$G$157)/(Assumptions!$AH$157-Assumptions!$G$157),IF(D726&lt;Assumptions!$P$157,Assumptions!$AL$157+(Assumptions!$AM$157-Assumptions!$AL$157)*(D726-Assumptions!$AH$157)/(Assumptions!$P$157-Assumptions!$AH$157),Assumptions!$AM$157)))</f>
        <v>50000</v>
      </c>
      <c r="N726" s="54">
        <f t="shared" si="22"/>
        <v>68.306010928961754</v>
      </c>
      <c r="O726" s="55">
        <f t="shared" si="23"/>
        <v>3306</v>
      </c>
      <c r="P726" s="29" t="str">
        <f>IF(D726&gt;=Assumptions!$P$157,"High",IF(D726&gt;=Assumptions!$AH$157,"Mid",IF(D726&lt;=Assumptions!$G$157,"Low","Loading")))</f>
        <v>High</v>
      </c>
      <c r="Q726" s="39">
        <f>MAX(K726,MIN(Assumptions!$S$157,O726),Q727)</f>
        <v>3306</v>
      </c>
      <c r="R726" s="30">
        <f>IF(AND(Q726&lt;=K726,INDEX(Assumptions!$C$26:$C$36,MATCH(G726,Assumptions!$A$26:$A$36,0))&lt;&gt;""),INDEX(Assumptions!$C$26:$C$36,MATCH(G726,Assumptions!$A$26:$A$36,0)),ROUND(G726*Q726,-2))</f>
        <v>2420000</v>
      </c>
      <c r="S726" s="56" t="str">
        <f>TRIM(IF(AND(Assumptions!$L$157&lt;&gt;"",D726&lt;Assumptions!$L$157),"View blocked / roof in front ("&amp;Assumptions!$M$157&amp;"); view premium still loading until L"&amp;Assumptions!$L$157&amp;". ","")&amp;IF(D726=Assumptions!$AH$157,"Mid-floor view premium fully loaded. ","")&amp;IF(D726=Assumptions!$P$157,"High-floor view premium fully loaded. ","")&amp;IF(Q726&lt;=K726,"At developer starting price.",""))</f>
        <v/>
      </c>
      <c r="T726" s="57" t="str">
        <f>Assumptions!$AJ$157</f>
        <v>NW. Wellness Club, golf course, landed, nature reserve; Lower Peirce Reservoir from L20</v>
      </c>
    </row>
    <row r="727" spans="1:20" x14ac:dyDescent="0.2">
      <c r="A727" s="49" t="s">
        <v>882</v>
      </c>
      <c r="B727" s="29">
        <v>7</v>
      </c>
      <c r="C727" s="50">
        <v>31</v>
      </c>
      <c r="D727" s="50">
        <v>20</v>
      </c>
      <c r="E727" s="27" t="s">
        <v>44</v>
      </c>
      <c r="F727" s="29" t="s">
        <v>872</v>
      </c>
      <c r="G727" s="28">
        <v>732</v>
      </c>
      <c r="H727" s="29" t="s">
        <v>65</v>
      </c>
      <c r="I727" s="38" t="str">
        <f>Assumptions!$I$157</f>
        <v>B</v>
      </c>
      <c r="J727" s="29" t="str">
        <f>IF(D727&lt;=Assumptions!$V$157,"Low",IF(D727&lt;=Assumptions!$W$157,"Mid","High"))</f>
        <v>Mid</v>
      </c>
      <c r="K727" s="51">
        <f>Assumptions!$Q$157</f>
        <v>2630</v>
      </c>
      <c r="L727" s="52">
        <f>INDEX(Assumptions!$F$61:$F$90,D727)</f>
        <v>3219.2542105263155</v>
      </c>
      <c r="M727" s="53">
        <f>IF(D727&lt;=Assumptions!$G$157,Assumptions!$AK$157,IF(D727&lt;Assumptions!$AH$157,Assumptions!$AK$157+(Assumptions!$AL$157-Assumptions!$AK$157)*(D727-Assumptions!$G$157)/(Assumptions!$AH$157-Assumptions!$G$157),IF(D727&lt;Assumptions!$P$157,Assumptions!$AL$157+(Assumptions!$AM$157-Assumptions!$AL$157)*(D727-Assumptions!$AH$157)/(Assumptions!$P$157-Assumptions!$AH$157),Assumptions!$AM$157)))</f>
        <v>50000</v>
      </c>
      <c r="N727" s="54">
        <f t="shared" si="22"/>
        <v>68.306010928961754</v>
      </c>
      <c r="O727" s="55">
        <f t="shared" si="23"/>
        <v>3288</v>
      </c>
      <c r="P727" s="29" t="str">
        <f>IF(D727&gt;=Assumptions!$P$157,"High",IF(D727&gt;=Assumptions!$AH$157,"Mid",IF(D727&lt;=Assumptions!$G$157,"Low","Loading")))</f>
        <v>High</v>
      </c>
      <c r="Q727" s="39">
        <f>MAX(K727,MIN(Assumptions!$S$157,O727),Q728)</f>
        <v>3288</v>
      </c>
      <c r="R727" s="30">
        <f>IF(AND(Q727&lt;=K727,INDEX(Assumptions!$C$26:$C$36,MATCH(G727,Assumptions!$A$26:$A$36,0))&lt;&gt;""),INDEX(Assumptions!$C$26:$C$36,MATCH(G727,Assumptions!$A$26:$A$36,0)),ROUND(G727*Q727,-2))</f>
        <v>2406800</v>
      </c>
      <c r="S727" s="56" t="str">
        <f>TRIM(IF(AND(Assumptions!$L$157&lt;&gt;"",D727&lt;Assumptions!$L$157),"View blocked / roof in front ("&amp;Assumptions!$M$157&amp;"); view premium still loading until L"&amp;Assumptions!$L$157&amp;". ","")&amp;IF(D727=Assumptions!$AH$157,"Mid-floor view premium fully loaded. ","")&amp;IF(D727=Assumptions!$P$157,"High-floor view premium fully loaded. ","")&amp;IF(Q727&lt;=K727,"At developer starting price.",""))</f>
        <v>High-floor view premium fully loaded.</v>
      </c>
      <c r="T727" s="57" t="str">
        <f>Assumptions!$AJ$157</f>
        <v>NW. Wellness Club, golf course, landed, nature reserve; Lower Peirce Reservoir from L20</v>
      </c>
    </row>
    <row r="728" spans="1:20" x14ac:dyDescent="0.2">
      <c r="A728" s="49" t="s">
        <v>883</v>
      </c>
      <c r="B728" s="29">
        <v>7</v>
      </c>
      <c r="C728" s="50">
        <v>31</v>
      </c>
      <c r="D728" s="50">
        <v>19</v>
      </c>
      <c r="E728" s="27" t="s">
        <v>44</v>
      </c>
      <c r="F728" s="29" t="s">
        <v>872</v>
      </c>
      <c r="G728" s="28">
        <v>732</v>
      </c>
      <c r="H728" s="29" t="s">
        <v>65</v>
      </c>
      <c r="I728" s="38" t="str">
        <f>Assumptions!$I$157</f>
        <v>B</v>
      </c>
      <c r="J728" s="29" t="str">
        <f>IF(D728&lt;=Assumptions!$V$157,"Low",IF(D728&lt;=Assumptions!$W$157,"Mid","High"))</f>
        <v>Mid</v>
      </c>
      <c r="K728" s="51">
        <f>Assumptions!$Q$157</f>
        <v>2630</v>
      </c>
      <c r="L728" s="52">
        <f>INDEX(Assumptions!$F$61:$F$90,D728)</f>
        <v>3200.5331578947366</v>
      </c>
      <c r="M728" s="53">
        <f>IF(D728&lt;=Assumptions!$G$157,Assumptions!$AK$157,IF(D728&lt;Assumptions!$AH$157,Assumptions!$AK$157+(Assumptions!$AL$157-Assumptions!$AK$157)*(D728-Assumptions!$G$157)/(Assumptions!$AH$157-Assumptions!$G$157),IF(D728&lt;Assumptions!$P$157,Assumptions!$AL$157+(Assumptions!$AM$157-Assumptions!$AL$157)*(D728-Assumptions!$AH$157)/(Assumptions!$P$157-Assumptions!$AH$157),Assumptions!$AM$157)))</f>
        <v>43750</v>
      </c>
      <c r="N728" s="54">
        <f t="shared" si="22"/>
        <v>59.767759562841533</v>
      </c>
      <c r="O728" s="55">
        <f t="shared" si="23"/>
        <v>3260</v>
      </c>
      <c r="P728" s="29" t="str">
        <f>IF(D728&gt;=Assumptions!$P$157,"High",IF(D728&gt;=Assumptions!$AH$157,"Mid",IF(D728&lt;=Assumptions!$G$157,"Low","Loading")))</f>
        <v>Mid</v>
      </c>
      <c r="Q728" s="39">
        <f>MAX(K728,MIN(Assumptions!$S$157,O728),Q729)</f>
        <v>3260</v>
      </c>
      <c r="R728" s="30">
        <f>IF(AND(Q728&lt;=K728,INDEX(Assumptions!$C$26:$C$36,MATCH(G728,Assumptions!$A$26:$A$36,0))&lt;&gt;""),INDEX(Assumptions!$C$26:$C$36,MATCH(G728,Assumptions!$A$26:$A$36,0)),ROUND(G728*Q728,-2))</f>
        <v>2386300</v>
      </c>
      <c r="S728" s="56" t="str">
        <f>TRIM(IF(AND(Assumptions!$L$157&lt;&gt;"",D728&lt;Assumptions!$L$157),"View blocked / roof in front ("&amp;Assumptions!$M$157&amp;"); view premium still loading until L"&amp;Assumptions!$L$157&amp;". ","")&amp;IF(D728=Assumptions!$AH$157,"Mid-floor view premium fully loaded. ","")&amp;IF(D728=Assumptions!$P$157,"High-floor view premium fully loaded. ","")&amp;IF(Q728&lt;=K728,"At developer starting price.",""))</f>
        <v/>
      </c>
      <c r="T728" s="57" t="str">
        <f>Assumptions!$AJ$157</f>
        <v>NW. Wellness Club, golf course, landed, nature reserve; Lower Peirce Reservoir from L20</v>
      </c>
    </row>
    <row r="729" spans="1:20" x14ac:dyDescent="0.2">
      <c r="A729" s="49" t="s">
        <v>884</v>
      </c>
      <c r="B729" s="29">
        <v>7</v>
      </c>
      <c r="C729" s="50">
        <v>31</v>
      </c>
      <c r="D729" s="50">
        <v>18</v>
      </c>
      <c r="E729" s="27" t="s">
        <v>44</v>
      </c>
      <c r="F729" s="29" t="s">
        <v>872</v>
      </c>
      <c r="G729" s="28">
        <v>732</v>
      </c>
      <c r="H729" s="29" t="s">
        <v>65</v>
      </c>
      <c r="I729" s="38" t="str">
        <f>Assumptions!$I$157</f>
        <v>B</v>
      </c>
      <c r="J729" s="29" t="str">
        <f>IF(D729&lt;=Assumptions!$V$157,"Low",IF(D729&lt;=Assumptions!$W$157,"Mid","High"))</f>
        <v>Mid</v>
      </c>
      <c r="K729" s="51">
        <f>Assumptions!$Q$157</f>
        <v>2630</v>
      </c>
      <c r="L729" s="52">
        <f>INDEX(Assumptions!$F$61:$F$90,D729)</f>
        <v>3181.8121052631577</v>
      </c>
      <c r="M729" s="53">
        <f>IF(D729&lt;=Assumptions!$G$157,Assumptions!$AK$157,IF(D729&lt;Assumptions!$AH$157,Assumptions!$AK$157+(Assumptions!$AL$157-Assumptions!$AK$157)*(D729-Assumptions!$G$157)/(Assumptions!$AH$157-Assumptions!$G$157),IF(D729&lt;Assumptions!$P$157,Assumptions!$AL$157+(Assumptions!$AM$157-Assumptions!$AL$157)*(D729-Assumptions!$AH$157)/(Assumptions!$P$157-Assumptions!$AH$157),Assumptions!$AM$157)))</f>
        <v>37500</v>
      </c>
      <c r="N729" s="54">
        <f t="shared" si="22"/>
        <v>51.229508196721312</v>
      </c>
      <c r="O729" s="55">
        <f t="shared" si="23"/>
        <v>3233</v>
      </c>
      <c r="P729" s="29" t="str">
        <f>IF(D729&gt;=Assumptions!$P$157,"High",IF(D729&gt;=Assumptions!$AH$157,"Mid",IF(D729&lt;=Assumptions!$G$157,"Low","Loading")))</f>
        <v>Mid</v>
      </c>
      <c r="Q729" s="39">
        <f>MAX(K729,MIN(Assumptions!$S$157,O729),Q730)</f>
        <v>3233</v>
      </c>
      <c r="R729" s="30">
        <f>IF(AND(Q729&lt;=K729,INDEX(Assumptions!$C$26:$C$36,MATCH(G729,Assumptions!$A$26:$A$36,0))&lt;&gt;""),INDEX(Assumptions!$C$26:$C$36,MATCH(G729,Assumptions!$A$26:$A$36,0)),ROUND(G729*Q729,-2))</f>
        <v>2366600</v>
      </c>
      <c r="S729" s="56" t="str">
        <f>TRIM(IF(AND(Assumptions!$L$157&lt;&gt;"",D729&lt;Assumptions!$L$157),"View blocked / roof in front ("&amp;Assumptions!$M$157&amp;"); view premium still loading until L"&amp;Assumptions!$L$157&amp;". ","")&amp;IF(D729=Assumptions!$AH$157,"Mid-floor view premium fully loaded. ","")&amp;IF(D729=Assumptions!$P$157,"High-floor view premium fully loaded. ","")&amp;IF(Q729&lt;=K729,"At developer starting price.",""))</f>
        <v/>
      </c>
      <c r="T729" s="57" t="str">
        <f>Assumptions!$AJ$157</f>
        <v>NW. Wellness Club, golf course, landed, nature reserve; Lower Peirce Reservoir from L20</v>
      </c>
    </row>
    <row r="730" spans="1:20" x14ac:dyDescent="0.2">
      <c r="A730" s="49" t="s">
        <v>885</v>
      </c>
      <c r="B730" s="29">
        <v>7</v>
      </c>
      <c r="C730" s="50">
        <v>31</v>
      </c>
      <c r="D730" s="50">
        <v>17</v>
      </c>
      <c r="E730" s="27" t="s">
        <v>44</v>
      </c>
      <c r="F730" s="29" t="s">
        <v>872</v>
      </c>
      <c r="G730" s="28">
        <v>732</v>
      </c>
      <c r="H730" s="29" t="s">
        <v>65</v>
      </c>
      <c r="I730" s="38" t="str">
        <f>Assumptions!$I$157</f>
        <v>B</v>
      </c>
      <c r="J730" s="29" t="str">
        <f>IF(D730&lt;=Assumptions!$V$157,"Low",IF(D730&lt;=Assumptions!$W$157,"Mid","High"))</f>
        <v>Mid</v>
      </c>
      <c r="K730" s="51">
        <f>Assumptions!$Q$157</f>
        <v>2630</v>
      </c>
      <c r="L730" s="52">
        <f>INDEX(Assumptions!$F$61:$F$90,D730)</f>
        <v>3163.0910526315788</v>
      </c>
      <c r="M730" s="53">
        <f>IF(D730&lt;=Assumptions!$G$157,Assumptions!$AK$157,IF(D730&lt;Assumptions!$AH$157,Assumptions!$AK$157+(Assumptions!$AL$157-Assumptions!$AK$157)*(D730-Assumptions!$G$157)/(Assumptions!$AH$157-Assumptions!$G$157),IF(D730&lt;Assumptions!$P$157,Assumptions!$AL$157+(Assumptions!$AM$157-Assumptions!$AL$157)*(D730-Assumptions!$AH$157)/(Assumptions!$P$157-Assumptions!$AH$157),Assumptions!$AM$157)))</f>
        <v>31250</v>
      </c>
      <c r="N730" s="54">
        <f t="shared" si="22"/>
        <v>42.691256830601091</v>
      </c>
      <c r="O730" s="55">
        <f t="shared" si="23"/>
        <v>3206</v>
      </c>
      <c r="P730" s="29" t="str">
        <f>IF(D730&gt;=Assumptions!$P$157,"High",IF(D730&gt;=Assumptions!$AH$157,"Mid",IF(D730&lt;=Assumptions!$G$157,"Low","Loading")))</f>
        <v>Mid</v>
      </c>
      <c r="Q730" s="39">
        <f>MAX(K730,MIN(Assumptions!$S$157,O730),Q731)</f>
        <v>3206</v>
      </c>
      <c r="R730" s="30">
        <f>IF(AND(Q730&lt;=K730,INDEX(Assumptions!$C$26:$C$36,MATCH(G730,Assumptions!$A$26:$A$36,0))&lt;&gt;""),INDEX(Assumptions!$C$26:$C$36,MATCH(G730,Assumptions!$A$26:$A$36,0)),ROUND(G730*Q730,-2))</f>
        <v>2346800</v>
      </c>
      <c r="S730" s="56" t="str">
        <f>TRIM(IF(AND(Assumptions!$L$157&lt;&gt;"",D730&lt;Assumptions!$L$157),"View blocked / roof in front ("&amp;Assumptions!$M$157&amp;"); view premium still loading until L"&amp;Assumptions!$L$157&amp;". ","")&amp;IF(D730=Assumptions!$AH$157,"Mid-floor view premium fully loaded. ","")&amp;IF(D730=Assumptions!$P$157,"High-floor view premium fully loaded. ","")&amp;IF(Q730&lt;=K730,"At developer starting price.",""))</f>
        <v/>
      </c>
      <c r="T730" s="57" t="str">
        <f>Assumptions!$AJ$157</f>
        <v>NW. Wellness Club, golf course, landed, nature reserve; Lower Peirce Reservoir from L20</v>
      </c>
    </row>
    <row r="731" spans="1:20" x14ac:dyDescent="0.2">
      <c r="A731" s="49" t="s">
        <v>886</v>
      </c>
      <c r="B731" s="29">
        <v>7</v>
      </c>
      <c r="C731" s="50">
        <v>31</v>
      </c>
      <c r="D731" s="50">
        <v>16</v>
      </c>
      <c r="E731" s="27" t="s">
        <v>44</v>
      </c>
      <c r="F731" s="29" t="s">
        <v>872</v>
      </c>
      <c r="G731" s="28">
        <v>732</v>
      </c>
      <c r="H731" s="29" t="s">
        <v>65</v>
      </c>
      <c r="I731" s="38" t="str">
        <f>Assumptions!$I$157</f>
        <v>B</v>
      </c>
      <c r="J731" s="29" t="str">
        <f>IF(D731&lt;=Assumptions!$V$157,"Low",IF(D731&lt;=Assumptions!$W$157,"Mid","High"))</f>
        <v>Mid</v>
      </c>
      <c r="K731" s="51">
        <f>Assumptions!$Q$157</f>
        <v>2630</v>
      </c>
      <c r="L731" s="52">
        <f>INDEX(Assumptions!$F$61:$F$90,D731)</f>
        <v>3144.37</v>
      </c>
      <c r="M731" s="53">
        <f>IF(D731&lt;=Assumptions!$G$157,Assumptions!$AK$157,IF(D731&lt;Assumptions!$AH$157,Assumptions!$AK$157+(Assumptions!$AL$157-Assumptions!$AK$157)*(D731-Assumptions!$G$157)/(Assumptions!$AH$157-Assumptions!$G$157),IF(D731&lt;Assumptions!$P$157,Assumptions!$AL$157+(Assumptions!$AM$157-Assumptions!$AL$157)*(D731-Assumptions!$AH$157)/(Assumptions!$P$157-Assumptions!$AH$157),Assumptions!$AM$157)))</f>
        <v>25000</v>
      </c>
      <c r="N731" s="54">
        <f t="shared" si="22"/>
        <v>34.153005464480877</v>
      </c>
      <c r="O731" s="55">
        <f t="shared" si="23"/>
        <v>3179</v>
      </c>
      <c r="P731" s="29" t="str">
        <f>IF(D731&gt;=Assumptions!$P$157,"High",IF(D731&gt;=Assumptions!$AH$157,"Mid",IF(D731&lt;=Assumptions!$G$157,"Low","Loading")))</f>
        <v>Mid</v>
      </c>
      <c r="Q731" s="39">
        <f>MAX(K731,MIN(Assumptions!$S$157,O731),Q732)</f>
        <v>3179</v>
      </c>
      <c r="R731" s="30">
        <f>IF(AND(Q731&lt;=K731,INDEX(Assumptions!$C$26:$C$36,MATCH(G731,Assumptions!$A$26:$A$36,0))&lt;&gt;""),INDEX(Assumptions!$C$26:$C$36,MATCH(G731,Assumptions!$A$26:$A$36,0)),ROUND(G731*Q731,-2))</f>
        <v>2327000</v>
      </c>
      <c r="S731" s="56" t="str">
        <f>TRIM(IF(AND(Assumptions!$L$157&lt;&gt;"",D731&lt;Assumptions!$L$157),"View blocked / roof in front ("&amp;Assumptions!$M$157&amp;"); view premium still loading until L"&amp;Assumptions!$L$157&amp;". ","")&amp;IF(D731=Assumptions!$AH$157,"Mid-floor view premium fully loaded. ","")&amp;IF(D731=Assumptions!$P$157,"High-floor view premium fully loaded. ","")&amp;IF(Q731&lt;=K731,"At developer starting price.",""))</f>
        <v/>
      </c>
      <c r="T731" s="57" t="str">
        <f>Assumptions!$AJ$157</f>
        <v>NW. Wellness Club, golf course, landed, nature reserve; Lower Peirce Reservoir from L20</v>
      </c>
    </row>
    <row r="732" spans="1:20" x14ac:dyDescent="0.2">
      <c r="A732" s="49" t="s">
        <v>887</v>
      </c>
      <c r="B732" s="29">
        <v>7</v>
      </c>
      <c r="C732" s="50">
        <v>31</v>
      </c>
      <c r="D732" s="50">
        <v>15</v>
      </c>
      <c r="E732" s="27" t="s">
        <v>44</v>
      </c>
      <c r="F732" s="29" t="s">
        <v>872</v>
      </c>
      <c r="G732" s="28">
        <v>732</v>
      </c>
      <c r="H732" s="29" t="s">
        <v>65</v>
      </c>
      <c r="I732" s="38" t="str">
        <f>Assumptions!$I$157</f>
        <v>B</v>
      </c>
      <c r="J732" s="29" t="str">
        <f>IF(D732&lt;=Assumptions!$V$157,"Low",IF(D732&lt;=Assumptions!$W$157,"Mid","High"))</f>
        <v>Mid</v>
      </c>
      <c r="K732" s="51">
        <f>Assumptions!$Q$157</f>
        <v>2630</v>
      </c>
      <c r="L732" s="52">
        <f>INDEX(Assumptions!$F$61:$F$90,D732)</f>
        <v>3118.8799999999997</v>
      </c>
      <c r="M732" s="53">
        <f>IF(D732&lt;=Assumptions!$G$157,Assumptions!$AK$157,IF(D732&lt;Assumptions!$AH$157,Assumptions!$AK$157+(Assumptions!$AL$157-Assumptions!$AK$157)*(D732-Assumptions!$G$157)/(Assumptions!$AH$157-Assumptions!$G$157),IF(D732&lt;Assumptions!$P$157,Assumptions!$AL$157+(Assumptions!$AM$157-Assumptions!$AL$157)*(D732-Assumptions!$AH$157)/(Assumptions!$P$157-Assumptions!$AH$157),Assumptions!$AM$157)))</f>
        <v>18750</v>
      </c>
      <c r="N732" s="54">
        <f t="shared" si="22"/>
        <v>25.614754098360656</v>
      </c>
      <c r="O732" s="55">
        <f t="shared" si="23"/>
        <v>3144</v>
      </c>
      <c r="P732" s="29" t="str">
        <f>IF(D732&gt;=Assumptions!$P$157,"High",IF(D732&gt;=Assumptions!$AH$157,"Mid",IF(D732&lt;=Assumptions!$G$157,"Low","Loading")))</f>
        <v>Mid</v>
      </c>
      <c r="Q732" s="39">
        <f>MAX(K732,MIN(Assumptions!$S$157,O732),Q733)</f>
        <v>3144</v>
      </c>
      <c r="R732" s="30">
        <f>IF(AND(Q732&lt;=K732,INDEX(Assumptions!$C$26:$C$36,MATCH(G732,Assumptions!$A$26:$A$36,0))&lt;&gt;""),INDEX(Assumptions!$C$26:$C$36,MATCH(G732,Assumptions!$A$26:$A$36,0)),ROUND(G732*Q732,-2))</f>
        <v>2301400</v>
      </c>
      <c r="S732" s="56" t="str">
        <f>TRIM(IF(AND(Assumptions!$L$157&lt;&gt;"",D732&lt;Assumptions!$L$157),"View blocked / roof in front ("&amp;Assumptions!$M$157&amp;"); view premium still loading until L"&amp;Assumptions!$L$157&amp;". ","")&amp;IF(D732=Assumptions!$AH$157,"Mid-floor view premium fully loaded. ","")&amp;IF(D732=Assumptions!$P$157,"High-floor view premium fully loaded. ","")&amp;IF(Q732&lt;=K732,"At developer starting price.",""))</f>
        <v/>
      </c>
      <c r="T732" s="57" t="str">
        <f>Assumptions!$AJ$157</f>
        <v>NW. Wellness Club, golf course, landed, nature reserve; Lower Peirce Reservoir from L20</v>
      </c>
    </row>
    <row r="733" spans="1:20" x14ac:dyDescent="0.2">
      <c r="A733" s="49" t="s">
        <v>888</v>
      </c>
      <c r="B733" s="29">
        <v>7</v>
      </c>
      <c r="C733" s="50">
        <v>31</v>
      </c>
      <c r="D733" s="50">
        <v>14</v>
      </c>
      <c r="E733" s="27" t="s">
        <v>44</v>
      </c>
      <c r="F733" s="29" t="s">
        <v>872</v>
      </c>
      <c r="G733" s="28">
        <v>732</v>
      </c>
      <c r="H733" s="29" t="s">
        <v>65</v>
      </c>
      <c r="I733" s="38" t="str">
        <f>Assumptions!$I$157</f>
        <v>B</v>
      </c>
      <c r="J733" s="29" t="str">
        <f>IF(D733&lt;=Assumptions!$V$157,"Low",IF(D733&lt;=Assumptions!$W$157,"Mid","High"))</f>
        <v>Mid</v>
      </c>
      <c r="K733" s="51">
        <f>Assumptions!$Q$157</f>
        <v>2630</v>
      </c>
      <c r="L733" s="52">
        <f>INDEX(Assumptions!$F$61:$F$90,D733)</f>
        <v>3093.39</v>
      </c>
      <c r="M733" s="53">
        <f>IF(D733&lt;=Assumptions!$G$157,Assumptions!$AK$157,IF(D733&lt;Assumptions!$AH$157,Assumptions!$AK$157+(Assumptions!$AL$157-Assumptions!$AK$157)*(D733-Assumptions!$G$157)/(Assumptions!$AH$157-Assumptions!$G$157),IF(D733&lt;Assumptions!$P$157,Assumptions!$AL$157+(Assumptions!$AM$157-Assumptions!$AL$157)*(D733-Assumptions!$AH$157)/(Assumptions!$P$157-Assumptions!$AH$157),Assumptions!$AM$157)))</f>
        <v>12500</v>
      </c>
      <c r="N733" s="54">
        <f t="shared" si="22"/>
        <v>17.076502732240439</v>
      </c>
      <c r="O733" s="55">
        <f t="shared" si="23"/>
        <v>3110</v>
      </c>
      <c r="P733" s="29" t="str">
        <f>IF(D733&gt;=Assumptions!$P$157,"High",IF(D733&gt;=Assumptions!$AH$157,"Mid",IF(D733&lt;=Assumptions!$G$157,"Low","Loading")))</f>
        <v>Mid</v>
      </c>
      <c r="Q733" s="39">
        <f>MAX(K733,MIN(Assumptions!$S$157,O733),Q734)</f>
        <v>3110</v>
      </c>
      <c r="R733" s="30">
        <f>IF(AND(Q733&lt;=K733,INDEX(Assumptions!$C$26:$C$36,MATCH(G733,Assumptions!$A$26:$A$36,0))&lt;&gt;""),INDEX(Assumptions!$C$26:$C$36,MATCH(G733,Assumptions!$A$26:$A$36,0)),ROUND(G733*Q733,-2))</f>
        <v>2276500</v>
      </c>
      <c r="S733" s="56" t="str">
        <f>TRIM(IF(AND(Assumptions!$L$157&lt;&gt;"",D733&lt;Assumptions!$L$157),"View blocked / roof in front ("&amp;Assumptions!$M$157&amp;"); view premium still loading until L"&amp;Assumptions!$L$157&amp;". ","")&amp;IF(D733=Assumptions!$AH$157,"Mid-floor view premium fully loaded. ","")&amp;IF(D733=Assumptions!$P$157,"High-floor view premium fully loaded. ","")&amp;IF(Q733&lt;=K733,"At developer starting price.",""))</f>
        <v/>
      </c>
      <c r="T733" s="57" t="str">
        <f>Assumptions!$AJ$157</f>
        <v>NW. Wellness Club, golf course, landed, nature reserve; Lower Peirce Reservoir from L20</v>
      </c>
    </row>
    <row r="734" spans="1:20" x14ac:dyDescent="0.2">
      <c r="A734" s="49" t="s">
        <v>889</v>
      </c>
      <c r="B734" s="29">
        <v>7</v>
      </c>
      <c r="C734" s="50">
        <v>31</v>
      </c>
      <c r="D734" s="50">
        <v>13</v>
      </c>
      <c r="E734" s="27" t="s">
        <v>44</v>
      </c>
      <c r="F734" s="29" t="s">
        <v>872</v>
      </c>
      <c r="G734" s="28">
        <v>732</v>
      </c>
      <c r="H734" s="29" t="s">
        <v>65</v>
      </c>
      <c r="I734" s="38" t="str">
        <f>Assumptions!$I$157</f>
        <v>B</v>
      </c>
      <c r="J734" s="29" t="str">
        <f>IF(D734&lt;=Assumptions!$V$157,"Low",IF(D734&lt;=Assumptions!$W$157,"Mid","High"))</f>
        <v>Mid</v>
      </c>
      <c r="K734" s="51">
        <f>Assumptions!$Q$157</f>
        <v>2630</v>
      </c>
      <c r="L734" s="52">
        <f>INDEX(Assumptions!$F$61:$F$90,D734)</f>
        <v>3067.9</v>
      </c>
      <c r="M734" s="53">
        <f>IF(D734&lt;=Assumptions!$G$157,Assumptions!$AK$157,IF(D734&lt;Assumptions!$AH$157,Assumptions!$AK$157+(Assumptions!$AL$157-Assumptions!$AK$157)*(D734-Assumptions!$G$157)/(Assumptions!$AH$157-Assumptions!$G$157),IF(D734&lt;Assumptions!$P$157,Assumptions!$AL$157+(Assumptions!$AM$157-Assumptions!$AL$157)*(D734-Assumptions!$AH$157)/(Assumptions!$P$157-Assumptions!$AH$157),Assumptions!$AM$157)))</f>
        <v>6250</v>
      </c>
      <c r="N734" s="54">
        <f t="shared" si="22"/>
        <v>8.5382513661202193</v>
      </c>
      <c r="O734" s="55">
        <f t="shared" si="23"/>
        <v>3076</v>
      </c>
      <c r="P734" s="29" t="str">
        <f>IF(D734&gt;=Assumptions!$P$157,"High",IF(D734&gt;=Assumptions!$AH$157,"Mid",IF(D734&lt;=Assumptions!$G$157,"Low","Loading")))</f>
        <v>Mid</v>
      </c>
      <c r="Q734" s="39">
        <f>MAX(K734,MIN(Assumptions!$S$157,O734),Q735)</f>
        <v>3076</v>
      </c>
      <c r="R734" s="30">
        <f>IF(AND(Q734&lt;=K734,INDEX(Assumptions!$C$26:$C$36,MATCH(G734,Assumptions!$A$26:$A$36,0))&lt;&gt;""),INDEX(Assumptions!$C$26:$C$36,MATCH(G734,Assumptions!$A$26:$A$36,0)),ROUND(G734*Q734,-2))</f>
        <v>2251600</v>
      </c>
      <c r="S734" s="56" t="str">
        <f>TRIM(IF(AND(Assumptions!$L$157&lt;&gt;"",D734&lt;Assumptions!$L$157),"View blocked / roof in front ("&amp;Assumptions!$M$157&amp;"); view premium still loading until L"&amp;Assumptions!$L$157&amp;". ","")&amp;IF(D734=Assumptions!$AH$157,"Mid-floor view premium fully loaded. ","")&amp;IF(D734=Assumptions!$P$157,"High-floor view premium fully loaded. ","")&amp;IF(Q734&lt;=K734,"At developer starting price.",""))</f>
        <v/>
      </c>
      <c r="T734" s="57" t="str">
        <f>Assumptions!$AJ$157</f>
        <v>NW. Wellness Club, golf course, landed, nature reserve; Lower Peirce Reservoir from L20</v>
      </c>
    </row>
    <row r="735" spans="1:20" x14ac:dyDescent="0.2">
      <c r="A735" s="49" t="s">
        <v>890</v>
      </c>
      <c r="B735" s="29">
        <v>7</v>
      </c>
      <c r="C735" s="50">
        <v>31</v>
      </c>
      <c r="D735" s="50">
        <v>12</v>
      </c>
      <c r="E735" s="27" t="s">
        <v>44</v>
      </c>
      <c r="F735" s="29" t="s">
        <v>872</v>
      </c>
      <c r="G735" s="28">
        <v>732</v>
      </c>
      <c r="H735" s="29" t="s">
        <v>65</v>
      </c>
      <c r="I735" s="38" t="str">
        <f>Assumptions!$I$157</f>
        <v>B</v>
      </c>
      <c r="J735" s="29" t="str">
        <f>IF(D735&lt;=Assumptions!$V$157,"Low",IF(D735&lt;=Assumptions!$W$157,"Mid","High"))</f>
        <v>Mid</v>
      </c>
      <c r="K735" s="51">
        <f>Assumptions!$Q$157</f>
        <v>2630</v>
      </c>
      <c r="L735" s="52">
        <f>INDEX(Assumptions!$F$61:$F$90,D735)</f>
        <v>3042.41</v>
      </c>
      <c r="M735" s="53">
        <f>IF(D735&lt;=Assumptions!$G$157,Assumptions!$AK$157,IF(D735&lt;Assumptions!$AH$157,Assumptions!$AK$157+(Assumptions!$AL$157-Assumptions!$AK$157)*(D735-Assumptions!$G$157)/(Assumptions!$AH$157-Assumptions!$G$157),IF(D735&lt;Assumptions!$P$157,Assumptions!$AL$157+(Assumptions!$AM$157-Assumptions!$AL$157)*(D735-Assumptions!$AH$157)/(Assumptions!$P$157-Assumptions!$AH$157),Assumptions!$AM$157)))</f>
        <v>0</v>
      </c>
      <c r="N735" s="54">
        <f t="shared" si="22"/>
        <v>0</v>
      </c>
      <c r="O735" s="55">
        <f t="shared" si="23"/>
        <v>3042</v>
      </c>
      <c r="P735" s="29" t="str">
        <f>IF(D735&gt;=Assumptions!$P$157,"High",IF(D735&gt;=Assumptions!$AH$157,"Mid",IF(D735&lt;=Assumptions!$G$157,"Low","Loading")))</f>
        <v>Mid</v>
      </c>
      <c r="Q735" s="39">
        <f>MAX(K735,MIN(Assumptions!$S$157,O735),Q736)</f>
        <v>3042</v>
      </c>
      <c r="R735" s="30">
        <f>IF(AND(Q735&lt;=K735,INDEX(Assumptions!$C$26:$C$36,MATCH(G735,Assumptions!$A$26:$A$36,0))&lt;&gt;""),INDEX(Assumptions!$C$26:$C$36,MATCH(G735,Assumptions!$A$26:$A$36,0)),ROUND(G735*Q735,-2))</f>
        <v>2226700</v>
      </c>
      <c r="S735" s="56" t="str">
        <f>TRIM(IF(AND(Assumptions!$L$157&lt;&gt;"",D735&lt;Assumptions!$L$157),"View blocked / roof in front ("&amp;Assumptions!$M$157&amp;"); view premium still loading until L"&amp;Assumptions!$L$157&amp;". ","")&amp;IF(D735=Assumptions!$AH$157,"Mid-floor view premium fully loaded. ","")&amp;IF(D735=Assumptions!$P$157,"High-floor view premium fully loaded. ","")&amp;IF(Q735&lt;=K735,"At developer starting price.",""))</f>
        <v>Mid-floor view premium fully loaded.</v>
      </c>
      <c r="T735" s="57" t="str">
        <f>Assumptions!$AJ$157</f>
        <v>NW. Wellness Club, golf course, landed, nature reserve; Lower Peirce Reservoir from L20</v>
      </c>
    </row>
    <row r="736" spans="1:20" x14ac:dyDescent="0.2">
      <c r="A736" s="49" t="s">
        <v>891</v>
      </c>
      <c r="B736" s="29">
        <v>7</v>
      </c>
      <c r="C736" s="50">
        <v>31</v>
      </c>
      <c r="D736" s="50">
        <v>11</v>
      </c>
      <c r="E736" s="27" t="s">
        <v>44</v>
      </c>
      <c r="F736" s="29" t="s">
        <v>872</v>
      </c>
      <c r="G736" s="28">
        <v>732</v>
      </c>
      <c r="H736" s="29" t="s">
        <v>65</v>
      </c>
      <c r="I736" s="38" t="str">
        <f>Assumptions!$I$157</f>
        <v>B</v>
      </c>
      <c r="J736" s="29" t="str">
        <f>IF(D736&lt;=Assumptions!$V$157,"Low",IF(D736&lt;=Assumptions!$W$157,"Mid","High"))</f>
        <v>Low</v>
      </c>
      <c r="K736" s="51">
        <f>Assumptions!$Q$157</f>
        <v>2630</v>
      </c>
      <c r="L736" s="52">
        <f>INDEX(Assumptions!$F$61:$F$90,D736)</f>
        <v>3016.9199999999996</v>
      </c>
      <c r="M736" s="53">
        <f>IF(D736&lt;=Assumptions!$G$157,Assumptions!$AK$157,IF(D736&lt;Assumptions!$AH$157,Assumptions!$AK$157+(Assumptions!$AL$157-Assumptions!$AK$157)*(D736-Assumptions!$G$157)/(Assumptions!$AH$157-Assumptions!$G$157),IF(D736&lt;Assumptions!$P$157,Assumptions!$AL$157+(Assumptions!$AM$157-Assumptions!$AL$157)*(D736-Assumptions!$AH$157)/(Assumptions!$P$157-Assumptions!$AH$157),Assumptions!$AM$157)))</f>
        <v>0</v>
      </c>
      <c r="N736" s="54">
        <f t="shared" si="22"/>
        <v>0</v>
      </c>
      <c r="O736" s="55">
        <f t="shared" si="23"/>
        <v>3017</v>
      </c>
      <c r="P736" s="29" t="str">
        <f>IF(D736&gt;=Assumptions!$P$157,"High",IF(D736&gt;=Assumptions!$AH$157,"Mid",IF(D736&lt;=Assumptions!$G$157,"Low","Loading")))</f>
        <v>Loading</v>
      </c>
      <c r="Q736" s="39">
        <f>MAX(K736,MIN(Assumptions!$S$157,O736),Q737)</f>
        <v>3017</v>
      </c>
      <c r="R736" s="30">
        <f>IF(AND(Q736&lt;=K736,INDEX(Assumptions!$C$26:$C$36,MATCH(G736,Assumptions!$A$26:$A$36,0))&lt;&gt;""),INDEX(Assumptions!$C$26:$C$36,MATCH(G736,Assumptions!$A$26:$A$36,0)),ROUND(G736*Q736,-2))</f>
        <v>2208400</v>
      </c>
      <c r="S736" s="56" t="str">
        <f>TRIM(IF(AND(Assumptions!$L$157&lt;&gt;"",D736&lt;Assumptions!$L$157),"View blocked / roof in front ("&amp;Assumptions!$M$157&amp;"); view premium still loading until L"&amp;Assumptions!$L$157&amp;". ","")&amp;IF(D736=Assumptions!$AH$157,"Mid-floor view premium fully loaded. ","")&amp;IF(D736=Assumptions!$P$157,"High-floor view premium fully loaded. ","")&amp;IF(Q736&lt;=K736,"At developer starting price.",""))</f>
        <v/>
      </c>
      <c r="T736" s="57" t="str">
        <f>Assumptions!$AJ$157</f>
        <v>NW. Wellness Club, golf course, landed, nature reserve; Lower Peirce Reservoir from L20</v>
      </c>
    </row>
    <row r="737" spans="1:20" x14ac:dyDescent="0.2">
      <c r="A737" s="49" t="s">
        <v>892</v>
      </c>
      <c r="B737" s="29">
        <v>7</v>
      </c>
      <c r="C737" s="50">
        <v>31</v>
      </c>
      <c r="D737" s="50">
        <v>10</v>
      </c>
      <c r="E737" s="27" t="s">
        <v>44</v>
      </c>
      <c r="F737" s="29" t="s">
        <v>872</v>
      </c>
      <c r="G737" s="28">
        <v>732</v>
      </c>
      <c r="H737" s="29" t="s">
        <v>65</v>
      </c>
      <c r="I737" s="38" t="str">
        <f>Assumptions!$I$157</f>
        <v>B</v>
      </c>
      <c r="J737" s="29" t="str">
        <f>IF(D737&lt;=Assumptions!$V$157,"Low",IF(D737&lt;=Assumptions!$W$157,"Mid","High"))</f>
        <v>Low</v>
      </c>
      <c r="K737" s="51">
        <f>Assumptions!$Q$157</f>
        <v>2630</v>
      </c>
      <c r="L737" s="52">
        <f>INDEX(Assumptions!$F$61:$F$90,D737)</f>
        <v>2991.43</v>
      </c>
      <c r="M737" s="53">
        <f>IF(D737&lt;=Assumptions!$G$157,Assumptions!$AK$157,IF(D737&lt;Assumptions!$AH$157,Assumptions!$AK$157+(Assumptions!$AL$157-Assumptions!$AK$157)*(D737-Assumptions!$G$157)/(Assumptions!$AH$157-Assumptions!$G$157),IF(D737&lt;Assumptions!$P$157,Assumptions!$AL$157+(Assumptions!$AM$157-Assumptions!$AL$157)*(D737-Assumptions!$AH$157)/(Assumptions!$P$157-Assumptions!$AH$157),Assumptions!$AM$157)))</f>
        <v>0</v>
      </c>
      <c r="N737" s="54">
        <f t="shared" si="22"/>
        <v>0</v>
      </c>
      <c r="O737" s="55">
        <f t="shared" si="23"/>
        <v>2991</v>
      </c>
      <c r="P737" s="29" t="str">
        <f>IF(D737&gt;=Assumptions!$P$157,"High",IF(D737&gt;=Assumptions!$AH$157,"Mid",IF(D737&lt;=Assumptions!$G$157,"Low","Loading")))</f>
        <v>Loading</v>
      </c>
      <c r="Q737" s="39">
        <f>MAX(K737,MIN(Assumptions!$S$157,O737),Q738)</f>
        <v>2991</v>
      </c>
      <c r="R737" s="30">
        <f>IF(AND(Q737&lt;=K737,INDEX(Assumptions!$C$26:$C$36,MATCH(G737,Assumptions!$A$26:$A$36,0))&lt;&gt;""),INDEX(Assumptions!$C$26:$C$36,MATCH(G737,Assumptions!$A$26:$A$36,0)),ROUND(G737*Q737,-2))</f>
        <v>2189400</v>
      </c>
      <c r="S737" s="56" t="str">
        <f>TRIM(IF(AND(Assumptions!$L$157&lt;&gt;"",D737&lt;Assumptions!$L$157),"View blocked / roof in front ("&amp;Assumptions!$M$157&amp;"); view premium still loading until L"&amp;Assumptions!$L$157&amp;". ","")&amp;IF(D737=Assumptions!$AH$157,"Mid-floor view premium fully loaded. ","")&amp;IF(D737=Assumptions!$P$157,"High-floor view premium fully loaded. ","")&amp;IF(Q737&lt;=K737,"At developer starting price.",""))</f>
        <v/>
      </c>
      <c r="T737" s="57" t="str">
        <f>Assumptions!$AJ$157</f>
        <v>NW. Wellness Club, golf course, landed, nature reserve; Lower Peirce Reservoir from L20</v>
      </c>
    </row>
    <row r="738" spans="1:20" x14ac:dyDescent="0.2">
      <c r="A738" s="49" t="s">
        <v>893</v>
      </c>
      <c r="B738" s="29">
        <v>7</v>
      </c>
      <c r="C738" s="50">
        <v>31</v>
      </c>
      <c r="D738" s="50">
        <v>9</v>
      </c>
      <c r="E738" s="27" t="s">
        <v>44</v>
      </c>
      <c r="F738" s="29" t="s">
        <v>872</v>
      </c>
      <c r="G738" s="28">
        <v>732</v>
      </c>
      <c r="H738" s="29" t="s">
        <v>65</v>
      </c>
      <c r="I738" s="38" t="str">
        <f>Assumptions!$I$157</f>
        <v>B</v>
      </c>
      <c r="J738" s="29" t="str">
        <f>IF(D738&lt;=Assumptions!$V$157,"Low",IF(D738&lt;=Assumptions!$W$157,"Mid","High"))</f>
        <v>Low</v>
      </c>
      <c r="K738" s="51">
        <f>Assumptions!$Q$157</f>
        <v>2630</v>
      </c>
      <c r="L738" s="52">
        <f>INDEX(Assumptions!$F$61:$F$90,D738)</f>
        <v>2965.94</v>
      </c>
      <c r="M738" s="53">
        <f>IF(D738&lt;=Assumptions!$G$157,Assumptions!$AK$157,IF(D738&lt;Assumptions!$AH$157,Assumptions!$AK$157+(Assumptions!$AL$157-Assumptions!$AK$157)*(D738-Assumptions!$G$157)/(Assumptions!$AH$157-Assumptions!$G$157),IF(D738&lt;Assumptions!$P$157,Assumptions!$AL$157+(Assumptions!$AM$157-Assumptions!$AL$157)*(D738-Assumptions!$AH$157)/(Assumptions!$P$157-Assumptions!$AH$157),Assumptions!$AM$157)))</f>
        <v>0</v>
      </c>
      <c r="N738" s="54">
        <f t="shared" si="22"/>
        <v>0</v>
      </c>
      <c r="O738" s="55">
        <f t="shared" si="23"/>
        <v>2966</v>
      </c>
      <c r="P738" s="29" t="str">
        <f>IF(D738&gt;=Assumptions!$P$157,"High",IF(D738&gt;=Assumptions!$AH$157,"Mid",IF(D738&lt;=Assumptions!$G$157,"Low","Loading")))</f>
        <v>Loading</v>
      </c>
      <c r="Q738" s="39">
        <f>MAX(K738,MIN(Assumptions!$S$157,O738),Q739)</f>
        <v>2966</v>
      </c>
      <c r="R738" s="30">
        <f>IF(AND(Q738&lt;=K738,INDEX(Assumptions!$C$26:$C$36,MATCH(G738,Assumptions!$A$26:$A$36,0))&lt;&gt;""),INDEX(Assumptions!$C$26:$C$36,MATCH(G738,Assumptions!$A$26:$A$36,0)),ROUND(G738*Q738,-2))</f>
        <v>2171100</v>
      </c>
      <c r="S738" s="56" t="str">
        <f>TRIM(IF(AND(Assumptions!$L$157&lt;&gt;"",D738&lt;Assumptions!$L$157),"View blocked / roof in front ("&amp;Assumptions!$M$157&amp;"); view premium still loading until L"&amp;Assumptions!$L$157&amp;". ","")&amp;IF(D738=Assumptions!$AH$157,"Mid-floor view premium fully loaded. ","")&amp;IF(D738=Assumptions!$P$157,"High-floor view premium fully loaded. ","")&amp;IF(Q738&lt;=K738,"At developer starting price.",""))</f>
        <v/>
      </c>
      <c r="T738" s="57" t="str">
        <f>Assumptions!$AJ$157</f>
        <v>NW. Wellness Club, golf course, landed, nature reserve; Lower Peirce Reservoir from L20</v>
      </c>
    </row>
    <row r="739" spans="1:20" x14ac:dyDescent="0.2">
      <c r="A739" s="49" t="s">
        <v>894</v>
      </c>
      <c r="B739" s="29">
        <v>7</v>
      </c>
      <c r="C739" s="50">
        <v>31</v>
      </c>
      <c r="D739" s="50">
        <v>8</v>
      </c>
      <c r="E739" s="27" t="s">
        <v>44</v>
      </c>
      <c r="F739" s="29" t="s">
        <v>872</v>
      </c>
      <c r="G739" s="28">
        <v>732</v>
      </c>
      <c r="H739" s="29" t="s">
        <v>65</v>
      </c>
      <c r="I739" s="38" t="str">
        <f>Assumptions!$I$157</f>
        <v>B</v>
      </c>
      <c r="J739" s="29" t="str">
        <f>IF(D739&lt;=Assumptions!$V$157,"Low",IF(D739&lt;=Assumptions!$W$157,"Mid","High"))</f>
        <v>Low</v>
      </c>
      <c r="K739" s="51">
        <f>Assumptions!$Q$157</f>
        <v>2630</v>
      </c>
      <c r="L739" s="52">
        <f>INDEX(Assumptions!$F$61:$F$90,D739)</f>
        <v>2940.45</v>
      </c>
      <c r="M739" s="53">
        <f>IF(D739&lt;=Assumptions!$G$157,Assumptions!$AK$157,IF(D739&lt;Assumptions!$AH$157,Assumptions!$AK$157+(Assumptions!$AL$157-Assumptions!$AK$157)*(D739-Assumptions!$G$157)/(Assumptions!$AH$157-Assumptions!$G$157),IF(D739&lt;Assumptions!$P$157,Assumptions!$AL$157+(Assumptions!$AM$157-Assumptions!$AL$157)*(D739-Assumptions!$AH$157)/(Assumptions!$P$157-Assumptions!$AH$157),Assumptions!$AM$157)))</f>
        <v>0</v>
      </c>
      <c r="N739" s="54">
        <f t="shared" si="22"/>
        <v>0</v>
      </c>
      <c r="O739" s="55">
        <f t="shared" si="23"/>
        <v>2940</v>
      </c>
      <c r="P739" s="29" t="str">
        <f>IF(D739&gt;=Assumptions!$P$157,"High",IF(D739&gt;=Assumptions!$AH$157,"Mid",IF(D739&lt;=Assumptions!$G$157,"Low","Loading")))</f>
        <v>Loading</v>
      </c>
      <c r="Q739" s="39">
        <f>MAX(K739,MIN(Assumptions!$S$157,O739),Q740)</f>
        <v>2940</v>
      </c>
      <c r="R739" s="30">
        <f>IF(AND(Q739&lt;=K739,INDEX(Assumptions!$C$26:$C$36,MATCH(G739,Assumptions!$A$26:$A$36,0))&lt;&gt;""),INDEX(Assumptions!$C$26:$C$36,MATCH(G739,Assumptions!$A$26:$A$36,0)),ROUND(G739*Q739,-2))</f>
        <v>2152100</v>
      </c>
      <c r="S739" s="56" t="str">
        <f>TRIM(IF(AND(Assumptions!$L$157&lt;&gt;"",D739&lt;Assumptions!$L$157),"View blocked / roof in front ("&amp;Assumptions!$M$157&amp;"); view premium still loading until L"&amp;Assumptions!$L$157&amp;". ","")&amp;IF(D739=Assumptions!$AH$157,"Mid-floor view premium fully loaded. ","")&amp;IF(D739=Assumptions!$P$157,"High-floor view premium fully loaded. ","")&amp;IF(Q739&lt;=K739,"At developer starting price.",""))</f>
        <v/>
      </c>
      <c r="T739" s="57" t="str">
        <f>Assumptions!$AJ$157</f>
        <v>NW. Wellness Club, golf course, landed, nature reserve; Lower Peirce Reservoir from L20</v>
      </c>
    </row>
    <row r="740" spans="1:20" x14ac:dyDescent="0.2">
      <c r="A740" s="49" t="s">
        <v>895</v>
      </c>
      <c r="B740" s="29">
        <v>7</v>
      </c>
      <c r="C740" s="50">
        <v>31</v>
      </c>
      <c r="D740" s="50">
        <v>7</v>
      </c>
      <c r="E740" s="27" t="s">
        <v>44</v>
      </c>
      <c r="F740" s="29" t="s">
        <v>872</v>
      </c>
      <c r="G740" s="28">
        <v>732</v>
      </c>
      <c r="H740" s="29" t="s">
        <v>65</v>
      </c>
      <c r="I740" s="38" t="str">
        <f>Assumptions!$I$157</f>
        <v>B</v>
      </c>
      <c r="J740" s="29" t="str">
        <f>IF(D740&lt;=Assumptions!$V$157,"Low",IF(D740&lt;=Assumptions!$W$157,"Mid","High"))</f>
        <v>Low</v>
      </c>
      <c r="K740" s="51">
        <f>Assumptions!$Q$157</f>
        <v>2630</v>
      </c>
      <c r="L740" s="52">
        <f>INDEX(Assumptions!$F$61:$F$90,D740)</f>
        <v>2914.9599999999996</v>
      </c>
      <c r="M740" s="53">
        <f>IF(D740&lt;=Assumptions!$G$157,Assumptions!$AK$157,IF(D740&lt;Assumptions!$AH$157,Assumptions!$AK$157+(Assumptions!$AL$157-Assumptions!$AK$157)*(D740-Assumptions!$G$157)/(Assumptions!$AH$157-Assumptions!$G$157),IF(D740&lt;Assumptions!$P$157,Assumptions!$AL$157+(Assumptions!$AM$157-Assumptions!$AL$157)*(D740-Assumptions!$AH$157)/(Assumptions!$P$157-Assumptions!$AH$157),Assumptions!$AM$157)))</f>
        <v>0</v>
      </c>
      <c r="N740" s="54">
        <f t="shared" si="22"/>
        <v>0</v>
      </c>
      <c r="O740" s="55">
        <f t="shared" si="23"/>
        <v>2915</v>
      </c>
      <c r="P740" s="29" t="str">
        <f>IF(D740&gt;=Assumptions!$P$157,"High",IF(D740&gt;=Assumptions!$AH$157,"Mid",IF(D740&lt;=Assumptions!$G$157,"Low","Loading")))</f>
        <v>Loading</v>
      </c>
      <c r="Q740" s="39">
        <f>MAX(K740,MIN(Assumptions!$S$157,O740),Q741)</f>
        <v>2915</v>
      </c>
      <c r="R740" s="30">
        <f>IF(AND(Q740&lt;=K740,INDEX(Assumptions!$C$26:$C$36,MATCH(G740,Assumptions!$A$26:$A$36,0))&lt;&gt;""),INDEX(Assumptions!$C$26:$C$36,MATCH(G740,Assumptions!$A$26:$A$36,0)),ROUND(G740*Q740,-2))</f>
        <v>2133800</v>
      </c>
      <c r="S740" s="56" t="str">
        <f>TRIM(IF(AND(Assumptions!$L$157&lt;&gt;"",D740&lt;Assumptions!$L$157),"View blocked / roof in front ("&amp;Assumptions!$M$157&amp;"); view premium still loading until L"&amp;Assumptions!$L$157&amp;". ","")&amp;IF(D740=Assumptions!$AH$157,"Mid-floor view premium fully loaded. ","")&amp;IF(D740=Assumptions!$P$157,"High-floor view premium fully loaded. ","")&amp;IF(Q740&lt;=K740,"At developer starting price.",""))</f>
        <v/>
      </c>
      <c r="T740" s="57" t="str">
        <f>Assumptions!$AJ$157</f>
        <v>NW. Wellness Club, golf course, landed, nature reserve; Lower Peirce Reservoir from L20</v>
      </c>
    </row>
    <row r="741" spans="1:20" x14ac:dyDescent="0.2">
      <c r="A741" s="49" t="s">
        <v>896</v>
      </c>
      <c r="B741" s="29">
        <v>7</v>
      </c>
      <c r="C741" s="50">
        <v>31</v>
      </c>
      <c r="D741" s="50">
        <v>6</v>
      </c>
      <c r="E741" s="27" t="s">
        <v>44</v>
      </c>
      <c r="F741" s="29" t="s">
        <v>872</v>
      </c>
      <c r="G741" s="28">
        <v>732</v>
      </c>
      <c r="H741" s="29" t="s">
        <v>65</v>
      </c>
      <c r="I741" s="38" t="str">
        <f>Assumptions!$I$157</f>
        <v>B</v>
      </c>
      <c r="J741" s="29" t="str">
        <f>IF(D741&lt;=Assumptions!$V$157,"Low",IF(D741&lt;=Assumptions!$W$157,"Mid","High"))</f>
        <v>Low</v>
      </c>
      <c r="K741" s="51">
        <f>Assumptions!$Q$157</f>
        <v>2630</v>
      </c>
      <c r="L741" s="52">
        <f>INDEX(Assumptions!$F$61:$F$90,D741)</f>
        <v>2889.47</v>
      </c>
      <c r="M741" s="53">
        <f>IF(D741&lt;=Assumptions!$G$157,Assumptions!$AK$157,IF(D741&lt;Assumptions!$AH$157,Assumptions!$AK$157+(Assumptions!$AL$157-Assumptions!$AK$157)*(D741-Assumptions!$G$157)/(Assumptions!$AH$157-Assumptions!$G$157),IF(D741&lt;Assumptions!$P$157,Assumptions!$AL$157+(Assumptions!$AM$157-Assumptions!$AL$157)*(D741-Assumptions!$AH$157)/(Assumptions!$P$157-Assumptions!$AH$157),Assumptions!$AM$157)))</f>
        <v>0</v>
      </c>
      <c r="N741" s="54">
        <f t="shared" si="22"/>
        <v>0</v>
      </c>
      <c r="O741" s="55">
        <f t="shared" si="23"/>
        <v>2889</v>
      </c>
      <c r="P741" s="29" t="str">
        <f>IF(D741&gt;=Assumptions!$P$157,"High",IF(D741&gt;=Assumptions!$AH$157,"Mid",IF(D741&lt;=Assumptions!$G$157,"Low","Loading")))</f>
        <v>Loading</v>
      </c>
      <c r="Q741" s="39">
        <f>MAX(K741,MIN(Assumptions!$S$157,O741),Q742)</f>
        <v>2889</v>
      </c>
      <c r="R741" s="30">
        <f>IF(AND(Q741&lt;=K741,INDEX(Assumptions!$C$26:$C$36,MATCH(G741,Assumptions!$A$26:$A$36,0))&lt;&gt;""),INDEX(Assumptions!$C$26:$C$36,MATCH(G741,Assumptions!$A$26:$A$36,0)),ROUND(G741*Q741,-2))</f>
        <v>2114700</v>
      </c>
      <c r="S741" s="56" t="str">
        <f>TRIM(IF(AND(Assumptions!$L$157&lt;&gt;"",D741&lt;Assumptions!$L$157),"View blocked / roof in front ("&amp;Assumptions!$M$157&amp;"); view premium still loading until L"&amp;Assumptions!$L$157&amp;". ","")&amp;IF(D741=Assumptions!$AH$157,"Mid-floor view premium fully loaded. ","")&amp;IF(D741=Assumptions!$P$157,"High-floor view premium fully loaded. ","")&amp;IF(Q741&lt;=K741,"At developer starting price.",""))</f>
        <v/>
      </c>
      <c r="T741" s="57" t="str">
        <f>Assumptions!$AJ$157</f>
        <v>NW. Wellness Club, golf course, landed, nature reserve; Lower Peirce Reservoir from L20</v>
      </c>
    </row>
    <row r="742" spans="1:20" x14ac:dyDescent="0.2">
      <c r="A742" s="49" t="s">
        <v>897</v>
      </c>
      <c r="B742" s="29">
        <v>7</v>
      </c>
      <c r="C742" s="50">
        <v>31</v>
      </c>
      <c r="D742" s="50">
        <v>5</v>
      </c>
      <c r="E742" s="27" t="s">
        <v>44</v>
      </c>
      <c r="F742" s="29" t="s">
        <v>872</v>
      </c>
      <c r="G742" s="28">
        <v>732</v>
      </c>
      <c r="H742" s="29" t="s">
        <v>65</v>
      </c>
      <c r="I742" s="38" t="str">
        <f>Assumptions!$I$157</f>
        <v>B</v>
      </c>
      <c r="J742" s="29" t="str">
        <f>IF(D742&lt;=Assumptions!$V$157,"Low",IF(D742&lt;=Assumptions!$W$157,"Mid","High"))</f>
        <v>Low</v>
      </c>
      <c r="K742" s="51">
        <f>Assumptions!$Q$157</f>
        <v>2630</v>
      </c>
      <c r="L742" s="52">
        <f>INDEX(Assumptions!$F$61:$F$90,D742)</f>
        <v>2863.98</v>
      </c>
      <c r="M742" s="53">
        <f>IF(D742&lt;=Assumptions!$G$157,Assumptions!$AK$157,IF(D742&lt;Assumptions!$AH$157,Assumptions!$AK$157+(Assumptions!$AL$157-Assumptions!$AK$157)*(D742-Assumptions!$G$157)/(Assumptions!$AH$157-Assumptions!$G$157),IF(D742&lt;Assumptions!$P$157,Assumptions!$AL$157+(Assumptions!$AM$157-Assumptions!$AL$157)*(D742-Assumptions!$AH$157)/(Assumptions!$P$157-Assumptions!$AH$157),Assumptions!$AM$157)))</f>
        <v>0</v>
      </c>
      <c r="N742" s="54">
        <f t="shared" si="22"/>
        <v>0</v>
      </c>
      <c r="O742" s="55">
        <f t="shared" si="23"/>
        <v>2864</v>
      </c>
      <c r="P742" s="29" t="str">
        <f>IF(D742&gt;=Assumptions!$P$157,"High",IF(D742&gt;=Assumptions!$AH$157,"Mid",IF(D742&lt;=Assumptions!$G$157,"Low","Loading")))</f>
        <v>Loading</v>
      </c>
      <c r="Q742" s="39">
        <f>MAX(K742,MIN(Assumptions!$S$157,O742),Q743)</f>
        <v>2864</v>
      </c>
      <c r="R742" s="30">
        <f>IF(AND(Q742&lt;=K742,INDEX(Assumptions!$C$26:$C$36,MATCH(G742,Assumptions!$A$26:$A$36,0))&lt;&gt;""),INDEX(Assumptions!$C$26:$C$36,MATCH(G742,Assumptions!$A$26:$A$36,0)),ROUND(G742*Q742,-2))</f>
        <v>2096400</v>
      </c>
      <c r="S742" s="56" t="str">
        <f>TRIM(IF(AND(Assumptions!$L$157&lt;&gt;"",D742&lt;Assumptions!$L$157),"View blocked / roof in front ("&amp;Assumptions!$M$157&amp;"); view premium still loading until L"&amp;Assumptions!$L$157&amp;". ","")&amp;IF(D742=Assumptions!$AH$157,"Mid-floor view premium fully loaded. ","")&amp;IF(D742=Assumptions!$P$157,"High-floor view premium fully loaded. ","")&amp;IF(Q742&lt;=K742,"At developer starting price.",""))</f>
        <v>View blocked / roof in front (Wellness Pod Pavilion 1: 61% of view, 29 to 34.9m away); view premium still loading until L6.</v>
      </c>
      <c r="T742" s="57" t="str">
        <f>Assumptions!$AJ$157</f>
        <v>NW. Wellness Club, golf course, landed, nature reserve; Lower Peirce Reservoir from L20</v>
      </c>
    </row>
    <row r="743" spans="1:20" x14ac:dyDescent="0.2">
      <c r="A743" s="49" t="s">
        <v>898</v>
      </c>
      <c r="B743" s="29">
        <v>7</v>
      </c>
      <c r="C743" s="50">
        <v>31</v>
      </c>
      <c r="D743" s="50">
        <v>4</v>
      </c>
      <c r="E743" s="27" t="s">
        <v>44</v>
      </c>
      <c r="F743" s="29" t="s">
        <v>872</v>
      </c>
      <c r="G743" s="28">
        <v>732</v>
      </c>
      <c r="H743" s="29" t="s">
        <v>65</v>
      </c>
      <c r="I743" s="38" t="str">
        <f>Assumptions!$I$157</f>
        <v>B</v>
      </c>
      <c r="J743" s="29" t="str">
        <f>IF(D743&lt;=Assumptions!$V$157,"Low",IF(D743&lt;=Assumptions!$W$157,"Mid","High"))</f>
        <v>Low</v>
      </c>
      <c r="K743" s="51">
        <f>Assumptions!$Q$157</f>
        <v>2630</v>
      </c>
      <c r="L743" s="52">
        <f>INDEX(Assumptions!$F$61:$F$90,D743)</f>
        <v>2838.49</v>
      </c>
      <c r="M743" s="53">
        <f>IF(D743&lt;=Assumptions!$G$157,Assumptions!$AK$157,IF(D743&lt;Assumptions!$AH$157,Assumptions!$AK$157+(Assumptions!$AL$157-Assumptions!$AK$157)*(D743-Assumptions!$G$157)/(Assumptions!$AH$157-Assumptions!$G$157),IF(D743&lt;Assumptions!$P$157,Assumptions!$AL$157+(Assumptions!$AM$157-Assumptions!$AL$157)*(D743-Assumptions!$AH$157)/(Assumptions!$P$157-Assumptions!$AH$157),Assumptions!$AM$157)))</f>
        <v>0</v>
      </c>
      <c r="N743" s="54">
        <f t="shared" si="22"/>
        <v>0</v>
      </c>
      <c r="O743" s="55">
        <f t="shared" si="23"/>
        <v>2838</v>
      </c>
      <c r="P743" s="29" t="str">
        <f>IF(D743&gt;=Assumptions!$P$157,"High",IF(D743&gt;=Assumptions!$AH$157,"Mid",IF(D743&lt;=Assumptions!$G$157,"Low","Loading")))</f>
        <v>Loading</v>
      </c>
      <c r="Q743" s="39">
        <f>MAX(K743,MIN(Assumptions!$S$157,O743),Q744)</f>
        <v>2838</v>
      </c>
      <c r="R743" s="30">
        <f>IF(AND(Q743&lt;=K743,INDEX(Assumptions!$C$26:$C$36,MATCH(G743,Assumptions!$A$26:$A$36,0))&lt;&gt;""),INDEX(Assumptions!$C$26:$C$36,MATCH(G743,Assumptions!$A$26:$A$36,0)),ROUND(G743*Q743,-2))</f>
        <v>2077400</v>
      </c>
      <c r="S743" s="56" t="str">
        <f>TRIM(IF(AND(Assumptions!$L$157&lt;&gt;"",D743&lt;Assumptions!$L$157),"View blocked / roof in front ("&amp;Assumptions!$M$157&amp;"); view premium still loading until L"&amp;Assumptions!$L$157&amp;". ","")&amp;IF(D743=Assumptions!$AH$157,"Mid-floor view premium fully loaded. ","")&amp;IF(D743=Assumptions!$P$157,"High-floor view premium fully loaded. ","")&amp;IF(Q743&lt;=K743,"At developer starting price.",""))</f>
        <v>View blocked / roof in front (Wellness Pod Pavilion 1: 61% of view, 29 to 34.9m away); view premium still loading until L6.</v>
      </c>
      <c r="T743" s="57" t="str">
        <f>Assumptions!$AJ$157</f>
        <v>NW. Wellness Club, golf course, landed, nature reserve; Lower Peirce Reservoir from L20</v>
      </c>
    </row>
    <row r="744" spans="1:20" x14ac:dyDescent="0.2">
      <c r="A744" s="49" t="s">
        <v>899</v>
      </c>
      <c r="B744" s="29">
        <v>7</v>
      </c>
      <c r="C744" s="50">
        <v>31</v>
      </c>
      <c r="D744" s="50">
        <v>3</v>
      </c>
      <c r="E744" s="27" t="s">
        <v>44</v>
      </c>
      <c r="F744" s="29" t="s">
        <v>872</v>
      </c>
      <c r="G744" s="28">
        <v>732</v>
      </c>
      <c r="H744" s="29" t="s">
        <v>65</v>
      </c>
      <c r="I744" s="38" t="str">
        <f>Assumptions!$I$157</f>
        <v>B</v>
      </c>
      <c r="J744" s="29" t="str">
        <f>IF(D744&lt;=Assumptions!$V$157,"Low",IF(D744&lt;=Assumptions!$W$157,"Mid","High"))</f>
        <v>Low</v>
      </c>
      <c r="K744" s="51">
        <f>Assumptions!$Q$157</f>
        <v>2630</v>
      </c>
      <c r="L744" s="52">
        <f>INDEX(Assumptions!$F$61:$F$90,D744)</f>
        <v>2812.9999999999995</v>
      </c>
      <c r="M744" s="53">
        <f>IF(D744&lt;=Assumptions!$G$157,Assumptions!$AK$157,IF(D744&lt;Assumptions!$AH$157,Assumptions!$AK$157+(Assumptions!$AL$157-Assumptions!$AK$157)*(D744-Assumptions!$G$157)/(Assumptions!$AH$157-Assumptions!$G$157),IF(D744&lt;Assumptions!$P$157,Assumptions!$AL$157+(Assumptions!$AM$157-Assumptions!$AL$157)*(D744-Assumptions!$AH$157)/(Assumptions!$P$157-Assumptions!$AH$157),Assumptions!$AM$157)))</f>
        <v>0</v>
      </c>
      <c r="N744" s="54">
        <f t="shared" si="22"/>
        <v>0</v>
      </c>
      <c r="O744" s="55">
        <f t="shared" si="23"/>
        <v>2813</v>
      </c>
      <c r="P744" s="29" t="str">
        <f>IF(D744&gt;=Assumptions!$P$157,"High",IF(D744&gt;=Assumptions!$AH$157,"Mid",IF(D744&lt;=Assumptions!$G$157,"Low","Loading")))</f>
        <v>Loading</v>
      </c>
      <c r="Q744" s="39">
        <f>MAX(K744,MIN(Assumptions!$S$157,O744),Q745)</f>
        <v>2813</v>
      </c>
      <c r="R744" s="30">
        <f>IF(AND(Q744&lt;=K744,INDEX(Assumptions!$C$26:$C$36,MATCH(G744,Assumptions!$A$26:$A$36,0))&lt;&gt;""),INDEX(Assumptions!$C$26:$C$36,MATCH(G744,Assumptions!$A$26:$A$36,0)),ROUND(G744*Q744,-2))</f>
        <v>2059100</v>
      </c>
      <c r="S744" s="56" t="str">
        <f>TRIM(IF(AND(Assumptions!$L$157&lt;&gt;"",D744&lt;Assumptions!$L$157),"View blocked / roof in front ("&amp;Assumptions!$M$157&amp;"); view premium still loading until L"&amp;Assumptions!$L$157&amp;". ","")&amp;IF(D744=Assumptions!$AH$157,"Mid-floor view premium fully loaded. ","")&amp;IF(D744=Assumptions!$P$157,"High-floor view premium fully loaded. ","")&amp;IF(Q744&lt;=K744,"At developer starting price.",""))</f>
        <v>View blocked / roof in front (Wellness Pod Pavilion 1: 61% of view, 29 to 34.9m away); view premium still loading until L6.</v>
      </c>
      <c r="T744" s="57" t="str">
        <f>Assumptions!$AJ$157</f>
        <v>NW. Wellness Club, golf course, landed, nature reserve; Lower Peirce Reservoir from L20</v>
      </c>
    </row>
    <row r="745" spans="1:20" x14ac:dyDescent="0.2">
      <c r="A745" s="49" t="s">
        <v>900</v>
      </c>
      <c r="B745" s="29">
        <v>7</v>
      </c>
      <c r="C745" s="50">
        <v>31</v>
      </c>
      <c r="D745" s="50">
        <v>2</v>
      </c>
      <c r="E745" s="27" t="s">
        <v>44</v>
      </c>
      <c r="F745" s="29" t="s">
        <v>872</v>
      </c>
      <c r="G745" s="28">
        <v>732</v>
      </c>
      <c r="H745" s="29" t="s">
        <v>65</v>
      </c>
      <c r="I745" s="38" t="str">
        <f>Assumptions!$I$157</f>
        <v>B</v>
      </c>
      <c r="J745" s="29" t="str">
        <f>IF(D745&lt;=Assumptions!$V$157,"Low",IF(D745&lt;=Assumptions!$W$157,"Mid","High"))</f>
        <v>Low</v>
      </c>
      <c r="K745" s="51">
        <f>Assumptions!$Q$157</f>
        <v>2630</v>
      </c>
      <c r="L745" s="52">
        <f>INDEX(Assumptions!$F$61:$F$90,D745)</f>
        <v>2788.54</v>
      </c>
      <c r="M745" s="53">
        <f>IF(D745&lt;=Assumptions!$G$157,Assumptions!$AK$157,IF(D745&lt;Assumptions!$AH$157,Assumptions!$AK$157+(Assumptions!$AL$157-Assumptions!$AK$157)*(D745-Assumptions!$G$157)/(Assumptions!$AH$157-Assumptions!$G$157),IF(D745&lt;Assumptions!$P$157,Assumptions!$AL$157+(Assumptions!$AM$157-Assumptions!$AL$157)*(D745-Assumptions!$AH$157)/(Assumptions!$P$157-Assumptions!$AH$157),Assumptions!$AM$157)))</f>
        <v>0</v>
      </c>
      <c r="N745" s="54">
        <f t="shared" si="22"/>
        <v>0</v>
      </c>
      <c r="O745" s="55">
        <f t="shared" si="23"/>
        <v>2789</v>
      </c>
      <c r="P745" s="29" t="str">
        <f>IF(D745&gt;=Assumptions!$P$157,"High",IF(D745&gt;=Assumptions!$AH$157,"Mid",IF(D745&lt;=Assumptions!$G$157,"Low","Loading")))</f>
        <v>Loading</v>
      </c>
      <c r="Q745" s="39">
        <f>MAX(K745,MIN(Assumptions!$S$157,O745),Q746)</f>
        <v>2789</v>
      </c>
      <c r="R745" s="30">
        <f>IF(AND(Q745&lt;=K745,INDEX(Assumptions!$C$26:$C$36,MATCH(G745,Assumptions!$A$26:$A$36,0))&lt;&gt;""),INDEX(Assumptions!$C$26:$C$36,MATCH(G745,Assumptions!$A$26:$A$36,0)),ROUND(G745*Q745,-2))</f>
        <v>2041500</v>
      </c>
      <c r="S745" s="56" t="str">
        <f>TRIM(IF(AND(Assumptions!$L$157&lt;&gt;"",D745&lt;Assumptions!$L$157),"View blocked / roof in front ("&amp;Assumptions!$M$157&amp;"); view premium still loading until L"&amp;Assumptions!$L$157&amp;". ","")&amp;IF(D745=Assumptions!$AH$157,"Mid-floor view premium fully loaded. ","")&amp;IF(D745=Assumptions!$P$157,"High-floor view premium fully loaded. ","")&amp;IF(Q745&lt;=K745,"At developer starting price.",""))</f>
        <v>View blocked / roof in front (Wellness Pod Pavilion 1: 61% of view, 29 to 34.9m away); view premium still loading until L6.</v>
      </c>
      <c r="T745" s="57" t="str">
        <f>Assumptions!$AJ$157</f>
        <v>NW. Wellness Club, golf course, landed, nature reserve; Lower Peirce Reservoir from L20</v>
      </c>
    </row>
    <row r="746" spans="1:20" x14ac:dyDescent="0.2">
      <c r="A746" s="49" t="s">
        <v>901</v>
      </c>
      <c r="B746" s="29">
        <v>7</v>
      </c>
      <c r="C746" s="50">
        <v>31</v>
      </c>
      <c r="D746" s="50">
        <v>1</v>
      </c>
      <c r="E746" s="27" t="s">
        <v>44</v>
      </c>
      <c r="F746" s="29" t="s">
        <v>902</v>
      </c>
      <c r="G746" s="28">
        <v>732</v>
      </c>
      <c r="H746" s="29" t="s">
        <v>65</v>
      </c>
      <c r="I746" s="38" t="str">
        <f>Assumptions!$I$157</f>
        <v>B</v>
      </c>
      <c r="J746" s="29" t="str">
        <f>IF(D746&lt;=Assumptions!$V$157,"Low",IF(D746&lt;=Assumptions!$W$157,"Mid","High"))</f>
        <v>Low</v>
      </c>
      <c r="K746" s="51">
        <f>Assumptions!$Q$157</f>
        <v>2630</v>
      </c>
      <c r="L746" s="52">
        <f>INDEX(Assumptions!$F$61:$F$90,D746)</f>
        <v>2772.55</v>
      </c>
      <c r="M746" s="53">
        <f>IF(D746&lt;=Assumptions!$G$157,Assumptions!$AK$157,IF(D746&lt;Assumptions!$AH$157,Assumptions!$AK$157+(Assumptions!$AL$157-Assumptions!$AK$157)*(D746-Assumptions!$G$157)/(Assumptions!$AH$157-Assumptions!$G$157),IF(D746&lt;Assumptions!$P$157,Assumptions!$AL$157+(Assumptions!$AM$157-Assumptions!$AL$157)*(D746-Assumptions!$AH$157)/(Assumptions!$P$157-Assumptions!$AH$157),Assumptions!$AM$157)))</f>
        <v>0</v>
      </c>
      <c r="N746" s="54">
        <f t="shared" si="22"/>
        <v>0</v>
      </c>
      <c r="O746" s="55">
        <f t="shared" si="23"/>
        <v>2773</v>
      </c>
      <c r="P746" s="29" t="str">
        <f>IF(D746&gt;=Assumptions!$P$157,"High",IF(D746&gt;=Assumptions!$AH$157,"Mid",IF(D746&lt;=Assumptions!$G$157,"Low","Loading")))</f>
        <v>Low</v>
      </c>
      <c r="Q746" s="39">
        <f>MAX(K746,MIN(Assumptions!$S$157,O746))</f>
        <v>2773</v>
      </c>
      <c r="R746" s="30">
        <f>IF(AND(Q746&lt;=K746,INDEX(Assumptions!$C$26:$C$36,MATCH(G746,Assumptions!$A$26:$A$36,0))&lt;&gt;""),INDEX(Assumptions!$C$26:$C$36,MATCH(G746,Assumptions!$A$26:$A$36,0)),ROUND(G746*Q746,-2))</f>
        <v>2029800</v>
      </c>
      <c r="S746" s="56" t="str">
        <f>TRIM(IF(AND(Assumptions!$L$157&lt;&gt;"",D746&lt;Assumptions!$L$157),"View blocked / roof in front ("&amp;Assumptions!$M$157&amp;"); view premium still loading until L"&amp;Assumptions!$L$157&amp;". ","")&amp;IF(D746=Assumptions!$AH$157,"Mid-floor view premium fully loaded. ","")&amp;IF(D746=Assumptions!$P$157,"High-floor view premium fully loaded. ","")&amp;IF(Q746&lt;=K746,"At developer starting price.",""))</f>
        <v>View blocked / roof in front (Wellness Pod Pavilion 1: 61% of view, 29 to 34.9m away); view premium still loading until L6.</v>
      </c>
      <c r="T746" s="57" t="str">
        <f>Assumptions!$AJ$157</f>
        <v>NW. Wellness Club, golf course, landed, nature reserve; Lower Peirce Reservoir from L20</v>
      </c>
    </row>
    <row r="747" spans="1:20" x14ac:dyDescent="0.2">
      <c r="A747" s="49" t="s">
        <v>903</v>
      </c>
      <c r="B747" s="29">
        <v>7</v>
      </c>
      <c r="C747" s="50">
        <v>32</v>
      </c>
      <c r="D747" s="50">
        <v>30</v>
      </c>
      <c r="E747" s="27" t="s">
        <v>49</v>
      </c>
      <c r="F747" s="29" t="s">
        <v>904</v>
      </c>
      <c r="G747" s="28">
        <v>1367</v>
      </c>
      <c r="H747" s="29" t="s">
        <v>65</v>
      </c>
      <c r="I747" s="38" t="str">
        <f>Assumptions!$I$158</f>
        <v>B</v>
      </c>
      <c r="J747" s="29" t="str">
        <f>IF(D747&lt;=Assumptions!$V$158,"Low",IF(D747&lt;=Assumptions!$W$158,"Mid","High"))</f>
        <v>High</v>
      </c>
      <c r="K747" s="51">
        <f>Assumptions!$Q$158</f>
        <v>2800</v>
      </c>
      <c r="L747" s="52">
        <f>INDEX(Assumptions!$P$61:$P$90,D747)</f>
        <v>3319.25</v>
      </c>
      <c r="M747" s="53">
        <f>IF(D747&lt;=Assumptions!$G$158,Assumptions!$AK$158,IF(D747&lt;Assumptions!$AH$158,Assumptions!$AK$158+(Assumptions!$AL$158-Assumptions!$AK$158)*(D747-Assumptions!$G$158)/(Assumptions!$AH$158-Assumptions!$G$158),IF(D747&lt;Assumptions!$P$158,Assumptions!$AL$158+(Assumptions!$AM$158-Assumptions!$AL$158)*(D747-Assumptions!$AH$158)/(Assumptions!$P$158-Assumptions!$AH$158),Assumptions!$AM$158)))</f>
        <v>-50000</v>
      </c>
      <c r="N747" s="54">
        <f t="shared" si="22"/>
        <v>-36.576444769568397</v>
      </c>
      <c r="O747" s="55">
        <f t="shared" si="23"/>
        <v>3283</v>
      </c>
      <c r="P747" s="29" t="str">
        <f>IF(D747&gt;=Assumptions!$P$158,"High",IF(D747&gt;=Assumptions!$AH$158,"Mid",IF(D747&lt;=Assumptions!$G$158,"Low","Loading")))</f>
        <v>High</v>
      </c>
      <c r="Q747" s="39">
        <f>MAX(K747,MIN(Assumptions!$S$158,O747),Q748)</f>
        <v>3283</v>
      </c>
      <c r="R747" s="30">
        <f>IF(AND(Q747&lt;=K747,INDEX(Assumptions!$C$26:$C$36,MATCH(G747,Assumptions!$A$26:$A$36,0))&lt;&gt;""),INDEX(Assumptions!$C$26:$C$36,MATCH(G747,Assumptions!$A$26:$A$36,0)),ROUND(G747*Q747,-2))</f>
        <v>4487900</v>
      </c>
      <c r="S747" s="56" t="str">
        <f>TRIM(IF(AND(Assumptions!$L$158&lt;&gt;"",D747&lt;Assumptions!$L$158),"View blocked / roof in front ("&amp;Assumptions!$M$158&amp;"); view premium still loading until L"&amp;Assumptions!$L$158&amp;". ","")&amp;IF(D747=Assumptions!$AH$158,"Mid-floor view premium fully loaded. ","")&amp;IF(D747=Assumptions!$P$158,"High-floor view premium fully loaded. ","")&amp;IF(Q747&lt;=K747,"At developer starting price.",""))</f>
        <v/>
      </c>
      <c r="T747" s="57" t="str">
        <f>Assumptions!$AJ$158</f>
        <v>NW. Charcoal BBQ &amp; wellness pavilions in front of low floors; golf course, Lower Peirce Reservoir from L20; private lift</v>
      </c>
    </row>
    <row r="748" spans="1:20" x14ac:dyDescent="0.2">
      <c r="A748" s="49" t="s">
        <v>905</v>
      </c>
      <c r="B748" s="29">
        <v>7</v>
      </c>
      <c r="C748" s="50">
        <v>32</v>
      </c>
      <c r="D748" s="50">
        <v>29</v>
      </c>
      <c r="E748" s="27" t="s">
        <v>49</v>
      </c>
      <c r="F748" s="29" t="s">
        <v>904</v>
      </c>
      <c r="G748" s="28">
        <v>1367</v>
      </c>
      <c r="H748" s="29" t="s">
        <v>65</v>
      </c>
      <c r="I748" s="38" t="str">
        <f>Assumptions!$I$158</f>
        <v>B</v>
      </c>
      <c r="J748" s="29" t="str">
        <f>IF(D748&lt;=Assumptions!$V$158,"Low",IF(D748&lt;=Assumptions!$W$158,"Mid","High"))</f>
        <v>High</v>
      </c>
      <c r="K748" s="51">
        <f>Assumptions!$Q$158</f>
        <v>2800</v>
      </c>
      <c r="L748" s="52">
        <f>INDEX(Assumptions!$P$61:$P$90,D748)</f>
        <v>3292.75</v>
      </c>
      <c r="M748" s="53">
        <f>IF(D748&lt;=Assumptions!$G$158,Assumptions!$AK$158,IF(D748&lt;Assumptions!$AH$158,Assumptions!$AK$158+(Assumptions!$AL$158-Assumptions!$AK$158)*(D748-Assumptions!$G$158)/(Assumptions!$AH$158-Assumptions!$G$158),IF(D748&lt;Assumptions!$P$158,Assumptions!$AL$158+(Assumptions!$AM$158-Assumptions!$AL$158)*(D748-Assumptions!$AH$158)/(Assumptions!$P$158-Assumptions!$AH$158),Assumptions!$AM$158)))</f>
        <v>-50000</v>
      </c>
      <c r="N748" s="54">
        <f t="shared" si="22"/>
        <v>-36.576444769568397</v>
      </c>
      <c r="O748" s="55">
        <f t="shared" si="23"/>
        <v>3256</v>
      </c>
      <c r="P748" s="29" t="str">
        <f>IF(D748&gt;=Assumptions!$P$158,"High",IF(D748&gt;=Assumptions!$AH$158,"Mid",IF(D748&lt;=Assumptions!$G$158,"Low","Loading")))</f>
        <v>High</v>
      </c>
      <c r="Q748" s="39">
        <f>MAX(K748,MIN(Assumptions!$S$158,O748),Q749)</f>
        <v>3256</v>
      </c>
      <c r="R748" s="30">
        <f>IF(AND(Q748&lt;=K748,INDEX(Assumptions!$C$26:$C$36,MATCH(G748,Assumptions!$A$26:$A$36,0))&lt;&gt;""),INDEX(Assumptions!$C$26:$C$36,MATCH(G748,Assumptions!$A$26:$A$36,0)),ROUND(G748*Q748,-2))</f>
        <v>4451000</v>
      </c>
      <c r="S748" s="56" t="str">
        <f>TRIM(IF(AND(Assumptions!$L$158&lt;&gt;"",D748&lt;Assumptions!$L$158),"View blocked / roof in front ("&amp;Assumptions!$M$158&amp;"); view premium still loading until L"&amp;Assumptions!$L$158&amp;". ","")&amp;IF(D748=Assumptions!$AH$158,"Mid-floor view premium fully loaded. ","")&amp;IF(D748=Assumptions!$P$158,"High-floor view premium fully loaded. ","")&amp;IF(Q748&lt;=K748,"At developer starting price.",""))</f>
        <v/>
      </c>
      <c r="T748" s="57" t="str">
        <f>Assumptions!$AJ$158</f>
        <v>NW. Charcoal BBQ &amp; wellness pavilions in front of low floors; golf course, Lower Peirce Reservoir from L20; private lift</v>
      </c>
    </row>
    <row r="749" spans="1:20" x14ac:dyDescent="0.2">
      <c r="A749" s="49" t="s">
        <v>906</v>
      </c>
      <c r="B749" s="29">
        <v>7</v>
      </c>
      <c r="C749" s="50">
        <v>32</v>
      </c>
      <c r="D749" s="50">
        <v>28</v>
      </c>
      <c r="E749" s="27" t="s">
        <v>49</v>
      </c>
      <c r="F749" s="29" t="s">
        <v>904</v>
      </c>
      <c r="G749" s="28">
        <v>1367</v>
      </c>
      <c r="H749" s="29" t="s">
        <v>65</v>
      </c>
      <c r="I749" s="38" t="str">
        <f>Assumptions!$I$158</f>
        <v>B</v>
      </c>
      <c r="J749" s="29" t="str">
        <f>IF(D749&lt;=Assumptions!$V$158,"Low",IF(D749&lt;=Assumptions!$W$158,"Mid","High"))</f>
        <v>High</v>
      </c>
      <c r="K749" s="51">
        <f>Assumptions!$Q$158</f>
        <v>2800</v>
      </c>
      <c r="L749" s="52">
        <f>INDEX(Assumptions!$P$61:$P$90,D749)</f>
        <v>3266.25</v>
      </c>
      <c r="M749" s="53">
        <f>IF(D749&lt;=Assumptions!$G$158,Assumptions!$AK$158,IF(D749&lt;Assumptions!$AH$158,Assumptions!$AK$158+(Assumptions!$AL$158-Assumptions!$AK$158)*(D749-Assumptions!$G$158)/(Assumptions!$AH$158-Assumptions!$G$158),IF(D749&lt;Assumptions!$P$158,Assumptions!$AL$158+(Assumptions!$AM$158-Assumptions!$AL$158)*(D749-Assumptions!$AH$158)/(Assumptions!$P$158-Assumptions!$AH$158),Assumptions!$AM$158)))</f>
        <v>-50000</v>
      </c>
      <c r="N749" s="54">
        <f t="shared" si="22"/>
        <v>-36.576444769568397</v>
      </c>
      <c r="O749" s="55">
        <f t="shared" si="23"/>
        <v>3230</v>
      </c>
      <c r="P749" s="29" t="str">
        <f>IF(D749&gt;=Assumptions!$P$158,"High",IF(D749&gt;=Assumptions!$AH$158,"Mid",IF(D749&lt;=Assumptions!$G$158,"Low","Loading")))</f>
        <v>High</v>
      </c>
      <c r="Q749" s="39">
        <f>MAX(K749,MIN(Assumptions!$S$158,O749),Q750)</f>
        <v>3230</v>
      </c>
      <c r="R749" s="30">
        <f>IF(AND(Q749&lt;=K749,INDEX(Assumptions!$C$26:$C$36,MATCH(G749,Assumptions!$A$26:$A$36,0))&lt;&gt;""),INDEX(Assumptions!$C$26:$C$36,MATCH(G749,Assumptions!$A$26:$A$36,0)),ROUND(G749*Q749,-2))</f>
        <v>4415400</v>
      </c>
      <c r="S749" s="56" t="str">
        <f>TRIM(IF(AND(Assumptions!$L$158&lt;&gt;"",D749&lt;Assumptions!$L$158),"View blocked / roof in front ("&amp;Assumptions!$M$158&amp;"); view premium still loading until L"&amp;Assumptions!$L$158&amp;". ","")&amp;IF(D749=Assumptions!$AH$158,"Mid-floor view premium fully loaded. ","")&amp;IF(D749=Assumptions!$P$158,"High-floor view premium fully loaded. ","")&amp;IF(Q749&lt;=K749,"At developer starting price.",""))</f>
        <v/>
      </c>
      <c r="T749" s="57" t="str">
        <f>Assumptions!$AJ$158</f>
        <v>NW. Charcoal BBQ &amp; wellness pavilions in front of low floors; golf course, Lower Peirce Reservoir from L20; private lift</v>
      </c>
    </row>
    <row r="750" spans="1:20" x14ac:dyDescent="0.2">
      <c r="A750" s="49" t="s">
        <v>907</v>
      </c>
      <c r="B750" s="29">
        <v>7</v>
      </c>
      <c r="C750" s="50">
        <v>32</v>
      </c>
      <c r="D750" s="50">
        <v>27</v>
      </c>
      <c r="E750" s="27" t="s">
        <v>49</v>
      </c>
      <c r="F750" s="29" t="s">
        <v>904</v>
      </c>
      <c r="G750" s="28">
        <v>1367</v>
      </c>
      <c r="H750" s="29" t="s">
        <v>65</v>
      </c>
      <c r="I750" s="38" t="str">
        <f>Assumptions!$I$158</f>
        <v>B</v>
      </c>
      <c r="J750" s="29" t="str">
        <f>IF(D750&lt;=Assumptions!$V$158,"Low",IF(D750&lt;=Assumptions!$W$158,"Mid","High"))</f>
        <v>High</v>
      </c>
      <c r="K750" s="51">
        <f>Assumptions!$Q$158</f>
        <v>2800</v>
      </c>
      <c r="L750" s="52">
        <f>INDEX(Assumptions!$P$61:$P$90,D750)</f>
        <v>3239.75</v>
      </c>
      <c r="M750" s="53">
        <f>IF(D750&lt;=Assumptions!$G$158,Assumptions!$AK$158,IF(D750&lt;Assumptions!$AH$158,Assumptions!$AK$158+(Assumptions!$AL$158-Assumptions!$AK$158)*(D750-Assumptions!$G$158)/(Assumptions!$AH$158-Assumptions!$G$158),IF(D750&lt;Assumptions!$P$158,Assumptions!$AL$158+(Assumptions!$AM$158-Assumptions!$AL$158)*(D750-Assumptions!$AH$158)/(Assumptions!$P$158-Assumptions!$AH$158),Assumptions!$AM$158)))</f>
        <v>-50000</v>
      </c>
      <c r="N750" s="54">
        <f t="shared" si="22"/>
        <v>-36.576444769568397</v>
      </c>
      <c r="O750" s="55">
        <f t="shared" si="23"/>
        <v>3203</v>
      </c>
      <c r="P750" s="29" t="str">
        <f>IF(D750&gt;=Assumptions!$P$158,"High",IF(D750&gt;=Assumptions!$AH$158,"Mid",IF(D750&lt;=Assumptions!$G$158,"Low","Loading")))</f>
        <v>High</v>
      </c>
      <c r="Q750" s="39">
        <f>MAX(K750,MIN(Assumptions!$S$158,O750),Q751)</f>
        <v>3203</v>
      </c>
      <c r="R750" s="30">
        <f>IF(AND(Q750&lt;=K750,INDEX(Assumptions!$C$26:$C$36,MATCH(G750,Assumptions!$A$26:$A$36,0))&lt;&gt;""),INDEX(Assumptions!$C$26:$C$36,MATCH(G750,Assumptions!$A$26:$A$36,0)),ROUND(G750*Q750,-2))</f>
        <v>4378500</v>
      </c>
      <c r="S750" s="56" t="str">
        <f>TRIM(IF(AND(Assumptions!$L$158&lt;&gt;"",D750&lt;Assumptions!$L$158),"View blocked / roof in front ("&amp;Assumptions!$M$158&amp;"); view premium still loading until L"&amp;Assumptions!$L$158&amp;". ","")&amp;IF(D750=Assumptions!$AH$158,"Mid-floor view premium fully loaded. ","")&amp;IF(D750=Assumptions!$P$158,"High-floor view premium fully loaded. ","")&amp;IF(Q750&lt;=K750,"At developer starting price.",""))</f>
        <v/>
      </c>
      <c r="T750" s="57" t="str">
        <f>Assumptions!$AJ$158</f>
        <v>NW. Charcoal BBQ &amp; wellness pavilions in front of low floors; golf course, Lower Peirce Reservoir from L20; private lift</v>
      </c>
    </row>
    <row r="751" spans="1:20" x14ac:dyDescent="0.2">
      <c r="A751" s="49" t="s">
        <v>908</v>
      </c>
      <c r="B751" s="29">
        <v>7</v>
      </c>
      <c r="C751" s="50">
        <v>32</v>
      </c>
      <c r="D751" s="50">
        <v>26</v>
      </c>
      <c r="E751" s="27" t="s">
        <v>49</v>
      </c>
      <c r="F751" s="29" t="s">
        <v>904</v>
      </c>
      <c r="G751" s="28">
        <v>1367</v>
      </c>
      <c r="H751" s="29" t="s">
        <v>65</v>
      </c>
      <c r="I751" s="38" t="str">
        <f>Assumptions!$I$158</f>
        <v>B</v>
      </c>
      <c r="J751" s="29" t="str">
        <f>IF(D751&lt;=Assumptions!$V$158,"Low",IF(D751&lt;=Assumptions!$W$158,"Mid","High"))</f>
        <v>High</v>
      </c>
      <c r="K751" s="51">
        <f>Assumptions!$Q$158</f>
        <v>2800</v>
      </c>
      <c r="L751" s="52">
        <f>INDEX(Assumptions!$P$61:$P$90,D751)</f>
        <v>3213.25</v>
      </c>
      <c r="M751" s="53">
        <f>IF(D751&lt;=Assumptions!$G$158,Assumptions!$AK$158,IF(D751&lt;Assumptions!$AH$158,Assumptions!$AK$158+(Assumptions!$AL$158-Assumptions!$AK$158)*(D751-Assumptions!$G$158)/(Assumptions!$AH$158-Assumptions!$G$158),IF(D751&lt;Assumptions!$P$158,Assumptions!$AL$158+(Assumptions!$AM$158-Assumptions!$AL$158)*(D751-Assumptions!$AH$158)/(Assumptions!$P$158-Assumptions!$AH$158),Assumptions!$AM$158)))</f>
        <v>-50000</v>
      </c>
      <c r="N751" s="54">
        <f t="shared" si="22"/>
        <v>-36.576444769568397</v>
      </c>
      <c r="O751" s="55">
        <f t="shared" si="23"/>
        <v>3177</v>
      </c>
      <c r="P751" s="29" t="str">
        <f>IF(D751&gt;=Assumptions!$P$158,"High",IF(D751&gt;=Assumptions!$AH$158,"Mid",IF(D751&lt;=Assumptions!$G$158,"Low","Loading")))</f>
        <v>High</v>
      </c>
      <c r="Q751" s="39">
        <f>MAX(K751,MIN(Assumptions!$S$158,O751),Q752)</f>
        <v>3177</v>
      </c>
      <c r="R751" s="30">
        <f>IF(AND(Q751&lt;=K751,INDEX(Assumptions!$C$26:$C$36,MATCH(G751,Assumptions!$A$26:$A$36,0))&lt;&gt;""),INDEX(Assumptions!$C$26:$C$36,MATCH(G751,Assumptions!$A$26:$A$36,0)),ROUND(G751*Q751,-2))</f>
        <v>4343000</v>
      </c>
      <c r="S751" s="56" t="str">
        <f>TRIM(IF(AND(Assumptions!$L$158&lt;&gt;"",D751&lt;Assumptions!$L$158),"View blocked / roof in front ("&amp;Assumptions!$M$158&amp;"); view premium still loading until L"&amp;Assumptions!$L$158&amp;". ","")&amp;IF(D751=Assumptions!$AH$158,"Mid-floor view premium fully loaded. ","")&amp;IF(D751=Assumptions!$P$158,"High-floor view premium fully loaded. ","")&amp;IF(Q751&lt;=K751,"At developer starting price.",""))</f>
        <v/>
      </c>
      <c r="T751" s="57" t="str">
        <f>Assumptions!$AJ$158</f>
        <v>NW. Charcoal BBQ &amp; wellness pavilions in front of low floors; golf course, Lower Peirce Reservoir from L20; private lift</v>
      </c>
    </row>
    <row r="752" spans="1:20" x14ac:dyDescent="0.2">
      <c r="A752" s="49" t="s">
        <v>909</v>
      </c>
      <c r="B752" s="29">
        <v>7</v>
      </c>
      <c r="C752" s="50">
        <v>32</v>
      </c>
      <c r="D752" s="50">
        <v>25</v>
      </c>
      <c r="E752" s="27" t="s">
        <v>49</v>
      </c>
      <c r="F752" s="29" t="s">
        <v>904</v>
      </c>
      <c r="G752" s="28">
        <v>1367</v>
      </c>
      <c r="H752" s="29" t="s">
        <v>65</v>
      </c>
      <c r="I752" s="38" t="str">
        <f>Assumptions!$I$158</f>
        <v>B</v>
      </c>
      <c r="J752" s="29" t="str">
        <f>IF(D752&lt;=Assumptions!$V$158,"Low",IF(D752&lt;=Assumptions!$W$158,"Mid","High"))</f>
        <v>High</v>
      </c>
      <c r="K752" s="51">
        <f>Assumptions!$Q$158</f>
        <v>2800</v>
      </c>
      <c r="L752" s="52">
        <f>INDEX(Assumptions!$P$61:$P$90,D752)</f>
        <v>3186.75</v>
      </c>
      <c r="M752" s="53">
        <f>IF(D752&lt;=Assumptions!$G$158,Assumptions!$AK$158,IF(D752&lt;Assumptions!$AH$158,Assumptions!$AK$158+(Assumptions!$AL$158-Assumptions!$AK$158)*(D752-Assumptions!$G$158)/(Assumptions!$AH$158-Assumptions!$G$158),IF(D752&lt;Assumptions!$P$158,Assumptions!$AL$158+(Assumptions!$AM$158-Assumptions!$AL$158)*(D752-Assumptions!$AH$158)/(Assumptions!$P$158-Assumptions!$AH$158),Assumptions!$AM$158)))</f>
        <v>-50000</v>
      </c>
      <c r="N752" s="54">
        <f t="shared" si="22"/>
        <v>-36.576444769568397</v>
      </c>
      <c r="O752" s="55">
        <f t="shared" si="23"/>
        <v>3150</v>
      </c>
      <c r="P752" s="29" t="str">
        <f>IF(D752&gt;=Assumptions!$P$158,"High",IF(D752&gt;=Assumptions!$AH$158,"Mid",IF(D752&lt;=Assumptions!$G$158,"Low","Loading")))</f>
        <v>High</v>
      </c>
      <c r="Q752" s="39">
        <f>MAX(K752,MIN(Assumptions!$S$158,O752),Q753)</f>
        <v>3150</v>
      </c>
      <c r="R752" s="30">
        <f>IF(AND(Q752&lt;=K752,INDEX(Assumptions!$C$26:$C$36,MATCH(G752,Assumptions!$A$26:$A$36,0))&lt;&gt;""),INDEX(Assumptions!$C$26:$C$36,MATCH(G752,Assumptions!$A$26:$A$36,0)),ROUND(G752*Q752,-2))</f>
        <v>4306100</v>
      </c>
      <c r="S752" s="56" t="str">
        <f>TRIM(IF(AND(Assumptions!$L$158&lt;&gt;"",D752&lt;Assumptions!$L$158),"View blocked / roof in front ("&amp;Assumptions!$M$158&amp;"); view premium still loading until L"&amp;Assumptions!$L$158&amp;". ","")&amp;IF(D752=Assumptions!$AH$158,"Mid-floor view premium fully loaded. ","")&amp;IF(D752=Assumptions!$P$158,"High-floor view premium fully loaded. ","")&amp;IF(Q752&lt;=K752,"At developer starting price.",""))</f>
        <v/>
      </c>
      <c r="T752" s="57" t="str">
        <f>Assumptions!$AJ$158</f>
        <v>NW. Charcoal BBQ &amp; wellness pavilions in front of low floors; golf course, Lower Peirce Reservoir from L20; private lift</v>
      </c>
    </row>
    <row r="753" spans="1:20" x14ac:dyDescent="0.2">
      <c r="A753" s="49" t="s">
        <v>910</v>
      </c>
      <c r="B753" s="29">
        <v>7</v>
      </c>
      <c r="C753" s="50">
        <v>32</v>
      </c>
      <c r="D753" s="50">
        <v>24</v>
      </c>
      <c r="E753" s="27" t="s">
        <v>49</v>
      </c>
      <c r="F753" s="29" t="s">
        <v>904</v>
      </c>
      <c r="G753" s="28">
        <v>1367</v>
      </c>
      <c r="H753" s="29" t="s">
        <v>65</v>
      </c>
      <c r="I753" s="38" t="str">
        <f>Assumptions!$I$158</f>
        <v>B</v>
      </c>
      <c r="J753" s="29" t="str">
        <f>IF(D753&lt;=Assumptions!$V$158,"Low",IF(D753&lt;=Assumptions!$W$158,"Mid","High"))</f>
        <v>High</v>
      </c>
      <c r="K753" s="51">
        <f>Assumptions!$Q$158</f>
        <v>2800</v>
      </c>
      <c r="L753" s="52">
        <f>INDEX(Assumptions!$P$61:$P$90,D753)</f>
        <v>3160.25</v>
      </c>
      <c r="M753" s="53">
        <f>IF(D753&lt;=Assumptions!$G$158,Assumptions!$AK$158,IF(D753&lt;Assumptions!$AH$158,Assumptions!$AK$158+(Assumptions!$AL$158-Assumptions!$AK$158)*(D753-Assumptions!$G$158)/(Assumptions!$AH$158-Assumptions!$G$158),IF(D753&lt;Assumptions!$P$158,Assumptions!$AL$158+(Assumptions!$AM$158-Assumptions!$AL$158)*(D753-Assumptions!$AH$158)/(Assumptions!$P$158-Assumptions!$AH$158),Assumptions!$AM$158)))</f>
        <v>-50000</v>
      </c>
      <c r="N753" s="54">
        <f t="shared" si="22"/>
        <v>-36.576444769568397</v>
      </c>
      <c r="O753" s="55">
        <f t="shared" si="23"/>
        <v>3124</v>
      </c>
      <c r="P753" s="29" t="str">
        <f>IF(D753&gt;=Assumptions!$P$158,"High",IF(D753&gt;=Assumptions!$AH$158,"Mid",IF(D753&lt;=Assumptions!$G$158,"Low","Loading")))</f>
        <v>High</v>
      </c>
      <c r="Q753" s="39">
        <f>MAX(K753,MIN(Assumptions!$S$158,O753),Q754)</f>
        <v>3124</v>
      </c>
      <c r="R753" s="30">
        <f>IF(AND(Q753&lt;=K753,INDEX(Assumptions!$C$26:$C$36,MATCH(G753,Assumptions!$A$26:$A$36,0))&lt;&gt;""),INDEX(Assumptions!$C$26:$C$36,MATCH(G753,Assumptions!$A$26:$A$36,0)),ROUND(G753*Q753,-2))</f>
        <v>4270500</v>
      </c>
      <c r="S753" s="56" t="str">
        <f>TRIM(IF(AND(Assumptions!$L$158&lt;&gt;"",D753&lt;Assumptions!$L$158),"View blocked / roof in front ("&amp;Assumptions!$M$158&amp;"); view premium still loading until L"&amp;Assumptions!$L$158&amp;". ","")&amp;IF(D753=Assumptions!$AH$158,"Mid-floor view premium fully loaded. ","")&amp;IF(D753=Assumptions!$P$158,"High-floor view premium fully loaded. ","")&amp;IF(Q753&lt;=K753,"At developer starting price.",""))</f>
        <v/>
      </c>
      <c r="T753" s="57" t="str">
        <f>Assumptions!$AJ$158</f>
        <v>NW. Charcoal BBQ &amp; wellness pavilions in front of low floors; golf course, Lower Peirce Reservoir from L20; private lift</v>
      </c>
    </row>
    <row r="754" spans="1:20" x14ac:dyDescent="0.2">
      <c r="A754" s="49" t="s">
        <v>911</v>
      </c>
      <c r="B754" s="29">
        <v>7</v>
      </c>
      <c r="C754" s="50">
        <v>32</v>
      </c>
      <c r="D754" s="50">
        <v>23</v>
      </c>
      <c r="E754" s="27" t="s">
        <v>49</v>
      </c>
      <c r="F754" s="29" t="s">
        <v>904</v>
      </c>
      <c r="G754" s="28">
        <v>1367</v>
      </c>
      <c r="H754" s="29" t="s">
        <v>65</v>
      </c>
      <c r="I754" s="38" t="str">
        <f>Assumptions!$I$158</f>
        <v>B</v>
      </c>
      <c r="J754" s="29" t="str">
        <f>IF(D754&lt;=Assumptions!$V$158,"Low",IF(D754&lt;=Assumptions!$W$158,"Mid","High"))</f>
        <v>High</v>
      </c>
      <c r="K754" s="51">
        <f>Assumptions!$Q$158</f>
        <v>2800</v>
      </c>
      <c r="L754" s="52">
        <f>INDEX(Assumptions!$P$61:$P$90,D754)</f>
        <v>3133.75</v>
      </c>
      <c r="M754" s="53">
        <f>IF(D754&lt;=Assumptions!$G$158,Assumptions!$AK$158,IF(D754&lt;Assumptions!$AH$158,Assumptions!$AK$158+(Assumptions!$AL$158-Assumptions!$AK$158)*(D754-Assumptions!$G$158)/(Assumptions!$AH$158-Assumptions!$G$158),IF(D754&lt;Assumptions!$P$158,Assumptions!$AL$158+(Assumptions!$AM$158-Assumptions!$AL$158)*(D754-Assumptions!$AH$158)/(Assumptions!$P$158-Assumptions!$AH$158),Assumptions!$AM$158)))</f>
        <v>-50000</v>
      </c>
      <c r="N754" s="54">
        <f t="shared" si="22"/>
        <v>-36.576444769568397</v>
      </c>
      <c r="O754" s="55">
        <f t="shared" si="23"/>
        <v>3097</v>
      </c>
      <c r="P754" s="29" t="str">
        <f>IF(D754&gt;=Assumptions!$P$158,"High",IF(D754&gt;=Assumptions!$AH$158,"Mid",IF(D754&lt;=Assumptions!$G$158,"Low","Loading")))</f>
        <v>High</v>
      </c>
      <c r="Q754" s="39">
        <f>MAX(K754,MIN(Assumptions!$S$158,O754),Q755)</f>
        <v>3097</v>
      </c>
      <c r="R754" s="30">
        <f>IF(AND(Q754&lt;=K754,INDEX(Assumptions!$C$26:$C$36,MATCH(G754,Assumptions!$A$26:$A$36,0))&lt;&gt;""),INDEX(Assumptions!$C$26:$C$36,MATCH(G754,Assumptions!$A$26:$A$36,0)),ROUND(G754*Q754,-2))</f>
        <v>4233600</v>
      </c>
      <c r="S754" s="56" t="str">
        <f>TRIM(IF(AND(Assumptions!$L$158&lt;&gt;"",D754&lt;Assumptions!$L$158),"View blocked / roof in front ("&amp;Assumptions!$M$158&amp;"); view premium still loading until L"&amp;Assumptions!$L$158&amp;". ","")&amp;IF(D754=Assumptions!$AH$158,"Mid-floor view premium fully loaded. ","")&amp;IF(D754=Assumptions!$P$158,"High-floor view premium fully loaded. ","")&amp;IF(Q754&lt;=K754,"At developer starting price.",""))</f>
        <v/>
      </c>
      <c r="T754" s="57" t="str">
        <f>Assumptions!$AJ$158</f>
        <v>NW. Charcoal BBQ &amp; wellness pavilions in front of low floors; golf course, Lower Peirce Reservoir from L20; private lift</v>
      </c>
    </row>
    <row r="755" spans="1:20" x14ac:dyDescent="0.2">
      <c r="A755" s="49" t="s">
        <v>912</v>
      </c>
      <c r="B755" s="29">
        <v>7</v>
      </c>
      <c r="C755" s="50">
        <v>32</v>
      </c>
      <c r="D755" s="50">
        <v>22</v>
      </c>
      <c r="E755" s="27" t="s">
        <v>49</v>
      </c>
      <c r="F755" s="29" t="s">
        <v>904</v>
      </c>
      <c r="G755" s="28">
        <v>1367</v>
      </c>
      <c r="H755" s="29" t="s">
        <v>65</v>
      </c>
      <c r="I755" s="38" t="str">
        <f>Assumptions!$I$158</f>
        <v>B</v>
      </c>
      <c r="J755" s="29" t="str">
        <f>IF(D755&lt;=Assumptions!$V$158,"Low",IF(D755&lt;=Assumptions!$W$158,"Mid","High"))</f>
        <v>High</v>
      </c>
      <c r="K755" s="51">
        <f>Assumptions!$Q$158</f>
        <v>2800</v>
      </c>
      <c r="L755" s="52">
        <f>INDEX(Assumptions!$P$61:$P$90,D755)</f>
        <v>3107.25</v>
      </c>
      <c r="M755" s="53">
        <f>IF(D755&lt;=Assumptions!$G$158,Assumptions!$AK$158,IF(D755&lt;Assumptions!$AH$158,Assumptions!$AK$158+(Assumptions!$AL$158-Assumptions!$AK$158)*(D755-Assumptions!$G$158)/(Assumptions!$AH$158-Assumptions!$G$158),IF(D755&lt;Assumptions!$P$158,Assumptions!$AL$158+(Assumptions!$AM$158-Assumptions!$AL$158)*(D755-Assumptions!$AH$158)/(Assumptions!$P$158-Assumptions!$AH$158),Assumptions!$AM$158)))</f>
        <v>-50000</v>
      </c>
      <c r="N755" s="54">
        <f t="shared" si="22"/>
        <v>-36.576444769568397</v>
      </c>
      <c r="O755" s="55">
        <f t="shared" si="23"/>
        <v>3071</v>
      </c>
      <c r="P755" s="29" t="str">
        <f>IF(D755&gt;=Assumptions!$P$158,"High",IF(D755&gt;=Assumptions!$AH$158,"Mid",IF(D755&lt;=Assumptions!$G$158,"Low","Loading")))</f>
        <v>High</v>
      </c>
      <c r="Q755" s="39">
        <f>MAX(K755,MIN(Assumptions!$S$158,O755),Q756)</f>
        <v>3071</v>
      </c>
      <c r="R755" s="30">
        <f>IF(AND(Q755&lt;=K755,INDEX(Assumptions!$C$26:$C$36,MATCH(G755,Assumptions!$A$26:$A$36,0))&lt;&gt;""),INDEX(Assumptions!$C$26:$C$36,MATCH(G755,Assumptions!$A$26:$A$36,0)),ROUND(G755*Q755,-2))</f>
        <v>4198100</v>
      </c>
      <c r="S755" s="56" t="str">
        <f>TRIM(IF(AND(Assumptions!$L$158&lt;&gt;"",D755&lt;Assumptions!$L$158),"View blocked / roof in front ("&amp;Assumptions!$M$158&amp;"); view premium still loading until L"&amp;Assumptions!$L$158&amp;". ","")&amp;IF(D755=Assumptions!$AH$158,"Mid-floor view premium fully loaded. ","")&amp;IF(D755=Assumptions!$P$158,"High-floor view premium fully loaded. ","")&amp;IF(Q755&lt;=K755,"At developer starting price.",""))</f>
        <v/>
      </c>
      <c r="T755" s="57" t="str">
        <f>Assumptions!$AJ$158</f>
        <v>NW. Charcoal BBQ &amp; wellness pavilions in front of low floors; golf course, Lower Peirce Reservoir from L20; private lift</v>
      </c>
    </row>
    <row r="756" spans="1:20" x14ac:dyDescent="0.2">
      <c r="A756" s="49" t="s">
        <v>913</v>
      </c>
      <c r="B756" s="29">
        <v>7</v>
      </c>
      <c r="C756" s="50">
        <v>32</v>
      </c>
      <c r="D756" s="50">
        <v>21</v>
      </c>
      <c r="E756" s="27" t="s">
        <v>49</v>
      </c>
      <c r="F756" s="29" t="s">
        <v>904</v>
      </c>
      <c r="G756" s="28">
        <v>1367</v>
      </c>
      <c r="H756" s="29" t="s">
        <v>65</v>
      </c>
      <c r="I756" s="38" t="str">
        <f>Assumptions!$I$158</f>
        <v>B</v>
      </c>
      <c r="J756" s="29" t="str">
        <f>IF(D756&lt;=Assumptions!$V$158,"Low",IF(D756&lt;=Assumptions!$W$158,"Mid","High"))</f>
        <v>High</v>
      </c>
      <c r="K756" s="51">
        <f>Assumptions!$Q$158</f>
        <v>2800</v>
      </c>
      <c r="L756" s="52">
        <f>INDEX(Assumptions!$P$61:$P$90,D756)</f>
        <v>3080.75</v>
      </c>
      <c r="M756" s="53">
        <f>IF(D756&lt;=Assumptions!$G$158,Assumptions!$AK$158,IF(D756&lt;Assumptions!$AH$158,Assumptions!$AK$158+(Assumptions!$AL$158-Assumptions!$AK$158)*(D756-Assumptions!$G$158)/(Assumptions!$AH$158-Assumptions!$G$158),IF(D756&lt;Assumptions!$P$158,Assumptions!$AL$158+(Assumptions!$AM$158-Assumptions!$AL$158)*(D756-Assumptions!$AH$158)/(Assumptions!$P$158-Assumptions!$AH$158),Assumptions!$AM$158)))</f>
        <v>-50000</v>
      </c>
      <c r="N756" s="54">
        <f t="shared" si="22"/>
        <v>-36.576444769568397</v>
      </c>
      <c r="O756" s="55">
        <f t="shared" si="23"/>
        <v>3044</v>
      </c>
      <c r="P756" s="29" t="str">
        <f>IF(D756&gt;=Assumptions!$P$158,"High",IF(D756&gt;=Assumptions!$AH$158,"Mid",IF(D756&lt;=Assumptions!$G$158,"Low","Loading")))</f>
        <v>High</v>
      </c>
      <c r="Q756" s="39">
        <f>MAX(K756,MIN(Assumptions!$S$158,O756),Q757)</f>
        <v>3044</v>
      </c>
      <c r="R756" s="30">
        <f>IF(AND(Q756&lt;=K756,INDEX(Assumptions!$C$26:$C$36,MATCH(G756,Assumptions!$A$26:$A$36,0))&lt;&gt;""),INDEX(Assumptions!$C$26:$C$36,MATCH(G756,Assumptions!$A$26:$A$36,0)),ROUND(G756*Q756,-2))</f>
        <v>4161100</v>
      </c>
      <c r="S756" s="56" t="str">
        <f>TRIM(IF(AND(Assumptions!$L$158&lt;&gt;"",D756&lt;Assumptions!$L$158),"View blocked / roof in front ("&amp;Assumptions!$M$158&amp;"); view premium still loading until L"&amp;Assumptions!$L$158&amp;". ","")&amp;IF(D756=Assumptions!$AH$158,"Mid-floor view premium fully loaded. ","")&amp;IF(D756=Assumptions!$P$158,"High-floor view premium fully loaded. ","")&amp;IF(Q756&lt;=K756,"At developer starting price.",""))</f>
        <v/>
      </c>
      <c r="T756" s="57" t="str">
        <f>Assumptions!$AJ$158</f>
        <v>NW. Charcoal BBQ &amp; wellness pavilions in front of low floors; golf course, Lower Peirce Reservoir from L20; private lift</v>
      </c>
    </row>
    <row r="757" spans="1:20" x14ac:dyDescent="0.2">
      <c r="A757" s="49" t="s">
        <v>914</v>
      </c>
      <c r="B757" s="29">
        <v>7</v>
      </c>
      <c r="C757" s="50">
        <v>32</v>
      </c>
      <c r="D757" s="50">
        <v>20</v>
      </c>
      <c r="E757" s="27" t="s">
        <v>49</v>
      </c>
      <c r="F757" s="29" t="s">
        <v>904</v>
      </c>
      <c r="G757" s="28">
        <v>1367</v>
      </c>
      <c r="H757" s="29" t="s">
        <v>65</v>
      </c>
      <c r="I757" s="38" t="str">
        <f>Assumptions!$I$158</f>
        <v>B</v>
      </c>
      <c r="J757" s="29" t="str">
        <f>IF(D757&lt;=Assumptions!$V$158,"Low",IF(D757&lt;=Assumptions!$W$158,"Mid","High"))</f>
        <v>Mid</v>
      </c>
      <c r="K757" s="51">
        <f>Assumptions!$Q$158</f>
        <v>2800</v>
      </c>
      <c r="L757" s="52">
        <f>INDEX(Assumptions!$P$61:$P$90,D757)</f>
        <v>3054.25</v>
      </c>
      <c r="M757" s="53">
        <f>IF(D757&lt;=Assumptions!$G$158,Assumptions!$AK$158,IF(D757&lt;Assumptions!$AH$158,Assumptions!$AK$158+(Assumptions!$AL$158-Assumptions!$AK$158)*(D757-Assumptions!$G$158)/(Assumptions!$AH$158-Assumptions!$G$158),IF(D757&lt;Assumptions!$P$158,Assumptions!$AL$158+(Assumptions!$AM$158-Assumptions!$AL$158)*(D757-Assumptions!$AH$158)/(Assumptions!$P$158-Assumptions!$AH$158),Assumptions!$AM$158)))</f>
        <v>-50000</v>
      </c>
      <c r="N757" s="54">
        <f t="shared" si="22"/>
        <v>-36.576444769568397</v>
      </c>
      <c r="O757" s="55">
        <f t="shared" si="23"/>
        <v>3018</v>
      </c>
      <c r="P757" s="29" t="str">
        <f>IF(D757&gt;=Assumptions!$P$158,"High",IF(D757&gt;=Assumptions!$AH$158,"Mid",IF(D757&lt;=Assumptions!$G$158,"Low","Loading")))</f>
        <v>High</v>
      </c>
      <c r="Q757" s="39">
        <f>MAX(K757,MIN(Assumptions!$S$158,O757),Q758)</f>
        <v>3018</v>
      </c>
      <c r="R757" s="30">
        <f>IF(AND(Q757&lt;=K757,INDEX(Assumptions!$C$26:$C$36,MATCH(G757,Assumptions!$A$26:$A$36,0))&lt;&gt;""),INDEX(Assumptions!$C$26:$C$36,MATCH(G757,Assumptions!$A$26:$A$36,0)),ROUND(G757*Q757,-2))</f>
        <v>4125600</v>
      </c>
      <c r="S757" s="56" t="str">
        <f>TRIM(IF(AND(Assumptions!$L$158&lt;&gt;"",D757&lt;Assumptions!$L$158),"View blocked / roof in front ("&amp;Assumptions!$M$158&amp;"); view premium still loading until L"&amp;Assumptions!$L$158&amp;". ","")&amp;IF(D757=Assumptions!$AH$158,"Mid-floor view premium fully loaded. ","")&amp;IF(D757=Assumptions!$P$158,"High-floor view premium fully loaded. ","")&amp;IF(Q757&lt;=K757,"At developer starting price.",""))</f>
        <v>High-floor view premium fully loaded.</v>
      </c>
      <c r="T757" s="57" t="str">
        <f>Assumptions!$AJ$158</f>
        <v>NW. Charcoal BBQ &amp; wellness pavilions in front of low floors; golf course, Lower Peirce Reservoir from L20; private lift</v>
      </c>
    </row>
    <row r="758" spans="1:20" x14ac:dyDescent="0.2">
      <c r="A758" s="49" t="s">
        <v>915</v>
      </c>
      <c r="B758" s="29">
        <v>7</v>
      </c>
      <c r="C758" s="50">
        <v>32</v>
      </c>
      <c r="D758" s="50">
        <v>19</v>
      </c>
      <c r="E758" s="27" t="s">
        <v>49</v>
      </c>
      <c r="F758" s="29" t="s">
        <v>904</v>
      </c>
      <c r="G758" s="28">
        <v>1367</v>
      </c>
      <c r="H758" s="29" t="s">
        <v>65</v>
      </c>
      <c r="I758" s="38" t="str">
        <f>Assumptions!$I$158</f>
        <v>B</v>
      </c>
      <c r="J758" s="29" t="str">
        <f>IF(D758&lt;=Assumptions!$V$158,"Low",IF(D758&lt;=Assumptions!$W$158,"Mid","High"))</f>
        <v>Mid</v>
      </c>
      <c r="K758" s="51">
        <f>Assumptions!$Q$158</f>
        <v>2800</v>
      </c>
      <c r="L758" s="52">
        <f>INDEX(Assumptions!$P$61:$P$90,D758)</f>
        <v>3027.75</v>
      </c>
      <c r="M758" s="53">
        <f>IF(D758&lt;=Assumptions!$G$158,Assumptions!$AK$158,IF(D758&lt;Assumptions!$AH$158,Assumptions!$AK$158+(Assumptions!$AL$158-Assumptions!$AK$158)*(D758-Assumptions!$G$158)/(Assumptions!$AH$158-Assumptions!$G$158),IF(D758&lt;Assumptions!$P$158,Assumptions!$AL$158+(Assumptions!$AM$158-Assumptions!$AL$158)*(D758-Assumptions!$AH$158)/(Assumptions!$P$158-Assumptions!$AH$158),Assumptions!$AM$158)))</f>
        <v>-50000</v>
      </c>
      <c r="N758" s="54">
        <f t="shared" si="22"/>
        <v>-36.576444769568397</v>
      </c>
      <c r="O758" s="55">
        <f t="shared" si="23"/>
        <v>2991</v>
      </c>
      <c r="P758" s="29" t="str">
        <f>IF(D758&gt;=Assumptions!$P$158,"High",IF(D758&gt;=Assumptions!$AH$158,"Mid",IF(D758&lt;=Assumptions!$G$158,"Low","Loading")))</f>
        <v>Mid</v>
      </c>
      <c r="Q758" s="39">
        <f>MAX(K758,MIN(Assumptions!$S$158,O758),Q759)</f>
        <v>2991</v>
      </c>
      <c r="R758" s="30">
        <f>IF(AND(Q758&lt;=K758,INDEX(Assumptions!$C$26:$C$36,MATCH(G758,Assumptions!$A$26:$A$36,0))&lt;&gt;""),INDEX(Assumptions!$C$26:$C$36,MATCH(G758,Assumptions!$A$26:$A$36,0)),ROUND(G758*Q758,-2))</f>
        <v>4088700</v>
      </c>
      <c r="S758" s="56" t="str">
        <f>TRIM(IF(AND(Assumptions!$L$158&lt;&gt;"",D758&lt;Assumptions!$L$158),"View blocked / roof in front ("&amp;Assumptions!$M$158&amp;"); view premium still loading until L"&amp;Assumptions!$L$158&amp;". ","")&amp;IF(D758=Assumptions!$AH$158,"Mid-floor view premium fully loaded. ","")&amp;IF(D758=Assumptions!$P$158,"High-floor view premium fully loaded. ","")&amp;IF(Q758&lt;=K758,"At developer starting price.",""))</f>
        <v/>
      </c>
      <c r="T758" s="57" t="str">
        <f>Assumptions!$AJ$158</f>
        <v>NW. Charcoal BBQ &amp; wellness pavilions in front of low floors; golf course, Lower Peirce Reservoir from L20; private lift</v>
      </c>
    </row>
    <row r="759" spans="1:20" x14ac:dyDescent="0.2">
      <c r="A759" s="49" t="s">
        <v>916</v>
      </c>
      <c r="B759" s="29">
        <v>7</v>
      </c>
      <c r="C759" s="50">
        <v>32</v>
      </c>
      <c r="D759" s="50">
        <v>18</v>
      </c>
      <c r="E759" s="27" t="s">
        <v>49</v>
      </c>
      <c r="F759" s="29" t="s">
        <v>904</v>
      </c>
      <c r="G759" s="28">
        <v>1367</v>
      </c>
      <c r="H759" s="29" t="s">
        <v>65</v>
      </c>
      <c r="I759" s="38" t="str">
        <f>Assumptions!$I$158</f>
        <v>B</v>
      </c>
      <c r="J759" s="29" t="str">
        <f>IF(D759&lt;=Assumptions!$V$158,"Low",IF(D759&lt;=Assumptions!$W$158,"Mid","High"))</f>
        <v>Mid</v>
      </c>
      <c r="K759" s="51">
        <f>Assumptions!$Q$158</f>
        <v>2800</v>
      </c>
      <c r="L759" s="52">
        <f>INDEX(Assumptions!$P$61:$P$90,D759)</f>
        <v>3001.25</v>
      </c>
      <c r="M759" s="53">
        <f>IF(D759&lt;=Assumptions!$G$158,Assumptions!$AK$158,IF(D759&lt;Assumptions!$AH$158,Assumptions!$AK$158+(Assumptions!$AL$158-Assumptions!$AK$158)*(D759-Assumptions!$G$158)/(Assumptions!$AH$158-Assumptions!$G$158),IF(D759&lt;Assumptions!$P$158,Assumptions!$AL$158+(Assumptions!$AM$158-Assumptions!$AL$158)*(D759-Assumptions!$AH$158)/(Assumptions!$P$158-Assumptions!$AH$158),Assumptions!$AM$158)))</f>
        <v>-50000</v>
      </c>
      <c r="N759" s="54">
        <f t="shared" si="22"/>
        <v>-36.576444769568397</v>
      </c>
      <c r="O759" s="55">
        <f t="shared" si="23"/>
        <v>2965</v>
      </c>
      <c r="P759" s="29" t="str">
        <f>IF(D759&gt;=Assumptions!$P$158,"High",IF(D759&gt;=Assumptions!$AH$158,"Mid",IF(D759&lt;=Assumptions!$G$158,"Low","Loading")))</f>
        <v>Mid</v>
      </c>
      <c r="Q759" s="39">
        <f>MAX(K759,MIN(Assumptions!$S$158,O759),Q760)</f>
        <v>2965</v>
      </c>
      <c r="R759" s="30">
        <f>IF(AND(Q759&lt;=K759,INDEX(Assumptions!$C$26:$C$36,MATCH(G759,Assumptions!$A$26:$A$36,0))&lt;&gt;""),INDEX(Assumptions!$C$26:$C$36,MATCH(G759,Assumptions!$A$26:$A$36,0)),ROUND(G759*Q759,-2))</f>
        <v>4053200</v>
      </c>
      <c r="S759" s="56" t="str">
        <f>TRIM(IF(AND(Assumptions!$L$158&lt;&gt;"",D759&lt;Assumptions!$L$158),"View blocked / roof in front ("&amp;Assumptions!$M$158&amp;"); view premium still loading until L"&amp;Assumptions!$L$158&amp;". ","")&amp;IF(D759=Assumptions!$AH$158,"Mid-floor view premium fully loaded. ","")&amp;IF(D759=Assumptions!$P$158,"High-floor view premium fully loaded. ","")&amp;IF(Q759&lt;=K759,"At developer starting price.",""))</f>
        <v/>
      </c>
      <c r="T759" s="57" t="str">
        <f>Assumptions!$AJ$158</f>
        <v>NW. Charcoal BBQ &amp; wellness pavilions in front of low floors; golf course, Lower Peirce Reservoir from L20; private lift</v>
      </c>
    </row>
    <row r="760" spans="1:20" x14ac:dyDescent="0.2">
      <c r="A760" s="49" t="s">
        <v>917</v>
      </c>
      <c r="B760" s="29">
        <v>7</v>
      </c>
      <c r="C760" s="50">
        <v>32</v>
      </c>
      <c r="D760" s="50">
        <v>17</v>
      </c>
      <c r="E760" s="27" t="s">
        <v>49</v>
      </c>
      <c r="F760" s="29" t="s">
        <v>904</v>
      </c>
      <c r="G760" s="28">
        <v>1367</v>
      </c>
      <c r="H760" s="29" t="s">
        <v>65</v>
      </c>
      <c r="I760" s="38" t="str">
        <f>Assumptions!$I$158</f>
        <v>B</v>
      </c>
      <c r="J760" s="29" t="str">
        <f>IF(D760&lt;=Assumptions!$V$158,"Low",IF(D760&lt;=Assumptions!$W$158,"Mid","High"))</f>
        <v>Mid</v>
      </c>
      <c r="K760" s="51">
        <f>Assumptions!$Q$158</f>
        <v>2800</v>
      </c>
      <c r="L760" s="52">
        <f>INDEX(Assumptions!$P$61:$P$90,D760)</f>
        <v>2982.7784980955025</v>
      </c>
      <c r="M760" s="53">
        <f>IF(D760&lt;=Assumptions!$G$158,Assumptions!$AK$158,IF(D760&lt;Assumptions!$AH$158,Assumptions!$AK$158+(Assumptions!$AL$158-Assumptions!$AK$158)*(D760-Assumptions!$G$158)/(Assumptions!$AH$158-Assumptions!$G$158),IF(D760&lt;Assumptions!$P$158,Assumptions!$AL$158+(Assumptions!$AM$158-Assumptions!$AL$158)*(D760-Assumptions!$AH$158)/(Assumptions!$P$158-Assumptions!$AH$158),Assumptions!$AM$158)))</f>
        <v>-50000</v>
      </c>
      <c r="N760" s="54">
        <f t="shared" si="22"/>
        <v>-36.576444769568397</v>
      </c>
      <c r="O760" s="55">
        <f t="shared" si="23"/>
        <v>2946</v>
      </c>
      <c r="P760" s="29" t="str">
        <f>IF(D760&gt;=Assumptions!$P$158,"High",IF(D760&gt;=Assumptions!$AH$158,"Mid",IF(D760&lt;=Assumptions!$G$158,"Low","Loading")))</f>
        <v>Mid</v>
      </c>
      <c r="Q760" s="39">
        <f>MAX(K760,MIN(Assumptions!$S$158,O760),Q761)</f>
        <v>2946</v>
      </c>
      <c r="R760" s="30">
        <f>IF(AND(Q760&lt;=K760,INDEX(Assumptions!$C$26:$C$36,MATCH(G760,Assumptions!$A$26:$A$36,0))&lt;&gt;""),INDEX(Assumptions!$C$26:$C$36,MATCH(G760,Assumptions!$A$26:$A$36,0)),ROUND(G760*Q760,-2))</f>
        <v>4027200</v>
      </c>
      <c r="S760" s="56" t="str">
        <f>TRIM(IF(AND(Assumptions!$L$158&lt;&gt;"",D760&lt;Assumptions!$L$158),"View blocked / roof in front ("&amp;Assumptions!$M$158&amp;"); view premium still loading until L"&amp;Assumptions!$L$158&amp;". ","")&amp;IF(D760=Assumptions!$AH$158,"Mid-floor view premium fully loaded. ","")&amp;IF(D760=Assumptions!$P$158,"High-floor view premium fully loaded. ","")&amp;IF(Q760&lt;=K760,"At developer starting price.",""))</f>
        <v/>
      </c>
      <c r="T760" s="57" t="str">
        <f>Assumptions!$AJ$158</f>
        <v>NW. Charcoal BBQ &amp; wellness pavilions in front of low floors; golf course, Lower Peirce Reservoir from L20; private lift</v>
      </c>
    </row>
    <row r="761" spans="1:20" x14ac:dyDescent="0.2">
      <c r="A761" s="49" t="s">
        <v>918</v>
      </c>
      <c r="B761" s="29">
        <v>7</v>
      </c>
      <c r="C761" s="50">
        <v>32</v>
      </c>
      <c r="D761" s="50">
        <v>16</v>
      </c>
      <c r="E761" s="27" t="s">
        <v>49</v>
      </c>
      <c r="F761" s="29" t="s">
        <v>904</v>
      </c>
      <c r="G761" s="28">
        <v>1367</v>
      </c>
      <c r="H761" s="29" t="s">
        <v>65</v>
      </c>
      <c r="I761" s="38" t="str">
        <f>Assumptions!$I$158</f>
        <v>B</v>
      </c>
      <c r="J761" s="29" t="str">
        <f>IF(D761&lt;=Assumptions!$V$158,"Low",IF(D761&lt;=Assumptions!$W$158,"Mid","High"))</f>
        <v>Mid</v>
      </c>
      <c r="K761" s="51">
        <f>Assumptions!$Q$158</f>
        <v>2800</v>
      </c>
      <c r="L761" s="52">
        <f>INDEX(Assumptions!$P$61:$P$90,D761)</f>
        <v>2972.3354942865071</v>
      </c>
      <c r="M761" s="53">
        <f>IF(D761&lt;=Assumptions!$G$158,Assumptions!$AK$158,IF(D761&lt;Assumptions!$AH$158,Assumptions!$AK$158+(Assumptions!$AL$158-Assumptions!$AK$158)*(D761-Assumptions!$G$158)/(Assumptions!$AH$158-Assumptions!$G$158),IF(D761&lt;Assumptions!$P$158,Assumptions!$AL$158+(Assumptions!$AM$158-Assumptions!$AL$158)*(D761-Assumptions!$AH$158)/(Assumptions!$P$158-Assumptions!$AH$158),Assumptions!$AM$158)))</f>
        <v>-50000</v>
      </c>
      <c r="N761" s="54">
        <f t="shared" si="22"/>
        <v>-36.576444769568397</v>
      </c>
      <c r="O761" s="55">
        <f t="shared" si="23"/>
        <v>2936</v>
      </c>
      <c r="P761" s="29" t="str">
        <f>IF(D761&gt;=Assumptions!$P$158,"High",IF(D761&gt;=Assumptions!$AH$158,"Mid",IF(D761&lt;=Assumptions!$G$158,"Low","Loading")))</f>
        <v>Mid</v>
      </c>
      <c r="Q761" s="39">
        <f>MAX(K761,MIN(Assumptions!$S$158,O761),Q762)</f>
        <v>2936</v>
      </c>
      <c r="R761" s="30">
        <f>IF(AND(Q761&lt;=K761,INDEX(Assumptions!$C$26:$C$36,MATCH(G761,Assumptions!$A$26:$A$36,0))&lt;&gt;""),INDEX(Assumptions!$C$26:$C$36,MATCH(G761,Assumptions!$A$26:$A$36,0)),ROUND(G761*Q761,-2))</f>
        <v>4013500</v>
      </c>
      <c r="S761" s="56" t="str">
        <f>TRIM(IF(AND(Assumptions!$L$158&lt;&gt;"",D761&lt;Assumptions!$L$158),"View blocked / roof in front ("&amp;Assumptions!$M$158&amp;"); view premium still loading until L"&amp;Assumptions!$L$158&amp;". ","")&amp;IF(D761=Assumptions!$AH$158,"Mid-floor view premium fully loaded. ","")&amp;IF(D761=Assumptions!$P$158,"High-floor view premium fully loaded. ","")&amp;IF(Q761&lt;=K761,"At developer starting price.",""))</f>
        <v/>
      </c>
      <c r="T761" s="57" t="str">
        <f>Assumptions!$AJ$158</f>
        <v>NW. Charcoal BBQ &amp; wellness pavilions in front of low floors; golf course, Lower Peirce Reservoir from L20; private lift</v>
      </c>
    </row>
    <row r="762" spans="1:20" x14ac:dyDescent="0.2">
      <c r="A762" s="49" t="s">
        <v>919</v>
      </c>
      <c r="B762" s="29">
        <v>7</v>
      </c>
      <c r="C762" s="50">
        <v>32</v>
      </c>
      <c r="D762" s="50">
        <v>15</v>
      </c>
      <c r="E762" s="27" t="s">
        <v>49</v>
      </c>
      <c r="F762" s="29" t="s">
        <v>904</v>
      </c>
      <c r="G762" s="28">
        <v>1367</v>
      </c>
      <c r="H762" s="29" t="s">
        <v>65</v>
      </c>
      <c r="I762" s="38" t="str">
        <f>Assumptions!$I$158</f>
        <v>B</v>
      </c>
      <c r="J762" s="29" t="str">
        <f>IF(D762&lt;=Assumptions!$V$158,"Low",IF(D762&lt;=Assumptions!$W$158,"Mid","High"))</f>
        <v>Mid</v>
      </c>
      <c r="K762" s="51">
        <f>Assumptions!$Q$158</f>
        <v>2800</v>
      </c>
      <c r="L762" s="52">
        <f>INDEX(Assumptions!$P$61:$P$90,D762)</f>
        <v>2961.8924904775117</v>
      </c>
      <c r="M762" s="53">
        <f>IF(D762&lt;=Assumptions!$G$158,Assumptions!$AK$158,IF(D762&lt;Assumptions!$AH$158,Assumptions!$AK$158+(Assumptions!$AL$158-Assumptions!$AK$158)*(D762-Assumptions!$G$158)/(Assumptions!$AH$158-Assumptions!$G$158),IF(D762&lt;Assumptions!$P$158,Assumptions!$AL$158+(Assumptions!$AM$158-Assumptions!$AL$158)*(D762-Assumptions!$AH$158)/(Assumptions!$P$158-Assumptions!$AH$158),Assumptions!$AM$158)))</f>
        <v>-50000</v>
      </c>
      <c r="N762" s="54">
        <f t="shared" si="22"/>
        <v>-36.576444769568397</v>
      </c>
      <c r="O762" s="55">
        <f t="shared" si="23"/>
        <v>2925</v>
      </c>
      <c r="P762" s="29" t="str">
        <f>IF(D762&gt;=Assumptions!$P$158,"High",IF(D762&gt;=Assumptions!$AH$158,"Mid",IF(D762&lt;=Assumptions!$G$158,"Low","Loading")))</f>
        <v>Mid</v>
      </c>
      <c r="Q762" s="39">
        <f>MAX(K762,MIN(Assumptions!$S$158,O762),Q763)</f>
        <v>2925</v>
      </c>
      <c r="R762" s="30">
        <f>IF(AND(Q762&lt;=K762,INDEX(Assumptions!$C$26:$C$36,MATCH(G762,Assumptions!$A$26:$A$36,0))&lt;&gt;""),INDEX(Assumptions!$C$26:$C$36,MATCH(G762,Assumptions!$A$26:$A$36,0)),ROUND(G762*Q762,-2))</f>
        <v>3998500</v>
      </c>
      <c r="S762" s="56" t="str">
        <f>TRIM(IF(AND(Assumptions!$L$158&lt;&gt;"",D762&lt;Assumptions!$L$158),"View blocked / roof in front ("&amp;Assumptions!$M$158&amp;"); view premium still loading until L"&amp;Assumptions!$L$158&amp;". ","")&amp;IF(D762=Assumptions!$AH$158,"Mid-floor view premium fully loaded. ","")&amp;IF(D762=Assumptions!$P$158,"High-floor view premium fully loaded. ","")&amp;IF(Q762&lt;=K762,"At developer starting price.",""))</f>
        <v/>
      </c>
      <c r="T762" s="57" t="str">
        <f>Assumptions!$AJ$158</f>
        <v>NW. Charcoal BBQ &amp; wellness pavilions in front of low floors; golf course, Lower Peirce Reservoir from L20; private lift</v>
      </c>
    </row>
    <row r="763" spans="1:20" x14ac:dyDescent="0.2">
      <c r="A763" s="49" t="s">
        <v>920</v>
      </c>
      <c r="B763" s="29">
        <v>7</v>
      </c>
      <c r="C763" s="50">
        <v>32</v>
      </c>
      <c r="D763" s="50">
        <v>14</v>
      </c>
      <c r="E763" s="27" t="s">
        <v>49</v>
      </c>
      <c r="F763" s="29" t="s">
        <v>904</v>
      </c>
      <c r="G763" s="28">
        <v>1367</v>
      </c>
      <c r="H763" s="29" t="s">
        <v>65</v>
      </c>
      <c r="I763" s="38" t="str">
        <f>Assumptions!$I$158</f>
        <v>B</v>
      </c>
      <c r="J763" s="29" t="str">
        <f>IF(D763&lt;=Assumptions!$V$158,"Low",IF(D763&lt;=Assumptions!$W$158,"Mid","High"))</f>
        <v>Low</v>
      </c>
      <c r="K763" s="51">
        <f>Assumptions!$Q$158</f>
        <v>2800</v>
      </c>
      <c r="L763" s="52">
        <f>INDEX(Assumptions!$P$61:$P$90,D763)</f>
        <v>2951.4494866685163</v>
      </c>
      <c r="M763" s="53">
        <f>IF(D763&lt;=Assumptions!$G$158,Assumptions!$AK$158,IF(D763&lt;Assumptions!$AH$158,Assumptions!$AK$158+(Assumptions!$AL$158-Assumptions!$AK$158)*(D763-Assumptions!$G$158)/(Assumptions!$AH$158-Assumptions!$G$158),IF(D763&lt;Assumptions!$P$158,Assumptions!$AL$158+(Assumptions!$AM$158-Assumptions!$AL$158)*(D763-Assumptions!$AH$158)/(Assumptions!$P$158-Assumptions!$AH$158),Assumptions!$AM$158)))</f>
        <v>-50000</v>
      </c>
      <c r="N763" s="54">
        <f t="shared" si="22"/>
        <v>-36.576444769568397</v>
      </c>
      <c r="O763" s="55">
        <f t="shared" si="23"/>
        <v>2915</v>
      </c>
      <c r="P763" s="29" t="str">
        <f>IF(D763&gt;=Assumptions!$P$158,"High",IF(D763&gt;=Assumptions!$AH$158,"Mid",IF(D763&lt;=Assumptions!$G$158,"Low","Loading")))</f>
        <v>Mid</v>
      </c>
      <c r="Q763" s="39">
        <f>MAX(K763,MIN(Assumptions!$S$158,O763),Q764)</f>
        <v>2915</v>
      </c>
      <c r="R763" s="30">
        <f>IF(AND(Q763&lt;=K763,INDEX(Assumptions!$C$26:$C$36,MATCH(G763,Assumptions!$A$26:$A$36,0))&lt;&gt;""),INDEX(Assumptions!$C$26:$C$36,MATCH(G763,Assumptions!$A$26:$A$36,0)),ROUND(G763*Q763,-2))</f>
        <v>3984800</v>
      </c>
      <c r="S763" s="56" t="str">
        <f>TRIM(IF(AND(Assumptions!$L$158&lt;&gt;"",D763&lt;Assumptions!$L$158),"View blocked / roof in front ("&amp;Assumptions!$M$158&amp;"); view premium still loading until L"&amp;Assumptions!$L$158&amp;". ","")&amp;IF(D763=Assumptions!$AH$158,"Mid-floor view premium fully loaded. ","")&amp;IF(D763=Assumptions!$P$158,"High-floor view premium fully loaded. ","")&amp;IF(Q763&lt;=K763,"At developer starting price.",""))</f>
        <v/>
      </c>
      <c r="T763" s="57" t="str">
        <f>Assumptions!$AJ$158</f>
        <v>NW. Charcoal BBQ &amp; wellness pavilions in front of low floors; golf course, Lower Peirce Reservoir from L20; private lift</v>
      </c>
    </row>
    <row r="764" spans="1:20" x14ac:dyDescent="0.2">
      <c r="A764" s="49" t="s">
        <v>921</v>
      </c>
      <c r="B764" s="29">
        <v>7</v>
      </c>
      <c r="C764" s="50">
        <v>32</v>
      </c>
      <c r="D764" s="50">
        <v>13</v>
      </c>
      <c r="E764" s="27" t="s">
        <v>49</v>
      </c>
      <c r="F764" s="29" t="s">
        <v>904</v>
      </c>
      <c r="G764" s="28">
        <v>1367</v>
      </c>
      <c r="H764" s="29" t="s">
        <v>65</v>
      </c>
      <c r="I764" s="38" t="str">
        <f>Assumptions!$I$158</f>
        <v>B</v>
      </c>
      <c r="J764" s="29" t="str">
        <f>IF(D764&lt;=Assumptions!$V$158,"Low",IF(D764&lt;=Assumptions!$W$158,"Mid","High"))</f>
        <v>Low</v>
      </c>
      <c r="K764" s="51">
        <f>Assumptions!$Q$158</f>
        <v>2800</v>
      </c>
      <c r="L764" s="52">
        <f>INDEX(Assumptions!$P$61:$P$90,D764)</f>
        <v>2941.0064828595214</v>
      </c>
      <c r="M764" s="53">
        <f>IF(D764&lt;=Assumptions!$G$158,Assumptions!$AK$158,IF(D764&lt;Assumptions!$AH$158,Assumptions!$AK$158+(Assumptions!$AL$158-Assumptions!$AK$158)*(D764-Assumptions!$G$158)/(Assumptions!$AH$158-Assumptions!$G$158),IF(D764&lt;Assumptions!$P$158,Assumptions!$AL$158+(Assumptions!$AM$158-Assumptions!$AL$158)*(D764-Assumptions!$AH$158)/(Assumptions!$P$158-Assumptions!$AH$158),Assumptions!$AM$158)))</f>
        <v>-50000</v>
      </c>
      <c r="N764" s="54">
        <f t="shared" si="22"/>
        <v>-36.576444769568397</v>
      </c>
      <c r="O764" s="55">
        <f t="shared" si="23"/>
        <v>2904</v>
      </c>
      <c r="P764" s="29" t="str">
        <f>IF(D764&gt;=Assumptions!$P$158,"High",IF(D764&gt;=Assumptions!$AH$158,"Mid",IF(D764&lt;=Assumptions!$G$158,"Low","Loading")))</f>
        <v>Mid</v>
      </c>
      <c r="Q764" s="39">
        <f>MAX(K764,MIN(Assumptions!$S$158,O764),Q765)</f>
        <v>2904</v>
      </c>
      <c r="R764" s="30">
        <f>IF(AND(Q764&lt;=K764,INDEX(Assumptions!$C$26:$C$36,MATCH(G764,Assumptions!$A$26:$A$36,0))&lt;&gt;""),INDEX(Assumptions!$C$26:$C$36,MATCH(G764,Assumptions!$A$26:$A$36,0)),ROUND(G764*Q764,-2))</f>
        <v>3969800</v>
      </c>
      <c r="S764" s="56" t="str">
        <f>TRIM(IF(AND(Assumptions!$L$158&lt;&gt;"",D764&lt;Assumptions!$L$158),"View blocked / roof in front ("&amp;Assumptions!$M$158&amp;"); view premium still loading until L"&amp;Assumptions!$L$158&amp;". ","")&amp;IF(D764=Assumptions!$AH$158,"Mid-floor view premium fully loaded. ","")&amp;IF(D764=Assumptions!$P$158,"High-floor view premium fully loaded. ","")&amp;IF(Q764&lt;=K764,"At developer starting price.",""))</f>
        <v/>
      </c>
      <c r="T764" s="57" t="str">
        <f>Assumptions!$AJ$158</f>
        <v>NW. Charcoal BBQ &amp; wellness pavilions in front of low floors; golf course, Lower Peirce Reservoir from L20; private lift</v>
      </c>
    </row>
    <row r="765" spans="1:20" x14ac:dyDescent="0.2">
      <c r="A765" s="49" t="s">
        <v>922</v>
      </c>
      <c r="B765" s="29">
        <v>7</v>
      </c>
      <c r="C765" s="50">
        <v>32</v>
      </c>
      <c r="D765" s="50">
        <v>12</v>
      </c>
      <c r="E765" s="27" t="s">
        <v>49</v>
      </c>
      <c r="F765" s="29" t="s">
        <v>904</v>
      </c>
      <c r="G765" s="28">
        <v>1367</v>
      </c>
      <c r="H765" s="29" t="s">
        <v>65</v>
      </c>
      <c r="I765" s="38" t="str">
        <f>Assumptions!$I$158</f>
        <v>B</v>
      </c>
      <c r="J765" s="29" t="str">
        <f>IF(D765&lt;=Assumptions!$V$158,"Low",IF(D765&lt;=Assumptions!$W$158,"Mid","High"))</f>
        <v>Low</v>
      </c>
      <c r="K765" s="51">
        <f>Assumptions!$Q$158</f>
        <v>2800</v>
      </c>
      <c r="L765" s="52">
        <f>INDEX(Assumptions!$P$61:$P$90,D765)</f>
        <v>2930.563479050526</v>
      </c>
      <c r="M765" s="53">
        <f>IF(D765&lt;=Assumptions!$G$158,Assumptions!$AK$158,IF(D765&lt;Assumptions!$AH$158,Assumptions!$AK$158+(Assumptions!$AL$158-Assumptions!$AK$158)*(D765-Assumptions!$G$158)/(Assumptions!$AH$158-Assumptions!$G$158),IF(D765&lt;Assumptions!$P$158,Assumptions!$AL$158+(Assumptions!$AM$158-Assumptions!$AL$158)*(D765-Assumptions!$AH$158)/(Assumptions!$P$158-Assumptions!$AH$158),Assumptions!$AM$158)))</f>
        <v>-50000</v>
      </c>
      <c r="N765" s="54">
        <f t="shared" si="22"/>
        <v>-36.576444769568397</v>
      </c>
      <c r="O765" s="55">
        <f t="shared" si="23"/>
        <v>2894</v>
      </c>
      <c r="P765" s="29" t="str">
        <f>IF(D765&gt;=Assumptions!$P$158,"High",IF(D765&gt;=Assumptions!$AH$158,"Mid",IF(D765&lt;=Assumptions!$G$158,"Low","Loading")))</f>
        <v>Mid</v>
      </c>
      <c r="Q765" s="39">
        <f>MAX(K765,MIN(Assumptions!$S$158,O765),Q766)</f>
        <v>2894</v>
      </c>
      <c r="R765" s="30">
        <f>IF(AND(Q765&lt;=K765,INDEX(Assumptions!$C$26:$C$36,MATCH(G765,Assumptions!$A$26:$A$36,0))&lt;&gt;""),INDEX(Assumptions!$C$26:$C$36,MATCH(G765,Assumptions!$A$26:$A$36,0)),ROUND(G765*Q765,-2))</f>
        <v>3956100</v>
      </c>
      <c r="S765" s="56" t="str">
        <f>TRIM(IF(AND(Assumptions!$L$158&lt;&gt;"",D765&lt;Assumptions!$L$158),"View blocked / roof in front ("&amp;Assumptions!$M$158&amp;"); view premium still loading until L"&amp;Assumptions!$L$158&amp;". ","")&amp;IF(D765=Assumptions!$AH$158,"Mid-floor view premium fully loaded. ","")&amp;IF(D765=Assumptions!$P$158,"High-floor view premium fully loaded. ","")&amp;IF(Q765&lt;=K765,"At developer starting price.",""))</f>
        <v>Mid-floor view premium fully loaded.</v>
      </c>
      <c r="T765" s="57" t="str">
        <f>Assumptions!$AJ$158</f>
        <v>NW. Charcoal BBQ &amp; wellness pavilions in front of low floors; golf course, Lower Peirce Reservoir from L20; private lift</v>
      </c>
    </row>
    <row r="766" spans="1:20" x14ac:dyDescent="0.2">
      <c r="A766" s="49" t="s">
        <v>923</v>
      </c>
      <c r="B766" s="29">
        <v>7</v>
      </c>
      <c r="C766" s="50">
        <v>32</v>
      </c>
      <c r="D766" s="50">
        <v>11</v>
      </c>
      <c r="E766" s="27" t="s">
        <v>49</v>
      </c>
      <c r="F766" s="29" t="s">
        <v>904</v>
      </c>
      <c r="G766" s="28">
        <v>1367</v>
      </c>
      <c r="H766" s="29" t="s">
        <v>65</v>
      </c>
      <c r="I766" s="38" t="str">
        <f>Assumptions!$I$158</f>
        <v>B</v>
      </c>
      <c r="J766" s="29" t="str">
        <f>IF(D766&lt;=Assumptions!$V$158,"Low",IF(D766&lt;=Assumptions!$W$158,"Mid","High"))</f>
        <v>Low</v>
      </c>
      <c r="K766" s="51">
        <f>Assumptions!$Q$158</f>
        <v>2800</v>
      </c>
      <c r="L766" s="52">
        <f>INDEX(Assumptions!$P$61:$P$90,D766)</f>
        <v>2920.1204752415306</v>
      </c>
      <c r="M766" s="53">
        <f>IF(D766&lt;=Assumptions!$G$158,Assumptions!$AK$158,IF(D766&lt;Assumptions!$AH$158,Assumptions!$AK$158+(Assumptions!$AL$158-Assumptions!$AK$158)*(D766-Assumptions!$G$158)/(Assumptions!$AH$158-Assumptions!$G$158),IF(D766&lt;Assumptions!$P$158,Assumptions!$AL$158+(Assumptions!$AM$158-Assumptions!$AL$158)*(D766-Assumptions!$AH$158)/(Assumptions!$P$158-Assumptions!$AH$158),Assumptions!$AM$158)))</f>
        <v>-50000</v>
      </c>
      <c r="N766" s="54">
        <f t="shared" si="22"/>
        <v>-36.576444769568397</v>
      </c>
      <c r="O766" s="55">
        <f t="shared" si="23"/>
        <v>2884</v>
      </c>
      <c r="P766" s="29" t="str">
        <f>IF(D766&gt;=Assumptions!$P$158,"High",IF(D766&gt;=Assumptions!$AH$158,"Mid",IF(D766&lt;=Assumptions!$G$158,"Low","Loading")))</f>
        <v>Loading</v>
      </c>
      <c r="Q766" s="39">
        <f>MAX(K766,MIN(Assumptions!$S$158,O766),Q767)</f>
        <v>2884</v>
      </c>
      <c r="R766" s="30">
        <f>IF(AND(Q766&lt;=K766,INDEX(Assumptions!$C$26:$C$36,MATCH(G766,Assumptions!$A$26:$A$36,0))&lt;&gt;""),INDEX(Assumptions!$C$26:$C$36,MATCH(G766,Assumptions!$A$26:$A$36,0)),ROUND(G766*Q766,-2))</f>
        <v>3942400</v>
      </c>
      <c r="S766" s="56" t="str">
        <f>TRIM(IF(AND(Assumptions!$L$158&lt;&gt;"",D766&lt;Assumptions!$L$158),"View blocked / roof in front ("&amp;Assumptions!$M$158&amp;"); view premium still loading until L"&amp;Assumptions!$L$158&amp;". ","")&amp;IF(D766=Assumptions!$AH$158,"Mid-floor view premium fully loaded. ","")&amp;IF(D766=Assumptions!$P$158,"High-floor view premium fully loaded. ","")&amp;IF(Q766&lt;=K766,"At developer starting price.",""))</f>
        <v/>
      </c>
      <c r="T766" s="57" t="str">
        <f>Assumptions!$AJ$158</f>
        <v>NW. Charcoal BBQ &amp; wellness pavilions in front of low floors; golf course, Lower Peirce Reservoir from L20; private lift</v>
      </c>
    </row>
    <row r="767" spans="1:20" x14ac:dyDescent="0.2">
      <c r="A767" s="49" t="s">
        <v>924</v>
      </c>
      <c r="B767" s="29">
        <v>7</v>
      </c>
      <c r="C767" s="50">
        <v>32</v>
      </c>
      <c r="D767" s="50">
        <v>10</v>
      </c>
      <c r="E767" s="27" t="s">
        <v>49</v>
      </c>
      <c r="F767" s="29" t="s">
        <v>904</v>
      </c>
      <c r="G767" s="28">
        <v>1367</v>
      </c>
      <c r="H767" s="29" t="s">
        <v>65</v>
      </c>
      <c r="I767" s="38" t="str">
        <f>Assumptions!$I$158</f>
        <v>B</v>
      </c>
      <c r="J767" s="29" t="str">
        <f>IF(D767&lt;=Assumptions!$V$158,"Low",IF(D767&lt;=Assumptions!$W$158,"Mid","High"))</f>
        <v>Low</v>
      </c>
      <c r="K767" s="51">
        <f>Assumptions!$Q$158</f>
        <v>2800</v>
      </c>
      <c r="L767" s="52">
        <f>INDEX(Assumptions!$P$61:$P$90,D767)</f>
        <v>2909.6774714325352</v>
      </c>
      <c r="M767" s="53">
        <f>IF(D767&lt;=Assumptions!$G$158,Assumptions!$AK$158,IF(D767&lt;Assumptions!$AH$158,Assumptions!$AK$158+(Assumptions!$AL$158-Assumptions!$AK$158)*(D767-Assumptions!$G$158)/(Assumptions!$AH$158-Assumptions!$G$158),IF(D767&lt;Assumptions!$P$158,Assumptions!$AL$158+(Assumptions!$AM$158-Assumptions!$AL$158)*(D767-Assumptions!$AH$158)/(Assumptions!$P$158-Assumptions!$AH$158),Assumptions!$AM$158)))</f>
        <v>-50000</v>
      </c>
      <c r="N767" s="54">
        <f t="shared" si="22"/>
        <v>-36.576444769568397</v>
      </c>
      <c r="O767" s="55">
        <f t="shared" si="23"/>
        <v>2873</v>
      </c>
      <c r="P767" s="29" t="str">
        <f>IF(D767&gt;=Assumptions!$P$158,"High",IF(D767&gt;=Assumptions!$AH$158,"Mid",IF(D767&lt;=Assumptions!$G$158,"Low","Loading")))</f>
        <v>Loading</v>
      </c>
      <c r="Q767" s="39">
        <f>MAX(K767,MIN(Assumptions!$S$158,O767),Q768)</f>
        <v>2873</v>
      </c>
      <c r="R767" s="30">
        <f>IF(AND(Q767&lt;=K767,INDEX(Assumptions!$C$26:$C$36,MATCH(G767,Assumptions!$A$26:$A$36,0))&lt;&gt;""),INDEX(Assumptions!$C$26:$C$36,MATCH(G767,Assumptions!$A$26:$A$36,0)),ROUND(G767*Q767,-2))</f>
        <v>3927400</v>
      </c>
      <c r="S767" s="56" t="str">
        <f>TRIM(IF(AND(Assumptions!$L$158&lt;&gt;"",D767&lt;Assumptions!$L$158),"View blocked / roof in front ("&amp;Assumptions!$M$158&amp;"); view premium still loading until L"&amp;Assumptions!$L$158&amp;". ","")&amp;IF(D767=Assumptions!$AH$158,"Mid-floor view premium fully loaded. ","")&amp;IF(D767=Assumptions!$P$158,"High-floor view premium fully loaded. ","")&amp;IF(Q767&lt;=K767,"At developer starting price.",""))</f>
        <v/>
      </c>
      <c r="T767" s="57" t="str">
        <f>Assumptions!$AJ$158</f>
        <v>NW. Charcoal BBQ &amp; wellness pavilions in front of low floors; golf course, Lower Peirce Reservoir from L20; private lift</v>
      </c>
    </row>
    <row r="768" spans="1:20" x14ac:dyDescent="0.2">
      <c r="A768" s="49" t="s">
        <v>925</v>
      </c>
      <c r="B768" s="29">
        <v>7</v>
      </c>
      <c r="C768" s="50">
        <v>32</v>
      </c>
      <c r="D768" s="50">
        <v>9</v>
      </c>
      <c r="E768" s="27" t="s">
        <v>49</v>
      </c>
      <c r="F768" s="29" t="s">
        <v>904</v>
      </c>
      <c r="G768" s="28">
        <v>1367</v>
      </c>
      <c r="H768" s="29" t="s">
        <v>65</v>
      </c>
      <c r="I768" s="38" t="str">
        <f>Assumptions!$I$158</f>
        <v>B</v>
      </c>
      <c r="J768" s="29" t="str">
        <f>IF(D768&lt;=Assumptions!$V$158,"Low",IF(D768&lt;=Assumptions!$W$158,"Mid","High"))</f>
        <v>Low</v>
      </c>
      <c r="K768" s="51">
        <f>Assumptions!$Q$158</f>
        <v>2800</v>
      </c>
      <c r="L768" s="52">
        <f>INDEX(Assumptions!$P$61:$P$90,D768)</f>
        <v>2899.2344676235402</v>
      </c>
      <c r="M768" s="53">
        <f>IF(D768&lt;=Assumptions!$G$158,Assumptions!$AK$158,IF(D768&lt;Assumptions!$AH$158,Assumptions!$AK$158+(Assumptions!$AL$158-Assumptions!$AK$158)*(D768-Assumptions!$G$158)/(Assumptions!$AH$158-Assumptions!$G$158),IF(D768&lt;Assumptions!$P$158,Assumptions!$AL$158+(Assumptions!$AM$158-Assumptions!$AL$158)*(D768-Assumptions!$AH$158)/(Assumptions!$P$158-Assumptions!$AH$158),Assumptions!$AM$158)))</f>
        <v>-50000</v>
      </c>
      <c r="N768" s="54">
        <f t="shared" si="22"/>
        <v>-36.576444769568397</v>
      </c>
      <c r="O768" s="55">
        <f t="shared" si="23"/>
        <v>2863</v>
      </c>
      <c r="P768" s="29" t="str">
        <f>IF(D768&gt;=Assumptions!$P$158,"High",IF(D768&gt;=Assumptions!$AH$158,"Mid",IF(D768&lt;=Assumptions!$G$158,"Low","Loading")))</f>
        <v>Loading</v>
      </c>
      <c r="Q768" s="39">
        <f>MAX(K768,MIN(Assumptions!$S$158,O768),Q769)</f>
        <v>2863</v>
      </c>
      <c r="R768" s="30">
        <f>IF(AND(Q768&lt;=K768,INDEX(Assumptions!$C$26:$C$36,MATCH(G768,Assumptions!$A$26:$A$36,0))&lt;&gt;""),INDEX(Assumptions!$C$26:$C$36,MATCH(G768,Assumptions!$A$26:$A$36,0)),ROUND(G768*Q768,-2))</f>
        <v>3913700</v>
      </c>
      <c r="S768" s="56" t="str">
        <f>TRIM(IF(AND(Assumptions!$L$158&lt;&gt;"",D768&lt;Assumptions!$L$158),"View blocked / roof in front ("&amp;Assumptions!$M$158&amp;"); view premium still loading until L"&amp;Assumptions!$L$158&amp;". ","")&amp;IF(D768=Assumptions!$AH$158,"Mid-floor view premium fully loaded. ","")&amp;IF(D768=Assumptions!$P$158,"High-floor view premium fully loaded. ","")&amp;IF(Q768&lt;=K768,"At developer starting price.",""))</f>
        <v/>
      </c>
      <c r="T768" s="57" t="str">
        <f>Assumptions!$AJ$158</f>
        <v>NW. Charcoal BBQ &amp; wellness pavilions in front of low floors; golf course, Lower Peirce Reservoir from L20; private lift</v>
      </c>
    </row>
    <row r="769" spans="1:20" x14ac:dyDescent="0.2">
      <c r="A769" s="49" t="s">
        <v>926</v>
      </c>
      <c r="B769" s="29">
        <v>7</v>
      </c>
      <c r="C769" s="50">
        <v>32</v>
      </c>
      <c r="D769" s="50">
        <v>8</v>
      </c>
      <c r="E769" s="27" t="s">
        <v>49</v>
      </c>
      <c r="F769" s="29" t="s">
        <v>904</v>
      </c>
      <c r="G769" s="28">
        <v>1367</v>
      </c>
      <c r="H769" s="29" t="s">
        <v>65</v>
      </c>
      <c r="I769" s="38" t="str">
        <f>Assumptions!$I$158</f>
        <v>B</v>
      </c>
      <c r="J769" s="29" t="str">
        <f>IF(D769&lt;=Assumptions!$V$158,"Low",IF(D769&lt;=Assumptions!$W$158,"Mid","High"))</f>
        <v>Low</v>
      </c>
      <c r="K769" s="51">
        <f>Assumptions!$Q$158</f>
        <v>2800</v>
      </c>
      <c r="L769" s="52">
        <f>INDEX(Assumptions!$P$61:$P$90,D769)</f>
        <v>2888.7914638145448</v>
      </c>
      <c r="M769" s="53">
        <f>IF(D769&lt;=Assumptions!$G$158,Assumptions!$AK$158,IF(D769&lt;Assumptions!$AH$158,Assumptions!$AK$158+(Assumptions!$AL$158-Assumptions!$AK$158)*(D769-Assumptions!$G$158)/(Assumptions!$AH$158-Assumptions!$G$158),IF(D769&lt;Assumptions!$P$158,Assumptions!$AL$158+(Assumptions!$AM$158-Assumptions!$AL$158)*(D769-Assumptions!$AH$158)/(Assumptions!$P$158-Assumptions!$AH$158),Assumptions!$AM$158)))</f>
        <v>-50000</v>
      </c>
      <c r="N769" s="54">
        <f t="shared" si="22"/>
        <v>-36.576444769568397</v>
      </c>
      <c r="O769" s="55">
        <f t="shared" si="23"/>
        <v>2852</v>
      </c>
      <c r="P769" s="29" t="str">
        <f>IF(D769&gt;=Assumptions!$P$158,"High",IF(D769&gt;=Assumptions!$AH$158,"Mid",IF(D769&lt;=Assumptions!$G$158,"Low","Loading")))</f>
        <v>Loading</v>
      </c>
      <c r="Q769" s="39">
        <f>MAX(K769,MIN(Assumptions!$S$158,O769),Q770)</f>
        <v>2852</v>
      </c>
      <c r="R769" s="30">
        <f>IF(AND(Q769&lt;=K769,INDEX(Assumptions!$C$26:$C$36,MATCH(G769,Assumptions!$A$26:$A$36,0))&lt;&gt;""),INDEX(Assumptions!$C$26:$C$36,MATCH(G769,Assumptions!$A$26:$A$36,0)),ROUND(G769*Q769,-2))</f>
        <v>3898700</v>
      </c>
      <c r="S769" s="56" t="str">
        <f>TRIM(IF(AND(Assumptions!$L$158&lt;&gt;"",D769&lt;Assumptions!$L$158),"View blocked / roof in front ("&amp;Assumptions!$M$158&amp;"); view premium still loading until L"&amp;Assumptions!$L$158&amp;". ","")&amp;IF(D769=Assumptions!$AH$158,"Mid-floor view premium fully loaded. ","")&amp;IF(D769=Assumptions!$P$158,"High-floor view premium fully loaded. ","")&amp;IF(Q769&lt;=K769,"At developer starting price.",""))</f>
        <v/>
      </c>
      <c r="T769" s="57" t="str">
        <f>Assumptions!$AJ$158</f>
        <v>NW. Charcoal BBQ &amp; wellness pavilions in front of low floors; golf course, Lower Peirce Reservoir from L20; private lift</v>
      </c>
    </row>
    <row r="770" spans="1:20" x14ac:dyDescent="0.2">
      <c r="A770" s="49" t="s">
        <v>927</v>
      </c>
      <c r="B770" s="29">
        <v>7</v>
      </c>
      <c r="C770" s="50">
        <v>32</v>
      </c>
      <c r="D770" s="50">
        <v>7</v>
      </c>
      <c r="E770" s="27" t="s">
        <v>49</v>
      </c>
      <c r="F770" s="29" t="s">
        <v>904</v>
      </c>
      <c r="G770" s="28">
        <v>1367</v>
      </c>
      <c r="H770" s="29" t="s">
        <v>65</v>
      </c>
      <c r="I770" s="38" t="str">
        <f>Assumptions!$I$158</f>
        <v>B</v>
      </c>
      <c r="J770" s="29" t="str">
        <f>IF(D770&lt;=Assumptions!$V$158,"Low",IF(D770&lt;=Assumptions!$W$158,"Mid","High"))</f>
        <v>Low</v>
      </c>
      <c r="K770" s="51">
        <f>Assumptions!$Q$158</f>
        <v>2800</v>
      </c>
      <c r="L770" s="52">
        <f>INDEX(Assumptions!$P$61:$P$90,D770)</f>
        <v>2878.3484600055494</v>
      </c>
      <c r="M770" s="53">
        <f>IF(D770&lt;=Assumptions!$G$158,Assumptions!$AK$158,IF(D770&lt;Assumptions!$AH$158,Assumptions!$AK$158+(Assumptions!$AL$158-Assumptions!$AK$158)*(D770-Assumptions!$G$158)/(Assumptions!$AH$158-Assumptions!$G$158),IF(D770&lt;Assumptions!$P$158,Assumptions!$AL$158+(Assumptions!$AM$158-Assumptions!$AL$158)*(D770-Assumptions!$AH$158)/(Assumptions!$P$158-Assumptions!$AH$158),Assumptions!$AM$158)))</f>
        <v>-50000</v>
      </c>
      <c r="N770" s="54">
        <f t="shared" si="22"/>
        <v>-36.576444769568397</v>
      </c>
      <c r="O770" s="55">
        <f t="shared" si="23"/>
        <v>2842</v>
      </c>
      <c r="P770" s="29" t="str">
        <f>IF(D770&gt;=Assumptions!$P$158,"High",IF(D770&gt;=Assumptions!$AH$158,"Mid",IF(D770&lt;=Assumptions!$G$158,"Low","Loading")))</f>
        <v>Loading</v>
      </c>
      <c r="Q770" s="39">
        <f>MAX(K770,MIN(Assumptions!$S$158,O770),Q771)</f>
        <v>2842</v>
      </c>
      <c r="R770" s="30">
        <f>IF(AND(Q770&lt;=K770,INDEX(Assumptions!$C$26:$C$36,MATCH(G770,Assumptions!$A$26:$A$36,0))&lt;&gt;""),INDEX(Assumptions!$C$26:$C$36,MATCH(G770,Assumptions!$A$26:$A$36,0)),ROUND(G770*Q770,-2))</f>
        <v>3885000</v>
      </c>
      <c r="S770" s="56" t="str">
        <f>TRIM(IF(AND(Assumptions!$L$158&lt;&gt;"",D770&lt;Assumptions!$L$158),"View blocked / roof in front ("&amp;Assumptions!$M$158&amp;"); view premium still loading until L"&amp;Assumptions!$L$158&amp;". ","")&amp;IF(D770=Assumptions!$AH$158,"Mid-floor view premium fully loaded. ","")&amp;IF(D770=Assumptions!$P$158,"High-floor view premium fully loaded. ","")&amp;IF(Q770&lt;=K770,"At developer starting price.",""))</f>
        <v/>
      </c>
      <c r="T770" s="57" t="str">
        <f>Assumptions!$AJ$158</f>
        <v>NW. Charcoal BBQ &amp; wellness pavilions in front of low floors; golf course, Lower Peirce Reservoir from L20; private lift</v>
      </c>
    </row>
    <row r="771" spans="1:20" x14ac:dyDescent="0.2">
      <c r="A771" s="49" t="s">
        <v>928</v>
      </c>
      <c r="B771" s="29">
        <v>7</v>
      </c>
      <c r="C771" s="50">
        <v>32</v>
      </c>
      <c r="D771" s="50">
        <v>6</v>
      </c>
      <c r="E771" s="27" t="s">
        <v>49</v>
      </c>
      <c r="F771" s="29" t="s">
        <v>904</v>
      </c>
      <c r="G771" s="28">
        <v>1367</v>
      </c>
      <c r="H771" s="29" t="s">
        <v>65</v>
      </c>
      <c r="I771" s="38" t="str">
        <f>Assumptions!$I$158</f>
        <v>B</v>
      </c>
      <c r="J771" s="29" t="str">
        <f>IF(D771&lt;=Assumptions!$V$158,"Low",IF(D771&lt;=Assumptions!$W$158,"Mid","High"))</f>
        <v>Low</v>
      </c>
      <c r="K771" s="51">
        <f>Assumptions!$Q$158</f>
        <v>2800</v>
      </c>
      <c r="L771" s="52">
        <f>INDEX(Assumptions!$P$61:$P$90,D771)</f>
        <v>2867.905456196554</v>
      </c>
      <c r="M771" s="53">
        <f>IF(D771&lt;=Assumptions!$G$158,Assumptions!$AK$158,IF(D771&lt;Assumptions!$AH$158,Assumptions!$AK$158+(Assumptions!$AL$158-Assumptions!$AK$158)*(D771-Assumptions!$G$158)/(Assumptions!$AH$158-Assumptions!$G$158),IF(D771&lt;Assumptions!$P$158,Assumptions!$AL$158+(Assumptions!$AM$158-Assumptions!$AL$158)*(D771-Assumptions!$AH$158)/(Assumptions!$P$158-Assumptions!$AH$158),Assumptions!$AM$158)))</f>
        <v>-50000</v>
      </c>
      <c r="N771" s="54">
        <f t="shared" si="22"/>
        <v>-36.576444769568397</v>
      </c>
      <c r="O771" s="55">
        <f t="shared" si="23"/>
        <v>2831</v>
      </c>
      <c r="P771" s="29" t="str">
        <f>IF(D771&gt;=Assumptions!$P$158,"High",IF(D771&gt;=Assumptions!$AH$158,"Mid",IF(D771&lt;=Assumptions!$G$158,"Low","Loading")))</f>
        <v>Loading</v>
      </c>
      <c r="Q771" s="39">
        <f>MAX(K771,MIN(Assumptions!$S$158,O771),Q772)</f>
        <v>2831</v>
      </c>
      <c r="R771" s="30">
        <f>IF(AND(Q771&lt;=K771,INDEX(Assumptions!$C$26:$C$36,MATCH(G771,Assumptions!$A$26:$A$36,0))&lt;&gt;""),INDEX(Assumptions!$C$26:$C$36,MATCH(G771,Assumptions!$A$26:$A$36,0)),ROUND(G771*Q771,-2))</f>
        <v>3870000</v>
      </c>
      <c r="S771" s="56" t="str">
        <f>TRIM(IF(AND(Assumptions!$L$158&lt;&gt;"",D771&lt;Assumptions!$L$158),"View blocked / roof in front ("&amp;Assumptions!$M$158&amp;"); view premium still loading until L"&amp;Assumptions!$L$158&amp;". ","")&amp;IF(D771=Assumptions!$AH$158,"Mid-floor view premium fully loaded. ","")&amp;IF(D771=Assumptions!$P$158,"High-floor view premium fully loaded. ","")&amp;IF(Q771&lt;=K771,"At developer starting price.",""))</f>
        <v/>
      </c>
      <c r="T771" s="57" t="str">
        <f>Assumptions!$AJ$158</f>
        <v>NW. Charcoal BBQ &amp; wellness pavilions in front of low floors; golf course, Lower Peirce Reservoir from L20; private lift</v>
      </c>
    </row>
    <row r="772" spans="1:20" x14ac:dyDescent="0.2">
      <c r="A772" s="49" t="s">
        <v>929</v>
      </c>
      <c r="B772" s="29">
        <v>7</v>
      </c>
      <c r="C772" s="50">
        <v>32</v>
      </c>
      <c r="D772" s="50">
        <v>5</v>
      </c>
      <c r="E772" s="27" t="s">
        <v>49</v>
      </c>
      <c r="F772" s="29" t="s">
        <v>904</v>
      </c>
      <c r="G772" s="28">
        <v>1367</v>
      </c>
      <c r="H772" s="29" t="s">
        <v>65</v>
      </c>
      <c r="I772" s="38" t="str">
        <f>Assumptions!$I$158</f>
        <v>B</v>
      </c>
      <c r="J772" s="29" t="str">
        <f>IF(D772&lt;=Assumptions!$V$158,"Low",IF(D772&lt;=Assumptions!$W$158,"Mid","High"))</f>
        <v>Low</v>
      </c>
      <c r="K772" s="51">
        <f>Assumptions!$Q$158</f>
        <v>2800</v>
      </c>
      <c r="L772" s="52">
        <f>INDEX(Assumptions!$P$61:$P$90,D772)</f>
        <v>2857.4624523875591</v>
      </c>
      <c r="M772" s="53">
        <f>IF(D772&lt;=Assumptions!$G$158,Assumptions!$AK$158,IF(D772&lt;Assumptions!$AH$158,Assumptions!$AK$158+(Assumptions!$AL$158-Assumptions!$AK$158)*(D772-Assumptions!$G$158)/(Assumptions!$AH$158-Assumptions!$G$158),IF(D772&lt;Assumptions!$P$158,Assumptions!$AL$158+(Assumptions!$AM$158-Assumptions!$AL$158)*(D772-Assumptions!$AH$158)/(Assumptions!$P$158-Assumptions!$AH$158),Assumptions!$AM$158)))</f>
        <v>-50000</v>
      </c>
      <c r="N772" s="54">
        <f t="shared" si="22"/>
        <v>-36.576444769568397</v>
      </c>
      <c r="O772" s="55">
        <f t="shared" si="23"/>
        <v>2821</v>
      </c>
      <c r="P772" s="29" t="str">
        <f>IF(D772&gt;=Assumptions!$P$158,"High",IF(D772&gt;=Assumptions!$AH$158,"Mid",IF(D772&lt;=Assumptions!$G$158,"Low","Loading")))</f>
        <v>Loading</v>
      </c>
      <c r="Q772" s="39">
        <f>MAX(K772,MIN(Assumptions!$S$158,O772),Q773)</f>
        <v>2821</v>
      </c>
      <c r="R772" s="30">
        <f>IF(AND(Q772&lt;=K772,INDEX(Assumptions!$C$26:$C$36,MATCH(G772,Assumptions!$A$26:$A$36,0))&lt;&gt;""),INDEX(Assumptions!$C$26:$C$36,MATCH(G772,Assumptions!$A$26:$A$36,0)),ROUND(G772*Q772,-2))</f>
        <v>3856300</v>
      </c>
      <c r="S772" s="56" t="str">
        <f>TRIM(IF(AND(Assumptions!$L$158&lt;&gt;"",D772&lt;Assumptions!$L$158),"View blocked / roof in front ("&amp;Assumptions!$M$158&amp;"); view premium still loading until L"&amp;Assumptions!$L$158&amp;". ","")&amp;IF(D772=Assumptions!$AH$158,"Mid-floor view premium fully loaded. ","")&amp;IF(D772=Assumptions!$P$158,"High-floor view premium fully loaded. ","")&amp;IF(Q772&lt;=K772,"At developer starting price.",""))</f>
        <v>View blocked / roof in front (Poolside BBQ Pavilion 2 (charcoal): 61% of view, 29.1 to 38m away); view premium still loading until L6.</v>
      </c>
      <c r="T772" s="57" t="str">
        <f>Assumptions!$AJ$158</f>
        <v>NW. Charcoal BBQ &amp; wellness pavilions in front of low floors; golf course, Lower Peirce Reservoir from L20; private lift</v>
      </c>
    </row>
    <row r="773" spans="1:20" x14ac:dyDescent="0.2">
      <c r="A773" s="49" t="s">
        <v>930</v>
      </c>
      <c r="B773" s="29">
        <v>7</v>
      </c>
      <c r="C773" s="50">
        <v>32</v>
      </c>
      <c r="D773" s="50">
        <v>4</v>
      </c>
      <c r="E773" s="27" t="s">
        <v>49</v>
      </c>
      <c r="F773" s="29" t="s">
        <v>904</v>
      </c>
      <c r="G773" s="28">
        <v>1367</v>
      </c>
      <c r="H773" s="29" t="s">
        <v>65</v>
      </c>
      <c r="I773" s="38" t="str">
        <f>Assumptions!$I$158</f>
        <v>B</v>
      </c>
      <c r="J773" s="29" t="str">
        <f>IF(D773&lt;=Assumptions!$V$158,"Low",IF(D773&lt;=Assumptions!$W$158,"Mid","High"))</f>
        <v>Low</v>
      </c>
      <c r="K773" s="51">
        <f>Assumptions!$Q$158</f>
        <v>2800</v>
      </c>
      <c r="L773" s="52">
        <f>INDEX(Assumptions!$P$61:$P$90,D773)</f>
        <v>2847.0194485785637</v>
      </c>
      <c r="M773" s="53">
        <f>IF(D773&lt;=Assumptions!$G$158,Assumptions!$AK$158,IF(D773&lt;Assumptions!$AH$158,Assumptions!$AK$158+(Assumptions!$AL$158-Assumptions!$AK$158)*(D773-Assumptions!$G$158)/(Assumptions!$AH$158-Assumptions!$G$158),IF(D773&lt;Assumptions!$P$158,Assumptions!$AL$158+(Assumptions!$AM$158-Assumptions!$AL$158)*(D773-Assumptions!$AH$158)/(Assumptions!$P$158-Assumptions!$AH$158),Assumptions!$AM$158)))</f>
        <v>-50000</v>
      </c>
      <c r="N773" s="54">
        <f t="shared" ref="N773:N836" si="24">M773/G773</f>
        <v>-36.576444769568397</v>
      </c>
      <c r="O773" s="55">
        <f t="shared" ref="O773:O836" si="25">ROUND(L773+N773,0)</f>
        <v>2810</v>
      </c>
      <c r="P773" s="29" t="str">
        <f>IF(D773&gt;=Assumptions!$P$158,"High",IF(D773&gt;=Assumptions!$AH$158,"Mid",IF(D773&lt;=Assumptions!$G$158,"Low","Loading")))</f>
        <v>Loading</v>
      </c>
      <c r="Q773" s="39">
        <f>MAX(K773,MIN(Assumptions!$S$158,O773),Q774)</f>
        <v>2810</v>
      </c>
      <c r="R773" s="30">
        <f>IF(AND(Q773&lt;=K773,INDEX(Assumptions!$C$26:$C$36,MATCH(G773,Assumptions!$A$26:$A$36,0))&lt;&gt;""),INDEX(Assumptions!$C$26:$C$36,MATCH(G773,Assumptions!$A$26:$A$36,0)),ROUND(G773*Q773,-2))</f>
        <v>3841300</v>
      </c>
      <c r="S773" s="56" t="str">
        <f>TRIM(IF(AND(Assumptions!$L$158&lt;&gt;"",D773&lt;Assumptions!$L$158),"View blocked / roof in front ("&amp;Assumptions!$M$158&amp;"); view premium still loading until L"&amp;Assumptions!$L$158&amp;". ","")&amp;IF(D773=Assumptions!$AH$158,"Mid-floor view premium fully loaded. ","")&amp;IF(D773=Assumptions!$P$158,"High-floor view premium fully loaded. ","")&amp;IF(Q773&lt;=K773,"At developer starting price.",""))</f>
        <v>View blocked / roof in front (Poolside BBQ Pavilion 2 (charcoal): 61% of view, 29.1 to 38m away); view premium still loading until L6.</v>
      </c>
      <c r="T773" s="57" t="str">
        <f>Assumptions!$AJ$158</f>
        <v>NW. Charcoal BBQ &amp; wellness pavilions in front of low floors; golf course, Lower Peirce Reservoir from L20; private lift</v>
      </c>
    </row>
    <row r="774" spans="1:20" x14ac:dyDescent="0.2">
      <c r="A774" s="49" t="s">
        <v>931</v>
      </c>
      <c r="B774" s="29">
        <v>7</v>
      </c>
      <c r="C774" s="50">
        <v>32</v>
      </c>
      <c r="D774" s="50">
        <v>3</v>
      </c>
      <c r="E774" s="27" t="s">
        <v>49</v>
      </c>
      <c r="F774" s="29" t="s">
        <v>904</v>
      </c>
      <c r="G774" s="28">
        <v>1367</v>
      </c>
      <c r="H774" s="29" t="s">
        <v>65</v>
      </c>
      <c r="I774" s="38" t="str">
        <f>Assumptions!$I$158</f>
        <v>B</v>
      </c>
      <c r="J774" s="29" t="str">
        <f>IF(D774&lt;=Assumptions!$V$158,"Low",IF(D774&lt;=Assumptions!$W$158,"Mid","High"))</f>
        <v>Low</v>
      </c>
      <c r="K774" s="51">
        <f>Assumptions!$Q$158</f>
        <v>2800</v>
      </c>
      <c r="L774" s="52">
        <f>INDEX(Assumptions!$P$61:$P$90,D774)</f>
        <v>2836.5764447695683</v>
      </c>
      <c r="M774" s="53">
        <f>IF(D774&lt;=Assumptions!$G$158,Assumptions!$AK$158,IF(D774&lt;Assumptions!$AH$158,Assumptions!$AK$158+(Assumptions!$AL$158-Assumptions!$AK$158)*(D774-Assumptions!$G$158)/(Assumptions!$AH$158-Assumptions!$G$158),IF(D774&lt;Assumptions!$P$158,Assumptions!$AL$158+(Assumptions!$AM$158-Assumptions!$AL$158)*(D774-Assumptions!$AH$158)/(Assumptions!$P$158-Assumptions!$AH$158),Assumptions!$AM$158)))</f>
        <v>-50000</v>
      </c>
      <c r="N774" s="54">
        <f t="shared" si="24"/>
        <v>-36.576444769568397</v>
      </c>
      <c r="O774" s="55">
        <f t="shared" si="25"/>
        <v>2800</v>
      </c>
      <c r="P774" s="29" t="str">
        <f>IF(D774&gt;=Assumptions!$P$158,"High",IF(D774&gt;=Assumptions!$AH$158,"Mid",IF(D774&lt;=Assumptions!$G$158,"Low","Loading")))</f>
        <v>Low</v>
      </c>
      <c r="Q774" s="39">
        <f>MAX(K774,MIN(Assumptions!$S$158,O774))</f>
        <v>2800</v>
      </c>
      <c r="R774" s="30">
        <f>IF(AND(Q774&lt;=K774,INDEX(Assumptions!$C$26:$C$36,MATCH(G774,Assumptions!$A$26:$A$36,0))&lt;&gt;""),INDEX(Assumptions!$C$26:$C$36,MATCH(G774,Assumptions!$A$26:$A$36,0)),ROUND(G774*Q774,-2))</f>
        <v>3827600</v>
      </c>
      <c r="S774" s="56" t="str">
        <f>TRIM(IF(AND(Assumptions!$L$158&lt;&gt;"",D774&lt;Assumptions!$L$158),"View blocked / roof in front ("&amp;Assumptions!$M$158&amp;"); view premium still loading until L"&amp;Assumptions!$L$158&amp;". ","")&amp;IF(D774=Assumptions!$AH$158,"Mid-floor view premium fully loaded. ","")&amp;IF(D774=Assumptions!$P$158,"High-floor view premium fully loaded. ","")&amp;IF(Q774&lt;=K774,"At developer starting price.",""))</f>
        <v>View blocked / roof in front (Poolside BBQ Pavilion 2 (charcoal): 61% of view, 29.1 to 38m away); view premium still loading until L6. At developer starting price.</v>
      </c>
      <c r="T774" s="57" t="str">
        <f>Assumptions!$AJ$158</f>
        <v>NW. Charcoal BBQ &amp; wellness pavilions in front of low floors; golf course, Lower Peirce Reservoir from L20; private lift</v>
      </c>
    </row>
    <row r="775" spans="1:20" x14ac:dyDescent="0.2">
      <c r="A775" s="49" t="s">
        <v>932</v>
      </c>
      <c r="B775" s="29">
        <v>7</v>
      </c>
      <c r="C775" s="50">
        <v>33</v>
      </c>
      <c r="D775" s="50">
        <v>30</v>
      </c>
      <c r="E775" s="27" t="s">
        <v>45</v>
      </c>
      <c r="F775" s="29" t="s">
        <v>933</v>
      </c>
      <c r="G775" s="28">
        <v>947</v>
      </c>
      <c r="H775" s="29" t="s">
        <v>65</v>
      </c>
      <c r="I775" s="38" t="str">
        <f>Assumptions!$I$159</f>
        <v>B</v>
      </c>
      <c r="J775" s="29" t="str">
        <f>IF(D775&lt;=Assumptions!$V$159,"Low",IF(D775&lt;=Assumptions!$W$159,"Mid","High"))</f>
        <v>High</v>
      </c>
      <c r="K775" s="51">
        <f>Assumptions!$Q$159</f>
        <v>2642</v>
      </c>
      <c r="L775" s="52">
        <f>INDEX(Assumptions!$J$61:$J$90,D775)</f>
        <v>3280.7973684210524</v>
      </c>
      <c r="M775" s="53">
        <f>IF(D775&lt;=Assumptions!$G$159,Assumptions!$AK$159,IF(D775&lt;Assumptions!$AH$159,Assumptions!$AK$159+(Assumptions!$AL$159-Assumptions!$AK$159)*(D775-Assumptions!$G$159)/(Assumptions!$AH$159-Assumptions!$G$159),IF(D775&lt;Assumptions!$P$159,Assumptions!$AL$159+(Assumptions!$AM$159-Assumptions!$AL$159)*(D775-Assumptions!$AH$159)/(Assumptions!$P$159-Assumptions!$AH$159),Assumptions!$AM$159)))</f>
        <v>0</v>
      </c>
      <c r="N775" s="54">
        <f t="shared" si="24"/>
        <v>0</v>
      </c>
      <c r="O775" s="55">
        <f t="shared" si="25"/>
        <v>3281</v>
      </c>
      <c r="P775" s="29" t="str">
        <f>IF(D775&gt;=Assumptions!$P$159,"High",IF(D775&gt;=Assumptions!$AH$159,"Mid",IF(D775&lt;=Assumptions!$G$159,"Low","Loading")))</f>
        <v>High</v>
      </c>
      <c r="Q775" s="39">
        <f>MAX(K775,MIN(Assumptions!$S$159,O775),Q776)</f>
        <v>3281</v>
      </c>
      <c r="R775" s="30">
        <f>IF(AND(Q775&lt;=K775,INDEX(Assumptions!$C$26:$C$36,MATCH(G775,Assumptions!$A$26:$A$36,0))&lt;&gt;""),INDEX(Assumptions!$C$26:$C$36,MATCH(G775,Assumptions!$A$26:$A$36,0)),ROUND(G775*Q775,-2))</f>
        <v>3107100</v>
      </c>
      <c r="S775" s="56" t="str">
        <f>TRIM(IF(AND(Assumptions!$L$159&lt;&gt;"",D775&lt;Assumptions!$L$159),"View blocked / roof in front ("&amp;Assumptions!$M$159&amp;"); view premium still loading until L"&amp;Assumptions!$L$159&amp;". ","")&amp;IF(D775=Assumptions!$AH$159,"Mid-floor view premium fully loaded. ","")&amp;IF(D775=Assumptions!$P$159,"High-floor view premium fully loaded. ","")&amp;IF(Q775&lt;=K775,"At developer starting price.",""))</f>
        <v/>
      </c>
      <c r="T775" s="57" t="str">
        <f>Assumptions!$AJ$159</f>
        <v>SE: no afternoon sun. 240m unblocked pool &amp; landscape</v>
      </c>
    </row>
    <row r="776" spans="1:20" x14ac:dyDescent="0.2">
      <c r="A776" s="49" t="s">
        <v>934</v>
      </c>
      <c r="B776" s="29">
        <v>7</v>
      </c>
      <c r="C776" s="50">
        <v>33</v>
      </c>
      <c r="D776" s="50">
        <v>29</v>
      </c>
      <c r="E776" s="27" t="s">
        <v>45</v>
      </c>
      <c r="F776" s="29" t="s">
        <v>933</v>
      </c>
      <c r="G776" s="28">
        <v>947</v>
      </c>
      <c r="H776" s="29" t="s">
        <v>65</v>
      </c>
      <c r="I776" s="38" t="str">
        <f>Assumptions!$I$159</f>
        <v>B</v>
      </c>
      <c r="J776" s="29" t="str">
        <f>IF(D776&lt;=Assumptions!$V$159,"Low",IF(D776&lt;=Assumptions!$W$159,"Mid","High"))</f>
        <v>High</v>
      </c>
      <c r="K776" s="51">
        <f>Assumptions!$Q$159</f>
        <v>2642</v>
      </c>
      <c r="L776" s="52">
        <f>INDEX(Assumptions!$J$61:$J$90,D776)</f>
        <v>3264.9868421052633</v>
      </c>
      <c r="M776" s="53">
        <f>IF(D776&lt;=Assumptions!$G$159,Assumptions!$AK$159,IF(D776&lt;Assumptions!$AH$159,Assumptions!$AK$159+(Assumptions!$AL$159-Assumptions!$AK$159)*(D776-Assumptions!$G$159)/(Assumptions!$AH$159-Assumptions!$G$159),IF(D776&lt;Assumptions!$P$159,Assumptions!$AL$159+(Assumptions!$AM$159-Assumptions!$AL$159)*(D776-Assumptions!$AH$159)/(Assumptions!$P$159-Assumptions!$AH$159),Assumptions!$AM$159)))</f>
        <v>0</v>
      </c>
      <c r="N776" s="54">
        <f t="shared" si="24"/>
        <v>0</v>
      </c>
      <c r="O776" s="55">
        <f t="shared" si="25"/>
        <v>3265</v>
      </c>
      <c r="P776" s="29" t="str">
        <f>IF(D776&gt;=Assumptions!$P$159,"High",IF(D776&gt;=Assumptions!$AH$159,"Mid",IF(D776&lt;=Assumptions!$G$159,"Low","Loading")))</f>
        <v>High</v>
      </c>
      <c r="Q776" s="39">
        <f>MAX(K776,MIN(Assumptions!$S$159,O776),Q777)</f>
        <v>3265</v>
      </c>
      <c r="R776" s="30">
        <f>IF(AND(Q776&lt;=K776,INDEX(Assumptions!$C$26:$C$36,MATCH(G776,Assumptions!$A$26:$A$36,0))&lt;&gt;""),INDEX(Assumptions!$C$26:$C$36,MATCH(G776,Assumptions!$A$26:$A$36,0)),ROUND(G776*Q776,-2))</f>
        <v>3092000</v>
      </c>
      <c r="S776" s="56" t="str">
        <f>TRIM(IF(AND(Assumptions!$L$159&lt;&gt;"",D776&lt;Assumptions!$L$159),"View blocked / roof in front ("&amp;Assumptions!$M$159&amp;"); view premium still loading until L"&amp;Assumptions!$L$159&amp;". ","")&amp;IF(D776=Assumptions!$AH$159,"Mid-floor view premium fully loaded. ","")&amp;IF(D776=Assumptions!$P$159,"High-floor view premium fully loaded. ","")&amp;IF(Q776&lt;=K776,"At developer starting price.",""))</f>
        <v/>
      </c>
      <c r="T776" s="57" t="str">
        <f>Assumptions!$AJ$159</f>
        <v>SE: no afternoon sun. 240m unblocked pool &amp; landscape</v>
      </c>
    </row>
    <row r="777" spans="1:20" x14ac:dyDescent="0.2">
      <c r="A777" s="49" t="s">
        <v>935</v>
      </c>
      <c r="B777" s="29">
        <v>7</v>
      </c>
      <c r="C777" s="50">
        <v>33</v>
      </c>
      <c r="D777" s="50">
        <v>28</v>
      </c>
      <c r="E777" s="27" t="s">
        <v>45</v>
      </c>
      <c r="F777" s="29" t="s">
        <v>933</v>
      </c>
      <c r="G777" s="28">
        <v>947</v>
      </c>
      <c r="H777" s="29" t="s">
        <v>65</v>
      </c>
      <c r="I777" s="38" t="str">
        <f>Assumptions!$I$159</f>
        <v>B</v>
      </c>
      <c r="J777" s="29" t="str">
        <f>IF(D777&lt;=Assumptions!$V$159,"Low",IF(D777&lt;=Assumptions!$W$159,"Mid","High"))</f>
        <v>High</v>
      </c>
      <c r="K777" s="51">
        <f>Assumptions!$Q$159</f>
        <v>2642</v>
      </c>
      <c r="L777" s="52">
        <f>INDEX(Assumptions!$J$61:$J$90,D777)</f>
        <v>3249.1763157894738</v>
      </c>
      <c r="M777" s="53">
        <f>IF(D777&lt;=Assumptions!$G$159,Assumptions!$AK$159,IF(D777&lt;Assumptions!$AH$159,Assumptions!$AK$159+(Assumptions!$AL$159-Assumptions!$AK$159)*(D777-Assumptions!$G$159)/(Assumptions!$AH$159-Assumptions!$G$159),IF(D777&lt;Assumptions!$P$159,Assumptions!$AL$159+(Assumptions!$AM$159-Assumptions!$AL$159)*(D777-Assumptions!$AH$159)/(Assumptions!$P$159-Assumptions!$AH$159),Assumptions!$AM$159)))</f>
        <v>0</v>
      </c>
      <c r="N777" s="54">
        <f t="shared" si="24"/>
        <v>0</v>
      </c>
      <c r="O777" s="55">
        <f t="shared" si="25"/>
        <v>3249</v>
      </c>
      <c r="P777" s="29" t="str">
        <f>IF(D777&gt;=Assumptions!$P$159,"High",IF(D777&gt;=Assumptions!$AH$159,"Mid",IF(D777&lt;=Assumptions!$G$159,"Low","Loading")))</f>
        <v>High</v>
      </c>
      <c r="Q777" s="39">
        <f>MAX(K777,MIN(Assumptions!$S$159,O777),Q778)</f>
        <v>3249</v>
      </c>
      <c r="R777" s="30">
        <f>IF(AND(Q777&lt;=K777,INDEX(Assumptions!$C$26:$C$36,MATCH(G777,Assumptions!$A$26:$A$36,0))&lt;&gt;""),INDEX(Assumptions!$C$26:$C$36,MATCH(G777,Assumptions!$A$26:$A$36,0)),ROUND(G777*Q777,-2))</f>
        <v>3076800</v>
      </c>
      <c r="S777" s="56" t="str">
        <f>TRIM(IF(AND(Assumptions!$L$159&lt;&gt;"",D777&lt;Assumptions!$L$159),"View blocked / roof in front ("&amp;Assumptions!$M$159&amp;"); view premium still loading until L"&amp;Assumptions!$L$159&amp;". ","")&amp;IF(D777=Assumptions!$AH$159,"Mid-floor view premium fully loaded. ","")&amp;IF(D777=Assumptions!$P$159,"High-floor view premium fully loaded. ","")&amp;IF(Q777&lt;=K777,"At developer starting price.",""))</f>
        <v/>
      </c>
      <c r="T777" s="57" t="str">
        <f>Assumptions!$AJ$159</f>
        <v>SE: no afternoon sun. 240m unblocked pool &amp; landscape</v>
      </c>
    </row>
    <row r="778" spans="1:20" x14ac:dyDescent="0.2">
      <c r="A778" s="49" t="s">
        <v>936</v>
      </c>
      <c r="B778" s="29">
        <v>7</v>
      </c>
      <c r="C778" s="50">
        <v>33</v>
      </c>
      <c r="D778" s="50">
        <v>27</v>
      </c>
      <c r="E778" s="27" t="s">
        <v>45</v>
      </c>
      <c r="F778" s="29" t="s">
        <v>933</v>
      </c>
      <c r="G778" s="28">
        <v>947</v>
      </c>
      <c r="H778" s="29" t="s">
        <v>65</v>
      </c>
      <c r="I778" s="38" t="str">
        <f>Assumptions!$I$159</f>
        <v>B</v>
      </c>
      <c r="J778" s="29" t="str">
        <f>IF(D778&lt;=Assumptions!$V$159,"Low",IF(D778&lt;=Assumptions!$W$159,"Mid","High"))</f>
        <v>High</v>
      </c>
      <c r="K778" s="51">
        <f>Assumptions!$Q$159</f>
        <v>2642</v>
      </c>
      <c r="L778" s="52">
        <f>INDEX(Assumptions!$J$61:$J$90,D778)</f>
        <v>3233.3657894736843</v>
      </c>
      <c r="M778" s="53">
        <f>IF(D778&lt;=Assumptions!$G$159,Assumptions!$AK$159,IF(D778&lt;Assumptions!$AH$159,Assumptions!$AK$159+(Assumptions!$AL$159-Assumptions!$AK$159)*(D778-Assumptions!$G$159)/(Assumptions!$AH$159-Assumptions!$G$159),IF(D778&lt;Assumptions!$P$159,Assumptions!$AL$159+(Assumptions!$AM$159-Assumptions!$AL$159)*(D778-Assumptions!$AH$159)/(Assumptions!$P$159-Assumptions!$AH$159),Assumptions!$AM$159)))</f>
        <v>0</v>
      </c>
      <c r="N778" s="54">
        <f t="shared" si="24"/>
        <v>0</v>
      </c>
      <c r="O778" s="55">
        <f t="shared" si="25"/>
        <v>3233</v>
      </c>
      <c r="P778" s="29" t="str">
        <f>IF(D778&gt;=Assumptions!$P$159,"High",IF(D778&gt;=Assumptions!$AH$159,"Mid",IF(D778&lt;=Assumptions!$G$159,"Low","Loading")))</f>
        <v>High</v>
      </c>
      <c r="Q778" s="39">
        <f>MAX(K778,MIN(Assumptions!$S$159,O778),Q779)</f>
        <v>3233</v>
      </c>
      <c r="R778" s="30">
        <f>IF(AND(Q778&lt;=K778,INDEX(Assumptions!$C$26:$C$36,MATCH(G778,Assumptions!$A$26:$A$36,0))&lt;&gt;""),INDEX(Assumptions!$C$26:$C$36,MATCH(G778,Assumptions!$A$26:$A$36,0)),ROUND(G778*Q778,-2))</f>
        <v>3061700</v>
      </c>
      <c r="S778" s="56" t="str">
        <f>TRIM(IF(AND(Assumptions!$L$159&lt;&gt;"",D778&lt;Assumptions!$L$159),"View blocked / roof in front ("&amp;Assumptions!$M$159&amp;"); view premium still loading until L"&amp;Assumptions!$L$159&amp;". ","")&amp;IF(D778=Assumptions!$AH$159,"Mid-floor view premium fully loaded. ","")&amp;IF(D778=Assumptions!$P$159,"High-floor view premium fully loaded. ","")&amp;IF(Q778&lt;=K778,"At developer starting price.",""))</f>
        <v/>
      </c>
      <c r="T778" s="57" t="str">
        <f>Assumptions!$AJ$159</f>
        <v>SE: no afternoon sun. 240m unblocked pool &amp; landscape</v>
      </c>
    </row>
    <row r="779" spans="1:20" x14ac:dyDescent="0.2">
      <c r="A779" s="49" t="s">
        <v>937</v>
      </c>
      <c r="B779" s="29">
        <v>7</v>
      </c>
      <c r="C779" s="50">
        <v>33</v>
      </c>
      <c r="D779" s="50">
        <v>26</v>
      </c>
      <c r="E779" s="27" t="s">
        <v>45</v>
      </c>
      <c r="F779" s="29" t="s">
        <v>933</v>
      </c>
      <c r="G779" s="28">
        <v>947</v>
      </c>
      <c r="H779" s="29" t="s">
        <v>65</v>
      </c>
      <c r="I779" s="38" t="str">
        <f>Assumptions!$I$159</f>
        <v>B</v>
      </c>
      <c r="J779" s="29" t="str">
        <f>IF(D779&lt;=Assumptions!$V$159,"Low",IF(D779&lt;=Assumptions!$W$159,"Mid","High"))</f>
        <v>High</v>
      </c>
      <c r="K779" s="51">
        <f>Assumptions!$Q$159</f>
        <v>2642</v>
      </c>
      <c r="L779" s="52">
        <f>INDEX(Assumptions!$J$61:$J$90,D779)</f>
        <v>3217.5552631578948</v>
      </c>
      <c r="M779" s="53">
        <f>IF(D779&lt;=Assumptions!$G$159,Assumptions!$AK$159,IF(D779&lt;Assumptions!$AH$159,Assumptions!$AK$159+(Assumptions!$AL$159-Assumptions!$AK$159)*(D779-Assumptions!$G$159)/(Assumptions!$AH$159-Assumptions!$G$159),IF(D779&lt;Assumptions!$P$159,Assumptions!$AL$159+(Assumptions!$AM$159-Assumptions!$AL$159)*(D779-Assumptions!$AH$159)/(Assumptions!$P$159-Assumptions!$AH$159),Assumptions!$AM$159)))</f>
        <v>0</v>
      </c>
      <c r="N779" s="54">
        <f t="shared" si="24"/>
        <v>0</v>
      </c>
      <c r="O779" s="55">
        <f t="shared" si="25"/>
        <v>3218</v>
      </c>
      <c r="P779" s="29" t="str">
        <f>IF(D779&gt;=Assumptions!$P$159,"High",IF(D779&gt;=Assumptions!$AH$159,"Mid",IF(D779&lt;=Assumptions!$G$159,"Low","Loading")))</f>
        <v>High</v>
      </c>
      <c r="Q779" s="39">
        <f>MAX(K779,MIN(Assumptions!$S$159,O779),Q780)</f>
        <v>3218</v>
      </c>
      <c r="R779" s="30">
        <f>IF(AND(Q779&lt;=K779,INDEX(Assumptions!$C$26:$C$36,MATCH(G779,Assumptions!$A$26:$A$36,0))&lt;&gt;""),INDEX(Assumptions!$C$26:$C$36,MATCH(G779,Assumptions!$A$26:$A$36,0)),ROUND(G779*Q779,-2))</f>
        <v>3047400</v>
      </c>
      <c r="S779" s="56" t="str">
        <f>TRIM(IF(AND(Assumptions!$L$159&lt;&gt;"",D779&lt;Assumptions!$L$159),"View blocked / roof in front ("&amp;Assumptions!$M$159&amp;"); view premium still loading until L"&amp;Assumptions!$L$159&amp;". ","")&amp;IF(D779=Assumptions!$AH$159,"Mid-floor view premium fully loaded. ","")&amp;IF(D779=Assumptions!$P$159,"High-floor view premium fully loaded. ","")&amp;IF(Q779&lt;=K779,"At developer starting price.",""))</f>
        <v/>
      </c>
      <c r="T779" s="57" t="str">
        <f>Assumptions!$AJ$159</f>
        <v>SE: no afternoon sun. 240m unblocked pool &amp; landscape</v>
      </c>
    </row>
    <row r="780" spans="1:20" x14ac:dyDescent="0.2">
      <c r="A780" s="49" t="s">
        <v>938</v>
      </c>
      <c r="B780" s="29">
        <v>7</v>
      </c>
      <c r="C780" s="50">
        <v>33</v>
      </c>
      <c r="D780" s="50">
        <v>25</v>
      </c>
      <c r="E780" s="27" t="s">
        <v>45</v>
      </c>
      <c r="F780" s="29" t="s">
        <v>933</v>
      </c>
      <c r="G780" s="28">
        <v>947</v>
      </c>
      <c r="H780" s="29" t="s">
        <v>65</v>
      </c>
      <c r="I780" s="38" t="str">
        <f>Assumptions!$I$159</f>
        <v>B</v>
      </c>
      <c r="J780" s="29" t="str">
        <f>IF(D780&lt;=Assumptions!$V$159,"Low",IF(D780&lt;=Assumptions!$W$159,"Mid","High"))</f>
        <v>High</v>
      </c>
      <c r="K780" s="51">
        <f>Assumptions!$Q$159</f>
        <v>2642</v>
      </c>
      <c r="L780" s="52">
        <f>INDEX(Assumptions!$J$61:$J$90,D780)</f>
        <v>3201.7447368421053</v>
      </c>
      <c r="M780" s="53">
        <f>IF(D780&lt;=Assumptions!$G$159,Assumptions!$AK$159,IF(D780&lt;Assumptions!$AH$159,Assumptions!$AK$159+(Assumptions!$AL$159-Assumptions!$AK$159)*(D780-Assumptions!$G$159)/(Assumptions!$AH$159-Assumptions!$G$159),IF(D780&lt;Assumptions!$P$159,Assumptions!$AL$159+(Assumptions!$AM$159-Assumptions!$AL$159)*(D780-Assumptions!$AH$159)/(Assumptions!$P$159-Assumptions!$AH$159),Assumptions!$AM$159)))</f>
        <v>0</v>
      </c>
      <c r="N780" s="54">
        <f t="shared" si="24"/>
        <v>0</v>
      </c>
      <c r="O780" s="55">
        <f t="shared" si="25"/>
        <v>3202</v>
      </c>
      <c r="P780" s="29" t="str">
        <f>IF(D780&gt;=Assumptions!$P$159,"High",IF(D780&gt;=Assumptions!$AH$159,"Mid",IF(D780&lt;=Assumptions!$G$159,"Low","Loading")))</f>
        <v>High</v>
      </c>
      <c r="Q780" s="39">
        <f>MAX(K780,MIN(Assumptions!$S$159,O780),Q781)</f>
        <v>3202</v>
      </c>
      <c r="R780" s="30">
        <f>IF(AND(Q780&lt;=K780,INDEX(Assumptions!$C$26:$C$36,MATCH(G780,Assumptions!$A$26:$A$36,0))&lt;&gt;""),INDEX(Assumptions!$C$26:$C$36,MATCH(G780,Assumptions!$A$26:$A$36,0)),ROUND(G780*Q780,-2))</f>
        <v>3032300</v>
      </c>
      <c r="S780" s="56" t="str">
        <f>TRIM(IF(AND(Assumptions!$L$159&lt;&gt;"",D780&lt;Assumptions!$L$159),"View blocked / roof in front ("&amp;Assumptions!$M$159&amp;"); view premium still loading until L"&amp;Assumptions!$L$159&amp;". ","")&amp;IF(D780=Assumptions!$AH$159,"Mid-floor view premium fully loaded. ","")&amp;IF(D780=Assumptions!$P$159,"High-floor view premium fully loaded. ","")&amp;IF(Q780&lt;=K780,"At developer starting price.",""))</f>
        <v/>
      </c>
      <c r="T780" s="57" t="str">
        <f>Assumptions!$AJ$159</f>
        <v>SE: no afternoon sun. 240m unblocked pool &amp; landscape</v>
      </c>
    </row>
    <row r="781" spans="1:20" x14ac:dyDescent="0.2">
      <c r="A781" s="49" t="s">
        <v>939</v>
      </c>
      <c r="B781" s="29">
        <v>7</v>
      </c>
      <c r="C781" s="50">
        <v>33</v>
      </c>
      <c r="D781" s="50">
        <v>24</v>
      </c>
      <c r="E781" s="27" t="s">
        <v>45</v>
      </c>
      <c r="F781" s="29" t="s">
        <v>933</v>
      </c>
      <c r="G781" s="28">
        <v>947</v>
      </c>
      <c r="H781" s="29" t="s">
        <v>65</v>
      </c>
      <c r="I781" s="38" t="str">
        <f>Assumptions!$I$159</f>
        <v>B</v>
      </c>
      <c r="J781" s="29" t="str">
        <f>IF(D781&lt;=Assumptions!$V$159,"Low",IF(D781&lt;=Assumptions!$W$159,"Mid","High"))</f>
        <v>High</v>
      </c>
      <c r="K781" s="51">
        <f>Assumptions!$Q$159</f>
        <v>2642</v>
      </c>
      <c r="L781" s="52">
        <f>INDEX(Assumptions!$J$61:$J$90,D781)</f>
        <v>3185.9342105263158</v>
      </c>
      <c r="M781" s="53">
        <f>IF(D781&lt;=Assumptions!$G$159,Assumptions!$AK$159,IF(D781&lt;Assumptions!$AH$159,Assumptions!$AK$159+(Assumptions!$AL$159-Assumptions!$AK$159)*(D781-Assumptions!$G$159)/(Assumptions!$AH$159-Assumptions!$G$159),IF(D781&lt;Assumptions!$P$159,Assumptions!$AL$159+(Assumptions!$AM$159-Assumptions!$AL$159)*(D781-Assumptions!$AH$159)/(Assumptions!$P$159-Assumptions!$AH$159),Assumptions!$AM$159)))</f>
        <v>0</v>
      </c>
      <c r="N781" s="54">
        <f t="shared" si="24"/>
        <v>0</v>
      </c>
      <c r="O781" s="55">
        <f t="shared" si="25"/>
        <v>3186</v>
      </c>
      <c r="P781" s="29" t="str">
        <f>IF(D781&gt;=Assumptions!$P$159,"High",IF(D781&gt;=Assumptions!$AH$159,"Mid",IF(D781&lt;=Assumptions!$G$159,"Low","Loading")))</f>
        <v>High</v>
      </c>
      <c r="Q781" s="39">
        <f>MAX(K781,MIN(Assumptions!$S$159,O781),Q782)</f>
        <v>3186</v>
      </c>
      <c r="R781" s="30">
        <f>IF(AND(Q781&lt;=K781,INDEX(Assumptions!$C$26:$C$36,MATCH(G781,Assumptions!$A$26:$A$36,0))&lt;&gt;""),INDEX(Assumptions!$C$26:$C$36,MATCH(G781,Assumptions!$A$26:$A$36,0)),ROUND(G781*Q781,-2))</f>
        <v>3017100</v>
      </c>
      <c r="S781" s="56" t="str">
        <f>TRIM(IF(AND(Assumptions!$L$159&lt;&gt;"",D781&lt;Assumptions!$L$159),"View blocked / roof in front ("&amp;Assumptions!$M$159&amp;"); view premium still loading until L"&amp;Assumptions!$L$159&amp;". ","")&amp;IF(D781=Assumptions!$AH$159,"Mid-floor view premium fully loaded. ","")&amp;IF(D781=Assumptions!$P$159,"High-floor view premium fully loaded. ","")&amp;IF(Q781&lt;=K781,"At developer starting price.",""))</f>
        <v/>
      </c>
      <c r="T781" s="57" t="str">
        <f>Assumptions!$AJ$159</f>
        <v>SE: no afternoon sun. 240m unblocked pool &amp; landscape</v>
      </c>
    </row>
    <row r="782" spans="1:20" x14ac:dyDescent="0.2">
      <c r="A782" s="49" t="s">
        <v>940</v>
      </c>
      <c r="B782" s="29">
        <v>7</v>
      </c>
      <c r="C782" s="50">
        <v>33</v>
      </c>
      <c r="D782" s="50">
        <v>23</v>
      </c>
      <c r="E782" s="27" t="s">
        <v>45</v>
      </c>
      <c r="F782" s="29" t="s">
        <v>933</v>
      </c>
      <c r="G782" s="28">
        <v>947</v>
      </c>
      <c r="H782" s="29" t="s">
        <v>65</v>
      </c>
      <c r="I782" s="38" t="str">
        <f>Assumptions!$I$159</f>
        <v>B</v>
      </c>
      <c r="J782" s="29" t="str">
        <f>IF(D782&lt;=Assumptions!$V$159,"Low",IF(D782&lt;=Assumptions!$W$159,"Mid","High"))</f>
        <v>High</v>
      </c>
      <c r="K782" s="51">
        <f>Assumptions!$Q$159</f>
        <v>2642</v>
      </c>
      <c r="L782" s="52">
        <f>INDEX(Assumptions!$J$61:$J$90,D782)</f>
        <v>3170.1236842105263</v>
      </c>
      <c r="M782" s="53">
        <f>IF(D782&lt;=Assumptions!$G$159,Assumptions!$AK$159,IF(D782&lt;Assumptions!$AH$159,Assumptions!$AK$159+(Assumptions!$AL$159-Assumptions!$AK$159)*(D782-Assumptions!$G$159)/(Assumptions!$AH$159-Assumptions!$G$159),IF(D782&lt;Assumptions!$P$159,Assumptions!$AL$159+(Assumptions!$AM$159-Assumptions!$AL$159)*(D782-Assumptions!$AH$159)/(Assumptions!$P$159-Assumptions!$AH$159),Assumptions!$AM$159)))</f>
        <v>0</v>
      </c>
      <c r="N782" s="54">
        <f t="shared" si="24"/>
        <v>0</v>
      </c>
      <c r="O782" s="55">
        <f t="shared" si="25"/>
        <v>3170</v>
      </c>
      <c r="P782" s="29" t="str">
        <f>IF(D782&gt;=Assumptions!$P$159,"High",IF(D782&gt;=Assumptions!$AH$159,"Mid",IF(D782&lt;=Assumptions!$G$159,"Low","Loading")))</f>
        <v>High</v>
      </c>
      <c r="Q782" s="39">
        <f>MAX(K782,MIN(Assumptions!$S$159,O782),Q783)</f>
        <v>3170</v>
      </c>
      <c r="R782" s="30">
        <f>IF(AND(Q782&lt;=K782,INDEX(Assumptions!$C$26:$C$36,MATCH(G782,Assumptions!$A$26:$A$36,0))&lt;&gt;""),INDEX(Assumptions!$C$26:$C$36,MATCH(G782,Assumptions!$A$26:$A$36,0)),ROUND(G782*Q782,-2))</f>
        <v>3002000</v>
      </c>
      <c r="S782" s="56" t="str">
        <f>TRIM(IF(AND(Assumptions!$L$159&lt;&gt;"",D782&lt;Assumptions!$L$159),"View blocked / roof in front ("&amp;Assumptions!$M$159&amp;"); view premium still loading until L"&amp;Assumptions!$L$159&amp;". ","")&amp;IF(D782=Assumptions!$AH$159,"Mid-floor view premium fully loaded. ","")&amp;IF(D782=Assumptions!$P$159,"High-floor view premium fully loaded. ","")&amp;IF(Q782&lt;=K782,"At developer starting price.",""))</f>
        <v/>
      </c>
      <c r="T782" s="57" t="str">
        <f>Assumptions!$AJ$159</f>
        <v>SE: no afternoon sun. 240m unblocked pool &amp; landscape</v>
      </c>
    </row>
    <row r="783" spans="1:20" x14ac:dyDescent="0.2">
      <c r="A783" s="49" t="s">
        <v>941</v>
      </c>
      <c r="B783" s="29">
        <v>7</v>
      </c>
      <c r="C783" s="50">
        <v>33</v>
      </c>
      <c r="D783" s="50">
        <v>22</v>
      </c>
      <c r="E783" s="27" t="s">
        <v>45</v>
      </c>
      <c r="F783" s="29" t="s">
        <v>933</v>
      </c>
      <c r="G783" s="28">
        <v>947</v>
      </c>
      <c r="H783" s="29" t="s">
        <v>65</v>
      </c>
      <c r="I783" s="38" t="str">
        <f>Assumptions!$I$159</f>
        <v>B</v>
      </c>
      <c r="J783" s="29" t="str">
        <f>IF(D783&lt;=Assumptions!$V$159,"Low",IF(D783&lt;=Assumptions!$W$159,"Mid","High"))</f>
        <v>High</v>
      </c>
      <c r="K783" s="51">
        <f>Assumptions!$Q$159</f>
        <v>2642</v>
      </c>
      <c r="L783" s="52">
        <f>INDEX(Assumptions!$J$61:$J$90,D783)</f>
        <v>3154.3131578947368</v>
      </c>
      <c r="M783" s="53">
        <f>IF(D783&lt;=Assumptions!$G$159,Assumptions!$AK$159,IF(D783&lt;Assumptions!$AH$159,Assumptions!$AK$159+(Assumptions!$AL$159-Assumptions!$AK$159)*(D783-Assumptions!$G$159)/(Assumptions!$AH$159-Assumptions!$G$159),IF(D783&lt;Assumptions!$P$159,Assumptions!$AL$159+(Assumptions!$AM$159-Assumptions!$AL$159)*(D783-Assumptions!$AH$159)/(Assumptions!$P$159-Assumptions!$AH$159),Assumptions!$AM$159)))</f>
        <v>0</v>
      </c>
      <c r="N783" s="54">
        <f t="shared" si="24"/>
        <v>0</v>
      </c>
      <c r="O783" s="55">
        <f t="shared" si="25"/>
        <v>3154</v>
      </c>
      <c r="P783" s="29" t="str">
        <f>IF(D783&gt;=Assumptions!$P$159,"High",IF(D783&gt;=Assumptions!$AH$159,"Mid",IF(D783&lt;=Assumptions!$G$159,"Low","Loading")))</f>
        <v>High</v>
      </c>
      <c r="Q783" s="39">
        <f>MAX(K783,MIN(Assumptions!$S$159,O783),Q784)</f>
        <v>3154</v>
      </c>
      <c r="R783" s="30">
        <f>IF(AND(Q783&lt;=K783,INDEX(Assumptions!$C$26:$C$36,MATCH(G783,Assumptions!$A$26:$A$36,0))&lt;&gt;""),INDEX(Assumptions!$C$26:$C$36,MATCH(G783,Assumptions!$A$26:$A$36,0)),ROUND(G783*Q783,-2))</f>
        <v>2986800</v>
      </c>
      <c r="S783" s="56" t="str">
        <f>TRIM(IF(AND(Assumptions!$L$159&lt;&gt;"",D783&lt;Assumptions!$L$159),"View blocked / roof in front ("&amp;Assumptions!$M$159&amp;"); view premium still loading until L"&amp;Assumptions!$L$159&amp;". ","")&amp;IF(D783=Assumptions!$AH$159,"Mid-floor view premium fully loaded. ","")&amp;IF(D783=Assumptions!$P$159,"High-floor view premium fully loaded. ","")&amp;IF(Q783&lt;=K783,"At developer starting price.",""))</f>
        <v/>
      </c>
      <c r="T783" s="57" t="str">
        <f>Assumptions!$AJ$159</f>
        <v>SE: no afternoon sun. 240m unblocked pool &amp; landscape</v>
      </c>
    </row>
    <row r="784" spans="1:20" x14ac:dyDescent="0.2">
      <c r="A784" s="49" t="s">
        <v>942</v>
      </c>
      <c r="B784" s="29">
        <v>7</v>
      </c>
      <c r="C784" s="50">
        <v>33</v>
      </c>
      <c r="D784" s="50">
        <v>21</v>
      </c>
      <c r="E784" s="27" t="s">
        <v>45</v>
      </c>
      <c r="F784" s="29" t="s">
        <v>933</v>
      </c>
      <c r="G784" s="28">
        <v>947</v>
      </c>
      <c r="H784" s="29" t="s">
        <v>65</v>
      </c>
      <c r="I784" s="38" t="str">
        <f>Assumptions!$I$159</f>
        <v>B</v>
      </c>
      <c r="J784" s="29" t="str">
        <f>IF(D784&lt;=Assumptions!$V$159,"Low",IF(D784&lt;=Assumptions!$W$159,"Mid","High"))</f>
        <v>High</v>
      </c>
      <c r="K784" s="51">
        <f>Assumptions!$Q$159</f>
        <v>2642</v>
      </c>
      <c r="L784" s="52">
        <f>INDEX(Assumptions!$J$61:$J$90,D784)</f>
        <v>3138.5026315789473</v>
      </c>
      <c r="M784" s="53">
        <f>IF(D784&lt;=Assumptions!$G$159,Assumptions!$AK$159,IF(D784&lt;Assumptions!$AH$159,Assumptions!$AK$159+(Assumptions!$AL$159-Assumptions!$AK$159)*(D784-Assumptions!$G$159)/(Assumptions!$AH$159-Assumptions!$G$159),IF(D784&lt;Assumptions!$P$159,Assumptions!$AL$159+(Assumptions!$AM$159-Assumptions!$AL$159)*(D784-Assumptions!$AH$159)/(Assumptions!$P$159-Assumptions!$AH$159),Assumptions!$AM$159)))</f>
        <v>0</v>
      </c>
      <c r="N784" s="54">
        <f t="shared" si="24"/>
        <v>0</v>
      </c>
      <c r="O784" s="55">
        <f t="shared" si="25"/>
        <v>3139</v>
      </c>
      <c r="P784" s="29" t="str">
        <f>IF(D784&gt;=Assumptions!$P$159,"High",IF(D784&gt;=Assumptions!$AH$159,"Mid",IF(D784&lt;=Assumptions!$G$159,"Low","Loading")))</f>
        <v>High</v>
      </c>
      <c r="Q784" s="39">
        <f>MAX(K784,MIN(Assumptions!$S$159,O784),Q785)</f>
        <v>3139</v>
      </c>
      <c r="R784" s="30">
        <f>IF(AND(Q784&lt;=K784,INDEX(Assumptions!$C$26:$C$36,MATCH(G784,Assumptions!$A$26:$A$36,0))&lt;&gt;""),INDEX(Assumptions!$C$26:$C$36,MATCH(G784,Assumptions!$A$26:$A$36,0)),ROUND(G784*Q784,-2))</f>
        <v>2972600</v>
      </c>
      <c r="S784" s="56" t="str">
        <f>TRIM(IF(AND(Assumptions!$L$159&lt;&gt;"",D784&lt;Assumptions!$L$159),"View blocked / roof in front ("&amp;Assumptions!$M$159&amp;"); view premium still loading until L"&amp;Assumptions!$L$159&amp;". ","")&amp;IF(D784=Assumptions!$AH$159,"Mid-floor view premium fully loaded. ","")&amp;IF(D784=Assumptions!$P$159,"High-floor view premium fully loaded. ","")&amp;IF(Q784&lt;=K784,"At developer starting price.",""))</f>
        <v>High-floor view premium fully loaded.</v>
      </c>
      <c r="T784" s="57" t="str">
        <f>Assumptions!$AJ$159</f>
        <v>SE: no afternoon sun. 240m unblocked pool &amp; landscape</v>
      </c>
    </row>
    <row r="785" spans="1:20" x14ac:dyDescent="0.2">
      <c r="A785" s="49" t="s">
        <v>943</v>
      </c>
      <c r="B785" s="29">
        <v>7</v>
      </c>
      <c r="C785" s="50">
        <v>33</v>
      </c>
      <c r="D785" s="50">
        <v>20</v>
      </c>
      <c r="E785" s="27" t="s">
        <v>45</v>
      </c>
      <c r="F785" s="29" t="s">
        <v>933</v>
      </c>
      <c r="G785" s="28">
        <v>947</v>
      </c>
      <c r="H785" s="29" t="s">
        <v>65</v>
      </c>
      <c r="I785" s="38" t="str">
        <f>Assumptions!$I$159</f>
        <v>B</v>
      </c>
      <c r="J785" s="29" t="str">
        <f>IF(D785&lt;=Assumptions!$V$159,"Low",IF(D785&lt;=Assumptions!$W$159,"Mid","High"))</f>
        <v>Mid</v>
      </c>
      <c r="K785" s="51">
        <f>Assumptions!$Q$159</f>
        <v>2642</v>
      </c>
      <c r="L785" s="52">
        <f>INDEX(Assumptions!$J$61:$J$90,D785)</f>
        <v>3121.1921052631583</v>
      </c>
      <c r="M785" s="53">
        <f>IF(D785&lt;=Assumptions!$G$159,Assumptions!$AK$159,IF(D785&lt;Assumptions!$AH$159,Assumptions!$AK$159+(Assumptions!$AL$159-Assumptions!$AK$159)*(D785-Assumptions!$G$159)/(Assumptions!$AH$159-Assumptions!$G$159),IF(D785&lt;Assumptions!$P$159,Assumptions!$AL$159+(Assumptions!$AM$159-Assumptions!$AL$159)*(D785-Assumptions!$AH$159)/(Assumptions!$P$159-Assumptions!$AH$159),Assumptions!$AM$159)))</f>
        <v>0</v>
      </c>
      <c r="N785" s="54">
        <f t="shared" si="24"/>
        <v>0</v>
      </c>
      <c r="O785" s="55">
        <f t="shared" si="25"/>
        <v>3121</v>
      </c>
      <c r="P785" s="29" t="str">
        <f>IF(D785&gt;=Assumptions!$P$159,"High",IF(D785&gt;=Assumptions!$AH$159,"Mid",IF(D785&lt;=Assumptions!$G$159,"Low","Loading")))</f>
        <v>Mid</v>
      </c>
      <c r="Q785" s="39">
        <f>MAX(K785,MIN(Assumptions!$S$159,O785),Q786)</f>
        <v>3121</v>
      </c>
      <c r="R785" s="30">
        <f>IF(AND(Q785&lt;=K785,INDEX(Assumptions!$C$26:$C$36,MATCH(G785,Assumptions!$A$26:$A$36,0))&lt;&gt;""),INDEX(Assumptions!$C$26:$C$36,MATCH(G785,Assumptions!$A$26:$A$36,0)),ROUND(G785*Q785,-2))</f>
        <v>2955600</v>
      </c>
      <c r="S785" s="56" t="str">
        <f>TRIM(IF(AND(Assumptions!$L$159&lt;&gt;"",D785&lt;Assumptions!$L$159),"View blocked / roof in front ("&amp;Assumptions!$M$159&amp;"); view premium still loading until L"&amp;Assumptions!$L$159&amp;". ","")&amp;IF(D785=Assumptions!$AH$159,"Mid-floor view premium fully loaded. ","")&amp;IF(D785=Assumptions!$P$159,"High-floor view premium fully loaded. ","")&amp;IF(Q785&lt;=K785,"At developer starting price.",""))</f>
        <v/>
      </c>
      <c r="T785" s="57" t="str">
        <f>Assumptions!$AJ$159</f>
        <v>SE: no afternoon sun. 240m unblocked pool &amp; landscape</v>
      </c>
    </row>
    <row r="786" spans="1:20" x14ac:dyDescent="0.2">
      <c r="A786" s="49" t="s">
        <v>944</v>
      </c>
      <c r="B786" s="29">
        <v>7</v>
      </c>
      <c r="C786" s="50">
        <v>33</v>
      </c>
      <c r="D786" s="50">
        <v>19</v>
      </c>
      <c r="E786" s="27" t="s">
        <v>45</v>
      </c>
      <c r="F786" s="29" t="s">
        <v>933</v>
      </c>
      <c r="G786" s="28">
        <v>947</v>
      </c>
      <c r="H786" s="29" t="s">
        <v>65</v>
      </c>
      <c r="I786" s="38" t="str">
        <f>Assumptions!$I$159</f>
        <v>B</v>
      </c>
      <c r="J786" s="29" t="str">
        <f>IF(D786&lt;=Assumptions!$V$159,"Low",IF(D786&lt;=Assumptions!$W$159,"Mid","High"))</f>
        <v>Mid</v>
      </c>
      <c r="K786" s="51">
        <f>Assumptions!$Q$159</f>
        <v>2642</v>
      </c>
      <c r="L786" s="52">
        <f>INDEX(Assumptions!$J$61:$J$90,D786)</f>
        <v>3103.8815789473688</v>
      </c>
      <c r="M786" s="53">
        <f>IF(D786&lt;=Assumptions!$G$159,Assumptions!$AK$159,IF(D786&lt;Assumptions!$AH$159,Assumptions!$AK$159+(Assumptions!$AL$159-Assumptions!$AK$159)*(D786-Assumptions!$G$159)/(Assumptions!$AH$159-Assumptions!$G$159),IF(D786&lt;Assumptions!$P$159,Assumptions!$AL$159+(Assumptions!$AM$159-Assumptions!$AL$159)*(D786-Assumptions!$AH$159)/(Assumptions!$P$159-Assumptions!$AH$159),Assumptions!$AM$159)))</f>
        <v>0</v>
      </c>
      <c r="N786" s="54">
        <f t="shared" si="24"/>
        <v>0</v>
      </c>
      <c r="O786" s="55">
        <f t="shared" si="25"/>
        <v>3104</v>
      </c>
      <c r="P786" s="29" t="str">
        <f>IF(D786&gt;=Assumptions!$P$159,"High",IF(D786&gt;=Assumptions!$AH$159,"Mid",IF(D786&lt;=Assumptions!$G$159,"Low","Loading")))</f>
        <v>Mid</v>
      </c>
      <c r="Q786" s="39">
        <f>MAX(K786,MIN(Assumptions!$S$159,O786),Q787)</f>
        <v>3104</v>
      </c>
      <c r="R786" s="30">
        <f>IF(AND(Q786&lt;=K786,INDEX(Assumptions!$C$26:$C$36,MATCH(G786,Assumptions!$A$26:$A$36,0))&lt;&gt;""),INDEX(Assumptions!$C$26:$C$36,MATCH(G786,Assumptions!$A$26:$A$36,0)),ROUND(G786*Q786,-2))</f>
        <v>2939500</v>
      </c>
      <c r="S786" s="56" t="str">
        <f>TRIM(IF(AND(Assumptions!$L$159&lt;&gt;"",D786&lt;Assumptions!$L$159),"View blocked / roof in front ("&amp;Assumptions!$M$159&amp;"); view premium still loading until L"&amp;Assumptions!$L$159&amp;". ","")&amp;IF(D786=Assumptions!$AH$159,"Mid-floor view premium fully loaded. ","")&amp;IF(D786=Assumptions!$P$159,"High-floor view premium fully loaded. ","")&amp;IF(Q786&lt;=K786,"At developer starting price.",""))</f>
        <v/>
      </c>
      <c r="T786" s="57" t="str">
        <f>Assumptions!$AJ$159</f>
        <v>SE: no afternoon sun. 240m unblocked pool &amp; landscape</v>
      </c>
    </row>
    <row r="787" spans="1:20" x14ac:dyDescent="0.2">
      <c r="A787" s="49" t="s">
        <v>945</v>
      </c>
      <c r="B787" s="29">
        <v>7</v>
      </c>
      <c r="C787" s="50">
        <v>33</v>
      </c>
      <c r="D787" s="50">
        <v>18</v>
      </c>
      <c r="E787" s="27" t="s">
        <v>45</v>
      </c>
      <c r="F787" s="29" t="s">
        <v>933</v>
      </c>
      <c r="G787" s="28">
        <v>947</v>
      </c>
      <c r="H787" s="29" t="s">
        <v>65</v>
      </c>
      <c r="I787" s="38" t="str">
        <f>Assumptions!$I$159</f>
        <v>B</v>
      </c>
      <c r="J787" s="29" t="str">
        <f>IF(D787&lt;=Assumptions!$V$159,"Low",IF(D787&lt;=Assumptions!$W$159,"Mid","High"))</f>
        <v>Mid</v>
      </c>
      <c r="K787" s="51">
        <f>Assumptions!$Q$159</f>
        <v>2642</v>
      </c>
      <c r="L787" s="52">
        <f>INDEX(Assumptions!$J$61:$J$90,D787)</f>
        <v>3086.5710526315793</v>
      </c>
      <c r="M787" s="53">
        <f>IF(D787&lt;=Assumptions!$G$159,Assumptions!$AK$159,IF(D787&lt;Assumptions!$AH$159,Assumptions!$AK$159+(Assumptions!$AL$159-Assumptions!$AK$159)*(D787-Assumptions!$G$159)/(Assumptions!$AH$159-Assumptions!$G$159),IF(D787&lt;Assumptions!$P$159,Assumptions!$AL$159+(Assumptions!$AM$159-Assumptions!$AL$159)*(D787-Assumptions!$AH$159)/(Assumptions!$P$159-Assumptions!$AH$159),Assumptions!$AM$159)))</f>
        <v>0</v>
      </c>
      <c r="N787" s="54">
        <f t="shared" si="24"/>
        <v>0</v>
      </c>
      <c r="O787" s="55">
        <f t="shared" si="25"/>
        <v>3087</v>
      </c>
      <c r="P787" s="29" t="str">
        <f>IF(D787&gt;=Assumptions!$P$159,"High",IF(D787&gt;=Assumptions!$AH$159,"Mid",IF(D787&lt;=Assumptions!$G$159,"Low","Loading")))</f>
        <v>Mid</v>
      </c>
      <c r="Q787" s="39">
        <f>MAX(K787,MIN(Assumptions!$S$159,O787),Q788)</f>
        <v>3087</v>
      </c>
      <c r="R787" s="30">
        <f>IF(AND(Q787&lt;=K787,INDEX(Assumptions!$C$26:$C$36,MATCH(G787,Assumptions!$A$26:$A$36,0))&lt;&gt;""),INDEX(Assumptions!$C$26:$C$36,MATCH(G787,Assumptions!$A$26:$A$36,0)),ROUND(G787*Q787,-2))</f>
        <v>2923400</v>
      </c>
      <c r="S787" s="56" t="str">
        <f>TRIM(IF(AND(Assumptions!$L$159&lt;&gt;"",D787&lt;Assumptions!$L$159),"View blocked / roof in front ("&amp;Assumptions!$M$159&amp;"); view premium still loading until L"&amp;Assumptions!$L$159&amp;". ","")&amp;IF(D787=Assumptions!$AH$159,"Mid-floor view premium fully loaded. ","")&amp;IF(D787=Assumptions!$P$159,"High-floor view premium fully loaded. ","")&amp;IF(Q787&lt;=K787,"At developer starting price.",""))</f>
        <v/>
      </c>
      <c r="T787" s="57" t="str">
        <f>Assumptions!$AJ$159</f>
        <v>SE: no afternoon sun. 240m unblocked pool &amp; landscape</v>
      </c>
    </row>
    <row r="788" spans="1:20" x14ac:dyDescent="0.2">
      <c r="A788" s="49" t="s">
        <v>946</v>
      </c>
      <c r="B788" s="29">
        <v>7</v>
      </c>
      <c r="C788" s="50">
        <v>33</v>
      </c>
      <c r="D788" s="50">
        <v>17</v>
      </c>
      <c r="E788" s="27" t="s">
        <v>45</v>
      </c>
      <c r="F788" s="29" t="s">
        <v>933</v>
      </c>
      <c r="G788" s="28">
        <v>947</v>
      </c>
      <c r="H788" s="29" t="s">
        <v>65</v>
      </c>
      <c r="I788" s="38" t="str">
        <f>Assumptions!$I$159</f>
        <v>B</v>
      </c>
      <c r="J788" s="29" t="str">
        <f>IF(D788&lt;=Assumptions!$V$159,"Low",IF(D788&lt;=Assumptions!$W$159,"Mid","High"))</f>
        <v>Mid</v>
      </c>
      <c r="K788" s="51">
        <f>Assumptions!$Q$159</f>
        <v>2642</v>
      </c>
      <c r="L788" s="52">
        <f>INDEX(Assumptions!$J$61:$J$90,D788)</f>
        <v>3069.2605263157898</v>
      </c>
      <c r="M788" s="53">
        <f>IF(D788&lt;=Assumptions!$G$159,Assumptions!$AK$159,IF(D788&lt;Assumptions!$AH$159,Assumptions!$AK$159+(Assumptions!$AL$159-Assumptions!$AK$159)*(D788-Assumptions!$G$159)/(Assumptions!$AH$159-Assumptions!$G$159),IF(D788&lt;Assumptions!$P$159,Assumptions!$AL$159+(Assumptions!$AM$159-Assumptions!$AL$159)*(D788-Assumptions!$AH$159)/(Assumptions!$P$159-Assumptions!$AH$159),Assumptions!$AM$159)))</f>
        <v>0</v>
      </c>
      <c r="N788" s="54">
        <f t="shared" si="24"/>
        <v>0</v>
      </c>
      <c r="O788" s="55">
        <f t="shared" si="25"/>
        <v>3069</v>
      </c>
      <c r="P788" s="29" t="str">
        <f>IF(D788&gt;=Assumptions!$P$159,"High",IF(D788&gt;=Assumptions!$AH$159,"Mid",IF(D788&lt;=Assumptions!$G$159,"Low","Loading")))</f>
        <v>Mid</v>
      </c>
      <c r="Q788" s="39">
        <f>MAX(K788,MIN(Assumptions!$S$159,O788),Q789)</f>
        <v>3069</v>
      </c>
      <c r="R788" s="30">
        <f>IF(AND(Q788&lt;=K788,INDEX(Assumptions!$C$26:$C$36,MATCH(G788,Assumptions!$A$26:$A$36,0))&lt;&gt;""),INDEX(Assumptions!$C$26:$C$36,MATCH(G788,Assumptions!$A$26:$A$36,0)),ROUND(G788*Q788,-2))</f>
        <v>2906300</v>
      </c>
      <c r="S788" s="56" t="str">
        <f>TRIM(IF(AND(Assumptions!$L$159&lt;&gt;"",D788&lt;Assumptions!$L$159),"View blocked / roof in front ("&amp;Assumptions!$M$159&amp;"); view premium still loading until L"&amp;Assumptions!$L$159&amp;". ","")&amp;IF(D788=Assumptions!$AH$159,"Mid-floor view premium fully loaded. ","")&amp;IF(D788=Assumptions!$P$159,"High-floor view premium fully loaded. ","")&amp;IF(Q788&lt;=K788,"At developer starting price.",""))</f>
        <v/>
      </c>
      <c r="T788" s="57" t="str">
        <f>Assumptions!$AJ$159</f>
        <v>SE: no afternoon sun. 240m unblocked pool &amp; landscape</v>
      </c>
    </row>
    <row r="789" spans="1:20" x14ac:dyDescent="0.2">
      <c r="A789" s="49" t="s">
        <v>947</v>
      </c>
      <c r="B789" s="29">
        <v>7</v>
      </c>
      <c r="C789" s="50">
        <v>33</v>
      </c>
      <c r="D789" s="50">
        <v>16</v>
      </c>
      <c r="E789" s="27" t="s">
        <v>45</v>
      </c>
      <c r="F789" s="29" t="s">
        <v>933</v>
      </c>
      <c r="G789" s="28">
        <v>947</v>
      </c>
      <c r="H789" s="29" t="s">
        <v>65</v>
      </c>
      <c r="I789" s="38" t="str">
        <f>Assumptions!$I$159</f>
        <v>B</v>
      </c>
      <c r="J789" s="29" t="str">
        <f>IF(D789&lt;=Assumptions!$V$159,"Low",IF(D789&lt;=Assumptions!$W$159,"Mid","High"))</f>
        <v>Mid</v>
      </c>
      <c r="K789" s="51">
        <f>Assumptions!$Q$159</f>
        <v>2642</v>
      </c>
      <c r="L789" s="52">
        <f>INDEX(Assumptions!$J$61:$J$90,D789)</f>
        <v>3051.9500000000003</v>
      </c>
      <c r="M789" s="53">
        <f>IF(D789&lt;=Assumptions!$G$159,Assumptions!$AK$159,IF(D789&lt;Assumptions!$AH$159,Assumptions!$AK$159+(Assumptions!$AL$159-Assumptions!$AK$159)*(D789-Assumptions!$G$159)/(Assumptions!$AH$159-Assumptions!$G$159),IF(D789&lt;Assumptions!$P$159,Assumptions!$AL$159+(Assumptions!$AM$159-Assumptions!$AL$159)*(D789-Assumptions!$AH$159)/(Assumptions!$P$159-Assumptions!$AH$159),Assumptions!$AM$159)))</f>
        <v>0</v>
      </c>
      <c r="N789" s="54">
        <f t="shared" si="24"/>
        <v>0</v>
      </c>
      <c r="O789" s="55">
        <f t="shared" si="25"/>
        <v>3052</v>
      </c>
      <c r="P789" s="29" t="str">
        <f>IF(D789&gt;=Assumptions!$P$159,"High",IF(D789&gt;=Assumptions!$AH$159,"Mid",IF(D789&lt;=Assumptions!$G$159,"Low","Loading")))</f>
        <v>Mid</v>
      </c>
      <c r="Q789" s="39">
        <f>MAX(K789,MIN(Assumptions!$S$159,O789),Q790)</f>
        <v>3052</v>
      </c>
      <c r="R789" s="30">
        <f>IF(AND(Q789&lt;=K789,INDEX(Assumptions!$C$26:$C$36,MATCH(G789,Assumptions!$A$26:$A$36,0))&lt;&gt;""),INDEX(Assumptions!$C$26:$C$36,MATCH(G789,Assumptions!$A$26:$A$36,0)),ROUND(G789*Q789,-2))</f>
        <v>2890200</v>
      </c>
      <c r="S789" s="56" t="str">
        <f>TRIM(IF(AND(Assumptions!$L$159&lt;&gt;"",D789&lt;Assumptions!$L$159),"View blocked / roof in front ("&amp;Assumptions!$M$159&amp;"); view premium still loading until L"&amp;Assumptions!$L$159&amp;". ","")&amp;IF(D789=Assumptions!$AH$159,"Mid-floor view premium fully loaded. ","")&amp;IF(D789=Assumptions!$P$159,"High-floor view premium fully loaded. ","")&amp;IF(Q789&lt;=K789,"At developer starting price.",""))</f>
        <v/>
      </c>
      <c r="T789" s="57" t="str">
        <f>Assumptions!$AJ$159</f>
        <v>SE: no afternoon sun. 240m unblocked pool &amp; landscape</v>
      </c>
    </row>
    <row r="790" spans="1:20" x14ac:dyDescent="0.2">
      <c r="A790" s="49" t="s">
        <v>948</v>
      </c>
      <c r="B790" s="29">
        <v>7</v>
      </c>
      <c r="C790" s="50">
        <v>33</v>
      </c>
      <c r="D790" s="50">
        <v>15</v>
      </c>
      <c r="E790" s="27" t="s">
        <v>45</v>
      </c>
      <c r="F790" s="29" t="s">
        <v>933</v>
      </c>
      <c r="G790" s="28">
        <v>947</v>
      </c>
      <c r="H790" s="29" t="s">
        <v>65</v>
      </c>
      <c r="I790" s="38" t="str">
        <f>Assumptions!$I$159</f>
        <v>B</v>
      </c>
      <c r="J790" s="29" t="str">
        <f>IF(D790&lt;=Assumptions!$V$159,"Low",IF(D790&lt;=Assumptions!$W$159,"Mid","High"))</f>
        <v>Mid</v>
      </c>
      <c r="K790" s="51">
        <f>Assumptions!$Q$159</f>
        <v>2642</v>
      </c>
      <c r="L790" s="52">
        <f>INDEX(Assumptions!$J$61:$J$90,D790)</f>
        <v>3034.8700000000003</v>
      </c>
      <c r="M790" s="53">
        <f>IF(D790&lt;=Assumptions!$G$159,Assumptions!$AK$159,IF(D790&lt;Assumptions!$AH$159,Assumptions!$AK$159+(Assumptions!$AL$159-Assumptions!$AK$159)*(D790-Assumptions!$G$159)/(Assumptions!$AH$159-Assumptions!$G$159),IF(D790&lt;Assumptions!$P$159,Assumptions!$AL$159+(Assumptions!$AM$159-Assumptions!$AL$159)*(D790-Assumptions!$AH$159)/(Assumptions!$P$159-Assumptions!$AH$159),Assumptions!$AM$159)))</f>
        <v>0</v>
      </c>
      <c r="N790" s="54">
        <f t="shared" si="24"/>
        <v>0</v>
      </c>
      <c r="O790" s="55">
        <f t="shared" si="25"/>
        <v>3035</v>
      </c>
      <c r="P790" s="29" t="str">
        <f>IF(D790&gt;=Assumptions!$P$159,"High",IF(D790&gt;=Assumptions!$AH$159,"Mid",IF(D790&lt;=Assumptions!$G$159,"Low","Loading")))</f>
        <v>Mid</v>
      </c>
      <c r="Q790" s="39">
        <f>MAX(K790,MIN(Assumptions!$S$159,O790),Q791)</f>
        <v>3035</v>
      </c>
      <c r="R790" s="30">
        <f>IF(AND(Q790&lt;=K790,INDEX(Assumptions!$C$26:$C$36,MATCH(G790,Assumptions!$A$26:$A$36,0))&lt;&gt;""),INDEX(Assumptions!$C$26:$C$36,MATCH(G790,Assumptions!$A$26:$A$36,0)),ROUND(G790*Q790,-2))</f>
        <v>2874100</v>
      </c>
      <c r="S790" s="56" t="str">
        <f>TRIM(IF(AND(Assumptions!$L$159&lt;&gt;"",D790&lt;Assumptions!$L$159),"View blocked / roof in front ("&amp;Assumptions!$M$159&amp;"); view premium still loading until L"&amp;Assumptions!$L$159&amp;". ","")&amp;IF(D790=Assumptions!$AH$159,"Mid-floor view premium fully loaded. ","")&amp;IF(D790=Assumptions!$P$159,"High-floor view premium fully loaded. ","")&amp;IF(Q790&lt;=K790,"At developer starting price.",""))</f>
        <v/>
      </c>
      <c r="T790" s="57" t="str">
        <f>Assumptions!$AJ$159</f>
        <v>SE: no afternoon sun. 240m unblocked pool &amp; landscape</v>
      </c>
    </row>
    <row r="791" spans="1:20" x14ac:dyDescent="0.2">
      <c r="A791" s="49" t="s">
        <v>949</v>
      </c>
      <c r="B791" s="29">
        <v>7</v>
      </c>
      <c r="C791" s="50">
        <v>33</v>
      </c>
      <c r="D791" s="50">
        <v>14</v>
      </c>
      <c r="E791" s="27" t="s">
        <v>45</v>
      </c>
      <c r="F791" s="29" t="s">
        <v>933</v>
      </c>
      <c r="G791" s="28">
        <v>947</v>
      </c>
      <c r="H791" s="29" t="s">
        <v>65</v>
      </c>
      <c r="I791" s="38" t="str">
        <f>Assumptions!$I$159</f>
        <v>B</v>
      </c>
      <c r="J791" s="29" t="str">
        <f>IF(D791&lt;=Assumptions!$V$159,"Low",IF(D791&lt;=Assumptions!$W$159,"Mid","High"))</f>
        <v>Mid</v>
      </c>
      <c r="K791" s="51">
        <f>Assumptions!$Q$159</f>
        <v>2642</v>
      </c>
      <c r="L791" s="52">
        <f>INDEX(Assumptions!$J$61:$J$90,D791)</f>
        <v>3017.7900000000004</v>
      </c>
      <c r="M791" s="53">
        <f>IF(D791&lt;=Assumptions!$G$159,Assumptions!$AK$159,IF(D791&lt;Assumptions!$AH$159,Assumptions!$AK$159+(Assumptions!$AL$159-Assumptions!$AK$159)*(D791-Assumptions!$G$159)/(Assumptions!$AH$159-Assumptions!$G$159),IF(D791&lt;Assumptions!$P$159,Assumptions!$AL$159+(Assumptions!$AM$159-Assumptions!$AL$159)*(D791-Assumptions!$AH$159)/(Assumptions!$P$159-Assumptions!$AH$159),Assumptions!$AM$159)))</f>
        <v>0</v>
      </c>
      <c r="N791" s="54">
        <f t="shared" si="24"/>
        <v>0</v>
      </c>
      <c r="O791" s="55">
        <f t="shared" si="25"/>
        <v>3018</v>
      </c>
      <c r="P791" s="29" t="str">
        <f>IF(D791&gt;=Assumptions!$P$159,"High",IF(D791&gt;=Assumptions!$AH$159,"Mid",IF(D791&lt;=Assumptions!$G$159,"Low","Loading")))</f>
        <v>Mid</v>
      </c>
      <c r="Q791" s="39">
        <f>MAX(K791,MIN(Assumptions!$S$159,O791),Q792)</f>
        <v>3018</v>
      </c>
      <c r="R791" s="30">
        <f>IF(AND(Q791&lt;=K791,INDEX(Assumptions!$C$26:$C$36,MATCH(G791,Assumptions!$A$26:$A$36,0))&lt;&gt;""),INDEX(Assumptions!$C$26:$C$36,MATCH(G791,Assumptions!$A$26:$A$36,0)),ROUND(G791*Q791,-2))</f>
        <v>2858000</v>
      </c>
      <c r="S791" s="56" t="str">
        <f>TRIM(IF(AND(Assumptions!$L$159&lt;&gt;"",D791&lt;Assumptions!$L$159),"View blocked / roof in front ("&amp;Assumptions!$M$159&amp;"); view premium still loading until L"&amp;Assumptions!$L$159&amp;". ","")&amp;IF(D791=Assumptions!$AH$159,"Mid-floor view premium fully loaded. ","")&amp;IF(D791=Assumptions!$P$159,"High-floor view premium fully loaded. ","")&amp;IF(Q791&lt;=K791,"At developer starting price.",""))</f>
        <v/>
      </c>
      <c r="T791" s="57" t="str">
        <f>Assumptions!$AJ$159</f>
        <v>SE: no afternoon sun. 240m unblocked pool &amp; landscape</v>
      </c>
    </row>
    <row r="792" spans="1:20" x14ac:dyDescent="0.2">
      <c r="A792" s="49" t="s">
        <v>950</v>
      </c>
      <c r="B792" s="29">
        <v>7</v>
      </c>
      <c r="C792" s="50">
        <v>33</v>
      </c>
      <c r="D792" s="50">
        <v>13</v>
      </c>
      <c r="E792" s="27" t="s">
        <v>45</v>
      </c>
      <c r="F792" s="29" t="s">
        <v>933</v>
      </c>
      <c r="G792" s="28">
        <v>947</v>
      </c>
      <c r="H792" s="29" t="s">
        <v>65</v>
      </c>
      <c r="I792" s="38" t="str">
        <f>Assumptions!$I$159</f>
        <v>B</v>
      </c>
      <c r="J792" s="29" t="str">
        <f>IF(D792&lt;=Assumptions!$V$159,"Low",IF(D792&lt;=Assumptions!$W$159,"Mid","High"))</f>
        <v>Mid</v>
      </c>
      <c r="K792" s="51">
        <f>Assumptions!$Q$159</f>
        <v>2642</v>
      </c>
      <c r="L792" s="52">
        <f>INDEX(Assumptions!$J$61:$J$90,D792)</f>
        <v>3000.71</v>
      </c>
      <c r="M792" s="53">
        <f>IF(D792&lt;=Assumptions!$G$159,Assumptions!$AK$159,IF(D792&lt;Assumptions!$AH$159,Assumptions!$AK$159+(Assumptions!$AL$159-Assumptions!$AK$159)*(D792-Assumptions!$G$159)/(Assumptions!$AH$159-Assumptions!$G$159),IF(D792&lt;Assumptions!$P$159,Assumptions!$AL$159+(Assumptions!$AM$159-Assumptions!$AL$159)*(D792-Assumptions!$AH$159)/(Assumptions!$P$159-Assumptions!$AH$159),Assumptions!$AM$159)))</f>
        <v>0</v>
      </c>
      <c r="N792" s="54">
        <f t="shared" si="24"/>
        <v>0</v>
      </c>
      <c r="O792" s="55">
        <f t="shared" si="25"/>
        <v>3001</v>
      </c>
      <c r="P792" s="29" t="str">
        <f>IF(D792&gt;=Assumptions!$P$159,"High",IF(D792&gt;=Assumptions!$AH$159,"Mid",IF(D792&lt;=Assumptions!$G$159,"Low","Loading")))</f>
        <v>Mid</v>
      </c>
      <c r="Q792" s="39">
        <f>MAX(K792,MIN(Assumptions!$S$159,O792),Q793)</f>
        <v>3001</v>
      </c>
      <c r="R792" s="30">
        <f>IF(AND(Q792&lt;=K792,INDEX(Assumptions!$C$26:$C$36,MATCH(G792,Assumptions!$A$26:$A$36,0))&lt;&gt;""),INDEX(Assumptions!$C$26:$C$36,MATCH(G792,Assumptions!$A$26:$A$36,0)),ROUND(G792*Q792,-2))</f>
        <v>2841900</v>
      </c>
      <c r="S792" s="56" t="str">
        <f>TRIM(IF(AND(Assumptions!$L$159&lt;&gt;"",D792&lt;Assumptions!$L$159),"View blocked / roof in front ("&amp;Assumptions!$M$159&amp;"); view premium still loading until L"&amp;Assumptions!$L$159&amp;". ","")&amp;IF(D792=Assumptions!$AH$159,"Mid-floor view premium fully loaded. ","")&amp;IF(D792=Assumptions!$P$159,"High-floor view premium fully loaded. ","")&amp;IF(Q792&lt;=K792,"At developer starting price.",""))</f>
        <v/>
      </c>
      <c r="T792" s="57" t="str">
        <f>Assumptions!$AJ$159</f>
        <v>SE: no afternoon sun. 240m unblocked pool &amp; landscape</v>
      </c>
    </row>
    <row r="793" spans="1:20" x14ac:dyDescent="0.2">
      <c r="A793" s="49" t="s">
        <v>951</v>
      </c>
      <c r="B793" s="29">
        <v>7</v>
      </c>
      <c r="C793" s="50">
        <v>33</v>
      </c>
      <c r="D793" s="50">
        <v>12</v>
      </c>
      <c r="E793" s="27" t="s">
        <v>45</v>
      </c>
      <c r="F793" s="29" t="s">
        <v>933</v>
      </c>
      <c r="G793" s="28">
        <v>947</v>
      </c>
      <c r="H793" s="29" t="s">
        <v>65</v>
      </c>
      <c r="I793" s="38" t="str">
        <f>Assumptions!$I$159</f>
        <v>B</v>
      </c>
      <c r="J793" s="29" t="str">
        <f>IF(D793&lt;=Assumptions!$V$159,"Low",IF(D793&lt;=Assumptions!$W$159,"Mid","High"))</f>
        <v>Mid</v>
      </c>
      <c r="K793" s="51">
        <f>Assumptions!$Q$159</f>
        <v>2642</v>
      </c>
      <c r="L793" s="52">
        <f>INDEX(Assumptions!$J$61:$J$90,D793)</f>
        <v>2983.63</v>
      </c>
      <c r="M793" s="53">
        <f>IF(D793&lt;=Assumptions!$G$159,Assumptions!$AK$159,IF(D793&lt;Assumptions!$AH$159,Assumptions!$AK$159+(Assumptions!$AL$159-Assumptions!$AK$159)*(D793-Assumptions!$G$159)/(Assumptions!$AH$159-Assumptions!$G$159),IF(D793&lt;Assumptions!$P$159,Assumptions!$AL$159+(Assumptions!$AM$159-Assumptions!$AL$159)*(D793-Assumptions!$AH$159)/(Assumptions!$P$159-Assumptions!$AH$159),Assumptions!$AM$159)))</f>
        <v>0</v>
      </c>
      <c r="N793" s="54">
        <f t="shared" si="24"/>
        <v>0</v>
      </c>
      <c r="O793" s="55">
        <f t="shared" si="25"/>
        <v>2984</v>
      </c>
      <c r="P793" s="29" t="str">
        <f>IF(D793&gt;=Assumptions!$P$159,"High",IF(D793&gt;=Assumptions!$AH$159,"Mid",IF(D793&lt;=Assumptions!$G$159,"Low","Loading")))</f>
        <v>Mid</v>
      </c>
      <c r="Q793" s="39">
        <f>MAX(K793,MIN(Assumptions!$S$159,O793),Q794)</f>
        <v>2984</v>
      </c>
      <c r="R793" s="30">
        <f>IF(AND(Q793&lt;=K793,INDEX(Assumptions!$C$26:$C$36,MATCH(G793,Assumptions!$A$26:$A$36,0))&lt;&gt;""),INDEX(Assumptions!$C$26:$C$36,MATCH(G793,Assumptions!$A$26:$A$36,0)),ROUND(G793*Q793,-2))</f>
        <v>2825800</v>
      </c>
      <c r="S793" s="56" t="str">
        <f>TRIM(IF(AND(Assumptions!$L$159&lt;&gt;"",D793&lt;Assumptions!$L$159),"View blocked / roof in front ("&amp;Assumptions!$M$159&amp;"); view premium still loading until L"&amp;Assumptions!$L$159&amp;". ","")&amp;IF(D793=Assumptions!$AH$159,"Mid-floor view premium fully loaded. ","")&amp;IF(D793=Assumptions!$P$159,"High-floor view premium fully loaded. ","")&amp;IF(Q793&lt;=K793,"At developer starting price.",""))</f>
        <v>Mid-floor view premium fully loaded.</v>
      </c>
      <c r="T793" s="57" t="str">
        <f>Assumptions!$AJ$159</f>
        <v>SE: no afternoon sun. 240m unblocked pool &amp; landscape</v>
      </c>
    </row>
    <row r="794" spans="1:20" x14ac:dyDescent="0.2">
      <c r="A794" s="49" t="s">
        <v>952</v>
      </c>
      <c r="B794" s="29">
        <v>7</v>
      </c>
      <c r="C794" s="50">
        <v>33</v>
      </c>
      <c r="D794" s="50">
        <v>11</v>
      </c>
      <c r="E794" s="27" t="s">
        <v>45</v>
      </c>
      <c r="F794" s="29" t="s">
        <v>933</v>
      </c>
      <c r="G794" s="28">
        <v>947</v>
      </c>
      <c r="H794" s="29" t="s">
        <v>65</v>
      </c>
      <c r="I794" s="38" t="str">
        <f>Assumptions!$I$159</f>
        <v>B</v>
      </c>
      <c r="J794" s="29" t="str">
        <f>IF(D794&lt;=Assumptions!$V$159,"Low",IF(D794&lt;=Assumptions!$W$159,"Mid","High"))</f>
        <v>Low</v>
      </c>
      <c r="K794" s="51">
        <f>Assumptions!$Q$159</f>
        <v>2642</v>
      </c>
      <c r="L794" s="52">
        <f>INDEX(Assumptions!$J$61:$J$90,D794)</f>
        <v>2966.55</v>
      </c>
      <c r="M794" s="53">
        <f>IF(D794&lt;=Assumptions!$G$159,Assumptions!$AK$159,IF(D794&lt;Assumptions!$AH$159,Assumptions!$AK$159+(Assumptions!$AL$159-Assumptions!$AK$159)*(D794-Assumptions!$G$159)/(Assumptions!$AH$159-Assumptions!$G$159),IF(D794&lt;Assumptions!$P$159,Assumptions!$AL$159+(Assumptions!$AM$159-Assumptions!$AL$159)*(D794-Assumptions!$AH$159)/(Assumptions!$P$159-Assumptions!$AH$159),Assumptions!$AM$159)))</f>
        <v>4545.4545454545441</v>
      </c>
      <c r="N794" s="54">
        <f t="shared" si="24"/>
        <v>4.7998464049150416</v>
      </c>
      <c r="O794" s="55">
        <f t="shared" si="25"/>
        <v>2971</v>
      </c>
      <c r="P794" s="29" t="str">
        <f>IF(D794&gt;=Assumptions!$P$159,"High",IF(D794&gt;=Assumptions!$AH$159,"Mid",IF(D794&lt;=Assumptions!$G$159,"Low","Loading")))</f>
        <v>Loading</v>
      </c>
      <c r="Q794" s="39">
        <f>MAX(K794,MIN(Assumptions!$S$159,O794),Q795)</f>
        <v>2971</v>
      </c>
      <c r="R794" s="30">
        <f>IF(AND(Q794&lt;=K794,INDEX(Assumptions!$C$26:$C$36,MATCH(G794,Assumptions!$A$26:$A$36,0))&lt;&gt;""),INDEX(Assumptions!$C$26:$C$36,MATCH(G794,Assumptions!$A$26:$A$36,0)),ROUND(G794*Q794,-2))</f>
        <v>2813500</v>
      </c>
      <c r="S794" s="56" t="str">
        <f>TRIM(IF(AND(Assumptions!$L$159&lt;&gt;"",D794&lt;Assumptions!$L$159),"View blocked / roof in front ("&amp;Assumptions!$M$159&amp;"); view premium still loading until L"&amp;Assumptions!$L$159&amp;". ","")&amp;IF(D794=Assumptions!$AH$159,"Mid-floor view premium fully loaded. ","")&amp;IF(D794=Assumptions!$P$159,"High-floor view premium fully loaded. ","")&amp;IF(Q794&lt;=K794,"At developer starting price.",""))</f>
        <v/>
      </c>
      <c r="T794" s="57" t="str">
        <f>Assumptions!$AJ$159</f>
        <v>SE: no afternoon sun. 240m unblocked pool &amp; landscape</v>
      </c>
    </row>
    <row r="795" spans="1:20" x14ac:dyDescent="0.2">
      <c r="A795" s="49" t="s">
        <v>953</v>
      </c>
      <c r="B795" s="29">
        <v>7</v>
      </c>
      <c r="C795" s="50">
        <v>33</v>
      </c>
      <c r="D795" s="50">
        <v>10</v>
      </c>
      <c r="E795" s="27" t="s">
        <v>45</v>
      </c>
      <c r="F795" s="29" t="s">
        <v>933</v>
      </c>
      <c r="G795" s="28">
        <v>947</v>
      </c>
      <c r="H795" s="29" t="s">
        <v>65</v>
      </c>
      <c r="I795" s="38" t="str">
        <f>Assumptions!$I$159</f>
        <v>B</v>
      </c>
      <c r="J795" s="29" t="str">
        <f>IF(D795&lt;=Assumptions!$V$159,"Low",IF(D795&lt;=Assumptions!$W$159,"Mid","High"))</f>
        <v>Low</v>
      </c>
      <c r="K795" s="51">
        <f>Assumptions!$Q$159</f>
        <v>2642</v>
      </c>
      <c r="L795" s="52">
        <f>INDEX(Assumptions!$J$61:$J$90,D795)</f>
        <v>2949.4700000000003</v>
      </c>
      <c r="M795" s="53">
        <f>IF(D795&lt;=Assumptions!$G$159,Assumptions!$AK$159,IF(D795&lt;Assumptions!$AH$159,Assumptions!$AK$159+(Assumptions!$AL$159-Assumptions!$AK$159)*(D795-Assumptions!$G$159)/(Assumptions!$AH$159-Assumptions!$G$159),IF(D795&lt;Assumptions!$P$159,Assumptions!$AL$159+(Assumptions!$AM$159-Assumptions!$AL$159)*(D795-Assumptions!$AH$159)/(Assumptions!$P$159-Assumptions!$AH$159),Assumptions!$AM$159)))</f>
        <v>9090.9090909090883</v>
      </c>
      <c r="N795" s="54">
        <f t="shared" si="24"/>
        <v>9.5996928098300831</v>
      </c>
      <c r="O795" s="55">
        <f t="shared" si="25"/>
        <v>2959</v>
      </c>
      <c r="P795" s="29" t="str">
        <f>IF(D795&gt;=Assumptions!$P$159,"High",IF(D795&gt;=Assumptions!$AH$159,"Mid",IF(D795&lt;=Assumptions!$G$159,"Low","Loading")))</f>
        <v>Loading</v>
      </c>
      <c r="Q795" s="39">
        <f>MAX(K795,MIN(Assumptions!$S$159,O795),Q796)</f>
        <v>2959</v>
      </c>
      <c r="R795" s="30">
        <f>IF(AND(Q795&lt;=K795,INDEX(Assumptions!$C$26:$C$36,MATCH(G795,Assumptions!$A$26:$A$36,0))&lt;&gt;""),INDEX(Assumptions!$C$26:$C$36,MATCH(G795,Assumptions!$A$26:$A$36,0)),ROUND(G795*Q795,-2))</f>
        <v>2802200</v>
      </c>
      <c r="S795" s="56" t="str">
        <f>TRIM(IF(AND(Assumptions!$L$159&lt;&gt;"",D795&lt;Assumptions!$L$159),"View blocked / roof in front ("&amp;Assumptions!$M$159&amp;"); view premium still loading until L"&amp;Assumptions!$L$159&amp;". ","")&amp;IF(D795=Assumptions!$AH$159,"Mid-floor view premium fully loaded. ","")&amp;IF(D795=Assumptions!$P$159,"High-floor view premium fully loaded. ","")&amp;IF(Q795&lt;=K795,"At developer starting price.",""))</f>
        <v/>
      </c>
      <c r="T795" s="57" t="str">
        <f>Assumptions!$AJ$159</f>
        <v>SE: no afternoon sun. 240m unblocked pool &amp; landscape</v>
      </c>
    </row>
    <row r="796" spans="1:20" x14ac:dyDescent="0.2">
      <c r="A796" s="49" t="s">
        <v>954</v>
      </c>
      <c r="B796" s="29">
        <v>7</v>
      </c>
      <c r="C796" s="50">
        <v>33</v>
      </c>
      <c r="D796" s="50">
        <v>9</v>
      </c>
      <c r="E796" s="27" t="s">
        <v>45</v>
      </c>
      <c r="F796" s="29" t="s">
        <v>933</v>
      </c>
      <c r="G796" s="28">
        <v>947</v>
      </c>
      <c r="H796" s="29" t="s">
        <v>65</v>
      </c>
      <c r="I796" s="38" t="str">
        <f>Assumptions!$I$159</f>
        <v>B</v>
      </c>
      <c r="J796" s="29" t="str">
        <f>IF(D796&lt;=Assumptions!$V$159,"Low",IF(D796&lt;=Assumptions!$W$159,"Mid","High"))</f>
        <v>Low</v>
      </c>
      <c r="K796" s="51">
        <f>Assumptions!$Q$159</f>
        <v>2642</v>
      </c>
      <c r="L796" s="52">
        <f>INDEX(Assumptions!$J$61:$J$90,D796)</f>
        <v>2932.3900000000003</v>
      </c>
      <c r="M796" s="53">
        <f>IF(D796&lt;=Assumptions!$G$159,Assumptions!$AK$159,IF(D796&lt;Assumptions!$AH$159,Assumptions!$AK$159+(Assumptions!$AL$159-Assumptions!$AK$159)*(D796-Assumptions!$G$159)/(Assumptions!$AH$159-Assumptions!$G$159),IF(D796&lt;Assumptions!$P$159,Assumptions!$AL$159+(Assumptions!$AM$159-Assumptions!$AL$159)*(D796-Assumptions!$AH$159)/(Assumptions!$P$159-Assumptions!$AH$159),Assumptions!$AM$159)))</f>
        <v>13636.36363636364</v>
      </c>
      <c r="N796" s="54">
        <f t="shared" si="24"/>
        <v>14.399539214745131</v>
      </c>
      <c r="O796" s="55">
        <f t="shared" si="25"/>
        <v>2947</v>
      </c>
      <c r="P796" s="29" t="str">
        <f>IF(D796&gt;=Assumptions!$P$159,"High",IF(D796&gt;=Assumptions!$AH$159,"Mid",IF(D796&lt;=Assumptions!$G$159,"Low","Loading")))</f>
        <v>Loading</v>
      </c>
      <c r="Q796" s="39">
        <f>MAX(K796,MIN(Assumptions!$S$159,O796),Q797)</f>
        <v>2947</v>
      </c>
      <c r="R796" s="30">
        <f>IF(AND(Q796&lt;=K796,INDEX(Assumptions!$C$26:$C$36,MATCH(G796,Assumptions!$A$26:$A$36,0))&lt;&gt;""),INDEX(Assumptions!$C$26:$C$36,MATCH(G796,Assumptions!$A$26:$A$36,0)),ROUND(G796*Q796,-2))</f>
        <v>2790800</v>
      </c>
      <c r="S796" s="56" t="str">
        <f>TRIM(IF(AND(Assumptions!$L$159&lt;&gt;"",D796&lt;Assumptions!$L$159),"View blocked / roof in front ("&amp;Assumptions!$M$159&amp;"); view premium still loading until L"&amp;Assumptions!$L$159&amp;". ","")&amp;IF(D796=Assumptions!$AH$159,"Mid-floor view premium fully loaded. ","")&amp;IF(D796=Assumptions!$P$159,"High-floor view premium fully loaded. ","")&amp;IF(Q796&lt;=K796,"At developer starting price.",""))</f>
        <v/>
      </c>
      <c r="T796" s="57" t="str">
        <f>Assumptions!$AJ$159</f>
        <v>SE: no afternoon sun. 240m unblocked pool &amp; landscape</v>
      </c>
    </row>
    <row r="797" spans="1:20" x14ac:dyDescent="0.2">
      <c r="A797" s="49" t="s">
        <v>955</v>
      </c>
      <c r="B797" s="29">
        <v>7</v>
      </c>
      <c r="C797" s="50">
        <v>33</v>
      </c>
      <c r="D797" s="50">
        <v>8</v>
      </c>
      <c r="E797" s="27" t="s">
        <v>45</v>
      </c>
      <c r="F797" s="29" t="s">
        <v>933</v>
      </c>
      <c r="G797" s="28">
        <v>947</v>
      </c>
      <c r="H797" s="29" t="s">
        <v>65</v>
      </c>
      <c r="I797" s="38" t="str">
        <f>Assumptions!$I$159</f>
        <v>B</v>
      </c>
      <c r="J797" s="29" t="str">
        <f>IF(D797&lt;=Assumptions!$V$159,"Low",IF(D797&lt;=Assumptions!$W$159,"Mid","High"))</f>
        <v>Low</v>
      </c>
      <c r="K797" s="51">
        <f>Assumptions!$Q$159</f>
        <v>2642</v>
      </c>
      <c r="L797" s="52">
        <f>INDEX(Assumptions!$J$61:$J$90,D797)</f>
        <v>2915.31</v>
      </c>
      <c r="M797" s="53">
        <f>IF(D797&lt;=Assumptions!$G$159,Assumptions!$AK$159,IF(D797&lt;Assumptions!$AH$159,Assumptions!$AK$159+(Assumptions!$AL$159-Assumptions!$AK$159)*(D797-Assumptions!$G$159)/(Assumptions!$AH$159-Assumptions!$G$159),IF(D797&lt;Assumptions!$P$159,Assumptions!$AL$159+(Assumptions!$AM$159-Assumptions!$AL$159)*(D797-Assumptions!$AH$159)/(Assumptions!$P$159-Assumptions!$AH$159),Assumptions!$AM$159)))</f>
        <v>18181.81818181818</v>
      </c>
      <c r="N797" s="54">
        <f t="shared" si="24"/>
        <v>19.19938561966017</v>
      </c>
      <c r="O797" s="55">
        <f t="shared" si="25"/>
        <v>2935</v>
      </c>
      <c r="P797" s="29" t="str">
        <f>IF(D797&gt;=Assumptions!$P$159,"High",IF(D797&gt;=Assumptions!$AH$159,"Mid",IF(D797&lt;=Assumptions!$G$159,"Low","Loading")))</f>
        <v>Loading</v>
      </c>
      <c r="Q797" s="39">
        <f>MAX(K797,MIN(Assumptions!$S$159,O797),Q798)</f>
        <v>2935</v>
      </c>
      <c r="R797" s="30">
        <f>IF(AND(Q797&lt;=K797,INDEX(Assumptions!$C$26:$C$36,MATCH(G797,Assumptions!$A$26:$A$36,0))&lt;&gt;""),INDEX(Assumptions!$C$26:$C$36,MATCH(G797,Assumptions!$A$26:$A$36,0)),ROUND(G797*Q797,-2))</f>
        <v>2779400</v>
      </c>
      <c r="S797" s="56" t="str">
        <f>TRIM(IF(AND(Assumptions!$L$159&lt;&gt;"",D797&lt;Assumptions!$L$159),"View blocked / roof in front ("&amp;Assumptions!$M$159&amp;"); view premium still loading until L"&amp;Assumptions!$L$159&amp;". ","")&amp;IF(D797=Assumptions!$AH$159,"Mid-floor view premium fully loaded. ","")&amp;IF(D797=Assumptions!$P$159,"High-floor view premium fully loaded. ","")&amp;IF(Q797&lt;=K797,"At developer starting price.",""))</f>
        <v/>
      </c>
      <c r="T797" s="57" t="str">
        <f>Assumptions!$AJ$159</f>
        <v>SE: no afternoon sun. 240m unblocked pool &amp; landscape</v>
      </c>
    </row>
    <row r="798" spans="1:20" x14ac:dyDescent="0.2">
      <c r="A798" s="49" t="s">
        <v>956</v>
      </c>
      <c r="B798" s="29">
        <v>7</v>
      </c>
      <c r="C798" s="50">
        <v>33</v>
      </c>
      <c r="D798" s="50">
        <v>7</v>
      </c>
      <c r="E798" s="27" t="s">
        <v>45</v>
      </c>
      <c r="F798" s="29" t="s">
        <v>933</v>
      </c>
      <c r="G798" s="28">
        <v>947</v>
      </c>
      <c r="H798" s="29" t="s">
        <v>65</v>
      </c>
      <c r="I798" s="38" t="str">
        <f>Assumptions!$I$159</f>
        <v>B</v>
      </c>
      <c r="J798" s="29" t="str">
        <f>IF(D798&lt;=Assumptions!$V$159,"Low",IF(D798&lt;=Assumptions!$W$159,"Mid","High"))</f>
        <v>Low</v>
      </c>
      <c r="K798" s="51">
        <f>Assumptions!$Q$159</f>
        <v>2642</v>
      </c>
      <c r="L798" s="52">
        <f>INDEX(Assumptions!$J$61:$J$90,D798)</f>
        <v>2898.23</v>
      </c>
      <c r="M798" s="53">
        <f>IF(D798&lt;=Assumptions!$G$159,Assumptions!$AK$159,IF(D798&lt;Assumptions!$AH$159,Assumptions!$AK$159+(Assumptions!$AL$159-Assumptions!$AK$159)*(D798-Assumptions!$G$159)/(Assumptions!$AH$159-Assumptions!$G$159),IF(D798&lt;Assumptions!$P$159,Assumptions!$AL$159+(Assumptions!$AM$159-Assumptions!$AL$159)*(D798-Assumptions!$AH$159)/(Assumptions!$P$159-Assumptions!$AH$159),Assumptions!$AM$159)))</f>
        <v>22727.272727272728</v>
      </c>
      <c r="N798" s="54">
        <f t="shared" si="24"/>
        <v>23.999232024575214</v>
      </c>
      <c r="O798" s="55">
        <f t="shared" si="25"/>
        <v>2922</v>
      </c>
      <c r="P798" s="29" t="str">
        <f>IF(D798&gt;=Assumptions!$P$159,"High",IF(D798&gt;=Assumptions!$AH$159,"Mid",IF(D798&lt;=Assumptions!$G$159,"Low","Loading")))</f>
        <v>Loading</v>
      </c>
      <c r="Q798" s="39">
        <f>MAX(K798,MIN(Assumptions!$S$159,O798),Q799)</f>
        <v>2922</v>
      </c>
      <c r="R798" s="30">
        <f>IF(AND(Q798&lt;=K798,INDEX(Assumptions!$C$26:$C$36,MATCH(G798,Assumptions!$A$26:$A$36,0))&lt;&gt;""),INDEX(Assumptions!$C$26:$C$36,MATCH(G798,Assumptions!$A$26:$A$36,0)),ROUND(G798*Q798,-2))</f>
        <v>2767100</v>
      </c>
      <c r="S798" s="56" t="str">
        <f>TRIM(IF(AND(Assumptions!$L$159&lt;&gt;"",D798&lt;Assumptions!$L$159),"View blocked / roof in front ("&amp;Assumptions!$M$159&amp;"); view premium still loading until L"&amp;Assumptions!$L$159&amp;". ","")&amp;IF(D798=Assumptions!$AH$159,"Mid-floor view premium fully loaded. ","")&amp;IF(D798=Assumptions!$P$159,"High-floor view premium fully loaded. ","")&amp;IF(Q798&lt;=K798,"At developer starting price.",""))</f>
        <v/>
      </c>
      <c r="T798" s="57" t="str">
        <f>Assumptions!$AJ$159</f>
        <v>SE: no afternoon sun. 240m unblocked pool &amp; landscape</v>
      </c>
    </row>
    <row r="799" spans="1:20" x14ac:dyDescent="0.2">
      <c r="A799" s="49" t="s">
        <v>957</v>
      </c>
      <c r="B799" s="29">
        <v>7</v>
      </c>
      <c r="C799" s="50">
        <v>33</v>
      </c>
      <c r="D799" s="50">
        <v>6</v>
      </c>
      <c r="E799" s="27" t="s">
        <v>45</v>
      </c>
      <c r="F799" s="29" t="s">
        <v>933</v>
      </c>
      <c r="G799" s="28">
        <v>947</v>
      </c>
      <c r="H799" s="29" t="s">
        <v>65</v>
      </c>
      <c r="I799" s="38" t="str">
        <f>Assumptions!$I$159</f>
        <v>B</v>
      </c>
      <c r="J799" s="29" t="str">
        <f>IF(D799&lt;=Assumptions!$V$159,"Low",IF(D799&lt;=Assumptions!$W$159,"Mid","High"))</f>
        <v>Low</v>
      </c>
      <c r="K799" s="51">
        <f>Assumptions!$Q$159</f>
        <v>2642</v>
      </c>
      <c r="L799" s="52">
        <f>INDEX(Assumptions!$J$61:$J$90,D799)</f>
        <v>2881.15</v>
      </c>
      <c r="M799" s="53">
        <f>IF(D799&lt;=Assumptions!$G$159,Assumptions!$AK$159,IF(D799&lt;Assumptions!$AH$159,Assumptions!$AK$159+(Assumptions!$AL$159-Assumptions!$AK$159)*(D799-Assumptions!$G$159)/(Assumptions!$AH$159-Assumptions!$G$159),IF(D799&lt;Assumptions!$P$159,Assumptions!$AL$159+(Assumptions!$AM$159-Assumptions!$AL$159)*(D799-Assumptions!$AH$159)/(Assumptions!$P$159-Assumptions!$AH$159),Assumptions!$AM$159)))</f>
        <v>27272.727272727272</v>
      </c>
      <c r="N799" s="54">
        <f t="shared" si="24"/>
        <v>28.799078429490255</v>
      </c>
      <c r="O799" s="55">
        <f t="shared" si="25"/>
        <v>2910</v>
      </c>
      <c r="P799" s="29" t="str">
        <f>IF(D799&gt;=Assumptions!$P$159,"High",IF(D799&gt;=Assumptions!$AH$159,"Mid",IF(D799&lt;=Assumptions!$G$159,"Low","Loading")))</f>
        <v>Loading</v>
      </c>
      <c r="Q799" s="39">
        <f>MAX(K799,MIN(Assumptions!$S$159,O799),Q800)</f>
        <v>2910</v>
      </c>
      <c r="R799" s="30">
        <f>IF(AND(Q799&lt;=K799,INDEX(Assumptions!$C$26:$C$36,MATCH(G799,Assumptions!$A$26:$A$36,0))&lt;&gt;""),INDEX(Assumptions!$C$26:$C$36,MATCH(G799,Assumptions!$A$26:$A$36,0)),ROUND(G799*Q799,-2))</f>
        <v>2755800</v>
      </c>
      <c r="S799" s="56" t="str">
        <f>TRIM(IF(AND(Assumptions!$L$159&lt;&gt;"",D799&lt;Assumptions!$L$159),"View blocked / roof in front ("&amp;Assumptions!$M$159&amp;"); view premium still loading until L"&amp;Assumptions!$L$159&amp;". ","")&amp;IF(D799=Assumptions!$AH$159,"Mid-floor view premium fully loaded. ","")&amp;IF(D799=Assumptions!$P$159,"High-floor view premium fully loaded. ","")&amp;IF(Q799&lt;=K799,"At developer starting price.",""))</f>
        <v/>
      </c>
      <c r="T799" s="57" t="str">
        <f>Assumptions!$AJ$159</f>
        <v>SE: no afternoon sun. 240m unblocked pool &amp; landscape</v>
      </c>
    </row>
    <row r="800" spans="1:20" x14ac:dyDescent="0.2">
      <c r="A800" s="49" t="s">
        <v>958</v>
      </c>
      <c r="B800" s="29">
        <v>7</v>
      </c>
      <c r="C800" s="50">
        <v>33</v>
      </c>
      <c r="D800" s="50">
        <v>5</v>
      </c>
      <c r="E800" s="27" t="s">
        <v>45</v>
      </c>
      <c r="F800" s="29" t="s">
        <v>933</v>
      </c>
      <c r="G800" s="28">
        <v>947</v>
      </c>
      <c r="H800" s="29" t="s">
        <v>65</v>
      </c>
      <c r="I800" s="38" t="str">
        <f>Assumptions!$I$159</f>
        <v>B</v>
      </c>
      <c r="J800" s="29" t="str">
        <f>IF(D800&lt;=Assumptions!$V$159,"Low",IF(D800&lt;=Assumptions!$W$159,"Mid","High"))</f>
        <v>Low</v>
      </c>
      <c r="K800" s="51">
        <f>Assumptions!$Q$159</f>
        <v>2642</v>
      </c>
      <c r="L800" s="52">
        <f>INDEX(Assumptions!$J$61:$J$90,D800)</f>
        <v>2864.07</v>
      </c>
      <c r="M800" s="53">
        <f>IF(D800&lt;=Assumptions!$G$159,Assumptions!$AK$159,IF(D800&lt;Assumptions!$AH$159,Assumptions!$AK$159+(Assumptions!$AL$159-Assumptions!$AK$159)*(D800-Assumptions!$G$159)/(Assumptions!$AH$159-Assumptions!$G$159),IF(D800&lt;Assumptions!$P$159,Assumptions!$AL$159+(Assumptions!$AM$159-Assumptions!$AL$159)*(D800-Assumptions!$AH$159)/(Assumptions!$P$159-Assumptions!$AH$159),Assumptions!$AM$159)))</f>
        <v>31818.18181818182</v>
      </c>
      <c r="N800" s="54">
        <f t="shared" si="24"/>
        <v>33.598924834405302</v>
      </c>
      <c r="O800" s="55">
        <f t="shared" si="25"/>
        <v>2898</v>
      </c>
      <c r="P800" s="29" t="str">
        <f>IF(D800&gt;=Assumptions!$P$159,"High",IF(D800&gt;=Assumptions!$AH$159,"Mid",IF(D800&lt;=Assumptions!$G$159,"Low","Loading")))</f>
        <v>Loading</v>
      </c>
      <c r="Q800" s="39">
        <f>MAX(K800,MIN(Assumptions!$S$159,O800),Q801)</f>
        <v>2898</v>
      </c>
      <c r="R800" s="30">
        <f>IF(AND(Q800&lt;=K800,INDEX(Assumptions!$C$26:$C$36,MATCH(G800,Assumptions!$A$26:$A$36,0))&lt;&gt;""),INDEX(Assumptions!$C$26:$C$36,MATCH(G800,Assumptions!$A$26:$A$36,0)),ROUND(G800*Q800,-2))</f>
        <v>2744400</v>
      </c>
      <c r="S800" s="56" t="str">
        <f>TRIM(IF(AND(Assumptions!$L$159&lt;&gt;"",D800&lt;Assumptions!$L$159),"View blocked / roof in front ("&amp;Assumptions!$M$159&amp;"); view premium still loading until L"&amp;Assumptions!$L$159&amp;". ","")&amp;IF(D800=Assumptions!$AH$159,"Mid-floor view premium fully loaded. ","")&amp;IF(D800=Assumptions!$P$159,"High-floor view premium fully loaded. ","")&amp;IF(Q800&lt;=K800,"At developer starting price.",""))</f>
        <v/>
      </c>
      <c r="T800" s="57" t="str">
        <f>Assumptions!$AJ$159</f>
        <v>SE: no afternoon sun. 240m unblocked pool &amp; landscape</v>
      </c>
    </row>
    <row r="801" spans="1:20" x14ac:dyDescent="0.2">
      <c r="A801" s="49" t="s">
        <v>959</v>
      </c>
      <c r="B801" s="29">
        <v>7</v>
      </c>
      <c r="C801" s="50">
        <v>33</v>
      </c>
      <c r="D801" s="50">
        <v>4</v>
      </c>
      <c r="E801" s="27" t="s">
        <v>45</v>
      </c>
      <c r="F801" s="29" t="s">
        <v>933</v>
      </c>
      <c r="G801" s="28">
        <v>947</v>
      </c>
      <c r="H801" s="29" t="s">
        <v>65</v>
      </c>
      <c r="I801" s="38" t="str">
        <f>Assumptions!$I$159</f>
        <v>B</v>
      </c>
      <c r="J801" s="29" t="str">
        <f>IF(D801&lt;=Assumptions!$V$159,"Low",IF(D801&lt;=Assumptions!$W$159,"Mid","High"))</f>
        <v>Low</v>
      </c>
      <c r="K801" s="51">
        <f>Assumptions!$Q$159</f>
        <v>2642</v>
      </c>
      <c r="L801" s="52">
        <f>INDEX(Assumptions!$J$61:$J$90,D801)</f>
        <v>2846.9900000000002</v>
      </c>
      <c r="M801" s="53">
        <f>IF(D801&lt;=Assumptions!$G$159,Assumptions!$AK$159,IF(D801&lt;Assumptions!$AH$159,Assumptions!$AK$159+(Assumptions!$AL$159-Assumptions!$AK$159)*(D801-Assumptions!$G$159)/(Assumptions!$AH$159-Assumptions!$G$159),IF(D801&lt;Assumptions!$P$159,Assumptions!$AL$159+(Assumptions!$AM$159-Assumptions!$AL$159)*(D801-Assumptions!$AH$159)/(Assumptions!$P$159-Assumptions!$AH$159),Assumptions!$AM$159)))</f>
        <v>36363.636363636368</v>
      </c>
      <c r="N801" s="54">
        <f t="shared" si="24"/>
        <v>38.398771239320347</v>
      </c>
      <c r="O801" s="55">
        <f t="shared" si="25"/>
        <v>2885</v>
      </c>
      <c r="P801" s="29" t="str">
        <f>IF(D801&gt;=Assumptions!$P$159,"High",IF(D801&gt;=Assumptions!$AH$159,"Mid",IF(D801&lt;=Assumptions!$G$159,"Low","Loading")))</f>
        <v>Loading</v>
      </c>
      <c r="Q801" s="39">
        <f>MAX(K801,MIN(Assumptions!$S$159,O801),Q802)</f>
        <v>2885</v>
      </c>
      <c r="R801" s="30">
        <f>IF(AND(Q801&lt;=K801,INDEX(Assumptions!$C$26:$C$36,MATCH(G801,Assumptions!$A$26:$A$36,0))&lt;&gt;""),INDEX(Assumptions!$C$26:$C$36,MATCH(G801,Assumptions!$A$26:$A$36,0)),ROUND(G801*Q801,-2))</f>
        <v>2732100</v>
      </c>
      <c r="S801" s="56" t="str">
        <f>TRIM(IF(AND(Assumptions!$L$159&lt;&gt;"",D801&lt;Assumptions!$L$159),"View blocked / roof in front ("&amp;Assumptions!$M$159&amp;"); view premium still loading until L"&amp;Assumptions!$L$159&amp;". ","")&amp;IF(D801=Assumptions!$AH$159,"Mid-floor view premium fully loaded. ","")&amp;IF(D801=Assumptions!$P$159,"High-floor view premium fully loaded. ","")&amp;IF(Q801&lt;=K801,"At developer starting price.",""))</f>
        <v/>
      </c>
      <c r="T801" s="57" t="str">
        <f>Assumptions!$AJ$159</f>
        <v>SE: no afternoon sun. 240m unblocked pool &amp; landscape</v>
      </c>
    </row>
    <row r="802" spans="1:20" x14ac:dyDescent="0.2">
      <c r="A802" s="49" t="s">
        <v>960</v>
      </c>
      <c r="B802" s="29">
        <v>7</v>
      </c>
      <c r="C802" s="50">
        <v>33</v>
      </c>
      <c r="D802" s="50">
        <v>3</v>
      </c>
      <c r="E802" s="27" t="s">
        <v>45</v>
      </c>
      <c r="F802" s="29" t="s">
        <v>933</v>
      </c>
      <c r="G802" s="28">
        <v>947</v>
      </c>
      <c r="H802" s="29" t="s">
        <v>65</v>
      </c>
      <c r="I802" s="38" t="str">
        <f>Assumptions!$I$159</f>
        <v>B</v>
      </c>
      <c r="J802" s="29" t="str">
        <f>IF(D802&lt;=Assumptions!$V$159,"Low",IF(D802&lt;=Assumptions!$W$159,"Mid","High"))</f>
        <v>Low</v>
      </c>
      <c r="K802" s="51">
        <f>Assumptions!$Q$159</f>
        <v>2642</v>
      </c>
      <c r="L802" s="52">
        <f>INDEX(Assumptions!$J$61:$J$90,D802)</f>
        <v>2829.91</v>
      </c>
      <c r="M802" s="53">
        <f>IF(D802&lt;=Assumptions!$G$159,Assumptions!$AK$159,IF(D802&lt;Assumptions!$AH$159,Assumptions!$AK$159+(Assumptions!$AL$159-Assumptions!$AK$159)*(D802-Assumptions!$G$159)/(Assumptions!$AH$159-Assumptions!$G$159),IF(D802&lt;Assumptions!$P$159,Assumptions!$AL$159+(Assumptions!$AM$159-Assumptions!$AL$159)*(D802-Assumptions!$AH$159)/(Assumptions!$P$159-Assumptions!$AH$159),Assumptions!$AM$159)))</f>
        <v>40909.090909090912</v>
      </c>
      <c r="N802" s="54">
        <f t="shared" si="24"/>
        <v>43.198617644235384</v>
      </c>
      <c r="O802" s="55">
        <f t="shared" si="25"/>
        <v>2873</v>
      </c>
      <c r="P802" s="29" t="str">
        <f>IF(D802&gt;=Assumptions!$P$159,"High",IF(D802&gt;=Assumptions!$AH$159,"Mid",IF(D802&lt;=Assumptions!$G$159,"Low","Loading")))</f>
        <v>Loading</v>
      </c>
      <c r="Q802" s="39">
        <f>MAX(K802,MIN(Assumptions!$S$159,O802),Q803)</f>
        <v>2873</v>
      </c>
      <c r="R802" s="30">
        <f>IF(AND(Q802&lt;=K802,INDEX(Assumptions!$C$26:$C$36,MATCH(G802,Assumptions!$A$26:$A$36,0))&lt;&gt;""),INDEX(Assumptions!$C$26:$C$36,MATCH(G802,Assumptions!$A$26:$A$36,0)),ROUND(G802*Q802,-2))</f>
        <v>2720700</v>
      </c>
      <c r="S802" s="56" t="str">
        <f>TRIM(IF(AND(Assumptions!$L$159&lt;&gt;"",D802&lt;Assumptions!$L$159),"View blocked / roof in front ("&amp;Assumptions!$M$159&amp;"); view premium still loading until L"&amp;Assumptions!$L$159&amp;". ","")&amp;IF(D802=Assumptions!$AH$159,"Mid-floor view premium fully loaded. ","")&amp;IF(D802=Assumptions!$P$159,"High-floor view premium fully loaded. ","")&amp;IF(Q802&lt;=K802,"At developer starting price.",""))</f>
        <v/>
      </c>
      <c r="T802" s="57" t="str">
        <f>Assumptions!$AJ$159</f>
        <v>SE: no afternoon sun. 240m unblocked pool &amp; landscape</v>
      </c>
    </row>
    <row r="803" spans="1:20" x14ac:dyDescent="0.2">
      <c r="A803" s="49" t="s">
        <v>961</v>
      </c>
      <c r="B803" s="29">
        <v>7</v>
      </c>
      <c r="C803" s="50">
        <v>33</v>
      </c>
      <c r="D803" s="50">
        <v>2</v>
      </c>
      <c r="E803" s="27" t="s">
        <v>45</v>
      </c>
      <c r="F803" s="29" t="s">
        <v>933</v>
      </c>
      <c r="G803" s="28">
        <v>947</v>
      </c>
      <c r="H803" s="29" t="s">
        <v>65</v>
      </c>
      <c r="I803" s="38" t="str">
        <f>Assumptions!$I$159</f>
        <v>B</v>
      </c>
      <c r="J803" s="29" t="str">
        <f>IF(D803&lt;=Assumptions!$V$159,"Low",IF(D803&lt;=Assumptions!$W$159,"Mid","High"))</f>
        <v>Low</v>
      </c>
      <c r="K803" s="51">
        <f>Assumptions!$Q$159</f>
        <v>2642</v>
      </c>
      <c r="L803" s="52">
        <f>INDEX(Assumptions!$J$61:$J$90,D803)</f>
        <v>2812.83</v>
      </c>
      <c r="M803" s="53">
        <f>IF(D803&lt;=Assumptions!$G$159,Assumptions!$AK$159,IF(D803&lt;Assumptions!$AH$159,Assumptions!$AK$159+(Assumptions!$AL$159-Assumptions!$AK$159)*(D803-Assumptions!$G$159)/(Assumptions!$AH$159-Assumptions!$G$159),IF(D803&lt;Assumptions!$P$159,Assumptions!$AL$159+(Assumptions!$AM$159-Assumptions!$AL$159)*(D803-Assumptions!$AH$159)/(Assumptions!$P$159-Assumptions!$AH$159),Assumptions!$AM$159)))</f>
        <v>45454.545454545456</v>
      </c>
      <c r="N803" s="54">
        <f t="shared" si="24"/>
        <v>47.998464049150428</v>
      </c>
      <c r="O803" s="55">
        <f t="shared" si="25"/>
        <v>2861</v>
      </c>
      <c r="P803" s="29" t="str">
        <f>IF(D803&gt;=Assumptions!$P$159,"High",IF(D803&gt;=Assumptions!$AH$159,"Mid",IF(D803&lt;=Assumptions!$G$159,"Low","Loading")))</f>
        <v>Loading</v>
      </c>
      <c r="Q803" s="39">
        <f>MAX(K803,MIN(Assumptions!$S$159,O803),Q804)</f>
        <v>2861</v>
      </c>
      <c r="R803" s="30">
        <f>IF(AND(Q803&lt;=K803,INDEX(Assumptions!$C$26:$C$36,MATCH(G803,Assumptions!$A$26:$A$36,0))&lt;&gt;""),INDEX(Assumptions!$C$26:$C$36,MATCH(G803,Assumptions!$A$26:$A$36,0)),ROUND(G803*Q803,-2))</f>
        <v>2709400</v>
      </c>
      <c r="S803" s="56" t="str">
        <f>TRIM(IF(AND(Assumptions!$L$159&lt;&gt;"",D803&lt;Assumptions!$L$159),"View blocked / roof in front ("&amp;Assumptions!$M$159&amp;"); view premium still loading until L"&amp;Assumptions!$L$159&amp;". ","")&amp;IF(D803=Assumptions!$AH$159,"Mid-floor view premium fully loaded. ","")&amp;IF(D803=Assumptions!$P$159,"High-floor view premium fully loaded. ","")&amp;IF(Q803&lt;=K803,"At developer starting price.",""))</f>
        <v/>
      </c>
      <c r="T803" s="57" t="str">
        <f>Assumptions!$AJ$159</f>
        <v>SE: no afternoon sun. 240m unblocked pool &amp; landscape</v>
      </c>
    </row>
    <row r="804" spans="1:20" x14ac:dyDescent="0.2">
      <c r="A804" s="49" t="s">
        <v>962</v>
      </c>
      <c r="B804" s="29">
        <v>7</v>
      </c>
      <c r="C804" s="50">
        <v>33</v>
      </c>
      <c r="D804" s="50">
        <v>1</v>
      </c>
      <c r="E804" s="27" t="s">
        <v>45</v>
      </c>
      <c r="F804" s="29" t="s">
        <v>963</v>
      </c>
      <c r="G804" s="28">
        <v>947</v>
      </c>
      <c r="H804" s="29" t="s">
        <v>65</v>
      </c>
      <c r="I804" s="38" t="str">
        <f>Assumptions!$I$159</f>
        <v>B</v>
      </c>
      <c r="J804" s="29" t="str">
        <f>IF(D804&lt;=Assumptions!$V$159,"Low",IF(D804&lt;=Assumptions!$W$159,"Mid","High"))</f>
        <v>Low</v>
      </c>
      <c r="K804" s="51">
        <f>Assumptions!$Q$159</f>
        <v>2642</v>
      </c>
      <c r="L804" s="52">
        <f>INDEX(Assumptions!$J$61:$J$90,D804)</f>
        <v>2795.75</v>
      </c>
      <c r="M804" s="53">
        <f>IF(D804&lt;=Assumptions!$G$159,Assumptions!$AK$159,IF(D804&lt;Assumptions!$AH$159,Assumptions!$AK$159+(Assumptions!$AL$159-Assumptions!$AK$159)*(D804-Assumptions!$G$159)/(Assumptions!$AH$159-Assumptions!$G$159),IF(D804&lt;Assumptions!$P$159,Assumptions!$AL$159+(Assumptions!$AM$159-Assumptions!$AL$159)*(D804-Assumptions!$AH$159)/(Assumptions!$P$159-Assumptions!$AH$159),Assumptions!$AM$159)))</f>
        <v>50000</v>
      </c>
      <c r="N804" s="54">
        <f t="shared" si="24"/>
        <v>52.798310454065472</v>
      </c>
      <c r="O804" s="55">
        <f t="shared" si="25"/>
        <v>2849</v>
      </c>
      <c r="P804" s="29" t="str">
        <f>IF(D804&gt;=Assumptions!$P$159,"High",IF(D804&gt;=Assumptions!$AH$159,"Mid",IF(D804&lt;=Assumptions!$G$159,"Low","Loading")))</f>
        <v>Low</v>
      </c>
      <c r="Q804" s="39">
        <f>MAX(K804,MIN(Assumptions!$S$159,O804))</f>
        <v>2849</v>
      </c>
      <c r="R804" s="30">
        <f>IF(AND(Q804&lt;=K804,INDEX(Assumptions!$C$26:$C$36,MATCH(G804,Assumptions!$A$26:$A$36,0))&lt;&gt;""),INDEX(Assumptions!$C$26:$C$36,MATCH(G804,Assumptions!$A$26:$A$36,0)),ROUND(G804*Q804,-2))</f>
        <v>2698000</v>
      </c>
      <c r="S804" s="56" t="str">
        <f>TRIM(IF(AND(Assumptions!$L$159&lt;&gt;"",D804&lt;Assumptions!$L$159),"View blocked / roof in front ("&amp;Assumptions!$M$159&amp;"); view premium still loading until L"&amp;Assumptions!$L$159&amp;". ","")&amp;IF(D804=Assumptions!$AH$159,"Mid-floor view premium fully loaded. ","")&amp;IF(D804=Assumptions!$P$159,"High-floor view premium fully loaded. ","")&amp;IF(Q804&lt;=K804,"At developer starting price.",""))</f>
        <v/>
      </c>
      <c r="T804" s="57" t="str">
        <f>Assumptions!$AJ$159</f>
        <v>SE: no afternoon sun. 240m unblocked pool &amp; landscape</v>
      </c>
    </row>
    <row r="805" spans="1:20" x14ac:dyDescent="0.2">
      <c r="A805" s="49" t="s">
        <v>964</v>
      </c>
      <c r="B805" s="29">
        <v>7</v>
      </c>
      <c r="C805" s="50">
        <v>34</v>
      </c>
      <c r="D805" s="50">
        <v>30</v>
      </c>
      <c r="E805" s="27" t="s">
        <v>44</v>
      </c>
      <c r="F805" s="29" t="s">
        <v>684</v>
      </c>
      <c r="G805" s="28">
        <v>775</v>
      </c>
      <c r="H805" s="29" t="s">
        <v>65</v>
      </c>
      <c r="I805" s="38" t="str">
        <f>Assumptions!$I$160</f>
        <v>B</v>
      </c>
      <c r="J805" s="29" t="str">
        <f>IF(D805&lt;=Assumptions!$V$160,"Low",IF(D805&lt;=Assumptions!$W$160,"Mid","High"))</f>
        <v>High</v>
      </c>
      <c r="K805" s="51">
        <f>Assumptions!$Q$160</f>
        <v>2650</v>
      </c>
      <c r="L805" s="52">
        <f>INDEX(Assumptions!$H$61:$H$90,D805)</f>
        <v>3233.4763157894736</v>
      </c>
      <c r="M805" s="53">
        <f>IF(D805&lt;=Assumptions!$G$160,Assumptions!$AK$160,IF(D805&lt;Assumptions!$AH$160,Assumptions!$AK$160+(Assumptions!$AL$160-Assumptions!$AK$160)*(D805-Assumptions!$G$160)/(Assumptions!$AH$160-Assumptions!$G$160),IF(D805&lt;Assumptions!$P$160,Assumptions!$AL$160+(Assumptions!$AM$160-Assumptions!$AL$160)*(D805-Assumptions!$AH$160)/(Assumptions!$P$160-Assumptions!$AH$160),Assumptions!$AM$160)))</f>
        <v>-50000</v>
      </c>
      <c r="N805" s="54">
        <f t="shared" si="24"/>
        <v>-64.516129032258064</v>
      </c>
      <c r="O805" s="55">
        <f t="shared" si="25"/>
        <v>3169</v>
      </c>
      <c r="P805" s="29" t="str">
        <f>IF(D805&gt;=Assumptions!$P$160,"High",IF(D805&gt;=Assumptions!$AH$160,"Mid",IF(D805&lt;=Assumptions!$G$160,"Low","Loading")))</f>
        <v>High</v>
      </c>
      <c r="Q805" s="39">
        <f>MAX(K805,MIN(Assumptions!$S$160,O805),Q806)</f>
        <v>3169</v>
      </c>
      <c r="R805" s="30">
        <f>IF(AND(Q805&lt;=K805,INDEX(Assumptions!$C$26:$C$36,MATCH(G805,Assumptions!$A$26:$A$36,0))&lt;&gt;""),INDEX(Assumptions!$C$26:$C$36,MATCH(G805,Assumptions!$A$26:$A$36,0)),ROUND(G805*Q805,-2))</f>
        <v>2456000</v>
      </c>
      <c r="S805" s="56" t="str">
        <f>TRIM(IF(AND(Assumptions!$L$160&lt;&gt;"",D805&lt;Assumptions!$L$160),"View blocked / roof in front ("&amp;Assumptions!$M$160&amp;"); view premium still loading until L"&amp;Assumptions!$L$160&amp;". ","")&amp;IF(D805=Assumptions!$AH$160,"Mid-floor view premium fully loaded. ","")&amp;IF(D805=Assumptions!$P$160,"High-floor view premium fully loaded. ","")&amp;IF(Q805&lt;=K805,"At developer starting price.",""))</f>
        <v/>
      </c>
      <c r="T805" s="57" t="str">
        <f>Assumptions!$AJ$160</f>
        <v>SE: no afternoon sun. Up to 240m pool &amp; landscape</v>
      </c>
    </row>
    <row r="806" spans="1:20" x14ac:dyDescent="0.2">
      <c r="A806" s="49" t="s">
        <v>965</v>
      </c>
      <c r="B806" s="29">
        <v>7</v>
      </c>
      <c r="C806" s="50">
        <v>34</v>
      </c>
      <c r="D806" s="50">
        <v>29</v>
      </c>
      <c r="E806" s="27" t="s">
        <v>44</v>
      </c>
      <c r="F806" s="29" t="s">
        <v>684</v>
      </c>
      <c r="G806" s="28">
        <v>775</v>
      </c>
      <c r="H806" s="29" t="s">
        <v>65</v>
      </c>
      <c r="I806" s="38" t="str">
        <f>Assumptions!$I$160</f>
        <v>B</v>
      </c>
      <c r="J806" s="29" t="str">
        <f>IF(D806&lt;=Assumptions!$V$160,"Low",IF(D806&lt;=Assumptions!$W$160,"Mid","High"))</f>
        <v>High</v>
      </c>
      <c r="K806" s="51">
        <f>Assumptions!$Q$160</f>
        <v>2650</v>
      </c>
      <c r="L806" s="52">
        <f>INDEX(Assumptions!$H$61:$H$90,D806)</f>
        <v>3222.9815789473682</v>
      </c>
      <c r="M806" s="53">
        <f>IF(D806&lt;=Assumptions!$G$160,Assumptions!$AK$160,IF(D806&lt;Assumptions!$AH$160,Assumptions!$AK$160+(Assumptions!$AL$160-Assumptions!$AK$160)*(D806-Assumptions!$G$160)/(Assumptions!$AH$160-Assumptions!$G$160),IF(D806&lt;Assumptions!$P$160,Assumptions!$AL$160+(Assumptions!$AM$160-Assumptions!$AL$160)*(D806-Assumptions!$AH$160)/(Assumptions!$P$160-Assumptions!$AH$160),Assumptions!$AM$160)))</f>
        <v>-50000</v>
      </c>
      <c r="N806" s="54">
        <f t="shared" si="24"/>
        <v>-64.516129032258064</v>
      </c>
      <c r="O806" s="55">
        <f t="shared" si="25"/>
        <v>3158</v>
      </c>
      <c r="P806" s="29" t="str">
        <f>IF(D806&gt;=Assumptions!$P$160,"High",IF(D806&gt;=Assumptions!$AH$160,"Mid",IF(D806&lt;=Assumptions!$G$160,"Low","Loading")))</f>
        <v>High</v>
      </c>
      <c r="Q806" s="39">
        <f>MAX(K806,MIN(Assumptions!$S$160,O806),Q807)</f>
        <v>3158</v>
      </c>
      <c r="R806" s="30">
        <f>IF(AND(Q806&lt;=K806,INDEX(Assumptions!$C$26:$C$36,MATCH(G806,Assumptions!$A$26:$A$36,0))&lt;&gt;""),INDEX(Assumptions!$C$26:$C$36,MATCH(G806,Assumptions!$A$26:$A$36,0)),ROUND(G806*Q806,-2))</f>
        <v>2447500</v>
      </c>
      <c r="S806" s="56" t="str">
        <f>TRIM(IF(AND(Assumptions!$L$160&lt;&gt;"",D806&lt;Assumptions!$L$160),"View blocked / roof in front ("&amp;Assumptions!$M$160&amp;"); view premium still loading until L"&amp;Assumptions!$L$160&amp;". ","")&amp;IF(D806=Assumptions!$AH$160,"Mid-floor view premium fully loaded. ","")&amp;IF(D806=Assumptions!$P$160,"High-floor view premium fully loaded. ","")&amp;IF(Q806&lt;=K806,"At developer starting price.",""))</f>
        <v/>
      </c>
      <c r="T806" s="57" t="str">
        <f>Assumptions!$AJ$160</f>
        <v>SE: no afternoon sun. Up to 240m pool &amp; landscape</v>
      </c>
    </row>
    <row r="807" spans="1:20" x14ac:dyDescent="0.2">
      <c r="A807" s="49" t="s">
        <v>966</v>
      </c>
      <c r="B807" s="29">
        <v>7</v>
      </c>
      <c r="C807" s="50">
        <v>34</v>
      </c>
      <c r="D807" s="50">
        <v>28</v>
      </c>
      <c r="E807" s="27" t="s">
        <v>44</v>
      </c>
      <c r="F807" s="29" t="s">
        <v>684</v>
      </c>
      <c r="G807" s="28">
        <v>775</v>
      </c>
      <c r="H807" s="29" t="s">
        <v>65</v>
      </c>
      <c r="I807" s="38" t="str">
        <f>Assumptions!$I$160</f>
        <v>B</v>
      </c>
      <c r="J807" s="29" t="str">
        <f>IF(D807&lt;=Assumptions!$V$160,"Low",IF(D807&lt;=Assumptions!$W$160,"Mid","High"))</f>
        <v>High</v>
      </c>
      <c r="K807" s="51">
        <f>Assumptions!$Q$160</f>
        <v>2650</v>
      </c>
      <c r="L807" s="52">
        <f>INDEX(Assumptions!$H$61:$H$90,D807)</f>
        <v>3212.4868421052629</v>
      </c>
      <c r="M807" s="53">
        <f>IF(D807&lt;=Assumptions!$G$160,Assumptions!$AK$160,IF(D807&lt;Assumptions!$AH$160,Assumptions!$AK$160+(Assumptions!$AL$160-Assumptions!$AK$160)*(D807-Assumptions!$G$160)/(Assumptions!$AH$160-Assumptions!$G$160),IF(D807&lt;Assumptions!$P$160,Assumptions!$AL$160+(Assumptions!$AM$160-Assumptions!$AL$160)*(D807-Assumptions!$AH$160)/(Assumptions!$P$160-Assumptions!$AH$160),Assumptions!$AM$160)))</f>
        <v>-50000</v>
      </c>
      <c r="N807" s="54">
        <f t="shared" si="24"/>
        <v>-64.516129032258064</v>
      </c>
      <c r="O807" s="55">
        <f t="shared" si="25"/>
        <v>3148</v>
      </c>
      <c r="P807" s="29" t="str">
        <f>IF(D807&gt;=Assumptions!$P$160,"High",IF(D807&gt;=Assumptions!$AH$160,"Mid",IF(D807&lt;=Assumptions!$G$160,"Low","Loading")))</f>
        <v>High</v>
      </c>
      <c r="Q807" s="39">
        <f>MAX(K807,MIN(Assumptions!$S$160,O807),Q808)</f>
        <v>3148</v>
      </c>
      <c r="R807" s="30">
        <f>IF(AND(Q807&lt;=K807,INDEX(Assumptions!$C$26:$C$36,MATCH(G807,Assumptions!$A$26:$A$36,0))&lt;&gt;""),INDEX(Assumptions!$C$26:$C$36,MATCH(G807,Assumptions!$A$26:$A$36,0)),ROUND(G807*Q807,-2))</f>
        <v>2439700</v>
      </c>
      <c r="S807" s="56" t="str">
        <f>TRIM(IF(AND(Assumptions!$L$160&lt;&gt;"",D807&lt;Assumptions!$L$160),"View blocked / roof in front ("&amp;Assumptions!$M$160&amp;"); view premium still loading until L"&amp;Assumptions!$L$160&amp;". ","")&amp;IF(D807=Assumptions!$AH$160,"Mid-floor view premium fully loaded. ","")&amp;IF(D807=Assumptions!$P$160,"High-floor view premium fully loaded. ","")&amp;IF(Q807&lt;=K807,"At developer starting price.",""))</f>
        <v/>
      </c>
      <c r="T807" s="57" t="str">
        <f>Assumptions!$AJ$160</f>
        <v>SE: no afternoon sun. Up to 240m pool &amp; landscape</v>
      </c>
    </row>
    <row r="808" spans="1:20" x14ac:dyDescent="0.2">
      <c r="A808" s="49" t="s">
        <v>967</v>
      </c>
      <c r="B808" s="29">
        <v>7</v>
      </c>
      <c r="C808" s="50">
        <v>34</v>
      </c>
      <c r="D808" s="50">
        <v>27</v>
      </c>
      <c r="E808" s="27" t="s">
        <v>44</v>
      </c>
      <c r="F808" s="29" t="s">
        <v>684</v>
      </c>
      <c r="G808" s="28">
        <v>775</v>
      </c>
      <c r="H808" s="29" t="s">
        <v>65</v>
      </c>
      <c r="I808" s="38" t="str">
        <f>Assumptions!$I$160</f>
        <v>B</v>
      </c>
      <c r="J808" s="29" t="str">
        <f>IF(D808&lt;=Assumptions!$V$160,"Low",IF(D808&lt;=Assumptions!$W$160,"Mid","High"))</f>
        <v>High</v>
      </c>
      <c r="K808" s="51">
        <f>Assumptions!$Q$160</f>
        <v>2650</v>
      </c>
      <c r="L808" s="52">
        <f>INDEX(Assumptions!$H$61:$H$90,D808)</f>
        <v>3201.992105263158</v>
      </c>
      <c r="M808" s="53">
        <f>IF(D808&lt;=Assumptions!$G$160,Assumptions!$AK$160,IF(D808&lt;Assumptions!$AH$160,Assumptions!$AK$160+(Assumptions!$AL$160-Assumptions!$AK$160)*(D808-Assumptions!$G$160)/(Assumptions!$AH$160-Assumptions!$G$160),IF(D808&lt;Assumptions!$P$160,Assumptions!$AL$160+(Assumptions!$AM$160-Assumptions!$AL$160)*(D808-Assumptions!$AH$160)/(Assumptions!$P$160-Assumptions!$AH$160),Assumptions!$AM$160)))</f>
        <v>-50000</v>
      </c>
      <c r="N808" s="54">
        <f t="shared" si="24"/>
        <v>-64.516129032258064</v>
      </c>
      <c r="O808" s="55">
        <f t="shared" si="25"/>
        <v>3137</v>
      </c>
      <c r="P808" s="29" t="str">
        <f>IF(D808&gt;=Assumptions!$P$160,"High",IF(D808&gt;=Assumptions!$AH$160,"Mid",IF(D808&lt;=Assumptions!$G$160,"Low","Loading")))</f>
        <v>High</v>
      </c>
      <c r="Q808" s="39">
        <f>MAX(K808,MIN(Assumptions!$S$160,O808),Q809)</f>
        <v>3137</v>
      </c>
      <c r="R808" s="30">
        <f>IF(AND(Q808&lt;=K808,INDEX(Assumptions!$C$26:$C$36,MATCH(G808,Assumptions!$A$26:$A$36,0))&lt;&gt;""),INDEX(Assumptions!$C$26:$C$36,MATCH(G808,Assumptions!$A$26:$A$36,0)),ROUND(G808*Q808,-2))</f>
        <v>2431200</v>
      </c>
      <c r="S808" s="56" t="str">
        <f>TRIM(IF(AND(Assumptions!$L$160&lt;&gt;"",D808&lt;Assumptions!$L$160),"View blocked / roof in front ("&amp;Assumptions!$M$160&amp;"); view premium still loading until L"&amp;Assumptions!$L$160&amp;". ","")&amp;IF(D808=Assumptions!$AH$160,"Mid-floor view premium fully loaded. ","")&amp;IF(D808=Assumptions!$P$160,"High-floor view premium fully loaded. ","")&amp;IF(Q808&lt;=K808,"At developer starting price.",""))</f>
        <v/>
      </c>
      <c r="T808" s="57" t="str">
        <f>Assumptions!$AJ$160</f>
        <v>SE: no afternoon sun. Up to 240m pool &amp; landscape</v>
      </c>
    </row>
    <row r="809" spans="1:20" x14ac:dyDescent="0.2">
      <c r="A809" s="49" t="s">
        <v>968</v>
      </c>
      <c r="B809" s="29">
        <v>7</v>
      </c>
      <c r="C809" s="50">
        <v>34</v>
      </c>
      <c r="D809" s="50">
        <v>26</v>
      </c>
      <c r="E809" s="27" t="s">
        <v>44</v>
      </c>
      <c r="F809" s="29" t="s">
        <v>684</v>
      </c>
      <c r="G809" s="28">
        <v>775</v>
      </c>
      <c r="H809" s="29" t="s">
        <v>65</v>
      </c>
      <c r="I809" s="38" t="str">
        <f>Assumptions!$I$160</f>
        <v>B</v>
      </c>
      <c r="J809" s="29" t="str">
        <f>IF(D809&lt;=Assumptions!$V$160,"Low",IF(D809&lt;=Assumptions!$W$160,"Mid","High"))</f>
        <v>High</v>
      </c>
      <c r="K809" s="51">
        <f>Assumptions!$Q$160</f>
        <v>2650</v>
      </c>
      <c r="L809" s="52">
        <f>INDEX(Assumptions!$H$61:$H$90,D809)</f>
        <v>3191.4973684210527</v>
      </c>
      <c r="M809" s="53">
        <f>IF(D809&lt;=Assumptions!$G$160,Assumptions!$AK$160,IF(D809&lt;Assumptions!$AH$160,Assumptions!$AK$160+(Assumptions!$AL$160-Assumptions!$AK$160)*(D809-Assumptions!$G$160)/(Assumptions!$AH$160-Assumptions!$G$160),IF(D809&lt;Assumptions!$P$160,Assumptions!$AL$160+(Assumptions!$AM$160-Assumptions!$AL$160)*(D809-Assumptions!$AH$160)/(Assumptions!$P$160-Assumptions!$AH$160),Assumptions!$AM$160)))</f>
        <v>-50000</v>
      </c>
      <c r="N809" s="54">
        <f t="shared" si="24"/>
        <v>-64.516129032258064</v>
      </c>
      <c r="O809" s="55">
        <f t="shared" si="25"/>
        <v>3127</v>
      </c>
      <c r="P809" s="29" t="str">
        <f>IF(D809&gt;=Assumptions!$P$160,"High",IF(D809&gt;=Assumptions!$AH$160,"Mid",IF(D809&lt;=Assumptions!$G$160,"Low","Loading")))</f>
        <v>High</v>
      </c>
      <c r="Q809" s="39">
        <f>MAX(K809,MIN(Assumptions!$S$160,O809),Q810)</f>
        <v>3127</v>
      </c>
      <c r="R809" s="30">
        <f>IF(AND(Q809&lt;=K809,INDEX(Assumptions!$C$26:$C$36,MATCH(G809,Assumptions!$A$26:$A$36,0))&lt;&gt;""),INDEX(Assumptions!$C$26:$C$36,MATCH(G809,Assumptions!$A$26:$A$36,0)),ROUND(G809*Q809,-2))</f>
        <v>2423400</v>
      </c>
      <c r="S809" s="56" t="str">
        <f>TRIM(IF(AND(Assumptions!$L$160&lt;&gt;"",D809&lt;Assumptions!$L$160),"View blocked / roof in front ("&amp;Assumptions!$M$160&amp;"); view premium still loading until L"&amp;Assumptions!$L$160&amp;". ","")&amp;IF(D809=Assumptions!$AH$160,"Mid-floor view premium fully loaded. ","")&amp;IF(D809=Assumptions!$P$160,"High-floor view premium fully loaded. ","")&amp;IF(Q809&lt;=K809,"At developer starting price.",""))</f>
        <v/>
      </c>
      <c r="T809" s="57" t="str">
        <f>Assumptions!$AJ$160</f>
        <v>SE: no afternoon sun. Up to 240m pool &amp; landscape</v>
      </c>
    </row>
    <row r="810" spans="1:20" x14ac:dyDescent="0.2">
      <c r="A810" s="49" t="s">
        <v>969</v>
      </c>
      <c r="B810" s="29">
        <v>7</v>
      </c>
      <c r="C810" s="50">
        <v>34</v>
      </c>
      <c r="D810" s="50">
        <v>25</v>
      </c>
      <c r="E810" s="27" t="s">
        <v>44</v>
      </c>
      <c r="F810" s="29" t="s">
        <v>684</v>
      </c>
      <c r="G810" s="28">
        <v>775</v>
      </c>
      <c r="H810" s="29" t="s">
        <v>65</v>
      </c>
      <c r="I810" s="38" t="str">
        <f>Assumptions!$I$160</f>
        <v>B</v>
      </c>
      <c r="J810" s="29" t="str">
        <f>IF(D810&lt;=Assumptions!$V$160,"Low",IF(D810&lt;=Assumptions!$W$160,"Mid","High"))</f>
        <v>High</v>
      </c>
      <c r="K810" s="51">
        <f>Assumptions!$Q$160</f>
        <v>2650</v>
      </c>
      <c r="L810" s="52">
        <f>INDEX(Assumptions!$H$61:$H$90,D810)</f>
        <v>3181.0026315789473</v>
      </c>
      <c r="M810" s="53">
        <f>IF(D810&lt;=Assumptions!$G$160,Assumptions!$AK$160,IF(D810&lt;Assumptions!$AH$160,Assumptions!$AK$160+(Assumptions!$AL$160-Assumptions!$AK$160)*(D810-Assumptions!$G$160)/(Assumptions!$AH$160-Assumptions!$G$160),IF(D810&lt;Assumptions!$P$160,Assumptions!$AL$160+(Assumptions!$AM$160-Assumptions!$AL$160)*(D810-Assumptions!$AH$160)/(Assumptions!$P$160-Assumptions!$AH$160),Assumptions!$AM$160)))</f>
        <v>-50000</v>
      </c>
      <c r="N810" s="54">
        <f t="shared" si="24"/>
        <v>-64.516129032258064</v>
      </c>
      <c r="O810" s="55">
        <f t="shared" si="25"/>
        <v>3116</v>
      </c>
      <c r="P810" s="29" t="str">
        <f>IF(D810&gt;=Assumptions!$P$160,"High",IF(D810&gt;=Assumptions!$AH$160,"Mid",IF(D810&lt;=Assumptions!$G$160,"Low","Loading")))</f>
        <v>High</v>
      </c>
      <c r="Q810" s="39">
        <f>MAX(K810,MIN(Assumptions!$S$160,O810),Q811)</f>
        <v>3116</v>
      </c>
      <c r="R810" s="30">
        <f>IF(AND(Q810&lt;=K810,INDEX(Assumptions!$C$26:$C$36,MATCH(G810,Assumptions!$A$26:$A$36,0))&lt;&gt;""),INDEX(Assumptions!$C$26:$C$36,MATCH(G810,Assumptions!$A$26:$A$36,0)),ROUND(G810*Q810,-2))</f>
        <v>2414900</v>
      </c>
      <c r="S810" s="56" t="str">
        <f>TRIM(IF(AND(Assumptions!$L$160&lt;&gt;"",D810&lt;Assumptions!$L$160),"View blocked / roof in front ("&amp;Assumptions!$M$160&amp;"); view premium still loading until L"&amp;Assumptions!$L$160&amp;". ","")&amp;IF(D810=Assumptions!$AH$160,"Mid-floor view premium fully loaded. ","")&amp;IF(D810=Assumptions!$P$160,"High-floor view premium fully loaded. ","")&amp;IF(Q810&lt;=K810,"At developer starting price.",""))</f>
        <v/>
      </c>
      <c r="T810" s="57" t="str">
        <f>Assumptions!$AJ$160</f>
        <v>SE: no afternoon sun. Up to 240m pool &amp; landscape</v>
      </c>
    </row>
    <row r="811" spans="1:20" x14ac:dyDescent="0.2">
      <c r="A811" s="49" t="s">
        <v>970</v>
      </c>
      <c r="B811" s="29">
        <v>7</v>
      </c>
      <c r="C811" s="50">
        <v>34</v>
      </c>
      <c r="D811" s="50">
        <v>24</v>
      </c>
      <c r="E811" s="27" t="s">
        <v>44</v>
      </c>
      <c r="F811" s="29" t="s">
        <v>684</v>
      </c>
      <c r="G811" s="28">
        <v>775</v>
      </c>
      <c r="H811" s="29" t="s">
        <v>65</v>
      </c>
      <c r="I811" s="38" t="str">
        <f>Assumptions!$I$160</f>
        <v>B</v>
      </c>
      <c r="J811" s="29" t="str">
        <f>IF(D811&lt;=Assumptions!$V$160,"Low",IF(D811&lt;=Assumptions!$W$160,"Mid","High"))</f>
        <v>High</v>
      </c>
      <c r="K811" s="51">
        <f>Assumptions!$Q$160</f>
        <v>2650</v>
      </c>
      <c r="L811" s="52">
        <f>INDEX(Assumptions!$H$61:$H$90,D811)</f>
        <v>3170.507894736842</v>
      </c>
      <c r="M811" s="53">
        <f>IF(D811&lt;=Assumptions!$G$160,Assumptions!$AK$160,IF(D811&lt;Assumptions!$AH$160,Assumptions!$AK$160+(Assumptions!$AL$160-Assumptions!$AK$160)*(D811-Assumptions!$G$160)/(Assumptions!$AH$160-Assumptions!$G$160),IF(D811&lt;Assumptions!$P$160,Assumptions!$AL$160+(Assumptions!$AM$160-Assumptions!$AL$160)*(D811-Assumptions!$AH$160)/(Assumptions!$P$160-Assumptions!$AH$160),Assumptions!$AM$160)))</f>
        <v>-50000</v>
      </c>
      <c r="N811" s="54">
        <f t="shared" si="24"/>
        <v>-64.516129032258064</v>
      </c>
      <c r="O811" s="55">
        <f t="shared" si="25"/>
        <v>3106</v>
      </c>
      <c r="P811" s="29" t="str">
        <f>IF(D811&gt;=Assumptions!$P$160,"High",IF(D811&gt;=Assumptions!$AH$160,"Mid",IF(D811&lt;=Assumptions!$G$160,"Low","Loading")))</f>
        <v>High</v>
      </c>
      <c r="Q811" s="39">
        <f>MAX(K811,MIN(Assumptions!$S$160,O811),Q812)</f>
        <v>3106</v>
      </c>
      <c r="R811" s="30">
        <f>IF(AND(Q811&lt;=K811,INDEX(Assumptions!$C$26:$C$36,MATCH(G811,Assumptions!$A$26:$A$36,0))&lt;&gt;""),INDEX(Assumptions!$C$26:$C$36,MATCH(G811,Assumptions!$A$26:$A$36,0)),ROUND(G811*Q811,-2))</f>
        <v>2407200</v>
      </c>
      <c r="S811" s="56" t="str">
        <f>TRIM(IF(AND(Assumptions!$L$160&lt;&gt;"",D811&lt;Assumptions!$L$160),"View blocked / roof in front ("&amp;Assumptions!$M$160&amp;"); view premium still loading until L"&amp;Assumptions!$L$160&amp;". ","")&amp;IF(D811=Assumptions!$AH$160,"Mid-floor view premium fully loaded. ","")&amp;IF(D811=Assumptions!$P$160,"High-floor view premium fully loaded. ","")&amp;IF(Q811&lt;=K811,"At developer starting price.",""))</f>
        <v/>
      </c>
      <c r="T811" s="57" t="str">
        <f>Assumptions!$AJ$160</f>
        <v>SE: no afternoon sun. Up to 240m pool &amp; landscape</v>
      </c>
    </row>
    <row r="812" spans="1:20" x14ac:dyDescent="0.2">
      <c r="A812" s="49" t="s">
        <v>971</v>
      </c>
      <c r="B812" s="29">
        <v>7</v>
      </c>
      <c r="C812" s="50">
        <v>34</v>
      </c>
      <c r="D812" s="50">
        <v>23</v>
      </c>
      <c r="E812" s="27" t="s">
        <v>44</v>
      </c>
      <c r="F812" s="29" t="s">
        <v>684</v>
      </c>
      <c r="G812" s="28">
        <v>775</v>
      </c>
      <c r="H812" s="29" t="s">
        <v>65</v>
      </c>
      <c r="I812" s="38" t="str">
        <f>Assumptions!$I$160</f>
        <v>B</v>
      </c>
      <c r="J812" s="29" t="str">
        <f>IF(D812&lt;=Assumptions!$V$160,"Low",IF(D812&lt;=Assumptions!$W$160,"Mid","High"))</f>
        <v>High</v>
      </c>
      <c r="K812" s="51">
        <f>Assumptions!$Q$160</f>
        <v>2650</v>
      </c>
      <c r="L812" s="52">
        <f>INDEX(Assumptions!$H$61:$H$90,D812)</f>
        <v>3160.0131578947371</v>
      </c>
      <c r="M812" s="53">
        <f>IF(D812&lt;=Assumptions!$G$160,Assumptions!$AK$160,IF(D812&lt;Assumptions!$AH$160,Assumptions!$AK$160+(Assumptions!$AL$160-Assumptions!$AK$160)*(D812-Assumptions!$G$160)/(Assumptions!$AH$160-Assumptions!$G$160),IF(D812&lt;Assumptions!$P$160,Assumptions!$AL$160+(Assumptions!$AM$160-Assumptions!$AL$160)*(D812-Assumptions!$AH$160)/(Assumptions!$P$160-Assumptions!$AH$160),Assumptions!$AM$160)))</f>
        <v>-50000</v>
      </c>
      <c r="N812" s="54">
        <f t="shared" si="24"/>
        <v>-64.516129032258064</v>
      </c>
      <c r="O812" s="55">
        <f t="shared" si="25"/>
        <v>3095</v>
      </c>
      <c r="P812" s="29" t="str">
        <f>IF(D812&gt;=Assumptions!$P$160,"High",IF(D812&gt;=Assumptions!$AH$160,"Mid",IF(D812&lt;=Assumptions!$G$160,"Low","Loading")))</f>
        <v>High</v>
      </c>
      <c r="Q812" s="39">
        <f>MAX(K812,MIN(Assumptions!$S$160,O812),Q813)</f>
        <v>3095</v>
      </c>
      <c r="R812" s="30">
        <f>IF(AND(Q812&lt;=K812,INDEX(Assumptions!$C$26:$C$36,MATCH(G812,Assumptions!$A$26:$A$36,0))&lt;&gt;""),INDEX(Assumptions!$C$26:$C$36,MATCH(G812,Assumptions!$A$26:$A$36,0)),ROUND(G812*Q812,-2))</f>
        <v>2398600</v>
      </c>
      <c r="S812" s="56" t="str">
        <f>TRIM(IF(AND(Assumptions!$L$160&lt;&gt;"",D812&lt;Assumptions!$L$160),"View blocked / roof in front ("&amp;Assumptions!$M$160&amp;"); view premium still loading until L"&amp;Assumptions!$L$160&amp;". ","")&amp;IF(D812=Assumptions!$AH$160,"Mid-floor view premium fully loaded. ","")&amp;IF(D812=Assumptions!$P$160,"High-floor view premium fully loaded. ","")&amp;IF(Q812&lt;=K812,"At developer starting price.",""))</f>
        <v/>
      </c>
      <c r="T812" s="57" t="str">
        <f>Assumptions!$AJ$160</f>
        <v>SE: no afternoon sun. Up to 240m pool &amp; landscape</v>
      </c>
    </row>
    <row r="813" spans="1:20" x14ac:dyDescent="0.2">
      <c r="A813" s="49" t="s">
        <v>972</v>
      </c>
      <c r="B813" s="29">
        <v>7</v>
      </c>
      <c r="C813" s="50">
        <v>34</v>
      </c>
      <c r="D813" s="50">
        <v>22</v>
      </c>
      <c r="E813" s="27" t="s">
        <v>44</v>
      </c>
      <c r="F813" s="29" t="s">
        <v>684</v>
      </c>
      <c r="G813" s="28">
        <v>775</v>
      </c>
      <c r="H813" s="29" t="s">
        <v>65</v>
      </c>
      <c r="I813" s="38" t="str">
        <f>Assumptions!$I$160</f>
        <v>B</v>
      </c>
      <c r="J813" s="29" t="str">
        <f>IF(D813&lt;=Assumptions!$V$160,"Low",IF(D813&lt;=Assumptions!$W$160,"Mid","High"))</f>
        <v>High</v>
      </c>
      <c r="K813" s="51">
        <f>Assumptions!$Q$160</f>
        <v>2650</v>
      </c>
      <c r="L813" s="52">
        <f>INDEX(Assumptions!$H$61:$H$90,D813)</f>
        <v>3149.5184210526318</v>
      </c>
      <c r="M813" s="53">
        <f>IF(D813&lt;=Assumptions!$G$160,Assumptions!$AK$160,IF(D813&lt;Assumptions!$AH$160,Assumptions!$AK$160+(Assumptions!$AL$160-Assumptions!$AK$160)*(D813-Assumptions!$G$160)/(Assumptions!$AH$160-Assumptions!$G$160),IF(D813&lt;Assumptions!$P$160,Assumptions!$AL$160+(Assumptions!$AM$160-Assumptions!$AL$160)*(D813-Assumptions!$AH$160)/(Assumptions!$P$160-Assumptions!$AH$160),Assumptions!$AM$160)))</f>
        <v>-50000</v>
      </c>
      <c r="N813" s="54">
        <f t="shared" si="24"/>
        <v>-64.516129032258064</v>
      </c>
      <c r="O813" s="55">
        <f t="shared" si="25"/>
        <v>3085</v>
      </c>
      <c r="P813" s="29" t="str">
        <f>IF(D813&gt;=Assumptions!$P$160,"High",IF(D813&gt;=Assumptions!$AH$160,"Mid",IF(D813&lt;=Assumptions!$G$160,"Low","Loading")))</f>
        <v>High</v>
      </c>
      <c r="Q813" s="39">
        <f>MAX(K813,MIN(Assumptions!$S$160,O813),Q814)</f>
        <v>3085</v>
      </c>
      <c r="R813" s="30">
        <f>IF(AND(Q813&lt;=K813,INDEX(Assumptions!$C$26:$C$36,MATCH(G813,Assumptions!$A$26:$A$36,0))&lt;&gt;""),INDEX(Assumptions!$C$26:$C$36,MATCH(G813,Assumptions!$A$26:$A$36,0)),ROUND(G813*Q813,-2))</f>
        <v>2390900</v>
      </c>
      <c r="S813" s="56" t="str">
        <f>TRIM(IF(AND(Assumptions!$L$160&lt;&gt;"",D813&lt;Assumptions!$L$160),"View blocked / roof in front ("&amp;Assumptions!$M$160&amp;"); view premium still loading until L"&amp;Assumptions!$L$160&amp;". ","")&amp;IF(D813=Assumptions!$AH$160,"Mid-floor view premium fully loaded. ","")&amp;IF(D813=Assumptions!$P$160,"High-floor view premium fully loaded. ","")&amp;IF(Q813&lt;=K813,"At developer starting price.",""))</f>
        <v/>
      </c>
      <c r="T813" s="57" t="str">
        <f>Assumptions!$AJ$160</f>
        <v>SE: no afternoon sun. Up to 240m pool &amp; landscape</v>
      </c>
    </row>
    <row r="814" spans="1:20" x14ac:dyDescent="0.2">
      <c r="A814" s="49" t="s">
        <v>973</v>
      </c>
      <c r="B814" s="29">
        <v>7</v>
      </c>
      <c r="C814" s="50">
        <v>34</v>
      </c>
      <c r="D814" s="50">
        <v>21</v>
      </c>
      <c r="E814" s="27" t="s">
        <v>44</v>
      </c>
      <c r="F814" s="29" t="s">
        <v>684</v>
      </c>
      <c r="G814" s="28">
        <v>775</v>
      </c>
      <c r="H814" s="29" t="s">
        <v>65</v>
      </c>
      <c r="I814" s="38" t="str">
        <f>Assumptions!$I$160</f>
        <v>B</v>
      </c>
      <c r="J814" s="29" t="str">
        <f>IF(D814&lt;=Assumptions!$V$160,"Low",IF(D814&lt;=Assumptions!$W$160,"Mid","High"))</f>
        <v>High</v>
      </c>
      <c r="K814" s="51">
        <f>Assumptions!$Q$160</f>
        <v>2650</v>
      </c>
      <c r="L814" s="52">
        <f>INDEX(Assumptions!$H$61:$H$90,D814)</f>
        <v>3139.0236842105264</v>
      </c>
      <c r="M814" s="53">
        <f>IF(D814&lt;=Assumptions!$G$160,Assumptions!$AK$160,IF(D814&lt;Assumptions!$AH$160,Assumptions!$AK$160+(Assumptions!$AL$160-Assumptions!$AK$160)*(D814-Assumptions!$G$160)/(Assumptions!$AH$160-Assumptions!$G$160),IF(D814&lt;Assumptions!$P$160,Assumptions!$AL$160+(Assumptions!$AM$160-Assumptions!$AL$160)*(D814-Assumptions!$AH$160)/(Assumptions!$P$160-Assumptions!$AH$160),Assumptions!$AM$160)))</f>
        <v>-50000</v>
      </c>
      <c r="N814" s="54">
        <f t="shared" si="24"/>
        <v>-64.516129032258064</v>
      </c>
      <c r="O814" s="55">
        <f t="shared" si="25"/>
        <v>3075</v>
      </c>
      <c r="P814" s="29" t="str">
        <f>IF(D814&gt;=Assumptions!$P$160,"High",IF(D814&gt;=Assumptions!$AH$160,"Mid",IF(D814&lt;=Assumptions!$G$160,"Low","Loading")))</f>
        <v>High</v>
      </c>
      <c r="Q814" s="39">
        <f>MAX(K814,MIN(Assumptions!$S$160,O814),Q815)</f>
        <v>3075</v>
      </c>
      <c r="R814" s="30">
        <f>IF(AND(Q814&lt;=K814,INDEX(Assumptions!$C$26:$C$36,MATCH(G814,Assumptions!$A$26:$A$36,0))&lt;&gt;""),INDEX(Assumptions!$C$26:$C$36,MATCH(G814,Assumptions!$A$26:$A$36,0)),ROUND(G814*Q814,-2))</f>
        <v>2383100</v>
      </c>
      <c r="S814" s="56" t="str">
        <f>TRIM(IF(AND(Assumptions!$L$160&lt;&gt;"",D814&lt;Assumptions!$L$160),"View blocked / roof in front ("&amp;Assumptions!$M$160&amp;"); view premium still loading until L"&amp;Assumptions!$L$160&amp;". ","")&amp;IF(D814=Assumptions!$AH$160,"Mid-floor view premium fully loaded. ","")&amp;IF(D814=Assumptions!$P$160,"High-floor view premium fully loaded. ","")&amp;IF(Q814&lt;=K814,"At developer starting price.",""))</f>
        <v>High-floor view premium fully loaded.</v>
      </c>
      <c r="T814" s="57" t="str">
        <f>Assumptions!$AJ$160</f>
        <v>SE: no afternoon sun. Up to 240m pool &amp; landscape</v>
      </c>
    </row>
    <row r="815" spans="1:20" x14ac:dyDescent="0.2">
      <c r="A815" s="49" t="s">
        <v>974</v>
      </c>
      <c r="B815" s="29">
        <v>7</v>
      </c>
      <c r="C815" s="50">
        <v>34</v>
      </c>
      <c r="D815" s="50">
        <v>20</v>
      </c>
      <c r="E815" s="27" t="s">
        <v>44</v>
      </c>
      <c r="F815" s="29" t="s">
        <v>684</v>
      </c>
      <c r="G815" s="28">
        <v>775</v>
      </c>
      <c r="H815" s="29" t="s">
        <v>65</v>
      </c>
      <c r="I815" s="38" t="str">
        <f>Assumptions!$I$160</f>
        <v>B</v>
      </c>
      <c r="J815" s="29" t="str">
        <f>IF(D815&lt;=Assumptions!$V$160,"Low",IF(D815&lt;=Assumptions!$W$160,"Mid","High"))</f>
        <v>Mid</v>
      </c>
      <c r="K815" s="51">
        <f>Assumptions!$Q$160</f>
        <v>2650</v>
      </c>
      <c r="L815" s="52">
        <f>INDEX(Assumptions!$H$61:$H$90,D815)</f>
        <v>3121.3289473684208</v>
      </c>
      <c r="M815" s="53">
        <f>IF(D815&lt;=Assumptions!$G$160,Assumptions!$AK$160,IF(D815&lt;Assumptions!$AH$160,Assumptions!$AK$160+(Assumptions!$AL$160-Assumptions!$AK$160)*(D815-Assumptions!$G$160)/(Assumptions!$AH$160-Assumptions!$G$160),IF(D815&lt;Assumptions!$P$160,Assumptions!$AL$160+(Assumptions!$AM$160-Assumptions!$AL$160)*(D815-Assumptions!$AH$160)/(Assumptions!$P$160-Assumptions!$AH$160),Assumptions!$AM$160)))</f>
        <v>-44444.444444444445</v>
      </c>
      <c r="N815" s="54">
        <f t="shared" si="24"/>
        <v>-57.347670250896059</v>
      </c>
      <c r="O815" s="55">
        <f t="shared" si="25"/>
        <v>3064</v>
      </c>
      <c r="P815" s="29" t="str">
        <f>IF(D815&gt;=Assumptions!$P$160,"High",IF(D815&gt;=Assumptions!$AH$160,"Mid",IF(D815&lt;=Assumptions!$G$160,"Low","Loading")))</f>
        <v>Mid</v>
      </c>
      <c r="Q815" s="39">
        <f>MAX(K815,MIN(Assumptions!$S$160,O815),Q816)</f>
        <v>3064</v>
      </c>
      <c r="R815" s="30">
        <f>IF(AND(Q815&lt;=K815,INDEX(Assumptions!$C$26:$C$36,MATCH(G815,Assumptions!$A$26:$A$36,0))&lt;&gt;""),INDEX(Assumptions!$C$26:$C$36,MATCH(G815,Assumptions!$A$26:$A$36,0)),ROUND(G815*Q815,-2))</f>
        <v>2374600</v>
      </c>
      <c r="S815" s="56" t="str">
        <f>TRIM(IF(AND(Assumptions!$L$160&lt;&gt;"",D815&lt;Assumptions!$L$160),"View blocked / roof in front ("&amp;Assumptions!$M$160&amp;"); view premium still loading until L"&amp;Assumptions!$L$160&amp;". ","")&amp;IF(D815=Assumptions!$AH$160,"Mid-floor view premium fully loaded. ","")&amp;IF(D815=Assumptions!$P$160,"High-floor view premium fully loaded. ","")&amp;IF(Q815&lt;=K815,"At developer starting price.",""))</f>
        <v/>
      </c>
      <c r="T815" s="57" t="str">
        <f>Assumptions!$AJ$160</f>
        <v>SE: no afternoon sun. Up to 240m pool &amp; landscape</v>
      </c>
    </row>
    <row r="816" spans="1:20" x14ac:dyDescent="0.2">
      <c r="A816" s="49" t="s">
        <v>975</v>
      </c>
      <c r="B816" s="29">
        <v>7</v>
      </c>
      <c r="C816" s="50">
        <v>34</v>
      </c>
      <c r="D816" s="50">
        <v>19</v>
      </c>
      <c r="E816" s="27" t="s">
        <v>44</v>
      </c>
      <c r="F816" s="29" t="s">
        <v>684</v>
      </c>
      <c r="G816" s="28">
        <v>775</v>
      </c>
      <c r="H816" s="29" t="s">
        <v>65</v>
      </c>
      <c r="I816" s="38" t="str">
        <f>Assumptions!$I$160</f>
        <v>B</v>
      </c>
      <c r="J816" s="29" t="str">
        <f>IF(D816&lt;=Assumptions!$V$160,"Low",IF(D816&lt;=Assumptions!$W$160,"Mid","High"))</f>
        <v>Mid</v>
      </c>
      <c r="K816" s="51">
        <f>Assumptions!$Q$160</f>
        <v>2650</v>
      </c>
      <c r="L816" s="52">
        <f>INDEX(Assumptions!$H$61:$H$90,D816)</f>
        <v>3103.6342105263157</v>
      </c>
      <c r="M816" s="53">
        <f>IF(D816&lt;=Assumptions!$G$160,Assumptions!$AK$160,IF(D816&lt;Assumptions!$AH$160,Assumptions!$AK$160+(Assumptions!$AL$160-Assumptions!$AK$160)*(D816-Assumptions!$G$160)/(Assumptions!$AH$160-Assumptions!$G$160),IF(D816&lt;Assumptions!$P$160,Assumptions!$AL$160+(Assumptions!$AM$160-Assumptions!$AL$160)*(D816-Assumptions!$AH$160)/(Assumptions!$P$160-Assumptions!$AH$160),Assumptions!$AM$160)))</f>
        <v>-38888.888888888891</v>
      </c>
      <c r="N816" s="54">
        <f t="shared" si="24"/>
        <v>-50.179211469534053</v>
      </c>
      <c r="O816" s="55">
        <f t="shared" si="25"/>
        <v>3053</v>
      </c>
      <c r="P816" s="29" t="str">
        <f>IF(D816&gt;=Assumptions!$P$160,"High",IF(D816&gt;=Assumptions!$AH$160,"Mid",IF(D816&lt;=Assumptions!$G$160,"Low","Loading")))</f>
        <v>Mid</v>
      </c>
      <c r="Q816" s="39">
        <f>MAX(K816,MIN(Assumptions!$S$160,O816),Q817)</f>
        <v>3053</v>
      </c>
      <c r="R816" s="30">
        <f>IF(AND(Q816&lt;=K816,INDEX(Assumptions!$C$26:$C$36,MATCH(G816,Assumptions!$A$26:$A$36,0))&lt;&gt;""),INDEX(Assumptions!$C$26:$C$36,MATCH(G816,Assumptions!$A$26:$A$36,0)),ROUND(G816*Q816,-2))</f>
        <v>2366100</v>
      </c>
      <c r="S816" s="56" t="str">
        <f>TRIM(IF(AND(Assumptions!$L$160&lt;&gt;"",D816&lt;Assumptions!$L$160),"View blocked / roof in front ("&amp;Assumptions!$M$160&amp;"); view premium still loading until L"&amp;Assumptions!$L$160&amp;". ","")&amp;IF(D816=Assumptions!$AH$160,"Mid-floor view premium fully loaded. ","")&amp;IF(D816=Assumptions!$P$160,"High-floor view premium fully loaded. ","")&amp;IF(Q816&lt;=K816,"At developer starting price.",""))</f>
        <v/>
      </c>
      <c r="T816" s="57" t="str">
        <f>Assumptions!$AJ$160</f>
        <v>SE: no afternoon sun. Up to 240m pool &amp; landscape</v>
      </c>
    </row>
    <row r="817" spans="1:20" x14ac:dyDescent="0.2">
      <c r="A817" s="49" t="s">
        <v>976</v>
      </c>
      <c r="B817" s="29">
        <v>7</v>
      </c>
      <c r="C817" s="50">
        <v>34</v>
      </c>
      <c r="D817" s="50">
        <v>18</v>
      </c>
      <c r="E817" s="27" t="s">
        <v>44</v>
      </c>
      <c r="F817" s="29" t="s">
        <v>684</v>
      </c>
      <c r="G817" s="28">
        <v>775</v>
      </c>
      <c r="H817" s="29" t="s">
        <v>65</v>
      </c>
      <c r="I817" s="38" t="str">
        <f>Assumptions!$I$160</f>
        <v>B</v>
      </c>
      <c r="J817" s="29" t="str">
        <f>IF(D817&lt;=Assumptions!$V$160,"Low",IF(D817&lt;=Assumptions!$W$160,"Mid","High"))</f>
        <v>Mid</v>
      </c>
      <c r="K817" s="51">
        <f>Assumptions!$Q$160</f>
        <v>2650</v>
      </c>
      <c r="L817" s="52">
        <f>INDEX(Assumptions!$H$61:$H$90,D817)</f>
        <v>3085.939473684211</v>
      </c>
      <c r="M817" s="53">
        <f>IF(D817&lt;=Assumptions!$G$160,Assumptions!$AK$160,IF(D817&lt;Assumptions!$AH$160,Assumptions!$AK$160+(Assumptions!$AL$160-Assumptions!$AK$160)*(D817-Assumptions!$G$160)/(Assumptions!$AH$160-Assumptions!$G$160),IF(D817&lt;Assumptions!$P$160,Assumptions!$AL$160+(Assumptions!$AM$160-Assumptions!$AL$160)*(D817-Assumptions!$AH$160)/(Assumptions!$P$160-Assumptions!$AH$160),Assumptions!$AM$160)))</f>
        <v>-33333.333333333336</v>
      </c>
      <c r="N817" s="54">
        <f t="shared" si="24"/>
        <v>-43.010752688172047</v>
      </c>
      <c r="O817" s="55">
        <f t="shared" si="25"/>
        <v>3043</v>
      </c>
      <c r="P817" s="29" t="str">
        <f>IF(D817&gt;=Assumptions!$P$160,"High",IF(D817&gt;=Assumptions!$AH$160,"Mid",IF(D817&lt;=Assumptions!$G$160,"Low","Loading")))</f>
        <v>Mid</v>
      </c>
      <c r="Q817" s="39">
        <f>MAX(K817,MIN(Assumptions!$S$160,O817),Q818)</f>
        <v>3043</v>
      </c>
      <c r="R817" s="30">
        <f>IF(AND(Q817&lt;=K817,INDEX(Assumptions!$C$26:$C$36,MATCH(G817,Assumptions!$A$26:$A$36,0))&lt;&gt;""),INDEX(Assumptions!$C$26:$C$36,MATCH(G817,Assumptions!$A$26:$A$36,0)),ROUND(G817*Q817,-2))</f>
        <v>2358300</v>
      </c>
      <c r="S817" s="56" t="str">
        <f>TRIM(IF(AND(Assumptions!$L$160&lt;&gt;"",D817&lt;Assumptions!$L$160),"View blocked / roof in front ("&amp;Assumptions!$M$160&amp;"); view premium still loading until L"&amp;Assumptions!$L$160&amp;". ","")&amp;IF(D817=Assumptions!$AH$160,"Mid-floor view premium fully loaded. ","")&amp;IF(D817=Assumptions!$P$160,"High-floor view premium fully loaded. ","")&amp;IF(Q817&lt;=K817,"At developer starting price.",""))</f>
        <v/>
      </c>
      <c r="T817" s="57" t="str">
        <f>Assumptions!$AJ$160</f>
        <v>SE: no afternoon sun. Up to 240m pool &amp; landscape</v>
      </c>
    </row>
    <row r="818" spans="1:20" x14ac:dyDescent="0.2">
      <c r="A818" s="49" t="s">
        <v>977</v>
      </c>
      <c r="B818" s="29">
        <v>7</v>
      </c>
      <c r="C818" s="50">
        <v>34</v>
      </c>
      <c r="D818" s="50">
        <v>17</v>
      </c>
      <c r="E818" s="27" t="s">
        <v>44</v>
      </c>
      <c r="F818" s="29" t="s">
        <v>684</v>
      </c>
      <c r="G818" s="28">
        <v>775</v>
      </c>
      <c r="H818" s="29" t="s">
        <v>65</v>
      </c>
      <c r="I818" s="38" t="str">
        <f>Assumptions!$I$160</f>
        <v>B</v>
      </c>
      <c r="J818" s="29" t="str">
        <f>IF(D818&lt;=Assumptions!$V$160,"Low",IF(D818&lt;=Assumptions!$W$160,"Mid","High"))</f>
        <v>Mid</v>
      </c>
      <c r="K818" s="51">
        <f>Assumptions!$Q$160</f>
        <v>2650</v>
      </c>
      <c r="L818" s="52">
        <f>INDEX(Assumptions!$H$61:$H$90,D818)</f>
        <v>3068.2447368421053</v>
      </c>
      <c r="M818" s="53">
        <f>IF(D818&lt;=Assumptions!$G$160,Assumptions!$AK$160,IF(D818&lt;Assumptions!$AH$160,Assumptions!$AK$160+(Assumptions!$AL$160-Assumptions!$AK$160)*(D818-Assumptions!$G$160)/(Assumptions!$AH$160-Assumptions!$G$160),IF(D818&lt;Assumptions!$P$160,Assumptions!$AL$160+(Assumptions!$AM$160-Assumptions!$AL$160)*(D818-Assumptions!$AH$160)/(Assumptions!$P$160-Assumptions!$AH$160),Assumptions!$AM$160)))</f>
        <v>-27777.777777777777</v>
      </c>
      <c r="N818" s="54">
        <f t="shared" si="24"/>
        <v>-35.842293906810035</v>
      </c>
      <c r="O818" s="55">
        <f t="shared" si="25"/>
        <v>3032</v>
      </c>
      <c r="P818" s="29" t="str">
        <f>IF(D818&gt;=Assumptions!$P$160,"High",IF(D818&gt;=Assumptions!$AH$160,"Mid",IF(D818&lt;=Assumptions!$G$160,"Low","Loading")))</f>
        <v>Mid</v>
      </c>
      <c r="Q818" s="39">
        <f>MAX(K818,MIN(Assumptions!$S$160,O818),Q819)</f>
        <v>3032</v>
      </c>
      <c r="R818" s="30">
        <f>IF(AND(Q818&lt;=K818,INDEX(Assumptions!$C$26:$C$36,MATCH(G818,Assumptions!$A$26:$A$36,0))&lt;&gt;""),INDEX(Assumptions!$C$26:$C$36,MATCH(G818,Assumptions!$A$26:$A$36,0)),ROUND(G818*Q818,-2))</f>
        <v>2349800</v>
      </c>
      <c r="S818" s="56" t="str">
        <f>TRIM(IF(AND(Assumptions!$L$160&lt;&gt;"",D818&lt;Assumptions!$L$160),"View blocked / roof in front ("&amp;Assumptions!$M$160&amp;"); view premium still loading until L"&amp;Assumptions!$L$160&amp;". ","")&amp;IF(D818=Assumptions!$AH$160,"Mid-floor view premium fully loaded. ","")&amp;IF(D818=Assumptions!$P$160,"High-floor view premium fully loaded. ","")&amp;IF(Q818&lt;=K818,"At developer starting price.",""))</f>
        <v/>
      </c>
      <c r="T818" s="57" t="str">
        <f>Assumptions!$AJ$160</f>
        <v>SE: no afternoon sun. Up to 240m pool &amp; landscape</v>
      </c>
    </row>
    <row r="819" spans="1:20" x14ac:dyDescent="0.2">
      <c r="A819" s="49" t="s">
        <v>978</v>
      </c>
      <c r="B819" s="29">
        <v>7</v>
      </c>
      <c r="C819" s="50">
        <v>34</v>
      </c>
      <c r="D819" s="50">
        <v>16</v>
      </c>
      <c r="E819" s="27" t="s">
        <v>44</v>
      </c>
      <c r="F819" s="29" t="s">
        <v>684</v>
      </c>
      <c r="G819" s="28">
        <v>775</v>
      </c>
      <c r="H819" s="29" t="s">
        <v>65</v>
      </c>
      <c r="I819" s="38" t="str">
        <f>Assumptions!$I$160</f>
        <v>B</v>
      </c>
      <c r="J819" s="29" t="str">
        <f>IF(D819&lt;=Assumptions!$V$160,"Low",IF(D819&lt;=Assumptions!$W$160,"Mid","High"))</f>
        <v>Mid</v>
      </c>
      <c r="K819" s="51">
        <f>Assumptions!$Q$160</f>
        <v>2650</v>
      </c>
      <c r="L819" s="52">
        <f>INDEX(Assumptions!$H$61:$H$90,D819)</f>
        <v>3050.55</v>
      </c>
      <c r="M819" s="53">
        <f>IF(D819&lt;=Assumptions!$G$160,Assumptions!$AK$160,IF(D819&lt;Assumptions!$AH$160,Assumptions!$AK$160+(Assumptions!$AL$160-Assumptions!$AK$160)*(D819-Assumptions!$G$160)/(Assumptions!$AH$160-Assumptions!$G$160),IF(D819&lt;Assumptions!$P$160,Assumptions!$AL$160+(Assumptions!$AM$160-Assumptions!$AL$160)*(D819-Assumptions!$AH$160)/(Assumptions!$P$160-Assumptions!$AH$160),Assumptions!$AM$160)))</f>
        <v>-22222.222222222223</v>
      </c>
      <c r="N819" s="54">
        <f t="shared" si="24"/>
        <v>-28.673835125448029</v>
      </c>
      <c r="O819" s="55">
        <f t="shared" si="25"/>
        <v>3022</v>
      </c>
      <c r="P819" s="29" t="str">
        <f>IF(D819&gt;=Assumptions!$P$160,"High",IF(D819&gt;=Assumptions!$AH$160,"Mid",IF(D819&lt;=Assumptions!$G$160,"Low","Loading")))</f>
        <v>Mid</v>
      </c>
      <c r="Q819" s="39">
        <f>MAX(K819,MIN(Assumptions!$S$160,O819),Q820)</f>
        <v>3022</v>
      </c>
      <c r="R819" s="30">
        <f>IF(AND(Q819&lt;=K819,INDEX(Assumptions!$C$26:$C$36,MATCH(G819,Assumptions!$A$26:$A$36,0))&lt;&gt;""),INDEX(Assumptions!$C$26:$C$36,MATCH(G819,Assumptions!$A$26:$A$36,0)),ROUND(G819*Q819,-2))</f>
        <v>2342100</v>
      </c>
      <c r="S819" s="56" t="str">
        <f>TRIM(IF(AND(Assumptions!$L$160&lt;&gt;"",D819&lt;Assumptions!$L$160),"View blocked / roof in front ("&amp;Assumptions!$M$160&amp;"); view premium still loading until L"&amp;Assumptions!$L$160&amp;". ","")&amp;IF(D819=Assumptions!$AH$160,"Mid-floor view premium fully loaded. ","")&amp;IF(D819=Assumptions!$P$160,"High-floor view premium fully loaded. ","")&amp;IF(Q819&lt;=K819,"At developer starting price.",""))</f>
        <v/>
      </c>
      <c r="T819" s="57" t="str">
        <f>Assumptions!$AJ$160</f>
        <v>SE: no afternoon sun. Up to 240m pool &amp; landscape</v>
      </c>
    </row>
    <row r="820" spans="1:20" x14ac:dyDescent="0.2">
      <c r="A820" s="49" t="s">
        <v>979</v>
      </c>
      <c r="B820" s="29">
        <v>7</v>
      </c>
      <c r="C820" s="50">
        <v>34</v>
      </c>
      <c r="D820" s="50">
        <v>15</v>
      </c>
      <c r="E820" s="27" t="s">
        <v>44</v>
      </c>
      <c r="F820" s="29" t="s">
        <v>684</v>
      </c>
      <c r="G820" s="28">
        <v>775</v>
      </c>
      <c r="H820" s="29" t="s">
        <v>65</v>
      </c>
      <c r="I820" s="38" t="str">
        <f>Assumptions!$I$160</f>
        <v>B</v>
      </c>
      <c r="J820" s="29" t="str">
        <f>IF(D820&lt;=Assumptions!$V$160,"Low",IF(D820&lt;=Assumptions!$W$160,"Mid","High"))</f>
        <v>Mid</v>
      </c>
      <c r="K820" s="51">
        <f>Assumptions!$Q$160</f>
        <v>2650</v>
      </c>
      <c r="L820" s="52">
        <f>INDEX(Assumptions!$H$61:$H$90,D820)</f>
        <v>3027.16</v>
      </c>
      <c r="M820" s="53">
        <f>IF(D820&lt;=Assumptions!$G$160,Assumptions!$AK$160,IF(D820&lt;Assumptions!$AH$160,Assumptions!$AK$160+(Assumptions!$AL$160-Assumptions!$AK$160)*(D820-Assumptions!$G$160)/(Assumptions!$AH$160-Assumptions!$G$160),IF(D820&lt;Assumptions!$P$160,Assumptions!$AL$160+(Assumptions!$AM$160-Assumptions!$AL$160)*(D820-Assumptions!$AH$160)/(Assumptions!$P$160-Assumptions!$AH$160),Assumptions!$AM$160)))</f>
        <v>-16666.666666666668</v>
      </c>
      <c r="N820" s="54">
        <f t="shared" si="24"/>
        <v>-21.505376344086024</v>
      </c>
      <c r="O820" s="55">
        <f t="shared" si="25"/>
        <v>3006</v>
      </c>
      <c r="P820" s="29" t="str">
        <f>IF(D820&gt;=Assumptions!$P$160,"High",IF(D820&gt;=Assumptions!$AH$160,"Mid",IF(D820&lt;=Assumptions!$G$160,"Low","Loading")))</f>
        <v>Mid</v>
      </c>
      <c r="Q820" s="39">
        <f>MAX(K820,MIN(Assumptions!$S$160,O820),Q821)</f>
        <v>3006</v>
      </c>
      <c r="R820" s="30">
        <f>IF(AND(Q820&lt;=K820,INDEX(Assumptions!$C$26:$C$36,MATCH(G820,Assumptions!$A$26:$A$36,0))&lt;&gt;""),INDEX(Assumptions!$C$26:$C$36,MATCH(G820,Assumptions!$A$26:$A$36,0)),ROUND(G820*Q820,-2))</f>
        <v>2329700</v>
      </c>
      <c r="S820" s="56" t="str">
        <f>TRIM(IF(AND(Assumptions!$L$160&lt;&gt;"",D820&lt;Assumptions!$L$160),"View blocked / roof in front ("&amp;Assumptions!$M$160&amp;"); view premium still loading until L"&amp;Assumptions!$L$160&amp;". ","")&amp;IF(D820=Assumptions!$AH$160,"Mid-floor view premium fully loaded. ","")&amp;IF(D820=Assumptions!$P$160,"High-floor view premium fully loaded. ","")&amp;IF(Q820&lt;=K820,"At developer starting price.",""))</f>
        <v/>
      </c>
      <c r="T820" s="57" t="str">
        <f>Assumptions!$AJ$160</f>
        <v>SE: no afternoon sun. Up to 240m pool &amp; landscape</v>
      </c>
    </row>
    <row r="821" spans="1:20" x14ac:dyDescent="0.2">
      <c r="A821" s="49" t="s">
        <v>980</v>
      </c>
      <c r="B821" s="29">
        <v>7</v>
      </c>
      <c r="C821" s="50">
        <v>34</v>
      </c>
      <c r="D821" s="50">
        <v>14</v>
      </c>
      <c r="E821" s="27" t="s">
        <v>44</v>
      </c>
      <c r="F821" s="29" t="s">
        <v>684</v>
      </c>
      <c r="G821" s="28">
        <v>775</v>
      </c>
      <c r="H821" s="29" t="s">
        <v>65</v>
      </c>
      <c r="I821" s="38" t="str">
        <f>Assumptions!$I$160</f>
        <v>B</v>
      </c>
      <c r="J821" s="29" t="str">
        <f>IF(D821&lt;=Assumptions!$V$160,"Low",IF(D821&lt;=Assumptions!$W$160,"Mid","High"))</f>
        <v>Mid</v>
      </c>
      <c r="K821" s="51">
        <f>Assumptions!$Q$160</f>
        <v>2650</v>
      </c>
      <c r="L821" s="52">
        <f>INDEX(Assumptions!$H$61:$H$90,D821)</f>
        <v>3003.77</v>
      </c>
      <c r="M821" s="53">
        <f>IF(D821&lt;=Assumptions!$G$160,Assumptions!$AK$160,IF(D821&lt;Assumptions!$AH$160,Assumptions!$AK$160+(Assumptions!$AL$160-Assumptions!$AK$160)*(D821-Assumptions!$G$160)/(Assumptions!$AH$160-Assumptions!$G$160),IF(D821&lt;Assumptions!$P$160,Assumptions!$AL$160+(Assumptions!$AM$160-Assumptions!$AL$160)*(D821-Assumptions!$AH$160)/(Assumptions!$P$160-Assumptions!$AH$160),Assumptions!$AM$160)))</f>
        <v>-11111.111111111111</v>
      </c>
      <c r="N821" s="54">
        <f t="shared" si="24"/>
        <v>-14.336917562724015</v>
      </c>
      <c r="O821" s="55">
        <f t="shared" si="25"/>
        <v>2989</v>
      </c>
      <c r="P821" s="29" t="str">
        <f>IF(D821&gt;=Assumptions!$P$160,"High",IF(D821&gt;=Assumptions!$AH$160,"Mid",IF(D821&lt;=Assumptions!$G$160,"Low","Loading")))</f>
        <v>Mid</v>
      </c>
      <c r="Q821" s="39">
        <f>MAX(K821,MIN(Assumptions!$S$160,O821),Q822)</f>
        <v>2989</v>
      </c>
      <c r="R821" s="30">
        <f>IF(AND(Q821&lt;=K821,INDEX(Assumptions!$C$26:$C$36,MATCH(G821,Assumptions!$A$26:$A$36,0))&lt;&gt;""),INDEX(Assumptions!$C$26:$C$36,MATCH(G821,Assumptions!$A$26:$A$36,0)),ROUND(G821*Q821,-2))</f>
        <v>2316500</v>
      </c>
      <c r="S821" s="56" t="str">
        <f>TRIM(IF(AND(Assumptions!$L$160&lt;&gt;"",D821&lt;Assumptions!$L$160),"View blocked / roof in front ("&amp;Assumptions!$M$160&amp;"); view premium still loading until L"&amp;Assumptions!$L$160&amp;". ","")&amp;IF(D821=Assumptions!$AH$160,"Mid-floor view premium fully loaded. ","")&amp;IF(D821=Assumptions!$P$160,"High-floor view premium fully loaded. ","")&amp;IF(Q821&lt;=K821,"At developer starting price.",""))</f>
        <v/>
      </c>
      <c r="T821" s="57" t="str">
        <f>Assumptions!$AJ$160</f>
        <v>SE: no afternoon sun. Up to 240m pool &amp; landscape</v>
      </c>
    </row>
    <row r="822" spans="1:20" x14ac:dyDescent="0.2">
      <c r="A822" s="49" t="s">
        <v>981</v>
      </c>
      <c r="B822" s="29">
        <v>7</v>
      </c>
      <c r="C822" s="50">
        <v>34</v>
      </c>
      <c r="D822" s="50">
        <v>13</v>
      </c>
      <c r="E822" s="27" t="s">
        <v>44</v>
      </c>
      <c r="F822" s="29" t="s">
        <v>684</v>
      </c>
      <c r="G822" s="28">
        <v>775</v>
      </c>
      <c r="H822" s="29" t="s">
        <v>65</v>
      </c>
      <c r="I822" s="38" t="str">
        <f>Assumptions!$I$160</f>
        <v>B</v>
      </c>
      <c r="J822" s="29" t="str">
        <f>IF(D822&lt;=Assumptions!$V$160,"Low",IF(D822&lt;=Assumptions!$W$160,"Mid","High"))</f>
        <v>Mid</v>
      </c>
      <c r="K822" s="51">
        <f>Assumptions!$Q$160</f>
        <v>2650</v>
      </c>
      <c r="L822" s="52">
        <f>INDEX(Assumptions!$H$61:$H$90,D822)</f>
        <v>2980.38</v>
      </c>
      <c r="M822" s="53">
        <f>IF(D822&lt;=Assumptions!$G$160,Assumptions!$AK$160,IF(D822&lt;Assumptions!$AH$160,Assumptions!$AK$160+(Assumptions!$AL$160-Assumptions!$AK$160)*(D822-Assumptions!$G$160)/(Assumptions!$AH$160-Assumptions!$G$160),IF(D822&lt;Assumptions!$P$160,Assumptions!$AL$160+(Assumptions!$AM$160-Assumptions!$AL$160)*(D822-Assumptions!$AH$160)/(Assumptions!$P$160-Assumptions!$AH$160),Assumptions!$AM$160)))</f>
        <v>-5555.5555555555557</v>
      </c>
      <c r="N822" s="54">
        <f t="shared" si="24"/>
        <v>-7.1684587813620073</v>
      </c>
      <c r="O822" s="55">
        <f t="shared" si="25"/>
        <v>2973</v>
      </c>
      <c r="P822" s="29" t="str">
        <f>IF(D822&gt;=Assumptions!$P$160,"High",IF(D822&gt;=Assumptions!$AH$160,"Mid",IF(D822&lt;=Assumptions!$G$160,"Low","Loading")))</f>
        <v>Mid</v>
      </c>
      <c r="Q822" s="39">
        <f>MAX(K822,MIN(Assumptions!$S$160,O822),Q823)</f>
        <v>2973</v>
      </c>
      <c r="R822" s="30">
        <f>IF(AND(Q822&lt;=K822,INDEX(Assumptions!$C$26:$C$36,MATCH(G822,Assumptions!$A$26:$A$36,0))&lt;&gt;""),INDEX(Assumptions!$C$26:$C$36,MATCH(G822,Assumptions!$A$26:$A$36,0)),ROUND(G822*Q822,-2))</f>
        <v>2304100</v>
      </c>
      <c r="S822" s="56" t="str">
        <f>TRIM(IF(AND(Assumptions!$L$160&lt;&gt;"",D822&lt;Assumptions!$L$160),"View blocked / roof in front ("&amp;Assumptions!$M$160&amp;"); view premium still loading until L"&amp;Assumptions!$L$160&amp;". ","")&amp;IF(D822=Assumptions!$AH$160,"Mid-floor view premium fully loaded. ","")&amp;IF(D822=Assumptions!$P$160,"High-floor view premium fully loaded. ","")&amp;IF(Q822&lt;=K822,"At developer starting price.",""))</f>
        <v/>
      </c>
      <c r="T822" s="57" t="str">
        <f>Assumptions!$AJ$160</f>
        <v>SE: no afternoon sun. Up to 240m pool &amp; landscape</v>
      </c>
    </row>
    <row r="823" spans="1:20" x14ac:dyDescent="0.2">
      <c r="A823" s="49" t="s">
        <v>982</v>
      </c>
      <c r="B823" s="29">
        <v>7</v>
      </c>
      <c r="C823" s="50">
        <v>34</v>
      </c>
      <c r="D823" s="50">
        <v>12</v>
      </c>
      <c r="E823" s="27" t="s">
        <v>44</v>
      </c>
      <c r="F823" s="29" t="s">
        <v>684</v>
      </c>
      <c r="G823" s="28">
        <v>775</v>
      </c>
      <c r="H823" s="29" t="s">
        <v>65</v>
      </c>
      <c r="I823" s="38" t="str">
        <f>Assumptions!$I$160</f>
        <v>B</v>
      </c>
      <c r="J823" s="29" t="str">
        <f>IF(D823&lt;=Assumptions!$V$160,"Low",IF(D823&lt;=Assumptions!$W$160,"Mid","High"))</f>
        <v>Mid</v>
      </c>
      <c r="K823" s="51">
        <f>Assumptions!$Q$160</f>
        <v>2650</v>
      </c>
      <c r="L823" s="52">
        <f>INDEX(Assumptions!$H$61:$H$90,D823)</f>
        <v>2956.99</v>
      </c>
      <c r="M823" s="53">
        <f>IF(D823&lt;=Assumptions!$G$160,Assumptions!$AK$160,IF(D823&lt;Assumptions!$AH$160,Assumptions!$AK$160+(Assumptions!$AL$160-Assumptions!$AK$160)*(D823-Assumptions!$G$160)/(Assumptions!$AH$160-Assumptions!$G$160),IF(D823&lt;Assumptions!$P$160,Assumptions!$AL$160+(Assumptions!$AM$160-Assumptions!$AL$160)*(D823-Assumptions!$AH$160)/(Assumptions!$P$160-Assumptions!$AH$160),Assumptions!$AM$160)))</f>
        <v>0</v>
      </c>
      <c r="N823" s="54">
        <f t="shared" si="24"/>
        <v>0</v>
      </c>
      <c r="O823" s="55">
        <f t="shared" si="25"/>
        <v>2957</v>
      </c>
      <c r="P823" s="29" t="str">
        <f>IF(D823&gt;=Assumptions!$P$160,"High",IF(D823&gt;=Assumptions!$AH$160,"Mid",IF(D823&lt;=Assumptions!$G$160,"Low","Loading")))</f>
        <v>Mid</v>
      </c>
      <c r="Q823" s="39">
        <f>MAX(K823,MIN(Assumptions!$S$160,O823),Q824)</f>
        <v>2957</v>
      </c>
      <c r="R823" s="30">
        <f>IF(AND(Q823&lt;=K823,INDEX(Assumptions!$C$26:$C$36,MATCH(G823,Assumptions!$A$26:$A$36,0))&lt;&gt;""),INDEX(Assumptions!$C$26:$C$36,MATCH(G823,Assumptions!$A$26:$A$36,0)),ROUND(G823*Q823,-2))</f>
        <v>2291700</v>
      </c>
      <c r="S823" s="56" t="str">
        <f>TRIM(IF(AND(Assumptions!$L$160&lt;&gt;"",D823&lt;Assumptions!$L$160),"View blocked / roof in front ("&amp;Assumptions!$M$160&amp;"); view premium still loading until L"&amp;Assumptions!$L$160&amp;". ","")&amp;IF(D823=Assumptions!$AH$160,"Mid-floor view premium fully loaded. ","")&amp;IF(D823=Assumptions!$P$160,"High-floor view premium fully loaded. ","")&amp;IF(Q823&lt;=K823,"At developer starting price.",""))</f>
        <v>Mid-floor view premium fully loaded.</v>
      </c>
      <c r="T823" s="57" t="str">
        <f>Assumptions!$AJ$160</f>
        <v>SE: no afternoon sun. Up to 240m pool &amp; landscape</v>
      </c>
    </row>
    <row r="824" spans="1:20" x14ac:dyDescent="0.2">
      <c r="A824" s="49" t="s">
        <v>983</v>
      </c>
      <c r="B824" s="29">
        <v>7</v>
      </c>
      <c r="C824" s="50">
        <v>34</v>
      </c>
      <c r="D824" s="50">
        <v>11</v>
      </c>
      <c r="E824" s="27" t="s">
        <v>44</v>
      </c>
      <c r="F824" s="29" t="s">
        <v>684</v>
      </c>
      <c r="G824" s="28">
        <v>775</v>
      </c>
      <c r="H824" s="29" t="s">
        <v>65</v>
      </c>
      <c r="I824" s="38" t="str">
        <f>Assumptions!$I$160</f>
        <v>B</v>
      </c>
      <c r="J824" s="29" t="str">
        <f>IF(D824&lt;=Assumptions!$V$160,"Low",IF(D824&lt;=Assumptions!$W$160,"Mid","High"))</f>
        <v>Low</v>
      </c>
      <c r="K824" s="51">
        <f>Assumptions!$Q$160</f>
        <v>2650</v>
      </c>
      <c r="L824" s="52">
        <f>INDEX(Assumptions!$H$61:$H$90,D824)</f>
        <v>2933.6</v>
      </c>
      <c r="M824" s="53">
        <f>IF(D824&lt;=Assumptions!$G$160,Assumptions!$AK$160,IF(D824&lt;Assumptions!$AH$160,Assumptions!$AK$160+(Assumptions!$AL$160-Assumptions!$AK$160)*(D824-Assumptions!$G$160)/(Assumptions!$AH$160-Assumptions!$G$160),IF(D824&lt;Assumptions!$P$160,Assumptions!$AL$160+(Assumptions!$AM$160-Assumptions!$AL$160)*(D824-Assumptions!$AH$160)/(Assumptions!$P$160-Assumptions!$AH$160),Assumptions!$AM$160)))</f>
        <v>4545.4545454545441</v>
      </c>
      <c r="N824" s="54">
        <f t="shared" si="24"/>
        <v>5.865102639296186</v>
      </c>
      <c r="O824" s="55">
        <f t="shared" si="25"/>
        <v>2939</v>
      </c>
      <c r="P824" s="29" t="str">
        <f>IF(D824&gt;=Assumptions!$P$160,"High",IF(D824&gt;=Assumptions!$AH$160,"Mid",IF(D824&lt;=Assumptions!$G$160,"Low","Loading")))</f>
        <v>Loading</v>
      </c>
      <c r="Q824" s="39">
        <f>MAX(K824,MIN(Assumptions!$S$160,O824),Q825)</f>
        <v>2939</v>
      </c>
      <c r="R824" s="30">
        <f>IF(AND(Q824&lt;=K824,INDEX(Assumptions!$C$26:$C$36,MATCH(G824,Assumptions!$A$26:$A$36,0))&lt;&gt;""),INDEX(Assumptions!$C$26:$C$36,MATCH(G824,Assumptions!$A$26:$A$36,0)),ROUND(G824*Q824,-2))</f>
        <v>2277700</v>
      </c>
      <c r="S824" s="56" t="str">
        <f>TRIM(IF(AND(Assumptions!$L$160&lt;&gt;"",D824&lt;Assumptions!$L$160),"View blocked / roof in front ("&amp;Assumptions!$M$160&amp;"); view premium still loading until L"&amp;Assumptions!$L$160&amp;". ","")&amp;IF(D824=Assumptions!$AH$160,"Mid-floor view premium fully loaded. ","")&amp;IF(D824=Assumptions!$P$160,"High-floor view premium fully loaded. ","")&amp;IF(Q824&lt;=K824,"At developer starting price.",""))</f>
        <v/>
      </c>
      <c r="T824" s="57" t="str">
        <f>Assumptions!$AJ$160</f>
        <v>SE: no afternoon sun. Up to 240m pool &amp; landscape</v>
      </c>
    </row>
    <row r="825" spans="1:20" x14ac:dyDescent="0.2">
      <c r="A825" s="49" t="s">
        <v>984</v>
      </c>
      <c r="B825" s="29">
        <v>7</v>
      </c>
      <c r="C825" s="50">
        <v>34</v>
      </c>
      <c r="D825" s="50">
        <v>10</v>
      </c>
      <c r="E825" s="27" t="s">
        <v>44</v>
      </c>
      <c r="F825" s="29" t="s">
        <v>684</v>
      </c>
      <c r="G825" s="28">
        <v>775</v>
      </c>
      <c r="H825" s="29" t="s">
        <v>65</v>
      </c>
      <c r="I825" s="38" t="str">
        <f>Assumptions!$I$160</f>
        <v>B</v>
      </c>
      <c r="J825" s="29" t="str">
        <f>IF(D825&lt;=Assumptions!$V$160,"Low",IF(D825&lt;=Assumptions!$W$160,"Mid","High"))</f>
        <v>Low</v>
      </c>
      <c r="K825" s="51">
        <f>Assumptions!$Q$160</f>
        <v>2650</v>
      </c>
      <c r="L825" s="52">
        <f>INDEX(Assumptions!$H$61:$H$90,D825)</f>
        <v>2910.21</v>
      </c>
      <c r="M825" s="53">
        <f>IF(D825&lt;=Assumptions!$G$160,Assumptions!$AK$160,IF(D825&lt;Assumptions!$AH$160,Assumptions!$AK$160+(Assumptions!$AL$160-Assumptions!$AK$160)*(D825-Assumptions!$G$160)/(Assumptions!$AH$160-Assumptions!$G$160),IF(D825&lt;Assumptions!$P$160,Assumptions!$AL$160+(Assumptions!$AM$160-Assumptions!$AL$160)*(D825-Assumptions!$AH$160)/(Assumptions!$P$160-Assumptions!$AH$160),Assumptions!$AM$160)))</f>
        <v>9090.9090909090883</v>
      </c>
      <c r="N825" s="54">
        <f t="shared" si="24"/>
        <v>11.730205278592372</v>
      </c>
      <c r="O825" s="55">
        <f t="shared" si="25"/>
        <v>2922</v>
      </c>
      <c r="P825" s="29" t="str">
        <f>IF(D825&gt;=Assumptions!$P$160,"High",IF(D825&gt;=Assumptions!$AH$160,"Mid",IF(D825&lt;=Assumptions!$G$160,"Low","Loading")))</f>
        <v>Loading</v>
      </c>
      <c r="Q825" s="39">
        <f>MAX(K825,MIN(Assumptions!$S$160,O825),Q826)</f>
        <v>2922</v>
      </c>
      <c r="R825" s="30">
        <f>IF(AND(Q825&lt;=K825,INDEX(Assumptions!$C$26:$C$36,MATCH(G825,Assumptions!$A$26:$A$36,0))&lt;&gt;""),INDEX(Assumptions!$C$26:$C$36,MATCH(G825,Assumptions!$A$26:$A$36,0)),ROUND(G825*Q825,-2))</f>
        <v>2264600</v>
      </c>
      <c r="S825" s="56" t="str">
        <f>TRIM(IF(AND(Assumptions!$L$160&lt;&gt;"",D825&lt;Assumptions!$L$160),"View blocked / roof in front ("&amp;Assumptions!$M$160&amp;"); view premium still loading until L"&amp;Assumptions!$L$160&amp;". ","")&amp;IF(D825=Assumptions!$AH$160,"Mid-floor view premium fully loaded. ","")&amp;IF(D825=Assumptions!$P$160,"High-floor view premium fully loaded. ","")&amp;IF(Q825&lt;=K825,"At developer starting price.",""))</f>
        <v/>
      </c>
      <c r="T825" s="57" t="str">
        <f>Assumptions!$AJ$160</f>
        <v>SE: no afternoon sun. Up to 240m pool &amp; landscape</v>
      </c>
    </row>
    <row r="826" spans="1:20" x14ac:dyDescent="0.2">
      <c r="A826" s="49" t="s">
        <v>985</v>
      </c>
      <c r="B826" s="29">
        <v>7</v>
      </c>
      <c r="C826" s="50">
        <v>34</v>
      </c>
      <c r="D826" s="50">
        <v>9</v>
      </c>
      <c r="E826" s="27" t="s">
        <v>44</v>
      </c>
      <c r="F826" s="29" t="s">
        <v>684</v>
      </c>
      <c r="G826" s="28">
        <v>775</v>
      </c>
      <c r="H826" s="29" t="s">
        <v>65</v>
      </c>
      <c r="I826" s="38" t="str">
        <f>Assumptions!$I$160</f>
        <v>B</v>
      </c>
      <c r="J826" s="29" t="str">
        <f>IF(D826&lt;=Assumptions!$V$160,"Low",IF(D826&lt;=Assumptions!$W$160,"Mid","High"))</f>
        <v>Low</v>
      </c>
      <c r="K826" s="51">
        <f>Assumptions!$Q$160</f>
        <v>2650</v>
      </c>
      <c r="L826" s="52">
        <f>INDEX(Assumptions!$H$61:$H$90,D826)</f>
        <v>2887.07</v>
      </c>
      <c r="M826" s="53">
        <f>IF(D826&lt;=Assumptions!$G$160,Assumptions!$AK$160,IF(D826&lt;Assumptions!$AH$160,Assumptions!$AK$160+(Assumptions!$AL$160-Assumptions!$AK$160)*(D826-Assumptions!$G$160)/(Assumptions!$AH$160-Assumptions!$G$160),IF(D826&lt;Assumptions!$P$160,Assumptions!$AL$160+(Assumptions!$AM$160-Assumptions!$AL$160)*(D826-Assumptions!$AH$160)/(Assumptions!$P$160-Assumptions!$AH$160),Assumptions!$AM$160)))</f>
        <v>13636.36363636364</v>
      </c>
      <c r="N826" s="54">
        <f t="shared" si="24"/>
        <v>17.595307917888569</v>
      </c>
      <c r="O826" s="55">
        <f t="shared" si="25"/>
        <v>2905</v>
      </c>
      <c r="P826" s="29" t="str">
        <f>IF(D826&gt;=Assumptions!$P$160,"High",IF(D826&gt;=Assumptions!$AH$160,"Mid",IF(D826&lt;=Assumptions!$G$160,"Low","Loading")))</f>
        <v>Loading</v>
      </c>
      <c r="Q826" s="39">
        <f>MAX(K826,MIN(Assumptions!$S$160,O826),Q827)</f>
        <v>2905</v>
      </c>
      <c r="R826" s="30">
        <f>IF(AND(Q826&lt;=K826,INDEX(Assumptions!$C$26:$C$36,MATCH(G826,Assumptions!$A$26:$A$36,0))&lt;&gt;""),INDEX(Assumptions!$C$26:$C$36,MATCH(G826,Assumptions!$A$26:$A$36,0)),ROUND(G826*Q826,-2))</f>
        <v>2251400</v>
      </c>
      <c r="S826" s="56" t="str">
        <f>TRIM(IF(AND(Assumptions!$L$160&lt;&gt;"",D826&lt;Assumptions!$L$160),"View blocked / roof in front ("&amp;Assumptions!$M$160&amp;"); view premium still loading until L"&amp;Assumptions!$L$160&amp;". ","")&amp;IF(D826=Assumptions!$AH$160,"Mid-floor view premium fully loaded. ","")&amp;IF(D826=Assumptions!$P$160,"High-floor view premium fully loaded. ","")&amp;IF(Q826&lt;=K826,"At developer starting price.",""))</f>
        <v/>
      </c>
      <c r="T826" s="57" t="str">
        <f>Assumptions!$AJ$160</f>
        <v>SE: no afternoon sun. Up to 240m pool &amp; landscape</v>
      </c>
    </row>
    <row r="827" spans="1:20" x14ac:dyDescent="0.2">
      <c r="A827" s="49" t="s">
        <v>986</v>
      </c>
      <c r="B827" s="29">
        <v>7</v>
      </c>
      <c r="C827" s="50">
        <v>34</v>
      </c>
      <c r="D827" s="50">
        <v>8</v>
      </c>
      <c r="E827" s="27" t="s">
        <v>44</v>
      </c>
      <c r="F827" s="29" t="s">
        <v>684</v>
      </c>
      <c r="G827" s="28">
        <v>775</v>
      </c>
      <c r="H827" s="29" t="s">
        <v>65</v>
      </c>
      <c r="I827" s="38" t="str">
        <f>Assumptions!$I$160</f>
        <v>B</v>
      </c>
      <c r="J827" s="29" t="str">
        <f>IF(D827&lt;=Assumptions!$V$160,"Low",IF(D827&lt;=Assumptions!$W$160,"Mid","High"))</f>
        <v>Low</v>
      </c>
      <c r="K827" s="51">
        <f>Assumptions!$Q$160</f>
        <v>2650</v>
      </c>
      <c r="L827" s="52">
        <f>INDEX(Assumptions!$H$61:$H$90,D827)</f>
        <v>2870.88</v>
      </c>
      <c r="M827" s="53">
        <f>IF(D827&lt;=Assumptions!$G$160,Assumptions!$AK$160,IF(D827&lt;Assumptions!$AH$160,Assumptions!$AK$160+(Assumptions!$AL$160-Assumptions!$AK$160)*(D827-Assumptions!$G$160)/(Assumptions!$AH$160-Assumptions!$G$160),IF(D827&lt;Assumptions!$P$160,Assumptions!$AL$160+(Assumptions!$AM$160-Assumptions!$AL$160)*(D827-Assumptions!$AH$160)/(Assumptions!$P$160-Assumptions!$AH$160),Assumptions!$AM$160)))</f>
        <v>18181.81818181818</v>
      </c>
      <c r="N827" s="54">
        <f t="shared" si="24"/>
        <v>23.460410557184748</v>
      </c>
      <c r="O827" s="55">
        <f t="shared" si="25"/>
        <v>2894</v>
      </c>
      <c r="P827" s="29" t="str">
        <f>IF(D827&gt;=Assumptions!$P$160,"High",IF(D827&gt;=Assumptions!$AH$160,"Mid",IF(D827&lt;=Assumptions!$G$160,"Low","Loading")))</f>
        <v>Loading</v>
      </c>
      <c r="Q827" s="39">
        <f>MAX(K827,MIN(Assumptions!$S$160,O827),Q828)</f>
        <v>2894</v>
      </c>
      <c r="R827" s="30">
        <f>IF(AND(Q827&lt;=K827,INDEX(Assumptions!$C$26:$C$36,MATCH(G827,Assumptions!$A$26:$A$36,0))&lt;&gt;""),INDEX(Assumptions!$C$26:$C$36,MATCH(G827,Assumptions!$A$26:$A$36,0)),ROUND(G827*Q827,-2))</f>
        <v>2242900</v>
      </c>
      <c r="S827" s="56" t="str">
        <f>TRIM(IF(AND(Assumptions!$L$160&lt;&gt;"",D827&lt;Assumptions!$L$160),"View blocked / roof in front ("&amp;Assumptions!$M$160&amp;"); view premium still loading until L"&amp;Assumptions!$L$160&amp;". ","")&amp;IF(D827=Assumptions!$AH$160,"Mid-floor view premium fully loaded. ","")&amp;IF(D827=Assumptions!$P$160,"High-floor view premium fully loaded. ","")&amp;IF(Q827&lt;=K827,"At developer starting price.",""))</f>
        <v/>
      </c>
      <c r="T827" s="57" t="str">
        <f>Assumptions!$AJ$160</f>
        <v>SE: no afternoon sun. Up to 240m pool &amp; landscape</v>
      </c>
    </row>
    <row r="828" spans="1:20" x14ac:dyDescent="0.2">
      <c r="A828" s="49" t="s">
        <v>987</v>
      </c>
      <c r="B828" s="29">
        <v>7</v>
      </c>
      <c r="C828" s="50">
        <v>34</v>
      </c>
      <c r="D828" s="50">
        <v>7</v>
      </c>
      <c r="E828" s="27" t="s">
        <v>44</v>
      </c>
      <c r="F828" s="29" t="s">
        <v>684</v>
      </c>
      <c r="G828" s="28">
        <v>775</v>
      </c>
      <c r="H828" s="29" t="s">
        <v>65</v>
      </c>
      <c r="I828" s="38" t="str">
        <f>Assumptions!$I$160</f>
        <v>B</v>
      </c>
      <c r="J828" s="29" t="str">
        <f>IF(D828&lt;=Assumptions!$V$160,"Low",IF(D828&lt;=Assumptions!$W$160,"Mid","High"))</f>
        <v>Low</v>
      </c>
      <c r="K828" s="51">
        <f>Assumptions!$Q$160</f>
        <v>2650</v>
      </c>
      <c r="L828" s="52">
        <f>INDEX(Assumptions!$H$61:$H$90,D828)</f>
        <v>2854.69</v>
      </c>
      <c r="M828" s="53">
        <f>IF(D828&lt;=Assumptions!$G$160,Assumptions!$AK$160,IF(D828&lt;Assumptions!$AH$160,Assumptions!$AK$160+(Assumptions!$AL$160-Assumptions!$AK$160)*(D828-Assumptions!$G$160)/(Assumptions!$AH$160-Assumptions!$G$160),IF(D828&lt;Assumptions!$P$160,Assumptions!$AL$160+(Assumptions!$AM$160-Assumptions!$AL$160)*(D828-Assumptions!$AH$160)/(Assumptions!$P$160-Assumptions!$AH$160),Assumptions!$AM$160)))</f>
        <v>22727.272727272728</v>
      </c>
      <c r="N828" s="54">
        <f t="shared" si="24"/>
        <v>29.325513196480941</v>
      </c>
      <c r="O828" s="55">
        <f t="shared" si="25"/>
        <v>2884</v>
      </c>
      <c r="P828" s="29" t="str">
        <f>IF(D828&gt;=Assumptions!$P$160,"High",IF(D828&gt;=Assumptions!$AH$160,"Mid",IF(D828&lt;=Assumptions!$G$160,"Low","Loading")))</f>
        <v>Loading</v>
      </c>
      <c r="Q828" s="39">
        <f>MAX(K828,MIN(Assumptions!$S$160,O828),Q829)</f>
        <v>2884</v>
      </c>
      <c r="R828" s="30">
        <f>IF(AND(Q828&lt;=K828,INDEX(Assumptions!$C$26:$C$36,MATCH(G828,Assumptions!$A$26:$A$36,0))&lt;&gt;""),INDEX(Assumptions!$C$26:$C$36,MATCH(G828,Assumptions!$A$26:$A$36,0)),ROUND(G828*Q828,-2))</f>
        <v>2235100</v>
      </c>
      <c r="S828" s="56" t="str">
        <f>TRIM(IF(AND(Assumptions!$L$160&lt;&gt;"",D828&lt;Assumptions!$L$160),"View blocked / roof in front ("&amp;Assumptions!$M$160&amp;"); view premium still loading until L"&amp;Assumptions!$L$160&amp;". ","")&amp;IF(D828=Assumptions!$AH$160,"Mid-floor view premium fully loaded. ","")&amp;IF(D828=Assumptions!$P$160,"High-floor view premium fully loaded. ","")&amp;IF(Q828&lt;=K828,"At developer starting price.",""))</f>
        <v/>
      </c>
      <c r="T828" s="57" t="str">
        <f>Assumptions!$AJ$160</f>
        <v>SE: no afternoon sun. Up to 240m pool &amp; landscape</v>
      </c>
    </row>
    <row r="829" spans="1:20" x14ac:dyDescent="0.2">
      <c r="A829" s="49" t="s">
        <v>988</v>
      </c>
      <c r="B829" s="29">
        <v>7</v>
      </c>
      <c r="C829" s="50">
        <v>34</v>
      </c>
      <c r="D829" s="50">
        <v>6</v>
      </c>
      <c r="E829" s="27" t="s">
        <v>44</v>
      </c>
      <c r="F829" s="29" t="s">
        <v>684</v>
      </c>
      <c r="G829" s="28">
        <v>775</v>
      </c>
      <c r="H829" s="29" t="s">
        <v>65</v>
      </c>
      <c r="I829" s="38" t="str">
        <f>Assumptions!$I$160</f>
        <v>B</v>
      </c>
      <c r="J829" s="29" t="str">
        <f>IF(D829&lt;=Assumptions!$V$160,"Low",IF(D829&lt;=Assumptions!$W$160,"Mid","High"))</f>
        <v>Low</v>
      </c>
      <c r="K829" s="51">
        <f>Assumptions!$Q$160</f>
        <v>2650</v>
      </c>
      <c r="L829" s="52">
        <f>INDEX(Assumptions!$H$61:$H$90,D829)</f>
        <v>2838.5</v>
      </c>
      <c r="M829" s="53">
        <f>IF(D829&lt;=Assumptions!$G$160,Assumptions!$AK$160,IF(D829&lt;Assumptions!$AH$160,Assumptions!$AK$160+(Assumptions!$AL$160-Assumptions!$AK$160)*(D829-Assumptions!$G$160)/(Assumptions!$AH$160-Assumptions!$G$160),IF(D829&lt;Assumptions!$P$160,Assumptions!$AL$160+(Assumptions!$AM$160-Assumptions!$AL$160)*(D829-Assumptions!$AH$160)/(Assumptions!$P$160-Assumptions!$AH$160),Assumptions!$AM$160)))</f>
        <v>27272.727272727272</v>
      </c>
      <c r="N829" s="54">
        <f t="shared" si="24"/>
        <v>35.190615835777123</v>
      </c>
      <c r="O829" s="55">
        <f t="shared" si="25"/>
        <v>2874</v>
      </c>
      <c r="P829" s="29" t="str">
        <f>IF(D829&gt;=Assumptions!$P$160,"High",IF(D829&gt;=Assumptions!$AH$160,"Mid",IF(D829&lt;=Assumptions!$G$160,"Low","Loading")))</f>
        <v>Loading</v>
      </c>
      <c r="Q829" s="39">
        <f>MAX(K829,MIN(Assumptions!$S$160,O829),Q830)</f>
        <v>2874</v>
      </c>
      <c r="R829" s="30">
        <f>IF(AND(Q829&lt;=K829,INDEX(Assumptions!$C$26:$C$36,MATCH(G829,Assumptions!$A$26:$A$36,0))&lt;&gt;""),INDEX(Assumptions!$C$26:$C$36,MATCH(G829,Assumptions!$A$26:$A$36,0)),ROUND(G829*Q829,-2))</f>
        <v>2227400</v>
      </c>
      <c r="S829" s="56" t="str">
        <f>TRIM(IF(AND(Assumptions!$L$160&lt;&gt;"",D829&lt;Assumptions!$L$160),"View blocked / roof in front ("&amp;Assumptions!$M$160&amp;"); view premium still loading until L"&amp;Assumptions!$L$160&amp;". ","")&amp;IF(D829=Assumptions!$AH$160,"Mid-floor view premium fully loaded. ","")&amp;IF(D829=Assumptions!$P$160,"High-floor view premium fully loaded. ","")&amp;IF(Q829&lt;=K829,"At developer starting price.",""))</f>
        <v/>
      </c>
      <c r="T829" s="57" t="str">
        <f>Assumptions!$AJ$160</f>
        <v>SE: no afternoon sun. Up to 240m pool &amp; landscape</v>
      </c>
    </row>
    <row r="830" spans="1:20" x14ac:dyDescent="0.2">
      <c r="A830" s="49" t="s">
        <v>989</v>
      </c>
      <c r="B830" s="29">
        <v>7</v>
      </c>
      <c r="C830" s="50">
        <v>34</v>
      </c>
      <c r="D830" s="50">
        <v>5</v>
      </c>
      <c r="E830" s="27" t="s">
        <v>44</v>
      </c>
      <c r="F830" s="29" t="s">
        <v>684</v>
      </c>
      <c r="G830" s="28">
        <v>775</v>
      </c>
      <c r="H830" s="29" t="s">
        <v>65</v>
      </c>
      <c r="I830" s="38" t="str">
        <f>Assumptions!$I$160</f>
        <v>B</v>
      </c>
      <c r="J830" s="29" t="str">
        <f>IF(D830&lt;=Assumptions!$V$160,"Low",IF(D830&lt;=Assumptions!$W$160,"Mid","High"))</f>
        <v>Low</v>
      </c>
      <c r="K830" s="51">
        <f>Assumptions!$Q$160</f>
        <v>2650</v>
      </c>
      <c r="L830" s="52">
        <f>INDEX(Assumptions!$H$61:$H$90,D830)</f>
        <v>2822.31</v>
      </c>
      <c r="M830" s="53">
        <f>IF(D830&lt;=Assumptions!$G$160,Assumptions!$AK$160,IF(D830&lt;Assumptions!$AH$160,Assumptions!$AK$160+(Assumptions!$AL$160-Assumptions!$AK$160)*(D830-Assumptions!$G$160)/(Assumptions!$AH$160-Assumptions!$G$160),IF(D830&lt;Assumptions!$P$160,Assumptions!$AL$160+(Assumptions!$AM$160-Assumptions!$AL$160)*(D830-Assumptions!$AH$160)/(Assumptions!$P$160-Assumptions!$AH$160),Assumptions!$AM$160)))</f>
        <v>31818.18181818182</v>
      </c>
      <c r="N830" s="54">
        <f t="shared" si="24"/>
        <v>41.055718475073313</v>
      </c>
      <c r="O830" s="55">
        <f t="shared" si="25"/>
        <v>2863</v>
      </c>
      <c r="P830" s="29" t="str">
        <f>IF(D830&gt;=Assumptions!$P$160,"High",IF(D830&gt;=Assumptions!$AH$160,"Mid",IF(D830&lt;=Assumptions!$G$160,"Low","Loading")))</f>
        <v>Loading</v>
      </c>
      <c r="Q830" s="39">
        <f>MAX(K830,MIN(Assumptions!$S$160,O830),Q831)</f>
        <v>2863</v>
      </c>
      <c r="R830" s="30">
        <f>IF(AND(Q830&lt;=K830,INDEX(Assumptions!$C$26:$C$36,MATCH(G830,Assumptions!$A$26:$A$36,0))&lt;&gt;""),INDEX(Assumptions!$C$26:$C$36,MATCH(G830,Assumptions!$A$26:$A$36,0)),ROUND(G830*Q830,-2))</f>
        <v>2218800</v>
      </c>
      <c r="S830" s="56" t="str">
        <f>TRIM(IF(AND(Assumptions!$L$160&lt;&gt;"",D830&lt;Assumptions!$L$160),"View blocked / roof in front ("&amp;Assumptions!$M$160&amp;"); view premium still loading until L"&amp;Assumptions!$L$160&amp;". ","")&amp;IF(D830=Assumptions!$AH$160,"Mid-floor view premium fully loaded. ","")&amp;IF(D830=Assumptions!$P$160,"High-floor view premium fully loaded. ","")&amp;IF(Q830&lt;=K830,"At developer starting price.",""))</f>
        <v/>
      </c>
      <c r="T830" s="57" t="str">
        <f>Assumptions!$AJ$160</f>
        <v>SE: no afternoon sun. Up to 240m pool &amp; landscape</v>
      </c>
    </row>
    <row r="831" spans="1:20" x14ac:dyDescent="0.2">
      <c r="A831" s="49" t="s">
        <v>990</v>
      </c>
      <c r="B831" s="29">
        <v>7</v>
      </c>
      <c r="C831" s="50">
        <v>34</v>
      </c>
      <c r="D831" s="50">
        <v>4</v>
      </c>
      <c r="E831" s="27" t="s">
        <v>44</v>
      </c>
      <c r="F831" s="29" t="s">
        <v>684</v>
      </c>
      <c r="G831" s="28">
        <v>775</v>
      </c>
      <c r="H831" s="29" t="s">
        <v>65</v>
      </c>
      <c r="I831" s="38" t="str">
        <f>Assumptions!$I$160</f>
        <v>B</v>
      </c>
      <c r="J831" s="29" t="str">
        <f>IF(D831&lt;=Assumptions!$V$160,"Low",IF(D831&lt;=Assumptions!$W$160,"Mid","High"))</f>
        <v>Low</v>
      </c>
      <c r="K831" s="51">
        <f>Assumptions!$Q$160</f>
        <v>2650</v>
      </c>
      <c r="L831" s="52">
        <f>INDEX(Assumptions!$H$61:$H$90,D831)</f>
        <v>2806.12</v>
      </c>
      <c r="M831" s="53">
        <f>IF(D831&lt;=Assumptions!$G$160,Assumptions!$AK$160,IF(D831&lt;Assumptions!$AH$160,Assumptions!$AK$160+(Assumptions!$AL$160-Assumptions!$AK$160)*(D831-Assumptions!$G$160)/(Assumptions!$AH$160-Assumptions!$G$160),IF(D831&lt;Assumptions!$P$160,Assumptions!$AL$160+(Assumptions!$AM$160-Assumptions!$AL$160)*(D831-Assumptions!$AH$160)/(Assumptions!$P$160-Assumptions!$AH$160),Assumptions!$AM$160)))</f>
        <v>36363.636363636368</v>
      </c>
      <c r="N831" s="54">
        <f t="shared" si="24"/>
        <v>46.92082111436951</v>
      </c>
      <c r="O831" s="55">
        <f t="shared" si="25"/>
        <v>2853</v>
      </c>
      <c r="P831" s="29" t="str">
        <f>IF(D831&gt;=Assumptions!$P$160,"High",IF(D831&gt;=Assumptions!$AH$160,"Mid",IF(D831&lt;=Assumptions!$G$160,"Low","Loading")))</f>
        <v>Loading</v>
      </c>
      <c r="Q831" s="39">
        <f>MAX(K831,MIN(Assumptions!$S$160,O831),Q832)</f>
        <v>2853</v>
      </c>
      <c r="R831" s="30">
        <f>IF(AND(Q831&lt;=K831,INDEX(Assumptions!$C$26:$C$36,MATCH(G831,Assumptions!$A$26:$A$36,0))&lt;&gt;""),INDEX(Assumptions!$C$26:$C$36,MATCH(G831,Assumptions!$A$26:$A$36,0)),ROUND(G831*Q831,-2))</f>
        <v>2211100</v>
      </c>
      <c r="S831" s="56" t="str">
        <f>TRIM(IF(AND(Assumptions!$L$160&lt;&gt;"",D831&lt;Assumptions!$L$160),"View blocked / roof in front ("&amp;Assumptions!$M$160&amp;"); view premium still loading until L"&amp;Assumptions!$L$160&amp;". ","")&amp;IF(D831=Assumptions!$AH$160,"Mid-floor view premium fully loaded. ","")&amp;IF(D831=Assumptions!$P$160,"High-floor view premium fully loaded. ","")&amp;IF(Q831&lt;=K831,"At developer starting price.",""))</f>
        <v/>
      </c>
      <c r="T831" s="57" t="str">
        <f>Assumptions!$AJ$160</f>
        <v>SE: no afternoon sun. Up to 240m pool &amp; landscape</v>
      </c>
    </row>
    <row r="832" spans="1:20" x14ac:dyDescent="0.2">
      <c r="A832" s="49" t="s">
        <v>991</v>
      </c>
      <c r="B832" s="29">
        <v>7</v>
      </c>
      <c r="C832" s="50">
        <v>34</v>
      </c>
      <c r="D832" s="50">
        <v>3</v>
      </c>
      <c r="E832" s="27" t="s">
        <v>44</v>
      </c>
      <c r="F832" s="29" t="s">
        <v>684</v>
      </c>
      <c r="G832" s="28">
        <v>775</v>
      </c>
      <c r="H832" s="29" t="s">
        <v>65</v>
      </c>
      <c r="I832" s="38" t="str">
        <f>Assumptions!$I$160</f>
        <v>B</v>
      </c>
      <c r="J832" s="29" t="str">
        <f>IF(D832&lt;=Assumptions!$V$160,"Low",IF(D832&lt;=Assumptions!$W$160,"Mid","High"))</f>
        <v>Low</v>
      </c>
      <c r="K832" s="51">
        <f>Assumptions!$Q$160</f>
        <v>2650</v>
      </c>
      <c r="L832" s="52">
        <f>INDEX(Assumptions!$H$61:$H$90,D832)</f>
        <v>2789.93</v>
      </c>
      <c r="M832" s="53">
        <f>IF(D832&lt;=Assumptions!$G$160,Assumptions!$AK$160,IF(D832&lt;Assumptions!$AH$160,Assumptions!$AK$160+(Assumptions!$AL$160-Assumptions!$AK$160)*(D832-Assumptions!$G$160)/(Assumptions!$AH$160-Assumptions!$G$160),IF(D832&lt;Assumptions!$P$160,Assumptions!$AL$160+(Assumptions!$AM$160-Assumptions!$AL$160)*(D832-Assumptions!$AH$160)/(Assumptions!$P$160-Assumptions!$AH$160),Assumptions!$AM$160)))</f>
        <v>40909.090909090912</v>
      </c>
      <c r="N832" s="54">
        <f t="shared" si="24"/>
        <v>52.785923753665692</v>
      </c>
      <c r="O832" s="55">
        <f t="shared" si="25"/>
        <v>2843</v>
      </c>
      <c r="P832" s="29" t="str">
        <f>IF(D832&gt;=Assumptions!$P$160,"High",IF(D832&gt;=Assumptions!$AH$160,"Mid",IF(D832&lt;=Assumptions!$G$160,"Low","Loading")))</f>
        <v>Loading</v>
      </c>
      <c r="Q832" s="39">
        <f>MAX(K832,MIN(Assumptions!$S$160,O832),Q833)</f>
        <v>2843</v>
      </c>
      <c r="R832" s="30">
        <f>IF(AND(Q832&lt;=K832,INDEX(Assumptions!$C$26:$C$36,MATCH(G832,Assumptions!$A$26:$A$36,0))&lt;&gt;""),INDEX(Assumptions!$C$26:$C$36,MATCH(G832,Assumptions!$A$26:$A$36,0)),ROUND(G832*Q832,-2))</f>
        <v>2203300</v>
      </c>
      <c r="S832" s="56" t="str">
        <f>TRIM(IF(AND(Assumptions!$L$160&lt;&gt;"",D832&lt;Assumptions!$L$160),"View blocked / roof in front ("&amp;Assumptions!$M$160&amp;"); view premium still loading until L"&amp;Assumptions!$L$160&amp;". ","")&amp;IF(D832=Assumptions!$AH$160,"Mid-floor view premium fully loaded. ","")&amp;IF(D832=Assumptions!$P$160,"High-floor view premium fully loaded. ","")&amp;IF(Q832&lt;=K832,"At developer starting price.",""))</f>
        <v/>
      </c>
      <c r="T832" s="57" t="str">
        <f>Assumptions!$AJ$160</f>
        <v>SE: no afternoon sun. Up to 240m pool &amp; landscape</v>
      </c>
    </row>
    <row r="833" spans="1:20" x14ac:dyDescent="0.2">
      <c r="A833" s="49" t="s">
        <v>992</v>
      </c>
      <c r="B833" s="29">
        <v>7</v>
      </c>
      <c r="C833" s="50">
        <v>34</v>
      </c>
      <c r="D833" s="50">
        <v>2</v>
      </c>
      <c r="E833" s="27" t="s">
        <v>44</v>
      </c>
      <c r="F833" s="29" t="s">
        <v>684</v>
      </c>
      <c r="G833" s="28">
        <v>775</v>
      </c>
      <c r="H833" s="29" t="s">
        <v>65</v>
      </c>
      <c r="I833" s="38" t="str">
        <f>Assumptions!$I$160</f>
        <v>B</v>
      </c>
      <c r="J833" s="29" t="str">
        <f>IF(D833&lt;=Assumptions!$V$160,"Low",IF(D833&lt;=Assumptions!$W$160,"Mid","High"))</f>
        <v>Low</v>
      </c>
      <c r="K833" s="51">
        <f>Assumptions!$Q$160</f>
        <v>2650</v>
      </c>
      <c r="L833" s="52">
        <f>INDEX(Assumptions!$H$61:$H$90,D833)</f>
        <v>2773.74</v>
      </c>
      <c r="M833" s="53">
        <f>IF(D833&lt;=Assumptions!$G$160,Assumptions!$AK$160,IF(D833&lt;Assumptions!$AH$160,Assumptions!$AK$160+(Assumptions!$AL$160-Assumptions!$AK$160)*(D833-Assumptions!$G$160)/(Assumptions!$AH$160-Assumptions!$G$160),IF(D833&lt;Assumptions!$P$160,Assumptions!$AL$160+(Assumptions!$AM$160-Assumptions!$AL$160)*(D833-Assumptions!$AH$160)/(Assumptions!$P$160-Assumptions!$AH$160),Assumptions!$AM$160)))</f>
        <v>45454.545454545456</v>
      </c>
      <c r="N833" s="54">
        <f t="shared" si="24"/>
        <v>58.651026392961882</v>
      </c>
      <c r="O833" s="55">
        <f t="shared" si="25"/>
        <v>2832</v>
      </c>
      <c r="P833" s="29" t="str">
        <f>IF(D833&gt;=Assumptions!$P$160,"High",IF(D833&gt;=Assumptions!$AH$160,"Mid",IF(D833&lt;=Assumptions!$G$160,"Low","Loading")))</f>
        <v>Loading</v>
      </c>
      <c r="Q833" s="39">
        <f>MAX(K833,MIN(Assumptions!$S$160,O833),Q834)</f>
        <v>2832</v>
      </c>
      <c r="R833" s="30">
        <f>IF(AND(Q833&lt;=K833,INDEX(Assumptions!$C$26:$C$36,MATCH(G833,Assumptions!$A$26:$A$36,0))&lt;&gt;""),INDEX(Assumptions!$C$26:$C$36,MATCH(G833,Assumptions!$A$26:$A$36,0)),ROUND(G833*Q833,-2))</f>
        <v>2194800</v>
      </c>
      <c r="S833" s="56" t="str">
        <f>TRIM(IF(AND(Assumptions!$L$160&lt;&gt;"",D833&lt;Assumptions!$L$160),"View blocked / roof in front ("&amp;Assumptions!$M$160&amp;"); view premium still loading until L"&amp;Assumptions!$L$160&amp;". ","")&amp;IF(D833=Assumptions!$AH$160,"Mid-floor view premium fully loaded. ","")&amp;IF(D833=Assumptions!$P$160,"High-floor view premium fully loaded. ","")&amp;IF(Q833&lt;=K833,"At developer starting price.",""))</f>
        <v/>
      </c>
      <c r="T833" s="57" t="str">
        <f>Assumptions!$AJ$160</f>
        <v>SE: no afternoon sun. Up to 240m pool &amp; landscape</v>
      </c>
    </row>
    <row r="834" spans="1:20" x14ac:dyDescent="0.2">
      <c r="A834" s="49" t="s">
        <v>993</v>
      </c>
      <c r="B834" s="29">
        <v>7</v>
      </c>
      <c r="C834" s="50">
        <v>34</v>
      </c>
      <c r="D834" s="50">
        <v>1</v>
      </c>
      <c r="E834" s="27" t="s">
        <v>44</v>
      </c>
      <c r="F834" s="29" t="s">
        <v>714</v>
      </c>
      <c r="G834" s="28">
        <v>775</v>
      </c>
      <c r="H834" s="29" t="s">
        <v>65</v>
      </c>
      <c r="I834" s="38" t="str">
        <f>Assumptions!$I$160</f>
        <v>B</v>
      </c>
      <c r="J834" s="29" t="str">
        <f>IF(D834&lt;=Assumptions!$V$160,"Low",IF(D834&lt;=Assumptions!$W$160,"Mid","High"))</f>
        <v>Low</v>
      </c>
      <c r="K834" s="51">
        <f>Assumptions!$Q$160</f>
        <v>2650</v>
      </c>
      <c r="L834" s="52">
        <f>INDEX(Assumptions!$H$61:$H$90,D834)</f>
        <v>2757.55</v>
      </c>
      <c r="M834" s="53">
        <f>IF(D834&lt;=Assumptions!$G$160,Assumptions!$AK$160,IF(D834&lt;Assumptions!$AH$160,Assumptions!$AK$160+(Assumptions!$AL$160-Assumptions!$AK$160)*(D834-Assumptions!$G$160)/(Assumptions!$AH$160-Assumptions!$G$160),IF(D834&lt;Assumptions!$P$160,Assumptions!$AL$160+(Assumptions!$AM$160-Assumptions!$AL$160)*(D834-Assumptions!$AH$160)/(Assumptions!$P$160-Assumptions!$AH$160),Assumptions!$AM$160)))</f>
        <v>50000</v>
      </c>
      <c r="N834" s="54">
        <f t="shared" si="24"/>
        <v>64.516129032258064</v>
      </c>
      <c r="O834" s="55">
        <f t="shared" si="25"/>
        <v>2822</v>
      </c>
      <c r="P834" s="29" t="str">
        <f>IF(D834&gt;=Assumptions!$P$160,"High",IF(D834&gt;=Assumptions!$AH$160,"Mid",IF(D834&lt;=Assumptions!$G$160,"Low","Loading")))</f>
        <v>Low</v>
      </c>
      <c r="Q834" s="39">
        <f>MAX(K834,MIN(Assumptions!$S$160,O834))</f>
        <v>2822</v>
      </c>
      <c r="R834" s="30">
        <f>IF(AND(Q834&lt;=K834,INDEX(Assumptions!$C$26:$C$36,MATCH(G834,Assumptions!$A$26:$A$36,0))&lt;&gt;""),INDEX(Assumptions!$C$26:$C$36,MATCH(G834,Assumptions!$A$26:$A$36,0)),ROUND(G834*Q834,-2))</f>
        <v>2187100</v>
      </c>
      <c r="S834" s="56" t="str">
        <f>TRIM(IF(AND(Assumptions!$L$160&lt;&gt;"",D834&lt;Assumptions!$L$160),"View blocked / roof in front ("&amp;Assumptions!$M$160&amp;"); view premium still loading until L"&amp;Assumptions!$L$160&amp;". ","")&amp;IF(D834=Assumptions!$AH$160,"Mid-floor view premium fully loaded. ","")&amp;IF(D834=Assumptions!$P$160,"High-floor view premium fully loaded. ","")&amp;IF(Q834&lt;=K834,"At developer starting price.",""))</f>
        <v/>
      </c>
      <c r="T834" s="57" t="str">
        <f>Assumptions!$AJ$160</f>
        <v>SE: no afternoon sun. Up to 240m pool &amp; landscape</v>
      </c>
    </row>
    <row r="835" spans="1:20" x14ac:dyDescent="0.2">
      <c r="A835" s="49" t="s">
        <v>994</v>
      </c>
      <c r="B835" s="29">
        <v>7</v>
      </c>
      <c r="C835" s="50">
        <v>35</v>
      </c>
      <c r="D835" s="50">
        <v>30</v>
      </c>
      <c r="E835" s="27" t="s">
        <v>43</v>
      </c>
      <c r="F835" s="29" t="s">
        <v>716</v>
      </c>
      <c r="G835" s="28">
        <v>678</v>
      </c>
      <c r="H835" s="29" t="s">
        <v>65</v>
      </c>
      <c r="I835" s="38" t="str">
        <f>Assumptions!$I$161</f>
        <v>B</v>
      </c>
      <c r="J835" s="29" t="str">
        <f>IF(D835&lt;=Assumptions!$V$161,"Low",IF(D835&lt;=Assumptions!$W$161,"Mid","High"))</f>
        <v>High</v>
      </c>
      <c r="K835" s="51">
        <f>Assumptions!$Q$161</f>
        <v>2613</v>
      </c>
      <c r="L835" s="52">
        <f>INDEX(Assumptions!$D$61:$D$90,D835)</f>
        <v>3334.23</v>
      </c>
      <c r="M835" s="53">
        <f>IF(D835&lt;=Assumptions!$G$161,Assumptions!$AK$161,IF(D835&lt;Assumptions!$AH$161,Assumptions!$AK$161+(Assumptions!$AL$161-Assumptions!$AK$161)*(D835-Assumptions!$G$161)/(Assumptions!$AH$161-Assumptions!$G$161),IF(D835&lt;Assumptions!$P$161,Assumptions!$AL$161+(Assumptions!$AM$161-Assumptions!$AL$161)*(D835-Assumptions!$AH$161)/(Assumptions!$P$161-Assumptions!$AH$161),Assumptions!$AM$161)))</f>
        <v>6250</v>
      </c>
      <c r="N835" s="54">
        <f t="shared" si="24"/>
        <v>9.218289085545722</v>
      </c>
      <c r="O835" s="55">
        <f t="shared" si="25"/>
        <v>3343</v>
      </c>
      <c r="P835" s="29" t="str">
        <f>IF(D835&gt;=Assumptions!$P$161,"High",IF(D835&gt;=Assumptions!$AH$161,"Mid",IF(D835&lt;=Assumptions!$G$161,"Low","Loading")))</f>
        <v>High</v>
      </c>
      <c r="Q835" s="39">
        <f>MAX(K835,MIN(Assumptions!$S$161,O835),Q836)</f>
        <v>3343</v>
      </c>
      <c r="R835" s="30">
        <f>IF(AND(Q835&lt;=K835,INDEX(Assumptions!$C$26:$C$36,MATCH(G835,Assumptions!$A$26:$A$36,0))&lt;&gt;""),INDEX(Assumptions!$C$26:$C$36,MATCH(G835,Assumptions!$A$26:$A$36,0)),ROUND(G835*Q835,-2))</f>
        <v>2266600</v>
      </c>
      <c r="S835" s="56" t="str">
        <f>TRIM(IF(AND(Assumptions!$L$161&lt;&gt;"",D835&lt;Assumptions!$L$161),"View blocked / roof in front ("&amp;Assumptions!$M$161&amp;"); view premium still loading until L"&amp;Assumptions!$L$161&amp;". ","")&amp;IF(D835=Assumptions!$AH$161,"Mid-floor view premium fully loaded. ","")&amp;IF(D835=Assumptions!$P$161,"High-floor view premium fully loaded. ","")&amp;IF(Q835&lt;=K835,"At developer starting price.",""))</f>
        <v/>
      </c>
      <c r="T835" s="57" t="str">
        <f>Assumptions!$AJ$161</f>
        <v>SE: no afternoon sun. 240m entire pool &amp; landscape</v>
      </c>
    </row>
    <row r="836" spans="1:20" x14ac:dyDescent="0.2">
      <c r="A836" s="49" t="s">
        <v>995</v>
      </c>
      <c r="B836" s="29">
        <v>7</v>
      </c>
      <c r="C836" s="50">
        <v>35</v>
      </c>
      <c r="D836" s="50">
        <v>29</v>
      </c>
      <c r="E836" s="27" t="s">
        <v>43</v>
      </c>
      <c r="F836" s="29" t="s">
        <v>716</v>
      </c>
      <c r="G836" s="28">
        <v>678</v>
      </c>
      <c r="H836" s="29" t="s">
        <v>65</v>
      </c>
      <c r="I836" s="38" t="str">
        <f>Assumptions!$I$161</f>
        <v>B</v>
      </c>
      <c r="J836" s="29" t="str">
        <f>IF(D836&lt;=Assumptions!$V$161,"Low",IF(D836&lt;=Assumptions!$W$161,"Mid","High"))</f>
        <v>High</v>
      </c>
      <c r="K836" s="51">
        <f>Assumptions!$Q$161</f>
        <v>2613</v>
      </c>
      <c r="L836" s="52">
        <f>INDEX(Assumptions!$D$61:$D$90,D836)</f>
        <v>3321.4550000000004</v>
      </c>
      <c r="M836" s="53">
        <f>IF(D836&lt;=Assumptions!$G$161,Assumptions!$AK$161,IF(D836&lt;Assumptions!$AH$161,Assumptions!$AK$161+(Assumptions!$AL$161-Assumptions!$AK$161)*(D836-Assumptions!$G$161)/(Assumptions!$AH$161-Assumptions!$G$161),IF(D836&lt;Assumptions!$P$161,Assumptions!$AL$161+(Assumptions!$AM$161-Assumptions!$AL$161)*(D836-Assumptions!$AH$161)/(Assumptions!$P$161-Assumptions!$AH$161),Assumptions!$AM$161)))</f>
        <v>6250</v>
      </c>
      <c r="N836" s="54">
        <f t="shared" si="24"/>
        <v>9.218289085545722</v>
      </c>
      <c r="O836" s="55">
        <f t="shared" si="25"/>
        <v>3331</v>
      </c>
      <c r="P836" s="29" t="str">
        <f>IF(D836&gt;=Assumptions!$P$161,"High",IF(D836&gt;=Assumptions!$AH$161,"Mid",IF(D836&lt;=Assumptions!$G$161,"Low","Loading")))</f>
        <v>High</v>
      </c>
      <c r="Q836" s="39">
        <f>MAX(K836,MIN(Assumptions!$S$161,O836),Q837)</f>
        <v>3331</v>
      </c>
      <c r="R836" s="30">
        <f>IF(AND(Q836&lt;=K836,INDEX(Assumptions!$C$26:$C$36,MATCH(G836,Assumptions!$A$26:$A$36,0))&lt;&gt;""),INDEX(Assumptions!$C$26:$C$36,MATCH(G836,Assumptions!$A$26:$A$36,0)),ROUND(G836*Q836,-2))</f>
        <v>2258400</v>
      </c>
      <c r="S836" s="56" t="str">
        <f>TRIM(IF(AND(Assumptions!$L$161&lt;&gt;"",D836&lt;Assumptions!$L$161),"View blocked / roof in front ("&amp;Assumptions!$M$161&amp;"); view premium still loading until L"&amp;Assumptions!$L$161&amp;". ","")&amp;IF(D836=Assumptions!$AH$161,"Mid-floor view premium fully loaded. ","")&amp;IF(D836=Assumptions!$P$161,"High-floor view premium fully loaded. ","")&amp;IF(Q836&lt;=K836,"At developer starting price.",""))</f>
        <v/>
      </c>
      <c r="T836" s="57" t="str">
        <f>Assumptions!$AJ$161</f>
        <v>SE: no afternoon sun. 240m entire pool &amp; landscape</v>
      </c>
    </row>
    <row r="837" spans="1:20" x14ac:dyDescent="0.2">
      <c r="A837" s="49" t="s">
        <v>996</v>
      </c>
      <c r="B837" s="29">
        <v>7</v>
      </c>
      <c r="C837" s="50">
        <v>35</v>
      </c>
      <c r="D837" s="50">
        <v>28</v>
      </c>
      <c r="E837" s="27" t="s">
        <v>43</v>
      </c>
      <c r="F837" s="29" t="s">
        <v>716</v>
      </c>
      <c r="G837" s="28">
        <v>678</v>
      </c>
      <c r="H837" s="29" t="s">
        <v>65</v>
      </c>
      <c r="I837" s="38" t="str">
        <f>Assumptions!$I$161</f>
        <v>B</v>
      </c>
      <c r="J837" s="29" t="str">
        <f>IF(D837&lt;=Assumptions!$V$161,"Low",IF(D837&lt;=Assumptions!$W$161,"Mid","High"))</f>
        <v>High</v>
      </c>
      <c r="K837" s="51">
        <f>Assumptions!$Q$161</f>
        <v>2613</v>
      </c>
      <c r="L837" s="52">
        <f>INDEX(Assumptions!$D$61:$D$90,D837)</f>
        <v>3308.6800000000003</v>
      </c>
      <c r="M837" s="53">
        <f>IF(D837&lt;=Assumptions!$G$161,Assumptions!$AK$161,IF(D837&lt;Assumptions!$AH$161,Assumptions!$AK$161+(Assumptions!$AL$161-Assumptions!$AK$161)*(D837-Assumptions!$G$161)/(Assumptions!$AH$161-Assumptions!$G$161),IF(D837&lt;Assumptions!$P$161,Assumptions!$AL$161+(Assumptions!$AM$161-Assumptions!$AL$161)*(D837-Assumptions!$AH$161)/(Assumptions!$P$161-Assumptions!$AH$161),Assumptions!$AM$161)))</f>
        <v>6250</v>
      </c>
      <c r="N837" s="54">
        <f t="shared" ref="N837:N900" si="26">M837/G837</f>
        <v>9.218289085545722</v>
      </c>
      <c r="O837" s="55">
        <f t="shared" ref="O837:O900" si="27">ROUND(L837+N837,0)</f>
        <v>3318</v>
      </c>
      <c r="P837" s="29" t="str">
        <f>IF(D837&gt;=Assumptions!$P$161,"High",IF(D837&gt;=Assumptions!$AH$161,"Mid",IF(D837&lt;=Assumptions!$G$161,"Low","Loading")))</f>
        <v>High</v>
      </c>
      <c r="Q837" s="39">
        <f>MAX(K837,MIN(Assumptions!$S$161,O837),Q838)</f>
        <v>3318</v>
      </c>
      <c r="R837" s="30">
        <f>IF(AND(Q837&lt;=K837,INDEX(Assumptions!$C$26:$C$36,MATCH(G837,Assumptions!$A$26:$A$36,0))&lt;&gt;""),INDEX(Assumptions!$C$26:$C$36,MATCH(G837,Assumptions!$A$26:$A$36,0)),ROUND(G837*Q837,-2))</f>
        <v>2249600</v>
      </c>
      <c r="S837" s="56" t="str">
        <f>TRIM(IF(AND(Assumptions!$L$161&lt;&gt;"",D837&lt;Assumptions!$L$161),"View blocked / roof in front ("&amp;Assumptions!$M$161&amp;"); view premium still loading until L"&amp;Assumptions!$L$161&amp;". ","")&amp;IF(D837=Assumptions!$AH$161,"Mid-floor view premium fully loaded. ","")&amp;IF(D837=Assumptions!$P$161,"High-floor view premium fully loaded. ","")&amp;IF(Q837&lt;=K837,"At developer starting price.",""))</f>
        <v/>
      </c>
      <c r="T837" s="57" t="str">
        <f>Assumptions!$AJ$161</f>
        <v>SE: no afternoon sun. 240m entire pool &amp; landscape</v>
      </c>
    </row>
    <row r="838" spans="1:20" x14ac:dyDescent="0.2">
      <c r="A838" s="49" t="s">
        <v>997</v>
      </c>
      <c r="B838" s="29">
        <v>7</v>
      </c>
      <c r="C838" s="50">
        <v>35</v>
      </c>
      <c r="D838" s="50">
        <v>27</v>
      </c>
      <c r="E838" s="27" t="s">
        <v>43</v>
      </c>
      <c r="F838" s="29" t="s">
        <v>716</v>
      </c>
      <c r="G838" s="28">
        <v>678</v>
      </c>
      <c r="H838" s="29" t="s">
        <v>65</v>
      </c>
      <c r="I838" s="38" t="str">
        <f>Assumptions!$I$161</f>
        <v>B</v>
      </c>
      <c r="J838" s="29" t="str">
        <f>IF(D838&lt;=Assumptions!$V$161,"Low",IF(D838&lt;=Assumptions!$W$161,"Mid","High"))</f>
        <v>High</v>
      </c>
      <c r="K838" s="51">
        <f>Assumptions!$Q$161</f>
        <v>2613</v>
      </c>
      <c r="L838" s="52">
        <f>INDEX(Assumptions!$D$61:$D$90,D838)</f>
        <v>3295.9050000000002</v>
      </c>
      <c r="M838" s="53">
        <f>IF(D838&lt;=Assumptions!$G$161,Assumptions!$AK$161,IF(D838&lt;Assumptions!$AH$161,Assumptions!$AK$161+(Assumptions!$AL$161-Assumptions!$AK$161)*(D838-Assumptions!$G$161)/(Assumptions!$AH$161-Assumptions!$G$161),IF(D838&lt;Assumptions!$P$161,Assumptions!$AL$161+(Assumptions!$AM$161-Assumptions!$AL$161)*(D838-Assumptions!$AH$161)/(Assumptions!$P$161-Assumptions!$AH$161),Assumptions!$AM$161)))</f>
        <v>6250</v>
      </c>
      <c r="N838" s="54">
        <f t="shared" si="26"/>
        <v>9.218289085545722</v>
      </c>
      <c r="O838" s="55">
        <f t="shared" si="27"/>
        <v>3305</v>
      </c>
      <c r="P838" s="29" t="str">
        <f>IF(D838&gt;=Assumptions!$P$161,"High",IF(D838&gt;=Assumptions!$AH$161,"Mid",IF(D838&lt;=Assumptions!$G$161,"Low","Loading")))</f>
        <v>High</v>
      </c>
      <c r="Q838" s="39">
        <f>MAX(K838,MIN(Assumptions!$S$161,O838),Q839)</f>
        <v>3305</v>
      </c>
      <c r="R838" s="30">
        <f>IF(AND(Q838&lt;=K838,INDEX(Assumptions!$C$26:$C$36,MATCH(G838,Assumptions!$A$26:$A$36,0))&lt;&gt;""),INDEX(Assumptions!$C$26:$C$36,MATCH(G838,Assumptions!$A$26:$A$36,0)),ROUND(G838*Q838,-2))</f>
        <v>2240800</v>
      </c>
      <c r="S838" s="56" t="str">
        <f>TRIM(IF(AND(Assumptions!$L$161&lt;&gt;"",D838&lt;Assumptions!$L$161),"View blocked / roof in front ("&amp;Assumptions!$M$161&amp;"); view premium still loading until L"&amp;Assumptions!$L$161&amp;". ","")&amp;IF(D838=Assumptions!$AH$161,"Mid-floor view premium fully loaded. ","")&amp;IF(D838=Assumptions!$P$161,"High-floor view premium fully loaded. ","")&amp;IF(Q838&lt;=K838,"At developer starting price.",""))</f>
        <v/>
      </c>
      <c r="T838" s="57" t="str">
        <f>Assumptions!$AJ$161</f>
        <v>SE: no afternoon sun. 240m entire pool &amp; landscape</v>
      </c>
    </row>
    <row r="839" spans="1:20" x14ac:dyDescent="0.2">
      <c r="A839" s="49" t="s">
        <v>998</v>
      </c>
      <c r="B839" s="29">
        <v>7</v>
      </c>
      <c r="C839" s="50">
        <v>35</v>
      </c>
      <c r="D839" s="50">
        <v>26</v>
      </c>
      <c r="E839" s="27" t="s">
        <v>43</v>
      </c>
      <c r="F839" s="29" t="s">
        <v>716</v>
      </c>
      <c r="G839" s="28">
        <v>678</v>
      </c>
      <c r="H839" s="29" t="s">
        <v>65</v>
      </c>
      <c r="I839" s="38" t="str">
        <f>Assumptions!$I$161</f>
        <v>B</v>
      </c>
      <c r="J839" s="29" t="str">
        <f>IF(D839&lt;=Assumptions!$V$161,"Low",IF(D839&lt;=Assumptions!$W$161,"Mid","High"))</f>
        <v>High</v>
      </c>
      <c r="K839" s="51">
        <f>Assumptions!$Q$161</f>
        <v>2613</v>
      </c>
      <c r="L839" s="52">
        <f>INDEX(Assumptions!$D$61:$D$90,D839)</f>
        <v>3283.13</v>
      </c>
      <c r="M839" s="53">
        <f>IF(D839&lt;=Assumptions!$G$161,Assumptions!$AK$161,IF(D839&lt;Assumptions!$AH$161,Assumptions!$AK$161+(Assumptions!$AL$161-Assumptions!$AK$161)*(D839-Assumptions!$G$161)/(Assumptions!$AH$161-Assumptions!$G$161),IF(D839&lt;Assumptions!$P$161,Assumptions!$AL$161+(Assumptions!$AM$161-Assumptions!$AL$161)*(D839-Assumptions!$AH$161)/(Assumptions!$P$161-Assumptions!$AH$161),Assumptions!$AM$161)))</f>
        <v>6250</v>
      </c>
      <c r="N839" s="54">
        <f t="shared" si="26"/>
        <v>9.218289085545722</v>
      </c>
      <c r="O839" s="55">
        <f t="shared" si="27"/>
        <v>3292</v>
      </c>
      <c r="P839" s="29" t="str">
        <f>IF(D839&gt;=Assumptions!$P$161,"High",IF(D839&gt;=Assumptions!$AH$161,"Mid",IF(D839&lt;=Assumptions!$G$161,"Low","Loading")))</f>
        <v>High</v>
      </c>
      <c r="Q839" s="39">
        <f>MAX(K839,MIN(Assumptions!$S$161,O839),Q840)</f>
        <v>3292</v>
      </c>
      <c r="R839" s="30">
        <f>IF(AND(Q839&lt;=K839,INDEX(Assumptions!$C$26:$C$36,MATCH(G839,Assumptions!$A$26:$A$36,0))&lt;&gt;""),INDEX(Assumptions!$C$26:$C$36,MATCH(G839,Assumptions!$A$26:$A$36,0)),ROUND(G839*Q839,-2))</f>
        <v>2232000</v>
      </c>
      <c r="S839" s="56" t="str">
        <f>TRIM(IF(AND(Assumptions!$L$161&lt;&gt;"",D839&lt;Assumptions!$L$161),"View blocked / roof in front ("&amp;Assumptions!$M$161&amp;"); view premium still loading until L"&amp;Assumptions!$L$161&amp;". ","")&amp;IF(D839=Assumptions!$AH$161,"Mid-floor view premium fully loaded. ","")&amp;IF(D839=Assumptions!$P$161,"High-floor view premium fully loaded. ","")&amp;IF(Q839&lt;=K839,"At developer starting price.",""))</f>
        <v/>
      </c>
      <c r="T839" s="57" t="str">
        <f>Assumptions!$AJ$161</f>
        <v>SE: no afternoon sun. 240m entire pool &amp; landscape</v>
      </c>
    </row>
    <row r="840" spans="1:20" x14ac:dyDescent="0.2">
      <c r="A840" s="49" t="s">
        <v>999</v>
      </c>
      <c r="B840" s="29">
        <v>7</v>
      </c>
      <c r="C840" s="50">
        <v>35</v>
      </c>
      <c r="D840" s="50">
        <v>25</v>
      </c>
      <c r="E840" s="27" t="s">
        <v>43</v>
      </c>
      <c r="F840" s="29" t="s">
        <v>716</v>
      </c>
      <c r="G840" s="28">
        <v>678</v>
      </c>
      <c r="H840" s="29" t="s">
        <v>65</v>
      </c>
      <c r="I840" s="38" t="str">
        <f>Assumptions!$I$161</f>
        <v>B</v>
      </c>
      <c r="J840" s="29" t="str">
        <f>IF(D840&lt;=Assumptions!$V$161,"Low",IF(D840&lt;=Assumptions!$W$161,"Mid","High"))</f>
        <v>High</v>
      </c>
      <c r="K840" s="51">
        <f>Assumptions!$Q$161</f>
        <v>2613</v>
      </c>
      <c r="L840" s="52">
        <f>INDEX(Assumptions!$D$61:$D$90,D840)</f>
        <v>3270.355</v>
      </c>
      <c r="M840" s="53">
        <f>IF(D840&lt;=Assumptions!$G$161,Assumptions!$AK$161,IF(D840&lt;Assumptions!$AH$161,Assumptions!$AK$161+(Assumptions!$AL$161-Assumptions!$AK$161)*(D840-Assumptions!$G$161)/(Assumptions!$AH$161-Assumptions!$G$161),IF(D840&lt;Assumptions!$P$161,Assumptions!$AL$161+(Assumptions!$AM$161-Assumptions!$AL$161)*(D840-Assumptions!$AH$161)/(Assumptions!$P$161-Assumptions!$AH$161),Assumptions!$AM$161)))</f>
        <v>6250</v>
      </c>
      <c r="N840" s="54">
        <f t="shared" si="26"/>
        <v>9.218289085545722</v>
      </c>
      <c r="O840" s="55">
        <f t="shared" si="27"/>
        <v>3280</v>
      </c>
      <c r="P840" s="29" t="str">
        <f>IF(D840&gt;=Assumptions!$P$161,"High",IF(D840&gt;=Assumptions!$AH$161,"Mid",IF(D840&lt;=Assumptions!$G$161,"Low","Loading")))</f>
        <v>High</v>
      </c>
      <c r="Q840" s="39">
        <f>MAX(K840,MIN(Assumptions!$S$161,O840),Q841)</f>
        <v>3280</v>
      </c>
      <c r="R840" s="30">
        <f>IF(AND(Q840&lt;=K840,INDEX(Assumptions!$C$26:$C$36,MATCH(G840,Assumptions!$A$26:$A$36,0))&lt;&gt;""),INDEX(Assumptions!$C$26:$C$36,MATCH(G840,Assumptions!$A$26:$A$36,0)),ROUND(G840*Q840,-2))</f>
        <v>2223800</v>
      </c>
      <c r="S840" s="56" t="str">
        <f>TRIM(IF(AND(Assumptions!$L$161&lt;&gt;"",D840&lt;Assumptions!$L$161),"View blocked / roof in front ("&amp;Assumptions!$M$161&amp;"); view premium still loading until L"&amp;Assumptions!$L$161&amp;". ","")&amp;IF(D840=Assumptions!$AH$161,"Mid-floor view premium fully loaded. ","")&amp;IF(D840=Assumptions!$P$161,"High-floor view premium fully loaded. ","")&amp;IF(Q840&lt;=K840,"At developer starting price.",""))</f>
        <v/>
      </c>
      <c r="T840" s="57" t="str">
        <f>Assumptions!$AJ$161</f>
        <v>SE: no afternoon sun. 240m entire pool &amp; landscape</v>
      </c>
    </row>
    <row r="841" spans="1:20" x14ac:dyDescent="0.2">
      <c r="A841" s="49" t="s">
        <v>1000</v>
      </c>
      <c r="B841" s="29">
        <v>7</v>
      </c>
      <c r="C841" s="50">
        <v>35</v>
      </c>
      <c r="D841" s="50">
        <v>24</v>
      </c>
      <c r="E841" s="27" t="s">
        <v>43</v>
      </c>
      <c r="F841" s="29" t="s">
        <v>716</v>
      </c>
      <c r="G841" s="28">
        <v>678</v>
      </c>
      <c r="H841" s="29" t="s">
        <v>65</v>
      </c>
      <c r="I841" s="38" t="str">
        <f>Assumptions!$I$161</f>
        <v>B</v>
      </c>
      <c r="J841" s="29" t="str">
        <f>IF(D841&lt;=Assumptions!$V$161,"Low",IF(D841&lt;=Assumptions!$W$161,"Mid","High"))</f>
        <v>High</v>
      </c>
      <c r="K841" s="51">
        <f>Assumptions!$Q$161</f>
        <v>2613</v>
      </c>
      <c r="L841" s="52">
        <f>INDEX(Assumptions!$D$61:$D$90,D841)</f>
        <v>3257.58</v>
      </c>
      <c r="M841" s="53">
        <f>IF(D841&lt;=Assumptions!$G$161,Assumptions!$AK$161,IF(D841&lt;Assumptions!$AH$161,Assumptions!$AK$161+(Assumptions!$AL$161-Assumptions!$AK$161)*(D841-Assumptions!$G$161)/(Assumptions!$AH$161-Assumptions!$G$161),IF(D841&lt;Assumptions!$P$161,Assumptions!$AL$161+(Assumptions!$AM$161-Assumptions!$AL$161)*(D841-Assumptions!$AH$161)/(Assumptions!$P$161-Assumptions!$AH$161),Assumptions!$AM$161)))</f>
        <v>6250</v>
      </c>
      <c r="N841" s="54">
        <f t="shared" si="26"/>
        <v>9.218289085545722</v>
      </c>
      <c r="O841" s="55">
        <f t="shared" si="27"/>
        <v>3267</v>
      </c>
      <c r="P841" s="29" t="str">
        <f>IF(D841&gt;=Assumptions!$P$161,"High",IF(D841&gt;=Assumptions!$AH$161,"Mid",IF(D841&lt;=Assumptions!$G$161,"Low","Loading")))</f>
        <v>High</v>
      </c>
      <c r="Q841" s="39">
        <f>MAX(K841,MIN(Assumptions!$S$161,O841),Q842)</f>
        <v>3267</v>
      </c>
      <c r="R841" s="30">
        <f>IF(AND(Q841&lt;=K841,INDEX(Assumptions!$C$26:$C$36,MATCH(G841,Assumptions!$A$26:$A$36,0))&lt;&gt;""),INDEX(Assumptions!$C$26:$C$36,MATCH(G841,Assumptions!$A$26:$A$36,0)),ROUND(G841*Q841,-2))</f>
        <v>2215000</v>
      </c>
      <c r="S841" s="56" t="str">
        <f>TRIM(IF(AND(Assumptions!$L$161&lt;&gt;"",D841&lt;Assumptions!$L$161),"View blocked / roof in front ("&amp;Assumptions!$M$161&amp;"); view premium still loading until L"&amp;Assumptions!$L$161&amp;". ","")&amp;IF(D841=Assumptions!$AH$161,"Mid-floor view premium fully loaded. ","")&amp;IF(D841=Assumptions!$P$161,"High-floor view premium fully loaded. ","")&amp;IF(Q841&lt;=K841,"At developer starting price.",""))</f>
        <v/>
      </c>
      <c r="T841" s="57" t="str">
        <f>Assumptions!$AJ$161</f>
        <v>SE: no afternoon sun. 240m entire pool &amp; landscape</v>
      </c>
    </row>
    <row r="842" spans="1:20" x14ac:dyDescent="0.2">
      <c r="A842" s="49" t="s">
        <v>1001</v>
      </c>
      <c r="B842" s="29">
        <v>7</v>
      </c>
      <c r="C842" s="50">
        <v>35</v>
      </c>
      <c r="D842" s="50">
        <v>23</v>
      </c>
      <c r="E842" s="27" t="s">
        <v>43</v>
      </c>
      <c r="F842" s="29" t="s">
        <v>716</v>
      </c>
      <c r="G842" s="28">
        <v>678</v>
      </c>
      <c r="H842" s="29" t="s">
        <v>65</v>
      </c>
      <c r="I842" s="38" t="str">
        <f>Assumptions!$I$161</f>
        <v>B</v>
      </c>
      <c r="J842" s="29" t="str">
        <f>IF(D842&lt;=Assumptions!$V$161,"Low",IF(D842&lt;=Assumptions!$W$161,"Mid","High"))</f>
        <v>High</v>
      </c>
      <c r="K842" s="51">
        <f>Assumptions!$Q$161</f>
        <v>2613</v>
      </c>
      <c r="L842" s="52">
        <f>INDEX(Assumptions!$D$61:$D$90,D842)</f>
        <v>3244.8049999999998</v>
      </c>
      <c r="M842" s="53">
        <f>IF(D842&lt;=Assumptions!$G$161,Assumptions!$AK$161,IF(D842&lt;Assumptions!$AH$161,Assumptions!$AK$161+(Assumptions!$AL$161-Assumptions!$AK$161)*(D842-Assumptions!$G$161)/(Assumptions!$AH$161-Assumptions!$G$161),IF(D842&lt;Assumptions!$P$161,Assumptions!$AL$161+(Assumptions!$AM$161-Assumptions!$AL$161)*(D842-Assumptions!$AH$161)/(Assumptions!$P$161-Assumptions!$AH$161),Assumptions!$AM$161)))</f>
        <v>6250</v>
      </c>
      <c r="N842" s="54">
        <f t="shared" si="26"/>
        <v>9.218289085545722</v>
      </c>
      <c r="O842" s="55">
        <f t="shared" si="27"/>
        <v>3254</v>
      </c>
      <c r="P842" s="29" t="str">
        <f>IF(D842&gt;=Assumptions!$P$161,"High",IF(D842&gt;=Assumptions!$AH$161,"Mid",IF(D842&lt;=Assumptions!$G$161,"Low","Loading")))</f>
        <v>High</v>
      </c>
      <c r="Q842" s="39">
        <f>MAX(K842,MIN(Assumptions!$S$161,O842),Q843)</f>
        <v>3254</v>
      </c>
      <c r="R842" s="30">
        <f>IF(AND(Q842&lt;=K842,INDEX(Assumptions!$C$26:$C$36,MATCH(G842,Assumptions!$A$26:$A$36,0))&lt;&gt;""),INDEX(Assumptions!$C$26:$C$36,MATCH(G842,Assumptions!$A$26:$A$36,0)),ROUND(G842*Q842,-2))</f>
        <v>2206200</v>
      </c>
      <c r="S842" s="56" t="str">
        <f>TRIM(IF(AND(Assumptions!$L$161&lt;&gt;"",D842&lt;Assumptions!$L$161),"View blocked / roof in front ("&amp;Assumptions!$M$161&amp;"); view premium still loading until L"&amp;Assumptions!$L$161&amp;". ","")&amp;IF(D842=Assumptions!$AH$161,"Mid-floor view premium fully loaded. ","")&amp;IF(D842=Assumptions!$P$161,"High-floor view premium fully loaded. ","")&amp;IF(Q842&lt;=K842,"At developer starting price.",""))</f>
        <v/>
      </c>
      <c r="T842" s="57" t="str">
        <f>Assumptions!$AJ$161</f>
        <v>SE: no afternoon sun. 240m entire pool &amp; landscape</v>
      </c>
    </row>
    <row r="843" spans="1:20" x14ac:dyDescent="0.2">
      <c r="A843" s="49" t="s">
        <v>1002</v>
      </c>
      <c r="B843" s="29">
        <v>7</v>
      </c>
      <c r="C843" s="50">
        <v>35</v>
      </c>
      <c r="D843" s="50">
        <v>22</v>
      </c>
      <c r="E843" s="27" t="s">
        <v>43</v>
      </c>
      <c r="F843" s="29" t="s">
        <v>716</v>
      </c>
      <c r="G843" s="28">
        <v>678</v>
      </c>
      <c r="H843" s="29" t="s">
        <v>65</v>
      </c>
      <c r="I843" s="38" t="str">
        <f>Assumptions!$I$161</f>
        <v>B</v>
      </c>
      <c r="J843" s="29" t="str">
        <f>IF(D843&lt;=Assumptions!$V$161,"Low",IF(D843&lt;=Assumptions!$W$161,"Mid","High"))</f>
        <v>High</v>
      </c>
      <c r="K843" s="51">
        <f>Assumptions!$Q$161</f>
        <v>2613</v>
      </c>
      <c r="L843" s="52">
        <f>INDEX(Assumptions!$D$61:$D$90,D843)</f>
        <v>3232.03</v>
      </c>
      <c r="M843" s="53">
        <f>IF(D843&lt;=Assumptions!$G$161,Assumptions!$AK$161,IF(D843&lt;Assumptions!$AH$161,Assumptions!$AK$161+(Assumptions!$AL$161-Assumptions!$AK$161)*(D843-Assumptions!$G$161)/(Assumptions!$AH$161-Assumptions!$G$161),IF(D843&lt;Assumptions!$P$161,Assumptions!$AL$161+(Assumptions!$AM$161-Assumptions!$AL$161)*(D843-Assumptions!$AH$161)/(Assumptions!$P$161-Assumptions!$AH$161),Assumptions!$AM$161)))</f>
        <v>6250</v>
      </c>
      <c r="N843" s="54">
        <f t="shared" si="26"/>
        <v>9.218289085545722</v>
      </c>
      <c r="O843" s="55">
        <f t="shared" si="27"/>
        <v>3241</v>
      </c>
      <c r="P843" s="29" t="str">
        <f>IF(D843&gt;=Assumptions!$P$161,"High",IF(D843&gt;=Assumptions!$AH$161,"Mid",IF(D843&lt;=Assumptions!$G$161,"Low","Loading")))</f>
        <v>High</v>
      </c>
      <c r="Q843" s="39">
        <f>MAX(K843,MIN(Assumptions!$S$161,O843),Q844)</f>
        <v>3241</v>
      </c>
      <c r="R843" s="30">
        <f>IF(AND(Q843&lt;=K843,INDEX(Assumptions!$C$26:$C$36,MATCH(G843,Assumptions!$A$26:$A$36,0))&lt;&gt;""),INDEX(Assumptions!$C$26:$C$36,MATCH(G843,Assumptions!$A$26:$A$36,0)),ROUND(G843*Q843,-2))</f>
        <v>2197400</v>
      </c>
      <c r="S843" s="56" t="str">
        <f>TRIM(IF(AND(Assumptions!$L$161&lt;&gt;"",D843&lt;Assumptions!$L$161),"View blocked / roof in front ("&amp;Assumptions!$M$161&amp;"); view premium still loading until L"&amp;Assumptions!$L$161&amp;". ","")&amp;IF(D843=Assumptions!$AH$161,"Mid-floor view premium fully loaded. ","")&amp;IF(D843=Assumptions!$P$161,"High-floor view premium fully loaded. ","")&amp;IF(Q843&lt;=K843,"At developer starting price.",""))</f>
        <v>High-floor view premium fully loaded.</v>
      </c>
      <c r="T843" s="57" t="str">
        <f>Assumptions!$AJ$161</f>
        <v>SE: no afternoon sun. 240m entire pool &amp; landscape</v>
      </c>
    </row>
    <row r="844" spans="1:20" x14ac:dyDescent="0.2">
      <c r="A844" s="49" t="s">
        <v>1003</v>
      </c>
      <c r="B844" s="29">
        <v>7</v>
      </c>
      <c r="C844" s="50">
        <v>35</v>
      </c>
      <c r="D844" s="50">
        <v>21</v>
      </c>
      <c r="E844" s="27" t="s">
        <v>43</v>
      </c>
      <c r="F844" s="29" t="s">
        <v>716</v>
      </c>
      <c r="G844" s="28">
        <v>678</v>
      </c>
      <c r="H844" s="29" t="s">
        <v>65</v>
      </c>
      <c r="I844" s="38" t="str">
        <f>Assumptions!$I$161</f>
        <v>B</v>
      </c>
      <c r="J844" s="29" t="str">
        <f>IF(D844&lt;=Assumptions!$V$161,"Low",IF(D844&lt;=Assumptions!$W$161,"Mid","High"))</f>
        <v>Mid</v>
      </c>
      <c r="K844" s="51">
        <f>Assumptions!$Q$161</f>
        <v>2613</v>
      </c>
      <c r="L844" s="52">
        <f>INDEX(Assumptions!$D$61:$D$90,D844)</f>
        <v>3219.2550000000001</v>
      </c>
      <c r="M844" s="53">
        <f>IF(D844&lt;=Assumptions!$G$161,Assumptions!$AK$161,IF(D844&lt;Assumptions!$AH$161,Assumptions!$AK$161+(Assumptions!$AL$161-Assumptions!$AK$161)*(D844-Assumptions!$G$161)/(Assumptions!$AH$161-Assumptions!$G$161),IF(D844&lt;Assumptions!$P$161,Assumptions!$AL$161+(Assumptions!$AM$161-Assumptions!$AL$161)*(D844-Assumptions!$AH$161)/(Assumptions!$P$161-Assumptions!$AH$161),Assumptions!$AM$161)))</f>
        <v>8104.3956043956041</v>
      </c>
      <c r="N844" s="54">
        <f t="shared" si="26"/>
        <v>11.953385847191157</v>
      </c>
      <c r="O844" s="55">
        <f t="shared" si="27"/>
        <v>3231</v>
      </c>
      <c r="P844" s="29" t="str">
        <f>IF(D844&gt;=Assumptions!$P$161,"High",IF(D844&gt;=Assumptions!$AH$161,"Mid",IF(D844&lt;=Assumptions!$G$161,"Low","Loading")))</f>
        <v>Mid</v>
      </c>
      <c r="Q844" s="39">
        <f>MAX(K844,MIN(Assumptions!$S$161,O844),Q845)</f>
        <v>3231</v>
      </c>
      <c r="R844" s="30">
        <f>IF(AND(Q844&lt;=K844,INDEX(Assumptions!$C$26:$C$36,MATCH(G844,Assumptions!$A$26:$A$36,0))&lt;&gt;""),INDEX(Assumptions!$C$26:$C$36,MATCH(G844,Assumptions!$A$26:$A$36,0)),ROUND(G844*Q844,-2))</f>
        <v>2190600</v>
      </c>
      <c r="S844" s="56" t="str">
        <f>TRIM(IF(AND(Assumptions!$L$161&lt;&gt;"",D844&lt;Assumptions!$L$161),"View blocked / roof in front ("&amp;Assumptions!$M$161&amp;"); view premium still loading until L"&amp;Assumptions!$L$161&amp;". ","")&amp;IF(D844=Assumptions!$AH$161,"Mid-floor view premium fully loaded. ","")&amp;IF(D844=Assumptions!$P$161,"High-floor view premium fully loaded. ","")&amp;IF(Q844&lt;=K844,"At developer starting price.",""))</f>
        <v/>
      </c>
      <c r="T844" s="57" t="str">
        <f>Assumptions!$AJ$161</f>
        <v>SE: no afternoon sun. 240m entire pool &amp; landscape</v>
      </c>
    </row>
    <row r="845" spans="1:20" x14ac:dyDescent="0.2">
      <c r="A845" s="49" t="s">
        <v>1004</v>
      </c>
      <c r="B845" s="29">
        <v>7</v>
      </c>
      <c r="C845" s="50">
        <v>35</v>
      </c>
      <c r="D845" s="50">
        <v>20</v>
      </c>
      <c r="E845" s="27" t="s">
        <v>43</v>
      </c>
      <c r="F845" s="29" t="s">
        <v>716</v>
      </c>
      <c r="G845" s="28">
        <v>678</v>
      </c>
      <c r="H845" s="29" t="s">
        <v>65</v>
      </c>
      <c r="I845" s="38" t="str">
        <f>Assumptions!$I$161</f>
        <v>B</v>
      </c>
      <c r="J845" s="29" t="str">
        <f>IF(D845&lt;=Assumptions!$V$161,"Low",IF(D845&lt;=Assumptions!$W$161,"Mid","High"))</f>
        <v>Mid</v>
      </c>
      <c r="K845" s="51">
        <f>Assumptions!$Q$161</f>
        <v>2613</v>
      </c>
      <c r="L845" s="52">
        <f>INDEX(Assumptions!$D$61:$D$90,D845)</f>
        <v>3200.18</v>
      </c>
      <c r="M845" s="53">
        <f>IF(D845&lt;=Assumptions!$G$161,Assumptions!$AK$161,IF(D845&lt;Assumptions!$AH$161,Assumptions!$AK$161+(Assumptions!$AL$161-Assumptions!$AK$161)*(D845-Assumptions!$G$161)/(Assumptions!$AH$161-Assumptions!$G$161),IF(D845&lt;Assumptions!$P$161,Assumptions!$AL$161+(Assumptions!$AM$161-Assumptions!$AL$161)*(D845-Assumptions!$AH$161)/(Assumptions!$P$161-Assumptions!$AH$161),Assumptions!$AM$161)))</f>
        <v>9958.79120879121</v>
      </c>
      <c r="N845" s="54">
        <f t="shared" si="26"/>
        <v>14.688482608836592</v>
      </c>
      <c r="O845" s="55">
        <f t="shared" si="27"/>
        <v>3215</v>
      </c>
      <c r="P845" s="29" t="str">
        <f>IF(D845&gt;=Assumptions!$P$161,"High",IF(D845&gt;=Assumptions!$AH$161,"Mid",IF(D845&lt;=Assumptions!$G$161,"Low","Loading")))</f>
        <v>Mid</v>
      </c>
      <c r="Q845" s="39">
        <f>MAX(K845,MIN(Assumptions!$S$161,O845),Q846)</f>
        <v>3215</v>
      </c>
      <c r="R845" s="30">
        <f>IF(AND(Q845&lt;=K845,INDEX(Assumptions!$C$26:$C$36,MATCH(G845,Assumptions!$A$26:$A$36,0))&lt;&gt;""),INDEX(Assumptions!$C$26:$C$36,MATCH(G845,Assumptions!$A$26:$A$36,0)),ROUND(G845*Q845,-2))</f>
        <v>2179800</v>
      </c>
      <c r="S845" s="56" t="str">
        <f>TRIM(IF(AND(Assumptions!$L$161&lt;&gt;"",D845&lt;Assumptions!$L$161),"View blocked / roof in front ("&amp;Assumptions!$M$161&amp;"); view premium still loading until L"&amp;Assumptions!$L$161&amp;". ","")&amp;IF(D845=Assumptions!$AH$161,"Mid-floor view premium fully loaded. ","")&amp;IF(D845=Assumptions!$P$161,"High-floor view premium fully loaded. ","")&amp;IF(Q845&lt;=K845,"At developer starting price.",""))</f>
        <v/>
      </c>
      <c r="T845" s="57" t="str">
        <f>Assumptions!$AJ$161</f>
        <v>SE: no afternoon sun. 240m entire pool &amp; landscape</v>
      </c>
    </row>
    <row r="846" spans="1:20" x14ac:dyDescent="0.2">
      <c r="A846" s="49" t="s">
        <v>1005</v>
      </c>
      <c r="B846" s="29">
        <v>7</v>
      </c>
      <c r="C846" s="50">
        <v>35</v>
      </c>
      <c r="D846" s="50">
        <v>19</v>
      </c>
      <c r="E846" s="27" t="s">
        <v>43</v>
      </c>
      <c r="F846" s="29" t="s">
        <v>716</v>
      </c>
      <c r="G846" s="28">
        <v>678</v>
      </c>
      <c r="H846" s="29" t="s">
        <v>65</v>
      </c>
      <c r="I846" s="38" t="str">
        <f>Assumptions!$I$161</f>
        <v>B</v>
      </c>
      <c r="J846" s="29" t="str">
        <f>IF(D846&lt;=Assumptions!$V$161,"Low",IF(D846&lt;=Assumptions!$W$161,"Mid","High"))</f>
        <v>Mid</v>
      </c>
      <c r="K846" s="51">
        <f>Assumptions!$Q$161</f>
        <v>2613</v>
      </c>
      <c r="L846" s="52">
        <f>INDEX(Assumptions!$D$61:$D$90,D846)</f>
        <v>3181.105</v>
      </c>
      <c r="M846" s="53">
        <f>IF(D846&lt;=Assumptions!$G$161,Assumptions!$AK$161,IF(D846&lt;Assumptions!$AH$161,Assumptions!$AK$161+(Assumptions!$AL$161-Assumptions!$AK$161)*(D846-Assumptions!$G$161)/(Assumptions!$AH$161-Assumptions!$G$161),IF(D846&lt;Assumptions!$P$161,Assumptions!$AL$161+(Assumptions!$AM$161-Assumptions!$AL$161)*(D846-Assumptions!$AH$161)/(Assumptions!$P$161-Assumptions!$AH$161),Assumptions!$AM$161)))</f>
        <v>11813.186813186814</v>
      </c>
      <c r="N846" s="54">
        <f t="shared" si="26"/>
        <v>17.423579370482027</v>
      </c>
      <c r="O846" s="55">
        <f t="shared" si="27"/>
        <v>3199</v>
      </c>
      <c r="P846" s="29" t="str">
        <f>IF(D846&gt;=Assumptions!$P$161,"High",IF(D846&gt;=Assumptions!$AH$161,"Mid",IF(D846&lt;=Assumptions!$G$161,"Low","Loading")))</f>
        <v>Mid</v>
      </c>
      <c r="Q846" s="39">
        <f>MAX(K846,MIN(Assumptions!$S$161,O846),Q847)</f>
        <v>3199</v>
      </c>
      <c r="R846" s="30">
        <f>IF(AND(Q846&lt;=K846,INDEX(Assumptions!$C$26:$C$36,MATCH(G846,Assumptions!$A$26:$A$36,0))&lt;&gt;""),INDEX(Assumptions!$C$26:$C$36,MATCH(G846,Assumptions!$A$26:$A$36,0)),ROUND(G846*Q846,-2))</f>
        <v>2168900</v>
      </c>
      <c r="S846" s="56" t="str">
        <f>TRIM(IF(AND(Assumptions!$L$161&lt;&gt;"",D846&lt;Assumptions!$L$161),"View blocked / roof in front ("&amp;Assumptions!$M$161&amp;"); view premium still loading until L"&amp;Assumptions!$L$161&amp;". ","")&amp;IF(D846=Assumptions!$AH$161,"Mid-floor view premium fully loaded. ","")&amp;IF(D846=Assumptions!$P$161,"High-floor view premium fully loaded. ","")&amp;IF(Q846&lt;=K846,"At developer starting price.",""))</f>
        <v/>
      </c>
      <c r="T846" s="57" t="str">
        <f>Assumptions!$AJ$161</f>
        <v>SE: no afternoon sun. 240m entire pool &amp; landscape</v>
      </c>
    </row>
    <row r="847" spans="1:20" x14ac:dyDescent="0.2">
      <c r="A847" s="49" t="s">
        <v>1006</v>
      </c>
      <c r="B847" s="29">
        <v>7</v>
      </c>
      <c r="C847" s="50">
        <v>35</v>
      </c>
      <c r="D847" s="50">
        <v>18</v>
      </c>
      <c r="E847" s="27" t="s">
        <v>43</v>
      </c>
      <c r="F847" s="29" t="s">
        <v>716</v>
      </c>
      <c r="G847" s="28">
        <v>678</v>
      </c>
      <c r="H847" s="29" t="s">
        <v>65</v>
      </c>
      <c r="I847" s="38" t="str">
        <f>Assumptions!$I$161</f>
        <v>B</v>
      </c>
      <c r="J847" s="29" t="str">
        <f>IF(D847&lt;=Assumptions!$V$161,"Low",IF(D847&lt;=Assumptions!$W$161,"Mid","High"))</f>
        <v>Mid</v>
      </c>
      <c r="K847" s="51">
        <f>Assumptions!$Q$161</f>
        <v>2613</v>
      </c>
      <c r="L847" s="52">
        <f>INDEX(Assumptions!$D$61:$D$90,D847)</f>
        <v>3162.0299999999997</v>
      </c>
      <c r="M847" s="53">
        <f>IF(D847&lt;=Assumptions!$G$161,Assumptions!$AK$161,IF(D847&lt;Assumptions!$AH$161,Assumptions!$AK$161+(Assumptions!$AL$161-Assumptions!$AK$161)*(D847-Assumptions!$G$161)/(Assumptions!$AH$161-Assumptions!$G$161),IF(D847&lt;Assumptions!$P$161,Assumptions!$AL$161+(Assumptions!$AM$161-Assumptions!$AL$161)*(D847-Assumptions!$AH$161)/(Assumptions!$P$161-Assumptions!$AH$161),Assumptions!$AM$161)))</f>
        <v>13667.58241758242</v>
      </c>
      <c r="N847" s="54">
        <f t="shared" si="26"/>
        <v>20.158676132127464</v>
      </c>
      <c r="O847" s="55">
        <f t="shared" si="27"/>
        <v>3182</v>
      </c>
      <c r="P847" s="29" t="str">
        <f>IF(D847&gt;=Assumptions!$P$161,"High",IF(D847&gt;=Assumptions!$AH$161,"Mid",IF(D847&lt;=Assumptions!$G$161,"Low","Loading")))</f>
        <v>Mid</v>
      </c>
      <c r="Q847" s="39">
        <f>MAX(K847,MIN(Assumptions!$S$161,O847),Q848)</f>
        <v>3182</v>
      </c>
      <c r="R847" s="30">
        <f>IF(AND(Q847&lt;=K847,INDEX(Assumptions!$C$26:$C$36,MATCH(G847,Assumptions!$A$26:$A$36,0))&lt;&gt;""),INDEX(Assumptions!$C$26:$C$36,MATCH(G847,Assumptions!$A$26:$A$36,0)),ROUND(G847*Q847,-2))</f>
        <v>2157400</v>
      </c>
      <c r="S847" s="56" t="str">
        <f>TRIM(IF(AND(Assumptions!$L$161&lt;&gt;"",D847&lt;Assumptions!$L$161),"View blocked / roof in front ("&amp;Assumptions!$M$161&amp;"); view premium still loading until L"&amp;Assumptions!$L$161&amp;". ","")&amp;IF(D847=Assumptions!$AH$161,"Mid-floor view premium fully loaded. ","")&amp;IF(D847=Assumptions!$P$161,"High-floor view premium fully loaded. ","")&amp;IF(Q847&lt;=K847,"At developer starting price.",""))</f>
        <v/>
      </c>
      <c r="T847" s="57" t="str">
        <f>Assumptions!$AJ$161</f>
        <v>SE: no afternoon sun. 240m entire pool &amp; landscape</v>
      </c>
    </row>
    <row r="848" spans="1:20" x14ac:dyDescent="0.2">
      <c r="A848" s="49" t="s">
        <v>1007</v>
      </c>
      <c r="B848" s="29">
        <v>7</v>
      </c>
      <c r="C848" s="50">
        <v>35</v>
      </c>
      <c r="D848" s="50">
        <v>17</v>
      </c>
      <c r="E848" s="27" t="s">
        <v>43</v>
      </c>
      <c r="F848" s="29" t="s">
        <v>716</v>
      </c>
      <c r="G848" s="28">
        <v>678</v>
      </c>
      <c r="H848" s="29" t="s">
        <v>65</v>
      </c>
      <c r="I848" s="38" t="str">
        <f>Assumptions!$I$161</f>
        <v>B</v>
      </c>
      <c r="J848" s="29" t="str">
        <f>IF(D848&lt;=Assumptions!$V$161,"Low",IF(D848&lt;=Assumptions!$W$161,"Mid","High"))</f>
        <v>Mid</v>
      </c>
      <c r="K848" s="51">
        <f>Assumptions!$Q$161</f>
        <v>2613</v>
      </c>
      <c r="L848" s="52">
        <f>INDEX(Assumptions!$D$61:$D$90,D848)</f>
        <v>3142.8252380952381</v>
      </c>
      <c r="M848" s="53">
        <f>IF(D848&lt;=Assumptions!$G$161,Assumptions!$AK$161,IF(D848&lt;Assumptions!$AH$161,Assumptions!$AK$161+(Assumptions!$AL$161-Assumptions!$AK$161)*(D848-Assumptions!$G$161)/(Assumptions!$AH$161-Assumptions!$G$161),IF(D848&lt;Assumptions!$P$161,Assumptions!$AL$161+(Assumptions!$AM$161-Assumptions!$AL$161)*(D848-Assumptions!$AH$161)/(Assumptions!$P$161-Assumptions!$AH$161),Assumptions!$AM$161)))</f>
        <v>15521.978021978024</v>
      </c>
      <c r="N848" s="54">
        <f t="shared" si="26"/>
        <v>22.893772893772898</v>
      </c>
      <c r="O848" s="55">
        <f t="shared" si="27"/>
        <v>3166</v>
      </c>
      <c r="P848" s="29" t="str">
        <f>IF(D848&gt;=Assumptions!$P$161,"High",IF(D848&gt;=Assumptions!$AH$161,"Mid",IF(D848&lt;=Assumptions!$G$161,"Low","Loading")))</f>
        <v>Mid</v>
      </c>
      <c r="Q848" s="39">
        <f>MAX(K848,MIN(Assumptions!$S$161,O848),Q849)</f>
        <v>3166</v>
      </c>
      <c r="R848" s="30">
        <f>IF(AND(Q848&lt;=K848,INDEX(Assumptions!$C$26:$C$36,MATCH(G848,Assumptions!$A$26:$A$36,0))&lt;&gt;""),INDEX(Assumptions!$C$26:$C$36,MATCH(G848,Assumptions!$A$26:$A$36,0)),ROUND(G848*Q848,-2))</f>
        <v>2146500</v>
      </c>
      <c r="S848" s="56" t="str">
        <f>TRIM(IF(AND(Assumptions!$L$161&lt;&gt;"",D848&lt;Assumptions!$L$161),"View blocked / roof in front ("&amp;Assumptions!$M$161&amp;"); view premium still loading until L"&amp;Assumptions!$L$161&amp;". ","")&amp;IF(D848=Assumptions!$AH$161,"Mid-floor view premium fully loaded. ","")&amp;IF(D848=Assumptions!$P$161,"High-floor view premium fully loaded. ","")&amp;IF(Q848&lt;=K848,"At developer starting price.",""))</f>
        <v/>
      </c>
      <c r="T848" s="57" t="str">
        <f>Assumptions!$AJ$161</f>
        <v>SE: no afternoon sun. 240m entire pool &amp; landscape</v>
      </c>
    </row>
    <row r="849" spans="1:20" x14ac:dyDescent="0.2">
      <c r="A849" s="49" t="s">
        <v>1008</v>
      </c>
      <c r="B849" s="29">
        <v>7</v>
      </c>
      <c r="C849" s="50">
        <v>35</v>
      </c>
      <c r="D849" s="50">
        <v>16</v>
      </c>
      <c r="E849" s="27" t="s">
        <v>43</v>
      </c>
      <c r="F849" s="29" t="s">
        <v>716</v>
      </c>
      <c r="G849" s="28">
        <v>678</v>
      </c>
      <c r="H849" s="29" t="s">
        <v>65</v>
      </c>
      <c r="I849" s="38" t="str">
        <f>Assumptions!$I$161</f>
        <v>B</v>
      </c>
      <c r="J849" s="29" t="str">
        <f>IF(D849&lt;=Assumptions!$V$161,"Low",IF(D849&lt;=Assumptions!$W$161,"Mid","High"))</f>
        <v>Mid</v>
      </c>
      <c r="K849" s="51">
        <f>Assumptions!$Q$161</f>
        <v>2613</v>
      </c>
      <c r="L849" s="52">
        <f>INDEX(Assumptions!$D$61:$D$90,D849)</f>
        <v>3123.620476190476</v>
      </c>
      <c r="M849" s="53">
        <f>IF(D849&lt;=Assumptions!$G$161,Assumptions!$AK$161,IF(D849&lt;Assumptions!$AH$161,Assumptions!$AK$161+(Assumptions!$AL$161-Assumptions!$AK$161)*(D849-Assumptions!$G$161)/(Assumptions!$AH$161-Assumptions!$G$161),IF(D849&lt;Assumptions!$P$161,Assumptions!$AL$161+(Assumptions!$AM$161-Assumptions!$AL$161)*(D849-Assumptions!$AH$161)/(Assumptions!$P$161-Assumptions!$AH$161),Assumptions!$AM$161)))</f>
        <v>17376.373626373628</v>
      </c>
      <c r="N849" s="54">
        <f t="shared" si="26"/>
        <v>25.628869655418331</v>
      </c>
      <c r="O849" s="55">
        <f t="shared" si="27"/>
        <v>3149</v>
      </c>
      <c r="P849" s="29" t="str">
        <f>IF(D849&gt;=Assumptions!$P$161,"High",IF(D849&gt;=Assumptions!$AH$161,"Mid",IF(D849&lt;=Assumptions!$G$161,"Low","Loading")))</f>
        <v>Mid</v>
      </c>
      <c r="Q849" s="39">
        <f>MAX(K849,MIN(Assumptions!$S$161,O849),Q850)</f>
        <v>3149</v>
      </c>
      <c r="R849" s="30">
        <f>IF(AND(Q849&lt;=K849,INDEX(Assumptions!$C$26:$C$36,MATCH(G849,Assumptions!$A$26:$A$36,0))&lt;&gt;""),INDEX(Assumptions!$C$26:$C$36,MATCH(G849,Assumptions!$A$26:$A$36,0)),ROUND(G849*Q849,-2))</f>
        <v>2135000</v>
      </c>
      <c r="S849" s="56" t="str">
        <f>TRIM(IF(AND(Assumptions!$L$161&lt;&gt;"",D849&lt;Assumptions!$L$161),"View blocked / roof in front ("&amp;Assumptions!$M$161&amp;"); view premium still loading until L"&amp;Assumptions!$L$161&amp;". ","")&amp;IF(D849=Assumptions!$AH$161,"Mid-floor view premium fully loaded. ","")&amp;IF(D849=Assumptions!$P$161,"High-floor view premium fully loaded. ","")&amp;IF(Q849&lt;=K849,"At developer starting price.",""))</f>
        <v/>
      </c>
      <c r="T849" s="57" t="str">
        <f>Assumptions!$AJ$161</f>
        <v>SE: no afternoon sun. 240m entire pool &amp; landscape</v>
      </c>
    </row>
    <row r="850" spans="1:20" x14ac:dyDescent="0.2">
      <c r="A850" s="49" t="s">
        <v>1009</v>
      </c>
      <c r="B850" s="29">
        <v>7</v>
      </c>
      <c r="C850" s="50">
        <v>35</v>
      </c>
      <c r="D850" s="50">
        <v>15</v>
      </c>
      <c r="E850" s="27" t="s">
        <v>43</v>
      </c>
      <c r="F850" s="29" t="s">
        <v>716</v>
      </c>
      <c r="G850" s="28">
        <v>678</v>
      </c>
      <c r="H850" s="29" t="s">
        <v>65</v>
      </c>
      <c r="I850" s="38" t="str">
        <f>Assumptions!$I$161</f>
        <v>B</v>
      </c>
      <c r="J850" s="29" t="str">
        <f>IF(D850&lt;=Assumptions!$V$161,"Low",IF(D850&lt;=Assumptions!$W$161,"Mid","High"))</f>
        <v>Mid</v>
      </c>
      <c r="K850" s="51">
        <f>Assumptions!$Q$161</f>
        <v>2613</v>
      </c>
      <c r="L850" s="52">
        <f>INDEX(Assumptions!$D$61:$D$90,D850)</f>
        <v>3104.4157142857139</v>
      </c>
      <c r="M850" s="53">
        <f>IF(D850&lt;=Assumptions!$G$161,Assumptions!$AK$161,IF(D850&lt;Assumptions!$AH$161,Assumptions!$AK$161+(Assumptions!$AL$161-Assumptions!$AK$161)*(D850-Assumptions!$G$161)/(Assumptions!$AH$161-Assumptions!$G$161),IF(D850&lt;Assumptions!$P$161,Assumptions!$AL$161+(Assumptions!$AM$161-Assumptions!$AL$161)*(D850-Assumptions!$AH$161)/(Assumptions!$P$161-Assumptions!$AH$161),Assumptions!$AM$161)))</f>
        <v>19230.769230769234</v>
      </c>
      <c r="N850" s="54">
        <f t="shared" si="26"/>
        <v>28.363966417063768</v>
      </c>
      <c r="O850" s="55">
        <f t="shared" si="27"/>
        <v>3133</v>
      </c>
      <c r="P850" s="29" t="str">
        <f>IF(D850&gt;=Assumptions!$P$161,"High",IF(D850&gt;=Assumptions!$AH$161,"Mid",IF(D850&lt;=Assumptions!$G$161,"Low","Loading")))</f>
        <v>Mid</v>
      </c>
      <c r="Q850" s="39">
        <f>MAX(K850,MIN(Assumptions!$S$161,O850),Q851)</f>
        <v>3133</v>
      </c>
      <c r="R850" s="30">
        <f>IF(AND(Q850&lt;=K850,INDEX(Assumptions!$C$26:$C$36,MATCH(G850,Assumptions!$A$26:$A$36,0))&lt;&gt;""),INDEX(Assumptions!$C$26:$C$36,MATCH(G850,Assumptions!$A$26:$A$36,0)),ROUND(G850*Q850,-2))</f>
        <v>2124200</v>
      </c>
      <c r="S850" s="56" t="str">
        <f>TRIM(IF(AND(Assumptions!$L$161&lt;&gt;"",D850&lt;Assumptions!$L$161),"View blocked / roof in front ("&amp;Assumptions!$M$161&amp;"); view premium still loading until L"&amp;Assumptions!$L$161&amp;". ","")&amp;IF(D850=Assumptions!$AH$161,"Mid-floor view premium fully loaded. ","")&amp;IF(D850=Assumptions!$P$161,"High-floor view premium fully loaded. ","")&amp;IF(Q850&lt;=K850,"At developer starting price.",""))</f>
        <v>Mid-floor view premium fully loaded.</v>
      </c>
      <c r="T850" s="57" t="str">
        <f>Assumptions!$AJ$161</f>
        <v>SE: no afternoon sun. 240m entire pool &amp; landscape</v>
      </c>
    </row>
    <row r="851" spans="1:20" x14ac:dyDescent="0.2">
      <c r="A851" s="49" t="s">
        <v>1010</v>
      </c>
      <c r="B851" s="29">
        <v>7</v>
      </c>
      <c r="C851" s="50">
        <v>35</v>
      </c>
      <c r="D851" s="50">
        <v>14</v>
      </c>
      <c r="E851" s="27" t="s">
        <v>43</v>
      </c>
      <c r="F851" s="29" t="s">
        <v>716</v>
      </c>
      <c r="G851" s="28">
        <v>678</v>
      </c>
      <c r="H851" s="29" t="s">
        <v>65</v>
      </c>
      <c r="I851" s="38" t="str">
        <f>Assumptions!$I$161</f>
        <v>B</v>
      </c>
      <c r="J851" s="29" t="str">
        <f>IF(D851&lt;=Assumptions!$V$161,"Low",IF(D851&lt;=Assumptions!$W$161,"Mid","High"))</f>
        <v>Low</v>
      </c>
      <c r="K851" s="51">
        <f>Assumptions!$Q$161</f>
        <v>2613</v>
      </c>
      <c r="L851" s="52">
        <f>INDEX(Assumptions!$D$61:$D$90,D851)</f>
        <v>3085.2109523809522</v>
      </c>
      <c r="M851" s="53">
        <f>IF(D851&lt;=Assumptions!$G$161,Assumptions!$AK$161,IF(D851&lt;Assumptions!$AH$161,Assumptions!$AK$161+(Assumptions!$AL$161-Assumptions!$AK$161)*(D851-Assumptions!$G$161)/(Assumptions!$AH$161-Assumptions!$G$161),IF(D851&lt;Assumptions!$P$161,Assumptions!$AL$161+(Assumptions!$AM$161-Assumptions!$AL$161)*(D851-Assumptions!$AH$161)/(Assumptions!$P$161-Assumptions!$AH$161),Assumptions!$AM$161)))</f>
        <v>19642.857142857145</v>
      </c>
      <c r="N851" s="54">
        <f t="shared" si="26"/>
        <v>28.971765697429419</v>
      </c>
      <c r="O851" s="55">
        <f t="shared" si="27"/>
        <v>3114</v>
      </c>
      <c r="P851" s="29" t="str">
        <f>IF(D851&gt;=Assumptions!$P$161,"High",IF(D851&gt;=Assumptions!$AH$161,"Mid",IF(D851&lt;=Assumptions!$G$161,"Low","Loading")))</f>
        <v>Loading</v>
      </c>
      <c r="Q851" s="39">
        <f>MAX(K851,MIN(Assumptions!$S$161,O851),Q852)</f>
        <v>3114</v>
      </c>
      <c r="R851" s="30">
        <f>IF(AND(Q851&lt;=K851,INDEX(Assumptions!$C$26:$C$36,MATCH(G851,Assumptions!$A$26:$A$36,0))&lt;&gt;""),INDEX(Assumptions!$C$26:$C$36,MATCH(G851,Assumptions!$A$26:$A$36,0)),ROUND(G851*Q851,-2))</f>
        <v>2111300</v>
      </c>
      <c r="S851" s="56" t="str">
        <f>TRIM(IF(AND(Assumptions!$L$161&lt;&gt;"",D851&lt;Assumptions!$L$161),"View blocked / roof in front ("&amp;Assumptions!$M$161&amp;"); view premium still loading until L"&amp;Assumptions!$L$161&amp;". ","")&amp;IF(D851=Assumptions!$AH$161,"Mid-floor view premium fully loaded. ","")&amp;IF(D851=Assumptions!$P$161,"High-floor view premium fully loaded. ","")&amp;IF(Q851&lt;=K851,"At developer starting price.",""))</f>
        <v/>
      </c>
      <c r="T851" s="57" t="str">
        <f>Assumptions!$AJ$161</f>
        <v>SE: no afternoon sun. 240m entire pool &amp; landscape</v>
      </c>
    </row>
    <row r="852" spans="1:20" x14ac:dyDescent="0.2">
      <c r="A852" s="49" t="s">
        <v>1011</v>
      </c>
      <c r="B852" s="29">
        <v>7</v>
      </c>
      <c r="C852" s="50">
        <v>35</v>
      </c>
      <c r="D852" s="50">
        <v>13</v>
      </c>
      <c r="E852" s="27" t="s">
        <v>43</v>
      </c>
      <c r="F852" s="29" t="s">
        <v>716</v>
      </c>
      <c r="G852" s="28">
        <v>678</v>
      </c>
      <c r="H852" s="29" t="s">
        <v>65</v>
      </c>
      <c r="I852" s="38" t="str">
        <f>Assumptions!$I$161</f>
        <v>B</v>
      </c>
      <c r="J852" s="29" t="str">
        <f>IF(D852&lt;=Assumptions!$V$161,"Low",IF(D852&lt;=Assumptions!$W$161,"Mid","High"))</f>
        <v>Low</v>
      </c>
      <c r="K852" s="51">
        <f>Assumptions!$Q$161</f>
        <v>2613</v>
      </c>
      <c r="L852" s="52">
        <f>INDEX(Assumptions!$D$61:$D$90,D852)</f>
        <v>3066.0061904761901</v>
      </c>
      <c r="M852" s="53">
        <f>IF(D852&lt;=Assumptions!$G$161,Assumptions!$AK$161,IF(D852&lt;Assumptions!$AH$161,Assumptions!$AK$161+(Assumptions!$AL$161-Assumptions!$AK$161)*(D852-Assumptions!$G$161)/(Assumptions!$AH$161-Assumptions!$G$161),IF(D852&lt;Assumptions!$P$161,Assumptions!$AL$161+(Assumptions!$AM$161-Assumptions!$AL$161)*(D852-Assumptions!$AH$161)/(Assumptions!$P$161-Assumptions!$AH$161),Assumptions!$AM$161)))</f>
        <v>20054.945054945056</v>
      </c>
      <c r="N852" s="54">
        <f t="shared" si="26"/>
        <v>29.579564977795066</v>
      </c>
      <c r="O852" s="55">
        <f t="shared" si="27"/>
        <v>3096</v>
      </c>
      <c r="P852" s="29" t="str">
        <f>IF(D852&gt;=Assumptions!$P$161,"High",IF(D852&gt;=Assumptions!$AH$161,"Mid",IF(D852&lt;=Assumptions!$G$161,"Low","Loading")))</f>
        <v>Loading</v>
      </c>
      <c r="Q852" s="39">
        <f>MAX(K852,MIN(Assumptions!$S$161,O852),Q853)</f>
        <v>3096</v>
      </c>
      <c r="R852" s="30">
        <f>IF(AND(Q852&lt;=K852,INDEX(Assumptions!$C$26:$C$36,MATCH(G852,Assumptions!$A$26:$A$36,0))&lt;&gt;""),INDEX(Assumptions!$C$26:$C$36,MATCH(G852,Assumptions!$A$26:$A$36,0)),ROUND(G852*Q852,-2))</f>
        <v>2099100</v>
      </c>
      <c r="S852" s="56" t="str">
        <f>TRIM(IF(AND(Assumptions!$L$161&lt;&gt;"",D852&lt;Assumptions!$L$161),"View blocked / roof in front ("&amp;Assumptions!$M$161&amp;"); view premium still loading until L"&amp;Assumptions!$L$161&amp;". ","")&amp;IF(D852=Assumptions!$AH$161,"Mid-floor view premium fully loaded. ","")&amp;IF(D852=Assumptions!$P$161,"High-floor view premium fully loaded. ","")&amp;IF(Q852&lt;=K852,"At developer starting price.",""))</f>
        <v/>
      </c>
      <c r="T852" s="57" t="str">
        <f>Assumptions!$AJ$161</f>
        <v>SE: no afternoon sun. 240m entire pool &amp; landscape</v>
      </c>
    </row>
    <row r="853" spans="1:20" x14ac:dyDescent="0.2">
      <c r="A853" s="49" t="s">
        <v>1012</v>
      </c>
      <c r="B853" s="29">
        <v>7</v>
      </c>
      <c r="C853" s="50">
        <v>35</v>
      </c>
      <c r="D853" s="50">
        <v>12</v>
      </c>
      <c r="E853" s="27" t="s">
        <v>43</v>
      </c>
      <c r="F853" s="29" t="s">
        <v>716</v>
      </c>
      <c r="G853" s="28">
        <v>678</v>
      </c>
      <c r="H853" s="29" t="s">
        <v>65</v>
      </c>
      <c r="I853" s="38" t="str">
        <f>Assumptions!$I$161</f>
        <v>B</v>
      </c>
      <c r="J853" s="29" t="str">
        <f>IF(D853&lt;=Assumptions!$V$161,"Low",IF(D853&lt;=Assumptions!$W$161,"Mid","High"))</f>
        <v>Low</v>
      </c>
      <c r="K853" s="51">
        <f>Assumptions!$Q$161</f>
        <v>2613</v>
      </c>
      <c r="L853" s="52">
        <f>INDEX(Assumptions!$D$61:$D$90,D853)</f>
        <v>3046.8014285714285</v>
      </c>
      <c r="M853" s="53">
        <f>IF(D853&lt;=Assumptions!$G$161,Assumptions!$AK$161,IF(D853&lt;Assumptions!$AH$161,Assumptions!$AK$161+(Assumptions!$AL$161-Assumptions!$AK$161)*(D853-Assumptions!$G$161)/(Assumptions!$AH$161-Assumptions!$G$161),IF(D853&lt;Assumptions!$P$161,Assumptions!$AL$161+(Assumptions!$AM$161-Assumptions!$AL$161)*(D853-Assumptions!$AH$161)/(Assumptions!$P$161-Assumptions!$AH$161),Assumptions!$AM$161)))</f>
        <v>20467.03296703297</v>
      </c>
      <c r="N853" s="54">
        <f t="shared" si="26"/>
        <v>30.187364258160724</v>
      </c>
      <c r="O853" s="55">
        <f t="shared" si="27"/>
        <v>3077</v>
      </c>
      <c r="P853" s="29" t="str">
        <f>IF(D853&gt;=Assumptions!$P$161,"High",IF(D853&gt;=Assumptions!$AH$161,"Mid",IF(D853&lt;=Assumptions!$G$161,"Low","Loading")))</f>
        <v>Loading</v>
      </c>
      <c r="Q853" s="39">
        <f>MAX(K853,MIN(Assumptions!$S$161,O853),Q854)</f>
        <v>3077</v>
      </c>
      <c r="R853" s="30">
        <f>IF(AND(Q853&lt;=K853,INDEX(Assumptions!$C$26:$C$36,MATCH(G853,Assumptions!$A$26:$A$36,0))&lt;&gt;""),INDEX(Assumptions!$C$26:$C$36,MATCH(G853,Assumptions!$A$26:$A$36,0)),ROUND(G853*Q853,-2))</f>
        <v>2086200</v>
      </c>
      <c r="S853" s="56" t="str">
        <f>TRIM(IF(AND(Assumptions!$L$161&lt;&gt;"",D853&lt;Assumptions!$L$161),"View blocked / roof in front ("&amp;Assumptions!$M$161&amp;"); view premium still loading until L"&amp;Assumptions!$L$161&amp;". ","")&amp;IF(D853=Assumptions!$AH$161,"Mid-floor view premium fully loaded. ","")&amp;IF(D853=Assumptions!$P$161,"High-floor view premium fully loaded. ","")&amp;IF(Q853&lt;=K853,"At developer starting price.",""))</f>
        <v/>
      </c>
      <c r="T853" s="57" t="str">
        <f>Assumptions!$AJ$161</f>
        <v>SE: no afternoon sun. 240m entire pool &amp; landscape</v>
      </c>
    </row>
    <row r="854" spans="1:20" x14ac:dyDescent="0.2">
      <c r="A854" s="49" t="s">
        <v>1013</v>
      </c>
      <c r="B854" s="29">
        <v>7</v>
      </c>
      <c r="C854" s="50">
        <v>35</v>
      </c>
      <c r="D854" s="50">
        <v>11</v>
      </c>
      <c r="E854" s="27" t="s">
        <v>43</v>
      </c>
      <c r="F854" s="29" t="s">
        <v>716</v>
      </c>
      <c r="G854" s="28">
        <v>678</v>
      </c>
      <c r="H854" s="29" t="s">
        <v>65</v>
      </c>
      <c r="I854" s="38" t="str">
        <f>Assumptions!$I$161</f>
        <v>B</v>
      </c>
      <c r="J854" s="29" t="str">
        <f>IF(D854&lt;=Assumptions!$V$161,"Low",IF(D854&lt;=Assumptions!$W$161,"Mid","High"))</f>
        <v>Low</v>
      </c>
      <c r="K854" s="51">
        <f>Assumptions!$Q$161</f>
        <v>2613</v>
      </c>
      <c r="L854" s="52">
        <f>INDEX(Assumptions!$D$61:$D$90,D854)</f>
        <v>3027.5966666666664</v>
      </c>
      <c r="M854" s="53">
        <f>IF(D854&lt;=Assumptions!$G$161,Assumptions!$AK$161,IF(D854&lt;Assumptions!$AH$161,Assumptions!$AK$161+(Assumptions!$AL$161-Assumptions!$AK$161)*(D854-Assumptions!$G$161)/(Assumptions!$AH$161-Assumptions!$G$161),IF(D854&lt;Assumptions!$P$161,Assumptions!$AL$161+(Assumptions!$AM$161-Assumptions!$AL$161)*(D854-Assumptions!$AH$161)/(Assumptions!$P$161-Assumptions!$AH$161),Assumptions!$AM$161)))</f>
        <v>20879.120879120881</v>
      </c>
      <c r="N854" s="54">
        <f t="shared" si="26"/>
        <v>30.795163538526374</v>
      </c>
      <c r="O854" s="55">
        <f t="shared" si="27"/>
        <v>3058</v>
      </c>
      <c r="P854" s="29" t="str">
        <f>IF(D854&gt;=Assumptions!$P$161,"High",IF(D854&gt;=Assumptions!$AH$161,"Mid",IF(D854&lt;=Assumptions!$G$161,"Low","Loading")))</f>
        <v>Loading</v>
      </c>
      <c r="Q854" s="39">
        <f>MAX(K854,MIN(Assumptions!$S$161,O854),Q855)</f>
        <v>3058</v>
      </c>
      <c r="R854" s="30">
        <f>IF(AND(Q854&lt;=K854,INDEX(Assumptions!$C$26:$C$36,MATCH(G854,Assumptions!$A$26:$A$36,0))&lt;&gt;""),INDEX(Assumptions!$C$26:$C$36,MATCH(G854,Assumptions!$A$26:$A$36,0)),ROUND(G854*Q854,-2))</f>
        <v>2073300</v>
      </c>
      <c r="S854" s="56" t="str">
        <f>TRIM(IF(AND(Assumptions!$L$161&lt;&gt;"",D854&lt;Assumptions!$L$161),"View blocked / roof in front ("&amp;Assumptions!$M$161&amp;"); view premium still loading until L"&amp;Assumptions!$L$161&amp;". ","")&amp;IF(D854=Assumptions!$AH$161,"Mid-floor view premium fully loaded. ","")&amp;IF(D854=Assumptions!$P$161,"High-floor view premium fully loaded. ","")&amp;IF(Q854&lt;=K854,"At developer starting price.",""))</f>
        <v/>
      </c>
      <c r="T854" s="57" t="str">
        <f>Assumptions!$AJ$161</f>
        <v>SE: no afternoon sun. 240m entire pool &amp; landscape</v>
      </c>
    </row>
    <row r="855" spans="1:20" x14ac:dyDescent="0.2">
      <c r="A855" s="49" t="s">
        <v>1014</v>
      </c>
      <c r="B855" s="29">
        <v>7</v>
      </c>
      <c r="C855" s="50">
        <v>35</v>
      </c>
      <c r="D855" s="50">
        <v>10</v>
      </c>
      <c r="E855" s="27" t="s">
        <v>43</v>
      </c>
      <c r="F855" s="29" t="s">
        <v>716</v>
      </c>
      <c r="G855" s="28">
        <v>678</v>
      </c>
      <c r="H855" s="29" t="s">
        <v>65</v>
      </c>
      <c r="I855" s="38" t="str">
        <f>Assumptions!$I$161</f>
        <v>B</v>
      </c>
      <c r="J855" s="29" t="str">
        <f>IF(D855&lt;=Assumptions!$V$161,"Low",IF(D855&lt;=Assumptions!$W$161,"Mid","High"))</f>
        <v>Low</v>
      </c>
      <c r="K855" s="51">
        <f>Assumptions!$Q$161</f>
        <v>2613</v>
      </c>
      <c r="L855" s="52">
        <f>INDEX(Assumptions!$D$61:$D$90,D855)</f>
        <v>3008.3919047619042</v>
      </c>
      <c r="M855" s="53">
        <f>IF(D855&lt;=Assumptions!$G$161,Assumptions!$AK$161,IF(D855&lt;Assumptions!$AH$161,Assumptions!$AK$161+(Assumptions!$AL$161-Assumptions!$AK$161)*(D855-Assumptions!$G$161)/(Assumptions!$AH$161-Assumptions!$G$161),IF(D855&lt;Assumptions!$P$161,Assumptions!$AL$161+(Assumptions!$AM$161-Assumptions!$AL$161)*(D855-Assumptions!$AH$161)/(Assumptions!$P$161-Assumptions!$AH$161),Assumptions!$AM$161)))</f>
        <v>21291.208791208792</v>
      </c>
      <c r="N855" s="54">
        <f t="shared" si="26"/>
        <v>31.402962818892025</v>
      </c>
      <c r="O855" s="55">
        <f t="shared" si="27"/>
        <v>3040</v>
      </c>
      <c r="P855" s="29" t="str">
        <f>IF(D855&gt;=Assumptions!$P$161,"High",IF(D855&gt;=Assumptions!$AH$161,"Mid",IF(D855&lt;=Assumptions!$G$161,"Low","Loading")))</f>
        <v>Loading</v>
      </c>
      <c r="Q855" s="39">
        <f>MAX(K855,MIN(Assumptions!$S$161,O855),Q856)</f>
        <v>3040</v>
      </c>
      <c r="R855" s="30">
        <f>IF(AND(Q855&lt;=K855,INDEX(Assumptions!$C$26:$C$36,MATCH(G855,Assumptions!$A$26:$A$36,0))&lt;&gt;""),INDEX(Assumptions!$C$26:$C$36,MATCH(G855,Assumptions!$A$26:$A$36,0)),ROUND(G855*Q855,-2))</f>
        <v>2061100</v>
      </c>
      <c r="S855" s="56" t="str">
        <f>TRIM(IF(AND(Assumptions!$L$161&lt;&gt;"",D855&lt;Assumptions!$L$161),"View blocked / roof in front ("&amp;Assumptions!$M$161&amp;"); view premium still loading until L"&amp;Assumptions!$L$161&amp;". ","")&amp;IF(D855=Assumptions!$AH$161,"Mid-floor view premium fully loaded. ","")&amp;IF(D855=Assumptions!$P$161,"High-floor view premium fully loaded. ","")&amp;IF(Q855&lt;=K855,"At developer starting price.",""))</f>
        <v/>
      </c>
      <c r="T855" s="57" t="str">
        <f>Assumptions!$AJ$161</f>
        <v>SE: no afternoon sun. 240m entire pool &amp; landscape</v>
      </c>
    </row>
    <row r="856" spans="1:20" x14ac:dyDescent="0.2">
      <c r="A856" s="49" t="s">
        <v>1015</v>
      </c>
      <c r="B856" s="29">
        <v>7</v>
      </c>
      <c r="C856" s="50">
        <v>35</v>
      </c>
      <c r="D856" s="50">
        <v>9</v>
      </c>
      <c r="E856" s="27" t="s">
        <v>43</v>
      </c>
      <c r="F856" s="29" t="s">
        <v>716</v>
      </c>
      <c r="G856" s="28">
        <v>678</v>
      </c>
      <c r="H856" s="29" t="s">
        <v>65</v>
      </c>
      <c r="I856" s="38" t="str">
        <f>Assumptions!$I$161</f>
        <v>B</v>
      </c>
      <c r="J856" s="29" t="str">
        <f>IF(D856&lt;=Assumptions!$V$161,"Low",IF(D856&lt;=Assumptions!$W$161,"Mid","High"))</f>
        <v>Low</v>
      </c>
      <c r="K856" s="51">
        <f>Assumptions!$Q$161</f>
        <v>2613</v>
      </c>
      <c r="L856" s="52">
        <f>INDEX(Assumptions!$D$61:$D$90,D856)</f>
        <v>2989.1871428571426</v>
      </c>
      <c r="M856" s="53">
        <f>IF(D856&lt;=Assumptions!$G$161,Assumptions!$AK$161,IF(D856&lt;Assumptions!$AH$161,Assumptions!$AK$161+(Assumptions!$AL$161-Assumptions!$AK$161)*(D856-Assumptions!$G$161)/(Assumptions!$AH$161-Assumptions!$G$161),IF(D856&lt;Assumptions!$P$161,Assumptions!$AL$161+(Assumptions!$AM$161-Assumptions!$AL$161)*(D856-Assumptions!$AH$161)/(Assumptions!$P$161-Assumptions!$AH$161),Assumptions!$AM$161)))</f>
        <v>21703.296703296706</v>
      </c>
      <c r="N856" s="54">
        <f t="shared" si="26"/>
        <v>32.010762099257676</v>
      </c>
      <c r="O856" s="55">
        <f t="shared" si="27"/>
        <v>3021</v>
      </c>
      <c r="P856" s="29" t="str">
        <f>IF(D856&gt;=Assumptions!$P$161,"High",IF(D856&gt;=Assumptions!$AH$161,"Mid",IF(D856&lt;=Assumptions!$G$161,"Low","Loading")))</f>
        <v>Loading</v>
      </c>
      <c r="Q856" s="39">
        <f>MAX(K856,MIN(Assumptions!$S$161,O856),Q857)</f>
        <v>3021</v>
      </c>
      <c r="R856" s="30">
        <f>IF(AND(Q856&lt;=K856,INDEX(Assumptions!$C$26:$C$36,MATCH(G856,Assumptions!$A$26:$A$36,0))&lt;&gt;""),INDEX(Assumptions!$C$26:$C$36,MATCH(G856,Assumptions!$A$26:$A$36,0)),ROUND(G856*Q856,-2))</f>
        <v>2048200</v>
      </c>
      <c r="S856" s="56" t="str">
        <f>TRIM(IF(AND(Assumptions!$L$161&lt;&gt;"",D856&lt;Assumptions!$L$161),"View blocked / roof in front ("&amp;Assumptions!$M$161&amp;"); view premium still loading until L"&amp;Assumptions!$L$161&amp;". ","")&amp;IF(D856=Assumptions!$AH$161,"Mid-floor view premium fully loaded. ","")&amp;IF(D856=Assumptions!$P$161,"High-floor view premium fully loaded. ","")&amp;IF(Q856&lt;=K856,"At developer starting price.",""))</f>
        <v/>
      </c>
      <c r="T856" s="57" t="str">
        <f>Assumptions!$AJ$161</f>
        <v>SE: no afternoon sun. 240m entire pool &amp; landscape</v>
      </c>
    </row>
    <row r="857" spans="1:20" x14ac:dyDescent="0.2">
      <c r="A857" s="49" t="s">
        <v>1016</v>
      </c>
      <c r="B857" s="29">
        <v>7</v>
      </c>
      <c r="C857" s="50">
        <v>35</v>
      </c>
      <c r="D857" s="50">
        <v>8</v>
      </c>
      <c r="E857" s="27" t="s">
        <v>43</v>
      </c>
      <c r="F857" s="29" t="s">
        <v>716</v>
      </c>
      <c r="G857" s="28">
        <v>678</v>
      </c>
      <c r="H857" s="29" t="s">
        <v>65</v>
      </c>
      <c r="I857" s="38" t="str">
        <f>Assumptions!$I$161</f>
        <v>B</v>
      </c>
      <c r="J857" s="29" t="str">
        <f>IF(D857&lt;=Assumptions!$V$161,"Low",IF(D857&lt;=Assumptions!$W$161,"Mid","High"))</f>
        <v>Low</v>
      </c>
      <c r="K857" s="51">
        <f>Assumptions!$Q$161</f>
        <v>2613</v>
      </c>
      <c r="L857" s="52">
        <f>INDEX(Assumptions!$D$61:$D$90,D857)</f>
        <v>2969.9823809523805</v>
      </c>
      <c r="M857" s="53">
        <f>IF(D857&lt;=Assumptions!$G$161,Assumptions!$AK$161,IF(D857&lt;Assumptions!$AH$161,Assumptions!$AK$161+(Assumptions!$AL$161-Assumptions!$AK$161)*(D857-Assumptions!$G$161)/(Assumptions!$AH$161-Assumptions!$G$161),IF(D857&lt;Assumptions!$P$161,Assumptions!$AL$161+(Assumptions!$AM$161-Assumptions!$AL$161)*(D857-Assumptions!$AH$161)/(Assumptions!$P$161-Assumptions!$AH$161),Assumptions!$AM$161)))</f>
        <v>22115.384615384617</v>
      </c>
      <c r="N857" s="54">
        <f t="shared" si="26"/>
        <v>32.61856137962333</v>
      </c>
      <c r="O857" s="55">
        <f t="shared" si="27"/>
        <v>3003</v>
      </c>
      <c r="P857" s="29" t="str">
        <f>IF(D857&gt;=Assumptions!$P$161,"High",IF(D857&gt;=Assumptions!$AH$161,"Mid",IF(D857&lt;=Assumptions!$G$161,"Low","Loading")))</f>
        <v>Loading</v>
      </c>
      <c r="Q857" s="39">
        <f>MAX(K857,MIN(Assumptions!$S$161,O857),Q858)</f>
        <v>3003</v>
      </c>
      <c r="R857" s="30">
        <f>IF(AND(Q857&lt;=K857,INDEX(Assumptions!$C$26:$C$36,MATCH(G857,Assumptions!$A$26:$A$36,0))&lt;&gt;""),INDEX(Assumptions!$C$26:$C$36,MATCH(G857,Assumptions!$A$26:$A$36,0)),ROUND(G857*Q857,-2))</f>
        <v>2036000</v>
      </c>
      <c r="S857" s="56" t="str">
        <f>TRIM(IF(AND(Assumptions!$L$161&lt;&gt;"",D857&lt;Assumptions!$L$161),"View blocked / roof in front ("&amp;Assumptions!$M$161&amp;"); view premium still loading until L"&amp;Assumptions!$L$161&amp;". ","")&amp;IF(D857=Assumptions!$AH$161,"Mid-floor view premium fully loaded. ","")&amp;IF(D857=Assumptions!$P$161,"High-floor view premium fully loaded. ","")&amp;IF(Q857&lt;=K857,"At developer starting price.",""))</f>
        <v/>
      </c>
      <c r="T857" s="57" t="str">
        <f>Assumptions!$AJ$161</f>
        <v>SE: no afternoon sun. 240m entire pool &amp; landscape</v>
      </c>
    </row>
    <row r="858" spans="1:20" x14ac:dyDescent="0.2">
      <c r="A858" s="49" t="s">
        <v>1017</v>
      </c>
      <c r="B858" s="29">
        <v>7</v>
      </c>
      <c r="C858" s="50">
        <v>35</v>
      </c>
      <c r="D858" s="50">
        <v>7</v>
      </c>
      <c r="E858" s="27" t="s">
        <v>43</v>
      </c>
      <c r="F858" s="29" t="s">
        <v>716</v>
      </c>
      <c r="G858" s="28">
        <v>678</v>
      </c>
      <c r="H858" s="29" t="s">
        <v>65</v>
      </c>
      <c r="I858" s="38" t="str">
        <f>Assumptions!$I$161</f>
        <v>B</v>
      </c>
      <c r="J858" s="29" t="str">
        <f>IF(D858&lt;=Assumptions!$V$161,"Low",IF(D858&lt;=Assumptions!$W$161,"Mid","High"))</f>
        <v>Low</v>
      </c>
      <c r="K858" s="51">
        <f>Assumptions!$Q$161</f>
        <v>2613</v>
      </c>
      <c r="L858" s="52">
        <f>INDEX(Assumptions!$D$61:$D$90,D858)</f>
        <v>2950.7776190476193</v>
      </c>
      <c r="M858" s="53">
        <f>IF(D858&lt;=Assumptions!$G$161,Assumptions!$AK$161,IF(D858&lt;Assumptions!$AH$161,Assumptions!$AK$161+(Assumptions!$AL$161-Assumptions!$AK$161)*(D858-Assumptions!$G$161)/(Assumptions!$AH$161-Assumptions!$G$161),IF(D858&lt;Assumptions!$P$161,Assumptions!$AL$161+(Assumptions!$AM$161-Assumptions!$AL$161)*(D858-Assumptions!$AH$161)/(Assumptions!$P$161-Assumptions!$AH$161),Assumptions!$AM$161)))</f>
        <v>22527.472527472528</v>
      </c>
      <c r="N858" s="54">
        <f t="shared" si="26"/>
        <v>33.226360659988977</v>
      </c>
      <c r="O858" s="55">
        <f t="shared" si="27"/>
        <v>2984</v>
      </c>
      <c r="P858" s="29" t="str">
        <f>IF(D858&gt;=Assumptions!$P$161,"High",IF(D858&gt;=Assumptions!$AH$161,"Mid",IF(D858&lt;=Assumptions!$G$161,"Low","Loading")))</f>
        <v>Loading</v>
      </c>
      <c r="Q858" s="39">
        <f>MAX(K858,MIN(Assumptions!$S$161,O858),Q859)</f>
        <v>2984</v>
      </c>
      <c r="R858" s="30">
        <f>IF(AND(Q858&lt;=K858,INDEX(Assumptions!$C$26:$C$36,MATCH(G858,Assumptions!$A$26:$A$36,0))&lt;&gt;""),INDEX(Assumptions!$C$26:$C$36,MATCH(G858,Assumptions!$A$26:$A$36,0)),ROUND(G858*Q858,-2))</f>
        <v>2023200</v>
      </c>
      <c r="S858" s="56" t="str">
        <f>TRIM(IF(AND(Assumptions!$L$161&lt;&gt;"",D858&lt;Assumptions!$L$161),"View blocked / roof in front ("&amp;Assumptions!$M$161&amp;"); view premium still loading until L"&amp;Assumptions!$L$161&amp;". ","")&amp;IF(D858=Assumptions!$AH$161,"Mid-floor view premium fully loaded. ","")&amp;IF(D858=Assumptions!$P$161,"High-floor view premium fully loaded. ","")&amp;IF(Q858&lt;=K858,"At developer starting price.",""))</f>
        <v/>
      </c>
      <c r="T858" s="57" t="str">
        <f>Assumptions!$AJ$161</f>
        <v>SE: no afternoon sun. 240m entire pool &amp; landscape</v>
      </c>
    </row>
    <row r="859" spans="1:20" x14ac:dyDescent="0.2">
      <c r="A859" s="49" t="s">
        <v>1018</v>
      </c>
      <c r="B859" s="29">
        <v>7</v>
      </c>
      <c r="C859" s="50">
        <v>35</v>
      </c>
      <c r="D859" s="50">
        <v>6</v>
      </c>
      <c r="E859" s="27" t="s">
        <v>43</v>
      </c>
      <c r="F859" s="29" t="s">
        <v>716</v>
      </c>
      <c r="G859" s="28">
        <v>678</v>
      </c>
      <c r="H859" s="29" t="s">
        <v>65</v>
      </c>
      <c r="I859" s="38" t="str">
        <f>Assumptions!$I$161</f>
        <v>B</v>
      </c>
      <c r="J859" s="29" t="str">
        <f>IF(D859&lt;=Assumptions!$V$161,"Low",IF(D859&lt;=Assumptions!$W$161,"Mid","High"))</f>
        <v>Low</v>
      </c>
      <c r="K859" s="51">
        <f>Assumptions!$Q$161</f>
        <v>2613</v>
      </c>
      <c r="L859" s="52">
        <f>INDEX(Assumptions!$D$61:$D$90,D859)</f>
        <v>2931.5728571428572</v>
      </c>
      <c r="M859" s="53">
        <f>IF(D859&lt;=Assumptions!$G$161,Assumptions!$AK$161,IF(D859&lt;Assumptions!$AH$161,Assumptions!$AK$161+(Assumptions!$AL$161-Assumptions!$AK$161)*(D859-Assumptions!$G$161)/(Assumptions!$AH$161-Assumptions!$G$161),IF(D859&lt;Assumptions!$P$161,Assumptions!$AL$161+(Assumptions!$AM$161-Assumptions!$AL$161)*(D859-Assumptions!$AH$161)/(Assumptions!$P$161-Assumptions!$AH$161),Assumptions!$AM$161)))</f>
        <v>22939.560439560442</v>
      </c>
      <c r="N859" s="54">
        <f t="shared" si="26"/>
        <v>33.834159940354631</v>
      </c>
      <c r="O859" s="55">
        <f t="shared" si="27"/>
        <v>2965</v>
      </c>
      <c r="P859" s="29" t="str">
        <f>IF(D859&gt;=Assumptions!$P$161,"High",IF(D859&gt;=Assumptions!$AH$161,"Mid",IF(D859&lt;=Assumptions!$G$161,"Low","Loading")))</f>
        <v>Loading</v>
      </c>
      <c r="Q859" s="39">
        <f>MAX(K859,MIN(Assumptions!$S$161,O859),Q860)</f>
        <v>2965</v>
      </c>
      <c r="R859" s="30">
        <f>IF(AND(Q859&lt;=K859,INDEX(Assumptions!$C$26:$C$36,MATCH(G859,Assumptions!$A$26:$A$36,0))&lt;&gt;""),INDEX(Assumptions!$C$26:$C$36,MATCH(G859,Assumptions!$A$26:$A$36,0)),ROUND(G859*Q859,-2))</f>
        <v>2010300</v>
      </c>
      <c r="S859" s="56" t="str">
        <f>TRIM(IF(AND(Assumptions!$L$161&lt;&gt;"",D859&lt;Assumptions!$L$161),"View blocked / roof in front ("&amp;Assumptions!$M$161&amp;"); view premium still loading until L"&amp;Assumptions!$L$161&amp;". ","")&amp;IF(D859=Assumptions!$AH$161,"Mid-floor view premium fully loaded. ","")&amp;IF(D859=Assumptions!$P$161,"High-floor view premium fully loaded. ","")&amp;IF(Q859&lt;=K859,"At developer starting price.",""))</f>
        <v/>
      </c>
      <c r="T859" s="57" t="str">
        <f>Assumptions!$AJ$161</f>
        <v>SE: no afternoon sun. 240m entire pool &amp; landscape</v>
      </c>
    </row>
    <row r="860" spans="1:20" x14ac:dyDescent="0.2">
      <c r="A860" s="49" t="s">
        <v>1019</v>
      </c>
      <c r="B860" s="29">
        <v>7</v>
      </c>
      <c r="C860" s="50">
        <v>35</v>
      </c>
      <c r="D860" s="50">
        <v>5</v>
      </c>
      <c r="E860" s="27" t="s">
        <v>43</v>
      </c>
      <c r="F860" s="29" t="s">
        <v>716</v>
      </c>
      <c r="G860" s="28">
        <v>678</v>
      </c>
      <c r="H860" s="29" t="s">
        <v>65</v>
      </c>
      <c r="I860" s="38" t="str">
        <f>Assumptions!$I$161</f>
        <v>B</v>
      </c>
      <c r="J860" s="29" t="str">
        <f>IF(D860&lt;=Assumptions!$V$161,"Low",IF(D860&lt;=Assumptions!$W$161,"Mid","High"))</f>
        <v>Low</v>
      </c>
      <c r="K860" s="51">
        <f>Assumptions!$Q$161</f>
        <v>2613</v>
      </c>
      <c r="L860" s="52">
        <f>INDEX(Assumptions!$D$61:$D$90,D860)</f>
        <v>2912.3680952380951</v>
      </c>
      <c r="M860" s="53">
        <f>IF(D860&lt;=Assumptions!$G$161,Assumptions!$AK$161,IF(D860&lt;Assumptions!$AH$161,Assumptions!$AK$161+(Assumptions!$AL$161-Assumptions!$AK$161)*(D860-Assumptions!$G$161)/(Assumptions!$AH$161-Assumptions!$G$161),IF(D860&lt;Assumptions!$P$161,Assumptions!$AL$161+(Assumptions!$AM$161-Assumptions!$AL$161)*(D860-Assumptions!$AH$161)/(Assumptions!$P$161-Assumptions!$AH$161),Assumptions!$AM$161)))</f>
        <v>23351.648351648353</v>
      </c>
      <c r="N860" s="54">
        <f t="shared" si="26"/>
        <v>34.441959220720285</v>
      </c>
      <c r="O860" s="55">
        <f t="shared" si="27"/>
        <v>2947</v>
      </c>
      <c r="P860" s="29" t="str">
        <f>IF(D860&gt;=Assumptions!$P$161,"High",IF(D860&gt;=Assumptions!$AH$161,"Mid",IF(D860&lt;=Assumptions!$G$161,"Low","Loading")))</f>
        <v>Loading</v>
      </c>
      <c r="Q860" s="39">
        <f>MAX(K860,MIN(Assumptions!$S$161,O860),Q861)</f>
        <v>2947</v>
      </c>
      <c r="R860" s="30">
        <f>IF(AND(Q860&lt;=K860,INDEX(Assumptions!$C$26:$C$36,MATCH(G860,Assumptions!$A$26:$A$36,0))&lt;&gt;""),INDEX(Assumptions!$C$26:$C$36,MATCH(G860,Assumptions!$A$26:$A$36,0)),ROUND(G860*Q860,-2))</f>
        <v>1998100</v>
      </c>
      <c r="S860" s="56" t="str">
        <f>TRIM(IF(AND(Assumptions!$L$161&lt;&gt;"",D860&lt;Assumptions!$L$161),"View blocked / roof in front ("&amp;Assumptions!$M$161&amp;"); view premium still loading until L"&amp;Assumptions!$L$161&amp;". ","")&amp;IF(D860=Assumptions!$AH$161,"Mid-floor view premium fully loaded. ","")&amp;IF(D860=Assumptions!$P$161,"High-floor view premium fully loaded. ","")&amp;IF(Q860&lt;=K860,"At developer starting price.",""))</f>
        <v/>
      </c>
      <c r="T860" s="57" t="str">
        <f>Assumptions!$AJ$161</f>
        <v>SE: no afternoon sun. 240m entire pool &amp; landscape</v>
      </c>
    </row>
    <row r="861" spans="1:20" x14ac:dyDescent="0.2">
      <c r="A861" s="49" t="s">
        <v>1020</v>
      </c>
      <c r="B861" s="29">
        <v>7</v>
      </c>
      <c r="C861" s="50">
        <v>35</v>
      </c>
      <c r="D861" s="50">
        <v>4</v>
      </c>
      <c r="E861" s="27" t="s">
        <v>43</v>
      </c>
      <c r="F861" s="29" t="s">
        <v>716</v>
      </c>
      <c r="G861" s="28">
        <v>678</v>
      </c>
      <c r="H861" s="29" t="s">
        <v>65</v>
      </c>
      <c r="I861" s="38" t="str">
        <f>Assumptions!$I$161</f>
        <v>B</v>
      </c>
      <c r="J861" s="29" t="str">
        <f>IF(D861&lt;=Assumptions!$V$161,"Low",IF(D861&lt;=Assumptions!$W$161,"Mid","High"))</f>
        <v>Low</v>
      </c>
      <c r="K861" s="51">
        <f>Assumptions!$Q$161</f>
        <v>2613</v>
      </c>
      <c r="L861" s="52">
        <f>INDEX(Assumptions!$D$61:$D$90,D861)</f>
        <v>2893.1633333333334</v>
      </c>
      <c r="M861" s="53">
        <f>IF(D861&lt;=Assumptions!$G$161,Assumptions!$AK$161,IF(D861&lt;Assumptions!$AH$161,Assumptions!$AK$161+(Assumptions!$AL$161-Assumptions!$AK$161)*(D861-Assumptions!$G$161)/(Assumptions!$AH$161-Assumptions!$G$161),IF(D861&lt;Assumptions!$P$161,Assumptions!$AL$161+(Assumptions!$AM$161-Assumptions!$AL$161)*(D861-Assumptions!$AH$161)/(Assumptions!$P$161-Assumptions!$AH$161),Assumptions!$AM$161)))</f>
        <v>23763.736263736264</v>
      </c>
      <c r="N861" s="54">
        <f t="shared" si="26"/>
        <v>35.049758501085932</v>
      </c>
      <c r="O861" s="55">
        <f t="shared" si="27"/>
        <v>2928</v>
      </c>
      <c r="P861" s="29" t="str">
        <f>IF(D861&gt;=Assumptions!$P$161,"High",IF(D861&gt;=Assumptions!$AH$161,"Mid",IF(D861&lt;=Assumptions!$G$161,"Low","Loading")))</f>
        <v>Loading</v>
      </c>
      <c r="Q861" s="39">
        <f>MAX(K861,MIN(Assumptions!$S$161,O861),Q862)</f>
        <v>2928</v>
      </c>
      <c r="R861" s="30">
        <f>IF(AND(Q861&lt;=K861,INDEX(Assumptions!$C$26:$C$36,MATCH(G861,Assumptions!$A$26:$A$36,0))&lt;&gt;""),INDEX(Assumptions!$C$26:$C$36,MATCH(G861,Assumptions!$A$26:$A$36,0)),ROUND(G861*Q861,-2))</f>
        <v>1985200</v>
      </c>
      <c r="S861" s="56" t="str">
        <f>TRIM(IF(AND(Assumptions!$L$161&lt;&gt;"",D861&lt;Assumptions!$L$161),"View blocked / roof in front ("&amp;Assumptions!$M$161&amp;"); view premium still loading until L"&amp;Assumptions!$L$161&amp;". ","")&amp;IF(D861=Assumptions!$AH$161,"Mid-floor view premium fully loaded. ","")&amp;IF(D861=Assumptions!$P$161,"High-floor view premium fully loaded. ","")&amp;IF(Q861&lt;=K861,"At developer starting price.",""))</f>
        <v/>
      </c>
      <c r="T861" s="57" t="str">
        <f>Assumptions!$AJ$161</f>
        <v>SE: no afternoon sun. 240m entire pool &amp; landscape</v>
      </c>
    </row>
    <row r="862" spans="1:20" x14ac:dyDescent="0.2">
      <c r="A862" s="49" t="s">
        <v>1021</v>
      </c>
      <c r="B862" s="29">
        <v>7</v>
      </c>
      <c r="C862" s="50">
        <v>35</v>
      </c>
      <c r="D862" s="50">
        <v>3</v>
      </c>
      <c r="E862" s="27" t="s">
        <v>43</v>
      </c>
      <c r="F862" s="29" t="s">
        <v>716</v>
      </c>
      <c r="G862" s="28">
        <v>678</v>
      </c>
      <c r="H862" s="29" t="s">
        <v>65</v>
      </c>
      <c r="I862" s="38" t="str">
        <f>Assumptions!$I$161</f>
        <v>B</v>
      </c>
      <c r="J862" s="29" t="str">
        <f>IF(D862&lt;=Assumptions!$V$161,"Low",IF(D862&lt;=Assumptions!$W$161,"Mid","High"))</f>
        <v>Low</v>
      </c>
      <c r="K862" s="51">
        <f>Assumptions!$Q$161</f>
        <v>2613</v>
      </c>
      <c r="L862" s="52">
        <f>INDEX(Assumptions!$D$61:$D$90,D862)</f>
        <v>2873.9585714285713</v>
      </c>
      <c r="M862" s="53">
        <f>IF(D862&lt;=Assumptions!$G$161,Assumptions!$AK$161,IF(D862&lt;Assumptions!$AH$161,Assumptions!$AK$161+(Assumptions!$AL$161-Assumptions!$AK$161)*(D862-Assumptions!$G$161)/(Assumptions!$AH$161-Assumptions!$G$161),IF(D862&lt;Assumptions!$P$161,Assumptions!$AL$161+(Assumptions!$AM$161-Assumptions!$AL$161)*(D862-Assumptions!$AH$161)/(Assumptions!$P$161-Assumptions!$AH$161),Assumptions!$AM$161)))</f>
        <v>24175.824175824175</v>
      </c>
      <c r="N862" s="54">
        <f t="shared" si="26"/>
        <v>35.657557781451587</v>
      </c>
      <c r="O862" s="55">
        <f t="shared" si="27"/>
        <v>2910</v>
      </c>
      <c r="P862" s="29" t="str">
        <f>IF(D862&gt;=Assumptions!$P$161,"High",IF(D862&gt;=Assumptions!$AH$161,"Mid",IF(D862&lt;=Assumptions!$G$161,"Low","Loading")))</f>
        <v>Loading</v>
      </c>
      <c r="Q862" s="39">
        <f>MAX(K862,MIN(Assumptions!$S$161,O862),Q863)</f>
        <v>2910</v>
      </c>
      <c r="R862" s="30">
        <f>IF(AND(Q862&lt;=K862,INDEX(Assumptions!$C$26:$C$36,MATCH(G862,Assumptions!$A$26:$A$36,0))&lt;&gt;""),INDEX(Assumptions!$C$26:$C$36,MATCH(G862,Assumptions!$A$26:$A$36,0)),ROUND(G862*Q862,-2))</f>
        <v>1973000</v>
      </c>
      <c r="S862" s="56" t="str">
        <f>TRIM(IF(AND(Assumptions!$L$161&lt;&gt;"",D862&lt;Assumptions!$L$161),"View blocked / roof in front ("&amp;Assumptions!$M$161&amp;"); view premium still loading until L"&amp;Assumptions!$L$161&amp;". ","")&amp;IF(D862=Assumptions!$AH$161,"Mid-floor view premium fully loaded. ","")&amp;IF(D862=Assumptions!$P$161,"High-floor view premium fully loaded. ","")&amp;IF(Q862&lt;=K862,"At developer starting price.",""))</f>
        <v/>
      </c>
      <c r="T862" s="57" t="str">
        <f>Assumptions!$AJ$161</f>
        <v>SE: no afternoon sun. 240m entire pool &amp; landscape</v>
      </c>
    </row>
    <row r="863" spans="1:20" x14ac:dyDescent="0.2">
      <c r="A863" s="49" t="s">
        <v>1022</v>
      </c>
      <c r="B863" s="29">
        <v>7</v>
      </c>
      <c r="C863" s="50">
        <v>35</v>
      </c>
      <c r="D863" s="50">
        <v>2</v>
      </c>
      <c r="E863" s="27" t="s">
        <v>43</v>
      </c>
      <c r="F863" s="29" t="s">
        <v>716</v>
      </c>
      <c r="G863" s="28">
        <v>678</v>
      </c>
      <c r="H863" s="29" t="s">
        <v>65</v>
      </c>
      <c r="I863" s="38" t="str">
        <f>Assumptions!$I$161</f>
        <v>B</v>
      </c>
      <c r="J863" s="29" t="str">
        <f>IF(D863&lt;=Assumptions!$V$161,"Low",IF(D863&lt;=Assumptions!$W$161,"Mid","High"))</f>
        <v>Low</v>
      </c>
      <c r="K863" s="51">
        <f>Assumptions!$Q$161</f>
        <v>2613</v>
      </c>
      <c r="L863" s="52">
        <f>INDEX(Assumptions!$D$61:$D$90,D863)</f>
        <v>2854.7538095238097</v>
      </c>
      <c r="M863" s="53">
        <f>IF(D863&lt;=Assumptions!$G$161,Assumptions!$AK$161,IF(D863&lt;Assumptions!$AH$161,Assumptions!$AK$161+(Assumptions!$AL$161-Assumptions!$AK$161)*(D863-Assumptions!$G$161)/(Assumptions!$AH$161-Assumptions!$G$161),IF(D863&lt;Assumptions!$P$161,Assumptions!$AL$161+(Assumptions!$AM$161-Assumptions!$AL$161)*(D863-Assumptions!$AH$161)/(Assumptions!$P$161-Assumptions!$AH$161),Assumptions!$AM$161)))</f>
        <v>24587.912087912089</v>
      </c>
      <c r="N863" s="54">
        <f t="shared" si="26"/>
        <v>36.265357061817241</v>
      </c>
      <c r="O863" s="55">
        <f t="shared" si="27"/>
        <v>2891</v>
      </c>
      <c r="P863" s="29" t="str">
        <f>IF(D863&gt;=Assumptions!$P$161,"High",IF(D863&gt;=Assumptions!$AH$161,"Mid",IF(D863&lt;=Assumptions!$G$161,"Low","Loading")))</f>
        <v>Loading</v>
      </c>
      <c r="Q863" s="39">
        <f>MAX(K863,MIN(Assumptions!$S$161,O863),Q864)</f>
        <v>2891</v>
      </c>
      <c r="R863" s="30">
        <f>IF(AND(Q863&lt;=K863,INDEX(Assumptions!$C$26:$C$36,MATCH(G863,Assumptions!$A$26:$A$36,0))&lt;&gt;""),INDEX(Assumptions!$C$26:$C$36,MATCH(G863,Assumptions!$A$26:$A$36,0)),ROUND(G863*Q863,-2))</f>
        <v>1960100</v>
      </c>
      <c r="S863" s="56" t="str">
        <f>TRIM(IF(AND(Assumptions!$L$161&lt;&gt;"",D863&lt;Assumptions!$L$161),"View blocked / roof in front ("&amp;Assumptions!$M$161&amp;"); view premium still loading until L"&amp;Assumptions!$L$161&amp;". ","")&amp;IF(D863=Assumptions!$AH$161,"Mid-floor view premium fully loaded. ","")&amp;IF(D863=Assumptions!$P$161,"High-floor view premium fully loaded. ","")&amp;IF(Q863&lt;=K863,"At developer starting price.",""))</f>
        <v/>
      </c>
      <c r="T863" s="57" t="str">
        <f>Assumptions!$AJ$161</f>
        <v>SE: no afternoon sun. 240m entire pool &amp; landscape</v>
      </c>
    </row>
    <row r="864" spans="1:20" x14ac:dyDescent="0.2">
      <c r="A864" s="49" t="s">
        <v>1023</v>
      </c>
      <c r="B864" s="29">
        <v>7</v>
      </c>
      <c r="C864" s="50">
        <v>35</v>
      </c>
      <c r="D864" s="50">
        <v>1</v>
      </c>
      <c r="E864" s="27" t="s">
        <v>43</v>
      </c>
      <c r="F864" s="29" t="s">
        <v>746</v>
      </c>
      <c r="G864" s="28">
        <v>678</v>
      </c>
      <c r="H864" s="29" t="s">
        <v>65</v>
      </c>
      <c r="I864" s="38" t="str">
        <f>Assumptions!$I$161</f>
        <v>B</v>
      </c>
      <c r="J864" s="29" t="str">
        <f>IF(D864&lt;=Assumptions!$V$161,"Low",IF(D864&lt;=Assumptions!$W$161,"Mid","High"))</f>
        <v>Low</v>
      </c>
      <c r="K864" s="51">
        <f>Assumptions!$Q$161</f>
        <v>2613</v>
      </c>
      <c r="L864" s="52">
        <f>INDEX(Assumptions!$D$61:$D$90,D864)</f>
        <v>2835.5490476190475</v>
      </c>
      <c r="M864" s="53">
        <f>IF(D864&lt;=Assumptions!$G$161,Assumptions!$AK$161,IF(D864&lt;Assumptions!$AH$161,Assumptions!$AK$161+(Assumptions!$AL$161-Assumptions!$AK$161)*(D864-Assumptions!$G$161)/(Assumptions!$AH$161-Assumptions!$G$161),IF(D864&lt;Assumptions!$P$161,Assumptions!$AL$161+(Assumptions!$AM$161-Assumptions!$AL$161)*(D864-Assumptions!$AH$161)/(Assumptions!$P$161-Assumptions!$AH$161),Assumptions!$AM$161)))</f>
        <v>25000</v>
      </c>
      <c r="N864" s="54">
        <f t="shared" si="26"/>
        <v>36.873156342182888</v>
      </c>
      <c r="O864" s="55">
        <f t="shared" si="27"/>
        <v>2872</v>
      </c>
      <c r="P864" s="29" t="str">
        <f>IF(D864&gt;=Assumptions!$P$161,"High",IF(D864&gt;=Assumptions!$AH$161,"Mid",IF(D864&lt;=Assumptions!$G$161,"Low","Loading")))</f>
        <v>Low</v>
      </c>
      <c r="Q864" s="39">
        <f>MAX(K864,MIN(Assumptions!$S$161,O864))</f>
        <v>2872</v>
      </c>
      <c r="R864" s="30">
        <f>IF(AND(Q864&lt;=K864,INDEX(Assumptions!$C$26:$C$36,MATCH(G864,Assumptions!$A$26:$A$36,0))&lt;&gt;""),INDEX(Assumptions!$C$26:$C$36,MATCH(G864,Assumptions!$A$26:$A$36,0)),ROUND(G864*Q864,-2))</f>
        <v>1947200</v>
      </c>
      <c r="S864" s="56" t="str">
        <f>TRIM(IF(AND(Assumptions!$L$161&lt;&gt;"",D864&lt;Assumptions!$L$161),"View blocked / roof in front ("&amp;Assumptions!$M$161&amp;"); view premium still loading until L"&amp;Assumptions!$L$161&amp;". ","")&amp;IF(D864=Assumptions!$AH$161,"Mid-floor view premium fully loaded. ","")&amp;IF(D864=Assumptions!$P$161,"High-floor view premium fully loaded. ","")&amp;IF(Q864&lt;=K864,"At developer starting price.",""))</f>
        <v/>
      </c>
      <c r="T864" s="57" t="str">
        <f>Assumptions!$AJ$161</f>
        <v>SE: no afternoon sun. 240m entire pool &amp; landscape</v>
      </c>
    </row>
    <row r="865" spans="1:20" x14ac:dyDescent="0.2">
      <c r="A865" s="49" t="s">
        <v>1024</v>
      </c>
      <c r="B865" s="29">
        <v>7</v>
      </c>
      <c r="C865" s="50">
        <v>36</v>
      </c>
      <c r="D865" s="50">
        <v>30</v>
      </c>
      <c r="E865" s="27" t="s">
        <v>49</v>
      </c>
      <c r="F865" s="29" t="s">
        <v>1025</v>
      </c>
      <c r="G865" s="28">
        <v>1367</v>
      </c>
      <c r="H865" s="29" t="s">
        <v>65</v>
      </c>
      <c r="I865" s="38" t="str">
        <f>Assumptions!$I$162</f>
        <v>A</v>
      </c>
      <c r="J865" s="29" t="str">
        <f>IF(D865&lt;=Assumptions!$V$162,"Low",IF(D865&lt;=Assumptions!$W$162,"Mid","High"))</f>
        <v>High</v>
      </c>
      <c r="K865" s="51">
        <f>Assumptions!$Q$162</f>
        <v>2800</v>
      </c>
      <c r="L865" s="52">
        <f>INDEX(Assumptions!$P$61:$P$90,D865)</f>
        <v>3319.25</v>
      </c>
      <c r="M865" s="53">
        <f>IF(D865&lt;=Assumptions!$G$162,Assumptions!$AK$162,IF(D865&lt;Assumptions!$AH$162,Assumptions!$AK$162+(Assumptions!$AL$162-Assumptions!$AK$162)*(D865-Assumptions!$G$162)/(Assumptions!$AH$162-Assumptions!$G$162),IF(D865&lt;Assumptions!$P$162,Assumptions!$AL$162+(Assumptions!$AM$162-Assumptions!$AL$162)*(D865-Assumptions!$AH$162)/(Assumptions!$P$162-Assumptions!$AH$162),Assumptions!$AM$162)))</f>
        <v>50000</v>
      </c>
      <c r="N865" s="54">
        <f t="shared" si="26"/>
        <v>36.576444769568397</v>
      </c>
      <c r="O865" s="55">
        <f t="shared" si="27"/>
        <v>3356</v>
      </c>
      <c r="P865" s="29" t="str">
        <f>IF(D865&gt;=Assumptions!$P$162,"High",IF(D865&gt;=Assumptions!$AH$162,"Mid",IF(D865&lt;=Assumptions!$G$162,"Low","Loading")))</f>
        <v>High</v>
      </c>
      <c r="Q865" s="39">
        <f>MAX(K865,MIN(Assumptions!$S$162,O865),Q866)</f>
        <v>3356</v>
      </c>
      <c r="R865" s="30">
        <f>IF(AND(Q865&lt;=K865,INDEX(Assumptions!$C$26:$C$36,MATCH(G865,Assumptions!$A$26:$A$36,0))&lt;&gt;""),INDEX(Assumptions!$C$26:$C$36,MATCH(G865,Assumptions!$A$26:$A$36,0)),ROUND(G865*Q865,-2))</f>
        <v>4587700</v>
      </c>
      <c r="S865" s="56" t="str">
        <f>TRIM(IF(AND(Assumptions!$L$162&lt;&gt;"",D865&lt;Assumptions!$L$162),"View blocked / roof in front ("&amp;Assumptions!$M$162&amp;"); view premium still loading until L"&amp;Assumptions!$L$162&amp;". ","")&amp;IF(D865=Assumptions!$AH$162,"Mid-floor view premium fully loaded. ","")&amp;IF(D865=Assumptions!$P$162,"High-floor view premium fully loaded. ","")&amp;IF(Q865&lt;=K865,"At developer starting price.",""))</f>
        <v/>
      </c>
      <c r="T865" s="57" t="str">
        <f>Assumptions!$AJ$162</f>
        <v>SW. Direct landed estate + nature reserve; private lift</v>
      </c>
    </row>
    <row r="866" spans="1:20" x14ac:dyDescent="0.2">
      <c r="A866" s="49" t="s">
        <v>1026</v>
      </c>
      <c r="B866" s="29">
        <v>7</v>
      </c>
      <c r="C866" s="50">
        <v>36</v>
      </c>
      <c r="D866" s="50">
        <v>29</v>
      </c>
      <c r="E866" s="27" t="s">
        <v>49</v>
      </c>
      <c r="F866" s="29" t="s">
        <v>1025</v>
      </c>
      <c r="G866" s="28">
        <v>1367</v>
      </c>
      <c r="H866" s="29" t="s">
        <v>65</v>
      </c>
      <c r="I866" s="38" t="str">
        <f>Assumptions!$I$162</f>
        <v>A</v>
      </c>
      <c r="J866" s="29" t="str">
        <f>IF(D866&lt;=Assumptions!$V$162,"Low",IF(D866&lt;=Assumptions!$W$162,"Mid","High"))</f>
        <v>High</v>
      </c>
      <c r="K866" s="51">
        <f>Assumptions!$Q$162</f>
        <v>2800</v>
      </c>
      <c r="L866" s="52">
        <f>INDEX(Assumptions!$P$61:$P$90,D866)</f>
        <v>3292.75</v>
      </c>
      <c r="M866" s="53">
        <f>IF(D866&lt;=Assumptions!$G$162,Assumptions!$AK$162,IF(D866&lt;Assumptions!$AH$162,Assumptions!$AK$162+(Assumptions!$AL$162-Assumptions!$AK$162)*(D866-Assumptions!$G$162)/(Assumptions!$AH$162-Assumptions!$G$162),IF(D866&lt;Assumptions!$P$162,Assumptions!$AL$162+(Assumptions!$AM$162-Assumptions!$AL$162)*(D866-Assumptions!$AH$162)/(Assumptions!$P$162-Assumptions!$AH$162),Assumptions!$AM$162)))</f>
        <v>50000</v>
      </c>
      <c r="N866" s="54">
        <f t="shared" si="26"/>
        <v>36.576444769568397</v>
      </c>
      <c r="O866" s="55">
        <f t="shared" si="27"/>
        <v>3329</v>
      </c>
      <c r="P866" s="29" t="str">
        <f>IF(D866&gt;=Assumptions!$P$162,"High",IF(D866&gt;=Assumptions!$AH$162,"Mid",IF(D866&lt;=Assumptions!$G$162,"Low","Loading")))</f>
        <v>High</v>
      </c>
      <c r="Q866" s="39">
        <f>MAX(K866,MIN(Assumptions!$S$162,O866),Q867)</f>
        <v>3329</v>
      </c>
      <c r="R866" s="30">
        <f>IF(AND(Q866&lt;=K866,INDEX(Assumptions!$C$26:$C$36,MATCH(G866,Assumptions!$A$26:$A$36,0))&lt;&gt;""),INDEX(Assumptions!$C$26:$C$36,MATCH(G866,Assumptions!$A$26:$A$36,0)),ROUND(G866*Q866,-2))</f>
        <v>4550700</v>
      </c>
      <c r="S866" s="56" t="str">
        <f>TRIM(IF(AND(Assumptions!$L$162&lt;&gt;"",D866&lt;Assumptions!$L$162),"View blocked / roof in front ("&amp;Assumptions!$M$162&amp;"); view premium still loading until L"&amp;Assumptions!$L$162&amp;". ","")&amp;IF(D866=Assumptions!$AH$162,"Mid-floor view premium fully loaded. ","")&amp;IF(D866=Assumptions!$P$162,"High-floor view premium fully loaded. ","")&amp;IF(Q866&lt;=K866,"At developer starting price.",""))</f>
        <v/>
      </c>
      <c r="T866" s="57" t="str">
        <f>Assumptions!$AJ$162</f>
        <v>SW. Direct landed estate + nature reserve; private lift</v>
      </c>
    </row>
    <row r="867" spans="1:20" x14ac:dyDescent="0.2">
      <c r="A867" s="49" t="s">
        <v>1027</v>
      </c>
      <c r="B867" s="29">
        <v>7</v>
      </c>
      <c r="C867" s="50">
        <v>36</v>
      </c>
      <c r="D867" s="50">
        <v>28</v>
      </c>
      <c r="E867" s="27" t="s">
        <v>49</v>
      </c>
      <c r="F867" s="29" t="s">
        <v>1025</v>
      </c>
      <c r="G867" s="28">
        <v>1367</v>
      </c>
      <c r="H867" s="29" t="s">
        <v>65</v>
      </c>
      <c r="I867" s="38" t="str">
        <f>Assumptions!$I$162</f>
        <v>A</v>
      </c>
      <c r="J867" s="29" t="str">
        <f>IF(D867&lt;=Assumptions!$V$162,"Low",IF(D867&lt;=Assumptions!$W$162,"Mid","High"))</f>
        <v>High</v>
      </c>
      <c r="K867" s="51">
        <f>Assumptions!$Q$162</f>
        <v>2800</v>
      </c>
      <c r="L867" s="52">
        <f>INDEX(Assumptions!$P$61:$P$90,D867)</f>
        <v>3266.25</v>
      </c>
      <c r="M867" s="53">
        <f>IF(D867&lt;=Assumptions!$G$162,Assumptions!$AK$162,IF(D867&lt;Assumptions!$AH$162,Assumptions!$AK$162+(Assumptions!$AL$162-Assumptions!$AK$162)*(D867-Assumptions!$G$162)/(Assumptions!$AH$162-Assumptions!$G$162),IF(D867&lt;Assumptions!$P$162,Assumptions!$AL$162+(Assumptions!$AM$162-Assumptions!$AL$162)*(D867-Assumptions!$AH$162)/(Assumptions!$P$162-Assumptions!$AH$162),Assumptions!$AM$162)))</f>
        <v>50000</v>
      </c>
      <c r="N867" s="54">
        <f t="shared" si="26"/>
        <v>36.576444769568397</v>
      </c>
      <c r="O867" s="55">
        <f t="shared" si="27"/>
        <v>3303</v>
      </c>
      <c r="P867" s="29" t="str">
        <f>IF(D867&gt;=Assumptions!$P$162,"High",IF(D867&gt;=Assumptions!$AH$162,"Mid",IF(D867&lt;=Assumptions!$G$162,"Low","Loading")))</f>
        <v>High</v>
      </c>
      <c r="Q867" s="39">
        <f>MAX(K867,MIN(Assumptions!$S$162,O867),Q868)</f>
        <v>3303</v>
      </c>
      <c r="R867" s="30">
        <f>IF(AND(Q867&lt;=K867,INDEX(Assumptions!$C$26:$C$36,MATCH(G867,Assumptions!$A$26:$A$36,0))&lt;&gt;""),INDEX(Assumptions!$C$26:$C$36,MATCH(G867,Assumptions!$A$26:$A$36,0)),ROUND(G867*Q867,-2))</f>
        <v>4515200</v>
      </c>
      <c r="S867" s="56" t="str">
        <f>TRIM(IF(AND(Assumptions!$L$162&lt;&gt;"",D867&lt;Assumptions!$L$162),"View blocked / roof in front ("&amp;Assumptions!$M$162&amp;"); view premium still loading until L"&amp;Assumptions!$L$162&amp;". ","")&amp;IF(D867=Assumptions!$AH$162,"Mid-floor view premium fully loaded. ","")&amp;IF(D867=Assumptions!$P$162,"High-floor view premium fully loaded. ","")&amp;IF(Q867&lt;=K867,"At developer starting price.",""))</f>
        <v/>
      </c>
      <c r="T867" s="57" t="str">
        <f>Assumptions!$AJ$162</f>
        <v>SW. Direct landed estate + nature reserve; private lift</v>
      </c>
    </row>
    <row r="868" spans="1:20" x14ac:dyDescent="0.2">
      <c r="A868" s="49" t="s">
        <v>1028</v>
      </c>
      <c r="B868" s="29">
        <v>7</v>
      </c>
      <c r="C868" s="50">
        <v>36</v>
      </c>
      <c r="D868" s="50">
        <v>27</v>
      </c>
      <c r="E868" s="27" t="s">
        <v>49</v>
      </c>
      <c r="F868" s="29" t="s">
        <v>1025</v>
      </c>
      <c r="G868" s="28">
        <v>1367</v>
      </c>
      <c r="H868" s="29" t="s">
        <v>65</v>
      </c>
      <c r="I868" s="38" t="str">
        <f>Assumptions!$I$162</f>
        <v>A</v>
      </c>
      <c r="J868" s="29" t="str">
        <f>IF(D868&lt;=Assumptions!$V$162,"Low",IF(D868&lt;=Assumptions!$W$162,"Mid","High"))</f>
        <v>High</v>
      </c>
      <c r="K868" s="51">
        <f>Assumptions!$Q$162</f>
        <v>2800</v>
      </c>
      <c r="L868" s="52">
        <f>INDEX(Assumptions!$P$61:$P$90,D868)</f>
        <v>3239.75</v>
      </c>
      <c r="M868" s="53">
        <f>IF(D868&lt;=Assumptions!$G$162,Assumptions!$AK$162,IF(D868&lt;Assumptions!$AH$162,Assumptions!$AK$162+(Assumptions!$AL$162-Assumptions!$AK$162)*(D868-Assumptions!$G$162)/(Assumptions!$AH$162-Assumptions!$G$162),IF(D868&lt;Assumptions!$P$162,Assumptions!$AL$162+(Assumptions!$AM$162-Assumptions!$AL$162)*(D868-Assumptions!$AH$162)/(Assumptions!$P$162-Assumptions!$AH$162),Assumptions!$AM$162)))</f>
        <v>50000</v>
      </c>
      <c r="N868" s="54">
        <f t="shared" si="26"/>
        <v>36.576444769568397</v>
      </c>
      <c r="O868" s="55">
        <f t="shared" si="27"/>
        <v>3276</v>
      </c>
      <c r="P868" s="29" t="str">
        <f>IF(D868&gt;=Assumptions!$P$162,"High",IF(D868&gt;=Assumptions!$AH$162,"Mid",IF(D868&lt;=Assumptions!$G$162,"Low","Loading")))</f>
        <v>High</v>
      </c>
      <c r="Q868" s="39">
        <f>MAX(K868,MIN(Assumptions!$S$162,O868),Q869)</f>
        <v>3276</v>
      </c>
      <c r="R868" s="30">
        <f>IF(AND(Q868&lt;=K868,INDEX(Assumptions!$C$26:$C$36,MATCH(G868,Assumptions!$A$26:$A$36,0))&lt;&gt;""),INDEX(Assumptions!$C$26:$C$36,MATCH(G868,Assumptions!$A$26:$A$36,0)),ROUND(G868*Q868,-2))</f>
        <v>4478300</v>
      </c>
      <c r="S868" s="56" t="str">
        <f>TRIM(IF(AND(Assumptions!$L$162&lt;&gt;"",D868&lt;Assumptions!$L$162),"View blocked / roof in front ("&amp;Assumptions!$M$162&amp;"); view premium still loading until L"&amp;Assumptions!$L$162&amp;". ","")&amp;IF(D868=Assumptions!$AH$162,"Mid-floor view premium fully loaded. ","")&amp;IF(D868=Assumptions!$P$162,"High-floor view premium fully loaded. ","")&amp;IF(Q868&lt;=K868,"At developer starting price.",""))</f>
        <v/>
      </c>
      <c r="T868" s="57" t="str">
        <f>Assumptions!$AJ$162</f>
        <v>SW. Direct landed estate + nature reserve; private lift</v>
      </c>
    </row>
    <row r="869" spans="1:20" x14ac:dyDescent="0.2">
      <c r="A869" s="49" t="s">
        <v>1029</v>
      </c>
      <c r="B869" s="29">
        <v>7</v>
      </c>
      <c r="C869" s="50">
        <v>36</v>
      </c>
      <c r="D869" s="50">
        <v>26</v>
      </c>
      <c r="E869" s="27" t="s">
        <v>49</v>
      </c>
      <c r="F869" s="29" t="s">
        <v>1025</v>
      </c>
      <c r="G869" s="28">
        <v>1367</v>
      </c>
      <c r="H869" s="29" t="s">
        <v>65</v>
      </c>
      <c r="I869" s="38" t="str">
        <f>Assumptions!$I$162</f>
        <v>A</v>
      </c>
      <c r="J869" s="29" t="str">
        <f>IF(D869&lt;=Assumptions!$V$162,"Low",IF(D869&lt;=Assumptions!$W$162,"Mid","High"))</f>
        <v>High</v>
      </c>
      <c r="K869" s="51">
        <f>Assumptions!$Q$162</f>
        <v>2800</v>
      </c>
      <c r="L869" s="52">
        <f>INDEX(Assumptions!$P$61:$P$90,D869)</f>
        <v>3213.25</v>
      </c>
      <c r="M869" s="53">
        <f>IF(D869&lt;=Assumptions!$G$162,Assumptions!$AK$162,IF(D869&lt;Assumptions!$AH$162,Assumptions!$AK$162+(Assumptions!$AL$162-Assumptions!$AK$162)*(D869-Assumptions!$G$162)/(Assumptions!$AH$162-Assumptions!$G$162),IF(D869&lt;Assumptions!$P$162,Assumptions!$AL$162+(Assumptions!$AM$162-Assumptions!$AL$162)*(D869-Assumptions!$AH$162)/(Assumptions!$P$162-Assumptions!$AH$162),Assumptions!$AM$162)))</f>
        <v>50000</v>
      </c>
      <c r="N869" s="54">
        <f t="shared" si="26"/>
        <v>36.576444769568397</v>
      </c>
      <c r="O869" s="55">
        <f t="shared" si="27"/>
        <v>3250</v>
      </c>
      <c r="P869" s="29" t="str">
        <f>IF(D869&gt;=Assumptions!$P$162,"High",IF(D869&gt;=Assumptions!$AH$162,"Mid",IF(D869&lt;=Assumptions!$G$162,"Low","Loading")))</f>
        <v>High</v>
      </c>
      <c r="Q869" s="39">
        <f>MAX(K869,MIN(Assumptions!$S$162,O869),Q870)</f>
        <v>3250</v>
      </c>
      <c r="R869" s="30">
        <f>IF(AND(Q869&lt;=K869,INDEX(Assumptions!$C$26:$C$36,MATCH(G869,Assumptions!$A$26:$A$36,0))&lt;&gt;""),INDEX(Assumptions!$C$26:$C$36,MATCH(G869,Assumptions!$A$26:$A$36,0)),ROUND(G869*Q869,-2))</f>
        <v>4442800</v>
      </c>
      <c r="S869" s="56" t="str">
        <f>TRIM(IF(AND(Assumptions!$L$162&lt;&gt;"",D869&lt;Assumptions!$L$162),"View blocked / roof in front ("&amp;Assumptions!$M$162&amp;"); view premium still loading until L"&amp;Assumptions!$L$162&amp;". ","")&amp;IF(D869=Assumptions!$AH$162,"Mid-floor view premium fully loaded. ","")&amp;IF(D869=Assumptions!$P$162,"High-floor view premium fully loaded. ","")&amp;IF(Q869&lt;=K869,"At developer starting price.",""))</f>
        <v/>
      </c>
      <c r="T869" s="57" t="str">
        <f>Assumptions!$AJ$162</f>
        <v>SW. Direct landed estate + nature reserve; private lift</v>
      </c>
    </row>
    <row r="870" spans="1:20" x14ac:dyDescent="0.2">
      <c r="A870" s="49" t="s">
        <v>1030</v>
      </c>
      <c r="B870" s="29">
        <v>7</v>
      </c>
      <c r="C870" s="50">
        <v>36</v>
      </c>
      <c r="D870" s="50">
        <v>25</v>
      </c>
      <c r="E870" s="27" t="s">
        <v>49</v>
      </c>
      <c r="F870" s="29" t="s">
        <v>1025</v>
      </c>
      <c r="G870" s="28">
        <v>1367</v>
      </c>
      <c r="H870" s="29" t="s">
        <v>65</v>
      </c>
      <c r="I870" s="38" t="str">
        <f>Assumptions!$I$162</f>
        <v>A</v>
      </c>
      <c r="J870" s="29" t="str">
        <f>IF(D870&lt;=Assumptions!$V$162,"Low",IF(D870&lt;=Assumptions!$W$162,"Mid","High"))</f>
        <v>High</v>
      </c>
      <c r="K870" s="51">
        <f>Assumptions!$Q$162</f>
        <v>2800</v>
      </c>
      <c r="L870" s="52">
        <f>INDEX(Assumptions!$P$61:$P$90,D870)</f>
        <v>3186.75</v>
      </c>
      <c r="M870" s="53">
        <f>IF(D870&lt;=Assumptions!$G$162,Assumptions!$AK$162,IF(D870&lt;Assumptions!$AH$162,Assumptions!$AK$162+(Assumptions!$AL$162-Assumptions!$AK$162)*(D870-Assumptions!$G$162)/(Assumptions!$AH$162-Assumptions!$G$162),IF(D870&lt;Assumptions!$P$162,Assumptions!$AL$162+(Assumptions!$AM$162-Assumptions!$AL$162)*(D870-Assumptions!$AH$162)/(Assumptions!$P$162-Assumptions!$AH$162),Assumptions!$AM$162)))</f>
        <v>50000</v>
      </c>
      <c r="N870" s="54">
        <f t="shared" si="26"/>
        <v>36.576444769568397</v>
      </c>
      <c r="O870" s="55">
        <f t="shared" si="27"/>
        <v>3223</v>
      </c>
      <c r="P870" s="29" t="str">
        <f>IF(D870&gt;=Assumptions!$P$162,"High",IF(D870&gt;=Assumptions!$AH$162,"Mid",IF(D870&lt;=Assumptions!$G$162,"Low","Loading")))</f>
        <v>High</v>
      </c>
      <c r="Q870" s="39">
        <f>MAX(K870,MIN(Assumptions!$S$162,O870),Q871)</f>
        <v>3223</v>
      </c>
      <c r="R870" s="30">
        <f>IF(AND(Q870&lt;=K870,INDEX(Assumptions!$C$26:$C$36,MATCH(G870,Assumptions!$A$26:$A$36,0))&lt;&gt;""),INDEX(Assumptions!$C$26:$C$36,MATCH(G870,Assumptions!$A$26:$A$36,0)),ROUND(G870*Q870,-2))</f>
        <v>4405800</v>
      </c>
      <c r="S870" s="56" t="str">
        <f>TRIM(IF(AND(Assumptions!$L$162&lt;&gt;"",D870&lt;Assumptions!$L$162),"View blocked / roof in front ("&amp;Assumptions!$M$162&amp;"); view premium still loading until L"&amp;Assumptions!$L$162&amp;". ","")&amp;IF(D870=Assumptions!$AH$162,"Mid-floor view premium fully loaded. ","")&amp;IF(D870=Assumptions!$P$162,"High-floor view premium fully loaded. ","")&amp;IF(Q870&lt;=K870,"At developer starting price.",""))</f>
        <v/>
      </c>
      <c r="T870" s="57" t="str">
        <f>Assumptions!$AJ$162</f>
        <v>SW. Direct landed estate + nature reserve; private lift</v>
      </c>
    </row>
    <row r="871" spans="1:20" x14ac:dyDescent="0.2">
      <c r="A871" s="49" t="s">
        <v>1031</v>
      </c>
      <c r="B871" s="29">
        <v>7</v>
      </c>
      <c r="C871" s="50">
        <v>36</v>
      </c>
      <c r="D871" s="50">
        <v>24</v>
      </c>
      <c r="E871" s="27" t="s">
        <v>49</v>
      </c>
      <c r="F871" s="29" t="s">
        <v>1025</v>
      </c>
      <c r="G871" s="28">
        <v>1367</v>
      </c>
      <c r="H871" s="29" t="s">
        <v>65</v>
      </c>
      <c r="I871" s="38" t="str">
        <f>Assumptions!$I$162</f>
        <v>A</v>
      </c>
      <c r="J871" s="29" t="str">
        <f>IF(D871&lt;=Assumptions!$V$162,"Low",IF(D871&lt;=Assumptions!$W$162,"Mid","High"))</f>
        <v>High</v>
      </c>
      <c r="K871" s="51">
        <f>Assumptions!$Q$162</f>
        <v>2800</v>
      </c>
      <c r="L871" s="52">
        <f>INDEX(Assumptions!$P$61:$P$90,D871)</f>
        <v>3160.25</v>
      </c>
      <c r="M871" s="53">
        <f>IF(D871&lt;=Assumptions!$G$162,Assumptions!$AK$162,IF(D871&lt;Assumptions!$AH$162,Assumptions!$AK$162+(Assumptions!$AL$162-Assumptions!$AK$162)*(D871-Assumptions!$G$162)/(Assumptions!$AH$162-Assumptions!$G$162),IF(D871&lt;Assumptions!$P$162,Assumptions!$AL$162+(Assumptions!$AM$162-Assumptions!$AL$162)*(D871-Assumptions!$AH$162)/(Assumptions!$P$162-Assumptions!$AH$162),Assumptions!$AM$162)))</f>
        <v>50000</v>
      </c>
      <c r="N871" s="54">
        <f t="shared" si="26"/>
        <v>36.576444769568397</v>
      </c>
      <c r="O871" s="55">
        <f t="shared" si="27"/>
        <v>3197</v>
      </c>
      <c r="P871" s="29" t="str">
        <f>IF(D871&gt;=Assumptions!$P$162,"High",IF(D871&gt;=Assumptions!$AH$162,"Mid",IF(D871&lt;=Assumptions!$G$162,"Low","Loading")))</f>
        <v>High</v>
      </c>
      <c r="Q871" s="39">
        <f>MAX(K871,MIN(Assumptions!$S$162,O871),Q872)</f>
        <v>3197</v>
      </c>
      <c r="R871" s="30">
        <f>IF(AND(Q871&lt;=K871,INDEX(Assumptions!$C$26:$C$36,MATCH(G871,Assumptions!$A$26:$A$36,0))&lt;&gt;""),INDEX(Assumptions!$C$26:$C$36,MATCH(G871,Assumptions!$A$26:$A$36,0)),ROUND(G871*Q871,-2))</f>
        <v>4370300</v>
      </c>
      <c r="S871" s="56" t="str">
        <f>TRIM(IF(AND(Assumptions!$L$162&lt;&gt;"",D871&lt;Assumptions!$L$162),"View blocked / roof in front ("&amp;Assumptions!$M$162&amp;"); view premium still loading until L"&amp;Assumptions!$L$162&amp;". ","")&amp;IF(D871=Assumptions!$AH$162,"Mid-floor view premium fully loaded. ","")&amp;IF(D871=Assumptions!$P$162,"High-floor view premium fully loaded. ","")&amp;IF(Q871&lt;=K871,"At developer starting price.",""))</f>
        <v/>
      </c>
      <c r="T871" s="57" t="str">
        <f>Assumptions!$AJ$162</f>
        <v>SW. Direct landed estate + nature reserve; private lift</v>
      </c>
    </row>
    <row r="872" spans="1:20" x14ac:dyDescent="0.2">
      <c r="A872" s="49" t="s">
        <v>1032</v>
      </c>
      <c r="B872" s="29">
        <v>7</v>
      </c>
      <c r="C872" s="50">
        <v>36</v>
      </c>
      <c r="D872" s="50">
        <v>23</v>
      </c>
      <c r="E872" s="27" t="s">
        <v>49</v>
      </c>
      <c r="F872" s="29" t="s">
        <v>1025</v>
      </c>
      <c r="G872" s="28">
        <v>1367</v>
      </c>
      <c r="H872" s="29" t="s">
        <v>65</v>
      </c>
      <c r="I872" s="38" t="str">
        <f>Assumptions!$I$162</f>
        <v>A</v>
      </c>
      <c r="J872" s="29" t="str">
        <f>IF(D872&lt;=Assumptions!$V$162,"Low",IF(D872&lt;=Assumptions!$W$162,"Mid","High"))</f>
        <v>High</v>
      </c>
      <c r="K872" s="51">
        <f>Assumptions!$Q$162</f>
        <v>2800</v>
      </c>
      <c r="L872" s="52">
        <f>INDEX(Assumptions!$P$61:$P$90,D872)</f>
        <v>3133.75</v>
      </c>
      <c r="M872" s="53">
        <f>IF(D872&lt;=Assumptions!$G$162,Assumptions!$AK$162,IF(D872&lt;Assumptions!$AH$162,Assumptions!$AK$162+(Assumptions!$AL$162-Assumptions!$AK$162)*(D872-Assumptions!$G$162)/(Assumptions!$AH$162-Assumptions!$G$162),IF(D872&lt;Assumptions!$P$162,Assumptions!$AL$162+(Assumptions!$AM$162-Assumptions!$AL$162)*(D872-Assumptions!$AH$162)/(Assumptions!$P$162-Assumptions!$AH$162),Assumptions!$AM$162)))</f>
        <v>50000</v>
      </c>
      <c r="N872" s="54">
        <f t="shared" si="26"/>
        <v>36.576444769568397</v>
      </c>
      <c r="O872" s="55">
        <f t="shared" si="27"/>
        <v>3170</v>
      </c>
      <c r="P872" s="29" t="str">
        <f>IF(D872&gt;=Assumptions!$P$162,"High",IF(D872&gt;=Assumptions!$AH$162,"Mid",IF(D872&lt;=Assumptions!$G$162,"Low","Loading")))</f>
        <v>High</v>
      </c>
      <c r="Q872" s="39">
        <f>MAX(K872,MIN(Assumptions!$S$162,O872),Q873)</f>
        <v>3170</v>
      </c>
      <c r="R872" s="30">
        <f>IF(AND(Q872&lt;=K872,INDEX(Assumptions!$C$26:$C$36,MATCH(G872,Assumptions!$A$26:$A$36,0))&lt;&gt;""),INDEX(Assumptions!$C$26:$C$36,MATCH(G872,Assumptions!$A$26:$A$36,0)),ROUND(G872*Q872,-2))</f>
        <v>4333400</v>
      </c>
      <c r="S872" s="56" t="str">
        <f>TRIM(IF(AND(Assumptions!$L$162&lt;&gt;"",D872&lt;Assumptions!$L$162),"View blocked / roof in front ("&amp;Assumptions!$M$162&amp;"); view premium still loading until L"&amp;Assumptions!$L$162&amp;". ","")&amp;IF(D872=Assumptions!$AH$162,"Mid-floor view premium fully loaded. ","")&amp;IF(D872=Assumptions!$P$162,"High-floor view premium fully loaded. ","")&amp;IF(Q872&lt;=K872,"At developer starting price.",""))</f>
        <v/>
      </c>
      <c r="T872" s="57" t="str">
        <f>Assumptions!$AJ$162</f>
        <v>SW. Direct landed estate + nature reserve; private lift</v>
      </c>
    </row>
    <row r="873" spans="1:20" x14ac:dyDescent="0.2">
      <c r="A873" s="49" t="s">
        <v>1033</v>
      </c>
      <c r="B873" s="29">
        <v>7</v>
      </c>
      <c r="C873" s="50">
        <v>36</v>
      </c>
      <c r="D873" s="50">
        <v>22</v>
      </c>
      <c r="E873" s="27" t="s">
        <v>49</v>
      </c>
      <c r="F873" s="29" t="s">
        <v>1025</v>
      </c>
      <c r="G873" s="28">
        <v>1367</v>
      </c>
      <c r="H873" s="29" t="s">
        <v>65</v>
      </c>
      <c r="I873" s="38" t="str">
        <f>Assumptions!$I$162</f>
        <v>A</v>
      </c>
      <c r="J873" s="29" t="str">
        <f>IF(D873&lt;=Assumptions!$V$162,"Low",IF(D873&lt;=Assumptions!$W$162,"Mid","High"))</f>
        <v>High</v>
      </c>
      <c r="K873" s="51">
        <f>Assumptions!$Q$162</f>
        <v>2800</v>
      </c>
      <c r="L873" s="52">
        <f>INDEX(Assumptions!$P$61:$P$90,D873)</f>
        <v>3107.25</v>
      </c>
      <c r="M873" s="53">
        <f>IF(D873&lt;=Assumptions!$G$162,Assumptions!$AK$162,IF(D873&lt;Assumptions!$AH$162,Assumptions!$AK$162+(Assumptions!$AL$162-Assumptions!$AK$162)*(D873-Assumptions!$G$162)/(Assumptions!$AH$162-Assumptions!$G$162),IF(D873&lt;Assumptions!$P$162,Assumptions!$AL$162+(Assumptions!$AM$162-Assumptions!$AL$162)*(D873-Assumptions!$AH$162)/(Assumptions!$P$162-Assumptions!$AH$162),Assumptions!$AM$162)))</f>
        <v>50000</v>
      </c>
      <c r="N873" s="54">
        <f t="shared" si="26"/>
        <v>36.576444769568397</v>
      </c>
      <c r="O873" s="55">
        <f t="shared" si="27"/>
        <v>3144</v>
      </c>
      <c r="P873" s="29" t="str">
        <f>IF(D873&gt;=Assumptions!$P$162,"High",IF(D873&gt;=Assumptions!$AH$162,"Mid",IF(D873&lt;=Assumptions!$G$162,"Low","Loading")))</f>
        <v>High</v>
      </c>
      <c r="Q873" s="39">
        <f>MAX(K873,MIN(Assumptions!$S$162,O873),Q874)</f>
        <v>3144</v>
      </c>
      <c r="R873" s="30">
        <f>IF(AND(Q873&lt;=K873,INDEX(Assumptions!$C$26:$C$36,MATCH(G873,Assumptions!$A$26:$A$36,0))&lt;&gt;""),INDEX(Assumptions!$C$26:$C$36,MATCH(G873,Assumptions!$A$26:$A$36,0)),ROUND(G873*Q873,-2))</f>
        <v>4297800</v>
      </c>
      <c r="S873" s="56" t="str">
        <f>TRIM(IF(AND(Assumptions!$L$162&lt;&gt;"",D873&lt;Assumptions!$L$162),"View blocked / roof in front ("&amp;Assumptions!$M$162&amp;"); view premium still loading until L"&amp;Assumptions!$L$162&amp;". ","")&amp;IF(D873=Assumptions!$AH$162,"Mid-floor view premium fully loaded. ","")&amp;IF(D873=Assumptions!$P$162,"High-floor view premium fully loaded. ","")&amp;IF(Q873&lt;=K873,"At developer starting price.",""))</f>
        <v/>
      </c>
      <c r="T873" s="57" t="str">
        <f>Assumptions!$AJ$162</f>
        <v>SW. Direct landed estate + nature reserve; private lift</v>
      </c>
    </row>
    <row r="874" spans="1:20" x14ac:dyDescent="0.2">
      <c r="A874" s="49" t="s">
        <v>1034</v>
      </c>
      <c r="B874" s="29">
        <v>7</v>
      </c>
      <c r="C874" s="50">
        <v>36</v>
      </c>
      <c r="D874" s="50">
        <v>21</v>
      </c>
      <c r="E874" s="27" t="s">
        <v>49</v>
      </c>
      <c r="F874" s="29" t="s">
        <v>1025</v>
      </c>
      <c r="G874" s="28">
        <v>1367</v>
      </c>
      <c r="H874" s="29" t="s">
        <v>65</v>
      </c>
      <c r="I874" s="38" t="str">
        <f>Assumptions!$I$162</f>
        <v>A</v>
      </c>
      <c r="J874" s="29" t="str">
        <f>IF(D874&lt;=Assumptions!$V$162,"Low",IF(D874&lt;=Assumptions!$W$162,"Mid","High"))</f>
        <v>High</v>
      </c>
      <c r="K874" s="51">
        <f>Assumptions!$Q$162</f>
        <v>2800</v>
      </c>
      <c r="L874" s="52">
        <f>INDEX(Assumptions!$P$61:$P$90,D874)</f>
        <v>3080.75</v>
      </c>
      <c r="M874" s="53">
        <f>IF(D874&lt;=Assumptions!$G$162,Assumptions!$AK$162,IF(D874&lt;Assumptions!$AH$162,Assumptions!$AK$162+(Assumptions!$AL$162-Assumptions!$AK$162)*(D874-Assumptions!$G$162)/(Assumptions!$AH$162-Assumptions!$G$162),IF(D874&lt;Assumptions!$P$162,Assumptions!$AL$162+(Assumptions!$AM$162-Assumptions!$AL$162)*(D874-Assumptions!$AH$162)/(Assumptions!$P$162-Assumptions!$AH$162),Assumptions!$AM$162)))</f>
        <v>50000</v>
      </c>
      <c r="N874" s="54">
        <f t="shared" si="26"/>
        <v>36.576444769568397</v>
      </c>
      <c r="O874" s="55">
        <f t="shared" si="27"/>
        <v>3117</v>
      </c>
      <c r="P874" s="29" t="str">
        <f>IF(D874&gt;=Assumptions!$P$162,"High",IF(D874&gt;=Assumptions!$AH$162,"Mid",IF(D874&lt;=Assumptions!$G$162,"Low","Loading")))</f>
        <v>High</v>
      </c>
      <c r="Q874" s="39">
        <f>MAX(K874,MIN(Assumptions!$S$162,O874),Q875)</f>
        <v>3117</v>
      </c>
      <c r="R874" s="30">
        <f>IF(AND(Q874&lt;=K874,INDEX(Assumptions!$C$26:$C$36,MATCH(G874,Assumptions!$A$26:$A$36,0))&lt;&gt;""),INDEX(Assumptions!$C$26:$C$36,MATCH(G874,Assumptions!$A$26:$A$36,0)),ROUND(G874*Q874,-2))</f>
        <v>4260900</v>
      </c>
      <c r="S874" s="56" t="str">
        <f>TRIM(IF(AND(Assumptions!$L$162&lt;&gt;"",D874&lt;Assumptions!$L$162),"View blocked / roof in front ("&amp;Assumptions!$M$162&amp;"); view premium still loading until L"&amp;Assumptions!$L$162&amp;". ","")&amp;IF(D874=Assumptions!$AH$162,"Mid-floor view premium fully loaded. ","")&amp;IF(D874=Assumptions!$P$162,"High-floor view premium fully loaded. ","")&amp;IF(Q874&lt;=K874,"At developer starting price.",""))</f>
        <v>High-floor view premium fully loaded.</v>
      </c>
      <c r="T874" s="57" t="str">
        <f>Assumptions!$AJ$162</f>
        <v>SW. Direct landed estate + nature reserve; private lift</v>
      </c>
    </row>
    <row r="875" spans="1:20" x14ac:dyDescent="0.2">
      <c r="A875" s="49" t="s">
        <v>1035</v>
      </c>
      <c r="B875" s="29">
        <v>7</v>
      </c>
      <c r="C875" s="50">
        <v>36</v>
      </c>
      <c r="D875" s="50">
        <v>20</v>
      </c>
      <c r="E875" s="27" t="s">
        <v>49</v>
      </c>
      <c r="F875" s="29" t="s">
        <v>1025</v>
      </c>
      <c r="G875" s="28">
        <v>1367</v>
      </c>
      <c r="H875" s="29" t="s">
        <v>65</v>
      </c>
      <c r="I875" s="38" t="str">
        <f>Assumptions!$I$162</f>
        <v>A</v>
      </c>
      <c r="J875" s="29" t="str">
        <f>IF(D875&lt;=Assumptions!$V$162,"Low",IF(D875&lt;=Assumptions!$W$162,"Mid","High"))</f>
        <v>Mid</v>
      </c>
      <c r="K875" s="51">
        <f>Assumptions!$Q$162</f>
        <v>2800</v>
      </c>
      <c r="L875" s="52">
        <f>INDEX(Assumptions!$P$61:$P$90,D875)</f>
        <v>3054.25</v>
      </c>
      <c r="M875" s="53">
        <f>IF(D875&lt;=Assumptions!$G$162,Assumptions!$AK$162,IF(D875&lt;Assumptions!$AH$162,Assumptions!$AK$162+(Assumptions!$AL$162-Assumptions!$AK$162)*(D875-Assumptions!$G$162)/(Assumptions!$AH$162-Assumptions!$G$162),IF(D875&lt;Assumptions!$P$162,Assumptions!$AL$162+(Assumptions!$AM$162-Assumptions!$AL$162)*(D875-Assumptions!$AH$162)/(Assumptions!$P$162-Assumptions!$AH$162),Assumptions!$AM$162)))</f>
        <v>50000</v>
      </c>
      <c r="N875" s="54">
        <f t="shared" si="26"/>
        <v>36.576444769568397</v>
      </c>
      <c r="O875" s="55">
        <f t="shared" si="27"/>
        <v>3091</v>
      </c>
      <c r="P875" s="29" t="str">
        <f>IF(D875&gt;=Assumptions!$P$162,"High",IF(D875&gt;=Assumptions!$AH$162,"Mid",IF(D875&lt;=Assumptions!$G$162,"Low","Loading")))</f>
        <v>Mid</v>
      </c>
      <c r="Q875" s="39">
        <f>MAX(K875,MIN(Assumptions!$S$162,O875),Q876)</f>
        <v>3091</v>
      </c>
      <c r="R875" s="30">
        <f>IF(AND(Q875&lt;=K875,INDEX(Assumptions!$C$26:$C$36,MATCH(G875,Assumptions!$A$26:$A$36,0))&lt;&gt;""),INDEX(Assumptions!$C$26:$C$36,MATCH(G875,Assumptions!$A$26:$A$36,0)),ROUND(G875*Q875,-2))</f>
        <v>4225400</v>
      </c>
      <c r="S875" s="56" t="str">
        <f>TRIM(IF(AND(Assumptions!$L$162&lt;&gt;"",D875&lt;Assumptions!$L$162),"View blocked / roof in front ("&amp;Assumptions!$M$162&amp;"); view premium still loading until L"&amp;Assumptions!$L$162&amp;". ","")&amp;IF(D875=Assumptions!$AH$162,"Mid-floor view premium fully loaded. ","")&amp;IF(D875=Assumptions!$P$162,"High-floor view premium fully loaded. ","")&amp;IF(Q875&lt;=K875,"At developer starting price.",""))</f>
        <v/>
      </c>
      <c r="T875" s="57" t="str">
        <f>Assumptions!$AJ$162</f>
        <v>SW. Direct landed estate + nature reserve; private lift</v>
      </c>
    </row>
    <row r="876" spans="1:20" x14ac:dyDescent="0.2">
      <c r="A876" s="49" t="s">
        <v>1036</v>
      </c>
      <c r="B876" s="29">
        <v>7</v>
      </c>
      <c r="C876" s="50">
        <v>36</v>
      </c>
      <c r="D876" s="50">
        <v>19</v>
      </c>
      <c r="E876" s="27" t="s">
        <v>49</v>
      </c>
      <c r="F876" s="29" t="s">
        <v>1025</v>
      </c>
      <c r="G876" s="28">
        <v>1367</v>
      </c>
      <c r="H876" s="29" t="s">
        <v>65</v>
      </c>
      <c r="I876" s="38" t="str">
        <f>Assumptions!$I$162</f>
        <v>A</v>
      </c>
      <c r="J876" s="29" t="str">
        <f>IF(D876&lt;=Assumptions!$V$162,"Low",IF(D876&lt;=Assumptions!$W$162,"Mid","High"))</f>
        <v>Mid</v>
      </c>
      <c r="K876" s="51">
        <f>Assumptions!$Q$162</f>
        <v>2800</v>
      </c>
      <c r="L876" s="52">
        <f>INDEX(Assumptions!$P$61:$P$90,D876)</f>
        <v>3027.75</v>
      </c>
      <c r="M876" s="53">
        <f>IF(D876&lt;=Assumptions!$G$162,Assumptions!$AK$162,IF(D876&lt;Assumptions!$AH$162,Assumptions!$AK$162+(Assumptions!$AL$162-Assumptions!$AK$162)*(D876-Assumptions!$G$162)/(Assumptions!$AH$162-Assumptions!$G$162),IF(D876&lt;Assumptions!$P$162,Assumptions!$AL$162+(Assumptions!$AM$162-Assumptions!$AL$162)*(D876-Assumptions!$AH$162)/(Assumptions!$P$162-Assumptions!$AH$162),Assumptions!$AM$162)))</f>
        <v>50000</v>
      </c>
      <c r="N876" s="54">
        <f t="shared" si="26"/>
        <v>36.576444769568397</v>
      </c>
      <c r="O876" s="55">
        <f t="shared" si="27"/>
        <v>3064</v>
      </c>
      <c r="P876" s="29" t="str">
        <f>IF(D876&gt;=Assumptions!$P$162,"High",IF(D876&gt;=Assumptions!$AH$162,"Mid",IF(D876&lt;=Assumptions!$G$162,"Low","Loading")))</f>
        <v>Mid</v>
      </c>
      <c r="Q876" s="39">
        <f>MAX(K876,MIN(Assumptions!$S$162,O876),Q877)</f>
        <v>3064</v>
      </c>
      <c r="R876" s="30">
        <f>IF(AND(Q876&lt;=K876,INDEX(Assumptions!$C$26:$C$36,MATCH(G876,Assumptions!$A$26:$A$36,0))&lt;&gt;""),INDEX(Assumptions!$C$26:$C$36,MATCH(G876,Assumptions!$A$26:$A$36,0)),ROUND(G876*Q876,-2))</f>
        <v>4188500</v>
      </c>
      <c r="S876" s="56" t="str">
        <f>TRIM(IF(AND(Assumptions!$L$162&lt;&gt;"",D876&lt;Assumptions!$L$162),"View blocked / roof in front ("&amp;Assumptions!$M$162&amp;"); view premium still loading until L"&amp;Assumptions!$L$162&amp;". ","")&amp;IF(D876=Assumptions!$AH$162,"Mid-floor view premium fully loaded. ","")&amp;IF(D876=Assumptions!$P$162,"High-floor view premium fully loaded. ","")&amp;IF(Q876&lt;=K876,"At developer starting price.",""))</f>
        <v/>
      </c>
      <c r="T876" s="57" t="str">
        <f>Assumptions!$AJ$162</f>
        <v>SW. Direct landed estate + nature reserve; private lift</v>
      </c>
    </row>
    <row r="877" spans="1:20" x14ac:dyDescent="0.2">
      <c r="A877" s="49" t="s">
        <v>1037</v>
      </c>
      <c r="B877" s="29">
        <v>7</v>
      </c>
      <c r="C877" s="50">
        <v>36</v>
      </c>
      <c r="D877" s="50">
        <v>18</v>
      </c>
      <c r="E877" s="27" t="s">
        <v>49</v>
      </c>
      <c r="F877" s="29" t="s">
        <v>1025</v>
      </c>
      <c r="G877" s="28">
        <v>1367</v>
      </c>
      <c r="H877" s="29" t="s">
        <v>65</v>
      </c>
      <c r="I877" s="38" t="str">
        <f>Assumptions!$I$162</f>
        <v>A</v>
      </c>
      <c r="J877" s="29" t="str">
        <f>IF(D877&lt;=Assumptions!$V$162,"Low",IF(D877&lt;=Assumptions!$W$162,"Mid","High"))</f>
        <v>Mid</v>
      </c>
      <c r="K877" s="51">
        <f>Assumptions!$Q$162</f>
        <v>2800</v>
      </c>
      <c r="L877" s="52">
        <f>INDEX(Assumptions!$P$61:$P$90,D877)</f>
        <v>3001.25</v>
      </c>
      <c r="M877" s="53">
        <f>IF(D877&lt;=Assumptions!$G$162,Assumptions!$AK$162,IF(D877&lt;Assumptions!$AH$162,Assumptions!$AK$162+(Assumptions!$AL$162-Assumptions!$AK$162)*(D877-Assumptions!$G$162)/(Assumptions!$AH$162-Assumptions!$G$162),IF(D877&lt;Assumptions!$P$162,Assumptions!$AL$162+(Assumptions!$AM$162-Assumptions!$AL$162)*(D877-Assumptions!$AH$162)/(Assumptions!$P$162-Assumptions!$AH$162),Assumptions!$AM$162)))</f>
        <v>50000</v>
      </c>
      <c r="N877" s="54">
        <f t="shared" si="26"/>
        <v>36.576444769568397</v>
      </c>
      <c r="O877" s="55">
        <f t="shared" si="27"/>
        <v>3038</v>
      </c>
      <c r="P877" s="29" t="str">
        <f>IF(D877&gt;=Assumptions!$P$162,"High",IF(D877&gt;=Assumptions!$AH$162,"Mid",IF(D877&lt;=Assumptions!$G$162,"Low","Loading")))</f>
        <v>Mid</v>
      </c>
      <c r="Q877" s="39">
        <f>MAX(K877,MIN(Assumptions!$S$162,O877),Q878)</f>
        <v>3038</v>
      </c>
      <c r="R877" s="30">
        <f>IF(AND(Q877&lt;=K877,INDEX(Assumptions!$C$26:$C$36,MATCH(G877,Assumptions!$A$26:$A$36,0))&lt;&gt;""),INDEX(Assumptions!$C$26:$C$36,MATCH(G877,Assumptions!$A$26:$A$36,0)),ROUND(G877*Q877,-2))</f>
        <v>4152900</v>
      </c>
      <c r="S877" s="56" t="str">
        <f>TRIM(IF(AND(Assumptions!$L$162&lt;&gt;"",D877&lt;Assumptions!$L$162),"View blocked / roof in front ("&amp;Assumptions!$M$162&amp;"); view premium still loading until L"&amp;Assumptions!$L$162&amp;". ","")&amp;IF(D877=Assumptions!$AH$162,"Mid-floor view premium fully loaded. ","")&amp;IF(D877=Assumptions!$P$162,"High-floor view premium fully loaded. ","")&amp;IF(Q877&lt;=K877,"At developer starting price.",""))</f>
        <v/>
      </c>
      <c r="T877" s="57" t="str">
        <f>Assumptions!$AJ$162</f>
        <v>SW. Direct landed estate + nature reserve; private lift</v>
      </c>
    </row>
    <row r="878" spans="1:20" x14ac:dyDescent="0.2">
      <c r="A878" s="49" t="s">
        <v>1038</v>
      </c>
      <c r="B878" s="29">
        <v>7</v>
      </c>
      <c r="C878" s="50">
        <v>36</v>
      </c>
      <c r="D878" s="50">
        <v>17</v>
      </c>
      <c r="E878" s="27" t="s">
        <v>49</v>
      </c>
      <c r="F878" s="29" t="s">
        <v>1025</v>
      </c>
      <c r="G878" s="28">
        <v>1367</v>
      </c>
      <c r="H878" s="29" t="s">
        <v>65</v>
      </c>
      <c r="I878" s="38" t="str">
        <f>Assumptions!$I$162</f>
        <v>A</v>
      </c>
      <c r="J878" s="29" t="str">
        <f>IF(D878&lt;=Assumptions!$V$162,"Low",IF(D878&lt;=Assumptions!$W$162,"Mid","High"))</f>
        <v>Mid</v>
      </c>
      <c r="K878" s="51">
        <f>Assumptions!$Q$162</f>
        <v>2800</v>
      </c>
      <c r="L878" s="52">
        <f>INDEX(Assumptions!$P$61:$P$90,D878)</f>
        <v>2982.7784980955025</v>
      </c>
      <c r="M878" s="53">
        <f>IF(D878&lt;=Assumptions!$G$162,Assumptions!$AK$162,IF(D878&lt;Assumptions!$AH$162,Assumptions!$AK$162+(Assumptions!$AL$162-Assumptions!$AK$162)*(D878-Assumptions!$G$162)/(Assumptions!$AH$162-Assumptions!$G$162),IF(D878&lt;Assumptions!$P$162,Assumptions!$AL$162+(Assumptions!$AM$162-Assumptions!$AL$162)*(D878-Assumptions!$AH$162)/(Assumptions!$P$162-Assumptions!$AH$162),Assumptions!$AM$162)))</f>
        <v>50000</v>
      </c>
      <c r="N878" s="54">
        <f t="shared" si="26"/>
        <v>36.576444769568397</v>
      </c>
      <c r="O878" s="55">
        <f t="shared" si="27"/>
        <v>3019</v>
      </c>
      <c r="P878" s="29" t="str">
        <f>IF(D878&gt;=Assumptions!$P$162,"High",IF(D878&gt;=Assumptions!$AH$162,"Mid",IF(D878&lt;=Assumptions!$G$162,"Low","Loading")))</f>
        <v>Mid</v>
      </c>
      <c r="Q878" s="39">
        <f>MAX(K878,MIN(Assumptions!$S$162,O878),Q879)</f>
        <v>3019</v>
      </c>
      <c r="R878" s="30">
        <f>IF(AND(Q878&lt;=K878,INDEX(Assumptions!$C$26:$C$36,MATCH(G878,Assumptions!$A$26:$A$36,0))&lt;&gt;""),INDEX(Assumptions!$C$26:$C$36,MATCH(G878,Assumptions!$A$26:$A$36,0)),ROUND(G878*Q878,-2))</f>
        <v>4127000</v>
      </c>
      <c r="S878" s="56" t="str">
        <f>TRIM(IF(AND(Assumptions!$L$162&lt;&gt;"",D878&lt;Assumptions!$L$162),"View blocked / roof in front ("&amp;Assumptions!$M$162&amp;"); view premium still loading until L"&amp;Assumptions!$L$162&amp;". ","")&amp;IF(D878=Assumptions!$AH$162,"Mid-floor view premium fully loaded. ","")&amp;IF(D878=Assumptions!$P$162,"High-floor view premium fully loaded. ","")&amp;IF(Q878&lt;=K878,"At developer starting price.",""))</f>
        <v/>
      </c>
      <c r="T878" s="57" t="str">
        <f>Assumptions!$AJ$162</f>
        <v>SW. Direct landed estate + nature reserve; private lift</v>
      </c>
    </row>
    <row r="879" spans="1:20" x14ac:dyDescent="0.2">
      <c r="A879" s="49" t="s">
        <v>1039</v>
      </c>
      <c r="B879" s="29">
        <v>7</v>
      </c>
      <c r="C879" s="50">
        <v>36</v>
      </c>
      <c r="D879" s="50">
        <v>16</v>
      </c>
      <c r="E879" s="27" t="s">
        <v>49</v>
      </c>
      <c r="F879" s="29" t="s">
        <v>1025</v>
      </c>
      <c r="G879" s="28">
        <v>1367</v>
      </c>
      <c r="H879" s="29" t="s">
        <v>65</v>
      </c>
      <c r="I879" s="38" t="str">
        <f>Assumptions!$I$162</f>
        <v>A</v>
      </c>
      <c r="J879" s="29" t="str">
        <f>IF(D879&lt;=Assumptions!$V$162,"Low",IF(D879&lt;=Assumptions!$W$162,"Mid","High"))</f>
        <v>Mid</v>
      </c>
      <c r="K879" s="51">
        <f>Assumptions!$Q$162</f>
        <v>2800</v>
      </c>
      <c r="L879" s="52">
        <f>INDEX(Assumptions!$P$61:$P$90,D879)</f>
        <v>2972.3354942865071</v>
      </c>
      <c r="M879" s="53">
        <f>IF(D879&lt;=Assumptions!$G$162,Assumptions!$AK$162,IF(D879&lt;Assumptions!$AH$162,Assumptions!$AK$162+(Assumptions!$AL$162-Assumptions!$AK$162)*(D879-Assumptions!$G$162)/(Assumptions!$AH$162-Assumptions!$G$162),IF(D879&lt;Assumptions!$P$162,Assumptions!$AL$162+(Assumptions!$AM$162-Assumptions!$AL$162)*(D879-Assumptions!$AH$162)/(Assumptions!$P$162-Assumptions!$AH$162),Assumptions!$AM$162)))</f>
        <v>50000</v>
      </c>
      <c r="N879" s="54">
        <f t="shared" si="26"/>
        <v>36.576444769568397</v>
      </c>
      <c r="O879" s="55">
        <f t="shared" si="27"/>
        <v>3009</v>
      </c>
      <c r="P879" s="29" t="str">
        <f>IF(D879&gt;=Assumptions!$P$162,"High",IF(D879&gt;=Assumptions!$AH$162,"Mid",IF(D879&lt;=Assumptions!$G$162,"Low","Loading")))</f>
        <v>Mid</v>
      </c>
      <c r="Q879" s="39">
        <f>MAX(K879,MIN(Assumptions!$S$162,O879),Q880)</f>
        <v>3009</v>
      </c>
      <c r="R879" s="30">
        <f>IF(AND(Q879&lt;=K879,INDEX(Assumptions!$C$26:$C$36,MATCH(G879,Assumptions!$A$26:$A$36,0))&lt;&gt;""),INDEX(Assumptions!$C$26:$C$36,MATCH(G879,Assumptions!$A$26:$A$36,0)),ROUND(G879*Q879,-2))</f>
        <v>4113300</v>
      </c>
      <c r="S879" s="56" t="str">
        <f>TRIM(IF(AND(Assumptions!$L$162&lt;&gt;"",D879&lt;Assumptions!$L$162),"View blocked / roof in front ("&amp;Assumptions!$M$162&amp;"); view premium still loading until L"&amp;Assumptions!$L$162&amp;". ","")&amp;IF(D879=Assumptions!$AH$162,"Mid-floor view premium fully loaded. ","")&amp;IF(D879=Assumptions!$P$162,"High-floor view premium fully loaded. ","")&amp;IF(Q879&lt;=K879,"At developer starting price.",""))</f>
        <v/>
      </c>
      <c r="T879" s="57" t="str">
        <f>Assumptions!$AJ$162</f>
        <v>SW. Direct landed estate + nature reserve; private lift</v>
      </c>
    </row>
    <row r="880" spans="1:20" x14ac:dyDescent="0.2">
      <c r="A880" s="49" t="s">
        <v>1040</v>
      </c>
      <c r="B880" s="29">
        <v>7</v>
      </c>
      <c r="C880" s="50">
        <v>36</v>
      </c>
      <c r="D880" s="50">
        <v>15</v>
      </c>
      <c r="E880" s="27" t="s">
        <v>49</v>
      </c>
      <c r="F880" s="29" t="s">
        <v>1025</v>
      </c>
      <c r="G880" s="28">
        <v>1367</v>
      </c>
      <c r="H880" s="29" t="s">
        <v>65</v>
      </c>
      <c r="I880" s="38" t="str">
        <f>Assumptions!$I$162</f>
        <v>A</v>
      </c>
      <c r="J880" s="29" t="str">
        <f>IF(D880&lt;=Assumptions!$V$162,"Low",IF(D880&lt;=Assumptions!$W$162,"Mid","High"))</f>
        <v>Mid</v>
      </c>
      <c r="K880" s="51">
        <f>Assumptions!$Q$162</f>
        <v>2800</v>
      </c>
      <c r="L880" s="52">
        <f>INDEX(Assumptions!$P$61:$P$90,D880)</f>
        <v>2961.8924904775117</v>
      </c>
      <c r="M880" s="53">
        <f>IF(D880&lt;=Assumptions!$G$162,Assumptions!$AK$162,IF(D880&lt;Assumptions!$AH$162,Assumptions!$AK$162+(Assumptions!$AL$162-Assumptions!$AK$162)*(D880-Assumptions!$G$162)/(Assumptions!$AH$162-Assumptions!$G$162),IF(D880&lt;Assumptions!$P$162,Assumptions!$AL$162+(Assumptions!$AM$162-Assumptions!$AL$162)*(D880-Assumptions!$AH$162)/(Assumptions!$P$162-Assumptions!$AH$162),Assumptions!$AM$162)))</f>
        <v>50000</v>
      </c>
      <c r="N880" s="54">
        <f t="shared" si="26"/>
        <v>36.576444769568397</v>
      </c>
      <c r="O880" s="55">
        <f t="shared" si="27"/>
        <v>2998</v>
      </c>
      <c r="P880" s="29" t="str">
        <f>IF(D880&gt;=Assumptions!$P$162,"High",IF(D880&gt;=Assumptions!$AH$162,"Mid",IF(D880&lt;=Assumptions!$G$162,"Low","Loading")))</f>
        <v>Mid</v>
      </c>
      <c r="Q880" s="39">
        <f>MAX(K880,MIN(Assumptions!$S$162,O880),Q881)</f>
        <v>2998</v>
      </c>
      <c r="R880" s="30">
        <f>IF(AND(Q880&lt;=K880,INDEX(Assumptions!$C$26:$C$36,MATCH(G880,Assumptions!$A$26:$A$36,0))&lt;&gt;""),INDEX(Assumptions!$C$26:$C$36,MATCH(G880,Assumptions!$A$26:$A$36,0)),ROUND(G880*Q880,-2))</f>
        <v>4098300</v>
      </c>
      <c r="S880" s="56" t="str">
        <f>TRIM(IF(AND(Assumptions!$L$162&lt;&gt;"",D880&lt;Assumptions!$L$162),"View blocked / roof in front ("&amp;Assumptions!$M$162&amp;"); view premium still loading until L"&amp;Assumptions!$L$162&amp;". ","")&amp;IF(D880=Assumptions!$AH$162,"Mid-floor view premium fully loaded. ","")&amp;IF(D880=Assumptions!$P$162,"High-floor view premium fully loaded. ","")&amp;IF(Q880&lt;=K880,"At developer starting price.",""))</f>
        <v>Mid-floor view premium fully loaded.</v>
      </c>
      <c r="T880" s="57" t="str">
        <f>Assumptions!$AJ$162</f>
        <v>SW. Direct landed estate + nature reserve; private lift</v>
      </c>
    </row>
    <row r="881" spans="1:20" x14ac:dyDescent="0.2">
      <c r="A881" s="49" t="s">
        <v>1041</v>
      </c>
      <c r="B881" s="29">
        <v>7</v>
      </c>
      <c r="C881" s="50">
        <v>36</v>
      </c>
      <c r="D881" s="50">
        <v>14</v>
      </c>
      <c r="E881" s="27" t="s">
        <v>49</v>
      </c>
      <c r="F881" s="29" t="s">
        <v>1025</v>
      </c>
      <c r="G881" s="28">
        <v>1367</v>
      </c>
      <c r="H881" s="29" t="s">
        <v>65</v>
      </c>
      <c r="I881" s="38" t="str">
        <f>Assumptions!$I$162</f>
        <v>A</v>
      </c>
      <c r="J881" s="29" t="str">
        <f>IF(D881&lt;=Assumptions!$V$162,"Low",IF(D881&lt;=Assumptions!$W$162,"Mid","High"))</f>
        <v>Low</v>
      </c>
      <c r="K881" s="51">
        <f>Assumptions!$Q$162</f>
        <v>2800</v>
      </c>
      <c r="L881" s="52">
        <f>INDEX(Assumptions!$P$61:$P$90,D881)</f>
        <v>2951.4494866685163</v>
      </c>
      <c r="M881" s="53">
        <f>IF(D881&lt;=Assumptions!$G$162,Assumptions!$AK$162,IF(D881&lt;Assumptions!$AH$162,Assumptions!$AK$162+(Assumptions!$AL$162-Assumptions!$AK$162)*(D881-Assumptions!$G$162)/(Assumptions!$AH$162-Assumptions!$G$162),IF(D881&lt;Assumptions!$P$162,Assumptions!$AL$162+(Assumptions!$AM$162-Assumptions!$AL$162)*(D881-Assumptions!$AH$162)/(Assumptions!$P$162-Assumptions!$AH$162),Assumptions!$AM$162)))</f>
        <v>50000</v>
      </c>
      <c r="N881" s="54">
        <f t="shared" si="26"/>
        <v>36.576444769568397</v>
      </c>
      <c r="O881" s="55">
        <f t="shared" si="27"/>
        <v>2988</v>
      </c>
      <c r="P881" s="29" t="str">
        <f>IF(D881&gt;=Assumptions!$P$162,"High",IF(D881&gt;=Assumptions!$AH$162,"Mid",IF(D881&lt;=Assumptions!$G$162,"Low","Loading")))</f>
        <v>Loading</v>
      </c>
      <c r="Q881" s="39">
        <f>MAX(K881,MIN(Assumptions!$S$162,O881),Q882)</f>
        <v>2988</v>
      </c>
      <c r="R881" s="30">
        <f>IF(AND(Q881&lt;=K881,INDEX(Assumptions!$C$26:$C$36,MATCH(G881,Assumptions!$A$26:$A$36,0))&lt;&gt;""),INDEX(Assumptions!$C$26:$C$36,MATCH(G881,Assumptions!$A$26:$A$36,0)),ROUND(G881*Q881,-2))</f>
        <v>4084600</v>
      </c>
      <c r="S881" s="56" t="str">
        <f>TRIM(IF(AND(Assumptions!$L$162&lt;&gt;"",D881&lt;Assumptions!$L$162),"View blocked / roof in front ("&amp;Assumptions!$M$162&amp;"); view premium still loading until L"&amp;Assumptions!$L$162&amp;". ","")&amp;IF(D881=Assumptions!$AH$162,"Mid-floor view premium fully loaded. ","")&amp;IF(D881=Assumptions!$P$162,"High-floor view premium fully loaded. ","")&amp;IF(Q881&lt;=K881,"At developer starting price.",""))</f>
        <v/>
      </c>
      <c r="T881" s="57" t="str">
        <f>Assumptions!$AJ$162</f>
        <v>SW. Direct landed estate + nature reserve; private lift</v>
      </c>
    </row>
    <row r="882" spans="1:20" x14ac:dyDescent="0.2">
      <c r="A882" s="49" t="s">
        <v>1042</v>
      </c>
      <c r="B882" s="29">
        <v>7</v>
      </c>
      <c r="C882" s="50">
        <v>36</v>
      </c>
      <c r="D882" s="50">
        <v>13</v>
      </c>
      <c r="E882" s="27" t="s">
        <v>49</v>
      </c>
      <c r="F882" s="29" t="s">
        <v>1025</v>
      </c>
      <c r="G882" s="28">
        <v>1367</v>
      </c>
      <c r="H882" s="29" t="s">
        <v>65</v>
      </c>
      <c r="I882" s="38" t="str">
        <f>Assumptions!$I$162</f>
        <v>A</v>
      </c>
      <c r="J882" s="29" t="str">
        <f>IF(D882&lt;=Assumptions!$V$162,"Low",IF(D882&lt;=Assumptions!$W$162,"Mid","High"))</f>
        <v>Low</v>
      </c>
      <c r="K882" s="51">
        <f>Assumptions!$Q$162</f>
        <v>2800</v>
      </c>
      <c r="L882" s="52">
        <f>INDEX(Assumptions!$P$61:$P$90,D882)</f>
        <v>2941.0064828595214</v>
      </c>
      <c r="M882" s="53">
        <f>IF(D882&lt;=Assumptions!$G$162,Assumptions!$AK$162,IF(D882&lt;Assumptions!$AH$162,Assumptions!$AK$162+(Assumptions!$AL$162-Assumptions!$AK$162)*(D882-Assumptions!$G$162)/(Assumptions!$AH$162-Assumptions!$G$162),IF(D882&lt;Assumptions!$P$162,Assumptions!$AL$162+(Assumptions!$AM$162-Assumptions!$AL$162)*(D882-Assumptions!$AH$162)/(Assumptions!$P$162-Assumptions!$AH$162),Assumptions!$AM$162)))</f>
        <v>50000</v>
      </c>
      <c r="N882" s="54">
        <f t="shared" si="26"/>
        <v>36.576444769568397</v>
      </c>
      <c r="O882" s="55">
        <f t="shared" si="27"/>
        <v>2978</v>
      </c>
      <c r="P882" s="29" t="str">
        <f>IF(D882&gt;=Assumptions!$P$162,"High",IF(D882&gt;=Assumptions!$AH$162,"Mid",IF(D882&lt;=Assumptions!$G$162,"Low","Loading")))</f>
        <v>Loading</v>
      </c>
      <c r="Q882" s="39">
        <f>MAX(K882,MIN(Assumptions!$S$162,O882),Q883)</f>
        <v>2978</v>
      </c>
      <c r="R882" s="30">
        <f>IF(AND(Q882&lt;=K882,INDEX(Assumptions!$C$26:$C$36,MATCH(G882,Assumptions!$A$26:$A$36,0))&lt;&gt;""),INDEX(Assumptions!$C$26:$C$36,MATCH(G882,Assumptions!$A$26:$A$36,0)),ROUND(G882*Q882,-2))</f>
        <v>4070900</v>
      </c>
      <c r="S882" s="56" t="str">
        <f>TRIM(IF(AND(Assumptions!$L$162&lt;&gt;"",D882&lt;Assumptions!$L$162),"View blocked / roof in front ("&amp;Assumptions!$M$162&amp;"); view premium still loading until L"&amp;Assumptions!$L$162&amp;". ","")&amp;IF(D882=Assumptions!$AH$162,"Mid-floor view premium fully loaded. ","")&amp;IF(D882=Assumptions!$P$162,"High-floor view premium fully loaded. ","")&amp;IF(Q882&lt;=K882,"At developer starting price.",""))</f>
        <v/>
      </c>
      <c r="T882" s="57" t="str">
        <f>Assumptions!$AJ$162</f>
        <v>SW. Direct landed estate + nature reserve; private lift</v>
      </c>
    </row>
    <row r="883" spans="1:20" x14ac:dyDescent="0.2">
      <c r="A883" s="49" t="s">
        <v>1043</v>
      </c>
      <c r="B883" s="29">
        <v>7</v>
      </c>
      <c r="C883" s="50">
        <v>36</v>
      </c>
      <c r="D883" s="50">
        <v>12</v>
      </c>
      <c r="E883" s="27" t="s">
        <v>49</v>
      </c>
      <c r="F883" s="29" t="s">
        <v>1025</v>
      </c>
      <c r="G883" s="28">
        <v>1367</v>
      </c>
      <c r="H883" s="29" t="s">
        <v>65</v>
      </c>
      <c r="I883" s="38" t="str">
        <f>Assumptions!$I$162</f>
        <v>A</v>
      </c>
      <c r="J883" s="29" t="str">
        <f>IF(D883&lt;=Assumptions!$V$162,"Low",IF(D883&lt;=Assumptions!$W$162,"Mid","High"))</f>
        <v>Low</v>
      </c>
      <c r="K883" s="51">
        <f>Assumptions!$Q$162</f>
        <v>2800</v>
      </c>
      <c r="L883" s="52">
        <f>INDEX(Assumptions!$P$61:$P$90,D883)</f>
        <v>2930.563479050526</v>
      </c>
      <c r="M883" s="53">
        <f>IF(D883&lt;=Assumptions!$G$162,Assumptions!$AK$162,IF(D883&lt;Assumptions!$AH$162,Assumptions!$AK$162+(Assumptions!$AL$162-Assumptions!$AK$162)*(D883-Assumptions!$G$162)/(Assumptions!$AH$162-Assumptions!$G$162),IF(D883&lt;Assumptions!$P$162,Assumptions!$AL$162+(Assumptions!$AM$162-Assumptions!$AL$162)*(D883-Assumptions!$AH$162)/(Assumptions!$P$162-Assumptions!$AH$162),Assumptions!$AM$162)))</f>
        <v>50000</v>
      </c>
      <c r="N883" s="54">
        <f t="shared" si="26"/>
        <v>36.576444769568397</v>
      </c>
      <c r="O883" s="55">
        <f t="shared" si="27"/>
        <v>2967</v>
      </c>
      <c r="P883" s="29" t="str">
        <f>IF(D883&gt;=Assumptions!$P$162,"High",IF(D883&gt;=Assumptions!$AH$162,"Mid",IF(D883&lt;=Assumptions!$G$162,"Low","Loading")))</f>
        <v>Loading</v>
      </c>
      <c r="Q883" s="39">
        <f>MAX(K883,MIN(Assumptions!$S$162,O883),Q884)</f>
        <v>2967</v>
      </c>
      <c r="R883" s="30">
        <f>IF(AND(Q883&lt;=K883,INDEX(Assumptions!$C$26:$C$36,MATCH(G883,Assumptions!$A$26:$A$36,0))&lt;&gt;""),INDEX(Assumptions!$C$26:$C$36,MATCH(G883,Assumptions!$A$26:$A$36,0)),ROUND(G883*Q883,-2))</f>
        <v>4055900</v>
      </c>
      <c r="S883" s="56" t="str">
        <f>TRIM(IF(AND(Assumptions!$L$162&lt;&gt;"",D883&lt;Assumptions!$L$162),"View blocked / roof in front ("&amp;Assumptions!$M$162&amp;"); view premium still loading until L"&amp;Assumptions!$L$162&amp;". ","")&amp;IF(D883=Assumptions!$AH$162,"Mid-floor view premium fully loaded. ","")&amp;IF(D883=Assumptions!$P$162,"High-floor view premium fully loaded. ","")&amp;IF(Q883&lt;=K883,"At developer starting price.",""))</f>
        <v/>
      </c>
      <c r="T883" s="57" t="str">
        <f>Assumptions!$AJ$162</f>
        <v>SW. Direct landed estate + nature reserve; private lift</v>
      </c>
    </row>
    <row r="884" spans="1:20" x14ac:dyDescent="0.2">
      <c r="A884" s="49" t="s">
        <v>1044</v>
      </c>
      <c r="B884" s="29">
        <v>7</v>
      </c>
      <c r="C884" s="50">
        <v>36</v>
      </c>
      <c r="D884" s="50">
        <v>11</v>
      </c>
      <c r="E884" s="27" t="s">
        <v>49</v>
      </c>
      <c r="F884" s="29" t="s">
        <v>1025</v>
      </c>
      <c r="G884" s="28">
        <v>1367</v>
      </c>
      <c r="H884" s="29" t="s">
        <v>65</v>
      </c>
      <c r="I884" s="38" t="str">
        <f>Assumptions!$I$162</f>
        <v>A</v>
      </c>
      <c r="J884" s="29" t="str">
        <f>IF(D884&lt;=Assumptions!$V$162,"Low",IF(D884&lt;=Assumptions!$W$162,"Mid","High"))</f>
        <v>Low</v>
      </c>
      <c r="K884" s="51">
        <f>Assumptions!$Q$162</f>
        <v>2800</v>
      </c>
      <c r="L884" s="52">
        <f>INDEX(Assumptions!$P$61:$P$90,D884)</f>
        <v>2920.1204752415306</v>
      </c>
      <c r="M884" s="53">
        <f>IF(D884&lt;=Assumptions!$G$162,Assumptions!$AK$162,IF(D884&lt;Assumptions!$AH$162,Assumptions!$AK$162+(Assumptions!$AL$162-Assumptions!$AK$162)*(D884-Assumptions!$G$162)/(Assumptions!$AH$162-Assumptions!$G$162),IF(D884&lt;Assumptions!$P$162,Assumptions!$AL$162+(Assumptions!$AM$162-Assumptions!$AL$162)*(D884-Assumptions!$AH$162)/(Assumptions!$P$162-Assumptions!$AH$162),Assumptions!$AM$162)))</f>
        <v>50000</v>
      </c>
      <c r="N884" s="54">
        <f t="shared" si="26"/>
        <v>36.576444769568397</v>
      </c>
      <c r="O884" s="55">
        <f t="shared" si="27"/>
        <v>2957</v>
      </c>
      <c r="P884" s="29" t="str">
        <f>IF(D884&gt;=Assumptions!$P$162,"High",IF(D884&gt;=Assumptions!$AH$162,"Mid",IF(D884&lt;=Assumptions!$G$162,"Low","Loading")))</f>
        <v>Loading</v>
      </c>
      <c r="Q884" s="39">
        <f>MAX(K884,MIN(Assumptions!$S$162,O884),Q885)</f>
        <v>2957</v>
      </c>
      <c r="R884" s="30">
        <f>IF(AND(Q884&lt;=K884,INDEX(Assumptions!$C$26:$C$36,MATCH(G884,Assumptions!$A$26:$A$36,0))&lt;&gt;""),INDEX(Assumptions!$C$26:$C$36,MATCH(G884,Assumptions!$A$26:$A$36,0)),ROUND(G884*Q884,-2))</f>
        <v>4042200</v>
      </c>
      <c r="S884" s="56" t="str">
        <f>TRIM(IF(AND(Assumptions!$L$162&lt;&gt;"",D884&lt;Assumptions!$L$162),"View blocked / roof in front ("&amp;Assumptions!$M$162&amp;"); view premium still loading until L"&amp;Assumptions!$L$162&amp;". ","")&amp;IF(D884=Assumptions!$AH$162,"Mid-floor view premium fully loaded. ","")&amp;IF(D884=Assumptions!$P$162,"High-floor view premium fully loaded. ","")&amp;IF(Q884&lt;=K884,"At developer starting price.",""))</f>
        <v/>
      </c>
      <c r="T884" s="57" t="str">
        <f>Assumptions!$AJ$162</f>
        <v>SW. Direct landed estate + nature reserve; private lift</v>
      </c>
    </row>
    <row r="885" spans="1:20" x14ac:dyDescent="0.2">
      <c r="A885" s="49" t="s">
        <v>1045</v>
      </c>
      <c r="B885" s="29">
        <v>7</v>
      </c>
      <c r="C885" s="50">
        <v>36</v>
      </c>
      <c r="D885" s="50">
        <v>10</v>
      </c>
      <c r="E885" s="27" t="s">
        <v>49</v>
      </c>
      <c r="F885" s="29" t="s">
        <v>1025</v>
      </c>
      <c r="G885" s="28">
        <v>1367</v>
      </c>
      <c r="H885" s="29" t="s">
        <v>65</v>
      </c>
      <c r="I885" s="38" t="str">
        <f>Assumptions!$I$162</f>
        <v>A</v>
      </c>
      <c r="J885" s="29" t="str">
        <f>IF(D885&lt;=Assumptions!$V$162,"Low",IF(D885&lt;=Assumptions!$W$162,"Mid","High"))</f>
        <v>Low</v>
      </c>
      <c r="K885" s="51">
        <f>Assumptions!$Q$162</f>
        <v>2800</v>
      </c>
      <c r="L885" s="52">
        <f>INDEX(Assumptions!$P$61:$P$90,D885)</f>
        <v>2909.6774714325352</v>
      </c>
      <c r="M885" s="53">
        <f>IF(D885&lt;=Assumptions!$G$162,Assumptions!$AK$162,IF(D885&lt;Assumptions!$AH$162,Assumptions!$AK$162+(Assumptions!$AL$162-Assumptions!$AK$162)*(D885-Assumptions!$G$162)/(Assumptions!$AH$162-Assumptions!$G$162),IF(D885&lt;Assumptions!$P$162,Assumptions!$AL$162+(Assumptions!$AM$162-Assumptions!$AL$162)*(D885-Assumptions!$AH$162)/(Assumptions!$P$162-Assumptions!$AH$162),Assumptions!$AM$162)))</f>
        <v>50000</v>
      </c>
      <c r="N885" s="54">
        <f t="shared" si="26"/>
        <v>36.576444769568397</v>
      </c>
      <c r="O885" s="55">
        <f t="shared" si="27"/>
        <v>2946</v>
      </c>
      <c r="P885" s="29" t="str">
        <f>IF(D885&gt;=Assumptions!$P$162,"High",IF(D885&gt;=Assumptions!$AH$162,"Mid",IF(D885&lt;=Assumptions!$G$162,"Low","Loading")))</f>
        <v>Loading</v>
      </c>
      <c r="Q885" s="39">
        <f>MAX(K885,MIN(Assumptions!$S$162,O885),Q886)</f>
        <v>2946</v>
      </c>
      <c r="R885" s="30">
        <f>IF(AND(Q885&lt;=K885,INDEX(Assumptions!$C$26:$C$36,MATCH(G885,Assumptions!$A$26:$A$36,0))&lt;&gt;""),INDEX(Assumptions!$C$26:$C$36,MATCH(G885,Assumptions!$A$26:$A$36,0)),ROUND(G885*Q885,-2))</f>
        <v>4027200</v>
      </c>
      <c r="S885" s="56" t="str">
        <f>TRIM(IF(AND(Assumptions!$L$162&lt;&gt;"",D885&lt;Assumptions!$L$162),"View blocked / roof in front ("&amp;Assumptions!$M$162&amp;"); view premium still loading until L"&amp;Assumptions!$L$162&amp;". ","")&amp;IF(D885=Assumptions!$AH$162,"Mid-floor view premium fully loaded. ","")&amp;IF(D885=Assumptions!$P$162,"High-floor view premium fully loaded. ","")&amp;IF(Q885&lt;=K885,"At developer starting price.",""))</f>
        <v/>
      </c>
      <c r="T885" s="57" t="str">
        <f>Assumptions!$AJ$162</f>
        <v>SW. Direct landed estate + nature reserve; private lift</v>
      </c>
    </row>
    <row r="886" spans="1:20" x14ac:dyDescent="0.2">
      <c r="A886" s="49" t="s">
        <v>1046</v>
      </c>
      <c r="B886" s="29">
        <v>7</v>
      </c>
      <c r="C886" s="50">
        <v>36</v>
      </c>
      <c r="D886" s="50">
        <v>9</v>
      </c>
      <c r="E886" s="27" t="s">
        <v>49</v>
      </c>
      <c r="F886" s="29" t="s">
        <v>1025</v>
      </c>
      <c r="G886" s="28">
        <v>1367</v>
      </c>
      <c r="H886" s="29" t="s">
        <v>65</v>
      </c>
      <c r="I886" s="38" t="str">
        <f>Assumptions!$I$162</f>
        <v>A</v>
      </c>
      <c r="J886" s="29" t="str">
        <f>IF(D886&lt;=Assumptions!$V$162,"Low",IF(D886&lt;=Assumptions!$W$162,"Mid","High"))</f>
        <v>Low</v>
      </c>
      <c r="K886" s="51">
        <f>Assumptions!$Q$162</f>
        <v>2800</v>
      </c>
      <c r="L886" s="52">
        <f>INDEX(Assumptions!$P$61:$P$90,D886)</f>
        <v>2899.2344676235402</v>
      </c>
      <c r="M886" s="53">
        <f>IF(D886&lt;=Assumptions!$G$162,Assumptions!$AK$162,IF(D886&lt;Assumptions!$AH$162,Assumptions!$AK$162+(Assumptions!$AL$162-Assumptions!$AK$162)*(D886-Assumptions!$G$162)/(Assumptions!$AH$162-Assumptions!$G$162),IF(D886&lt;Assumptions!$P$162,Assumptions!$AL$162+(Assumptions!$AM$162-Assumptions!$AL$162)*(D886-Assumptions!$AH$162)/(Assumptions!$P$162-Assumptions!$AH$162),Assumptions!$AM$162)))</f>
        <v>50000</v>
      </c>
      <c r="N886" s="54">
        <f t="shared" si="26"/>
        <v>36.576444769568397</v>
      </c>
      <c r="O886" s="55">
        <f t="shared" si="27"/>
        <v>2936</v>
      </c>
      <c r="P886" s="29" t="str">
        <f>IF(D886&gt;=Assumptions!$P$162,"High",IF(D886&gt;=Assumptions!$AH$162,"Mid",IF(D886&lt;=Assumptions!$G$162,"Low","Loading")))</f>
        <v>Loading</v>
      </c>
      <c r="Q886" s="39">
        <f>MAX(K886,MIN(Assumptions!$S$162,O886),Q887)</f>
        <v>2936</v>
      </c>
      <c r="R886" s="30">
        <f>IF(AND(Q886&lt;=K886,INDEX(Assumptions!$C$26:$C$36,MATCH(G886,Assumptions!$A$26:$A$36,0))&lt;&gt;""),INDEX(Assumptions!$C$26:$C$36,MATCH(G886,Assumptions!$A$26:$A$36,0)),ROUND(G886*Q886,-2))</f>
        <v>4013500</v>
      </c>
      <c r="S886" s="56" t="str">
        <f>TRIM(IF(AND(Assumptions!$L$162&lt;&gt;"",D886&lt;Assumptions!$L$162),"View blocked / roof in front ("&amp;Assumptions!$M$162&amp;"); view premium still loading until L"&amp;Assumptions!$L$162&amp;". ","")&amp;IF(D886=Assumptions!$AH$162,"Mid-floor view premium fully loaded. ","")&amp;IF(D886=Assumptions!$P$162,"High-floor view premium fully loaded. ","")&amp;IF(Q886&lt;=K886,"At developer starting price.",""))</f>
        <v/>
      </c>
      <c r="T886" s="57" t="str">
        <f>Assumptions!$AJ$162</f>
        <v>SW. Direct landed estate + nature reserve; private lift</v>
      </c>
    </row>
    <row r="887" spans="1:20" x14ac:dyDescent="0.2">
      <c r="A887" s="49" t="s">
        <v>1047</v>
      </c>
      <c r="B887" s="29">
        <v>7</v>
      </c>
      <c r="C887" s="50">
        <v>36</v>
      </c>
      <c r="D887" s="50">
        <v>8</v>
      </c>
      <c r="E887" s="27" t="s">
        <v>49</v>
      </c>
      <c r="F887" s="29" t="s">
        <v>1025</v>
      </c>
      <c r="G887" s="28">
        <v>1367</v>
      </c>
      <c r="H887" s="29" t="s">
        <v>65</v>
      </c>
      <c r="I887" s="38" t="str">
        <f>Assumptions!$I$162</f>
        <v>A</v>
      </c>
      <c r="J887" s="29" t="str">
        <f>IF(D887&lt;=Assumptions!$V$162,"Low",IF(D887&lt;=Assumptions!$W$162,"Mid","High"))</f>
        <v>Low</v>
      </c>
      <c r="K887" s="51">
        <f>Assumptions!$Q$162</f>
        <v>2800</v>
      </c>
      <c r="L887" s="52">
        <f>INDEX(Assumptions!$P$61:$P$90,D887)</f>
        <v>2888.7914638145448</v>
      </c>
      <c r="M887" s="53">
        <f>IF(D887&lt;=Assumptions!$G$162,Assumptions!$AK$162,IF(D887&lt;Assumptions!$AH$162,Assumptions!$AK$162+(Assumptions!$AL$162-Assumptions!$AK$162)*(D887-Assumptions!$G$162)/(Assumptions!$AH$162-Assumptions!$G$162),IF(D887&lt;Assumptions!$P$162,Assumptions!$AL$162+(Assumptions!$AM$162-Assumptions!$AL$162)*(D887-Assumptions!$AH$162)/(Assumptions!$P$162-Assumptions!$AH$162),Assumptions!$AM$162)))</f>
        <v>50000</v>
      </c>
      <c r="N887" s="54">
        <f t="shared" si="26"/>
        <v>36.576444769568397</v>
      </c>
      <c r="O887" s="55">
        <f t="shared" si="27"/>
        <v>2925</v>
      </c>
      <c r="P887" s="29" t="str">
        <f>IF(D887&gt;=Assumptions!$P$162,"High",IF(D887&gt;=Assumptions!$AH$162,"Mid",IF(D887&lt;=Assumptions!$G$162,"Low","Loading")))</f>
        <v>Loading</v>
      </c>
      <c r="Q887" s="39">
        <f>MAX(K887,MIN(Assumptions!$S$162,O887),Q888)</f>
        <v>2925</v>
      </c>
      <c r="R887" s="30">
        <f>IF(AND(Q887&lt;=K887,INDEX(Assumptions!$C$26:$C$36,MATCH(G887,Assumptions!$A$26:$A$36,0))&lt;&gt;""),INDEX(Assumptions!$C$26:$C$36,MATCH(G887,Assumptions!$A$26:$A$36,0)),ROUND(G887*Q887,-2))</f>
        <v>3998500</v>
      </c>
      <c r="S887" s="56" t="str">
        <f>TRIM(IF(AND(Assumptions!$L$162&lt;&gt;"",D887&lt;Assumptions!$L$162),"View blocked / roof in front ("&amp;Assumptions!$M$162&amp;"); view premium still loading until L"&amp;Assumptions!$L$162&amp;". ","")&amp;IF(D887=Assumptions!$AH$162,"Mid-floor view premium fully loaded. ","")&amp;IF(D887=Assumptions!$P$162,"High-floor view premium fully loaded. ","")&amp;IF(Q887&lt;=K887,"At developer starting price.",""))</f>
        <v/>
      </c>
      <c r="T887" s="57" t="str">
        <f>Assumptions!$AJ$162</f>
        <v>SW. Direct landed estate + nature reserve; private lift</v>
      </c>
    </row>
    <row r="888" spans="1:20" x14ac:dyDescent="0.2">
      <c r="A888" s="49" t="s">
        <v>1048</v>
      </c>
      <c r="B888" s="29">
        <v>7</v>
      </c>
      <c r="C888" s="50">
        <v>36</v>
      </c>
      <c r="D888" s="50">
        <v>7</v>
      </c>
      <c r="E888" s="27" t="s">
        <v>49</v>
      </c>
      <c r="F888" s="29" t="s">
        <v>1025</v>
      </c>
      <c r="G888" s="28">
        <v>1367</v>
      </c>
      <c r="H888" s="29" t="s">
        <v>65</v>
      </c>
      <c r="I888" s="38" t="str">
        <f>Assumptions!$I$162</f>
        <v>A</v>
      </c>
      <c r="J888" s="29" t="str">
        <f>IF(D888&lt;=Assumptions!$V$162,"Low",IF(D888&lt;=Assumptions!$W$162,"Mid","High"))</f>
        <v>Low</v>
      </c>
      <c r="K888" s="51">
        <f>Assumptions!$Q$162</f>
        <v>2800</v>
      </c>
      <c r="L888" s="52">
        <f>INDEX(Assumptions!$P$61:$P$90,D888)</f>
        <v>2878.3484600055494</v>
      </c>
      <c r="M888" s="53">
        <f>IF(D888&lt;=Assumptions!$G$162,Assumptions!$AK$162,IF(D888&lt;Assumptions!$AH$162,Assumptions!$AK$162+(Assumptions!$AL$162-Assumptions!$AK$162)*(D888-Assumptions!$G$162)/(Assumptions!$AH$162-Assumptions!$G$162),IF(D888&lt;Assumptions!$P$162,Assumptions!$AL$162+(Assumptions!$AM$162-Assumptions!$AL$162)*(D888-Assumptions!$AH$162)/(Assumptions!$P$162-Assumptions!$AH$162),Assumptions!$AM$162)))</f>
        <v>50000</v>
      </c>
      <c r="N888" s="54">
        <f t="shared" si="26"/>
        <v>36.576444769568397</v>
      </c>
      <c r="O888" s="55">
        <f t="shared" si="27"/>
        <v>2915</v>
      </c>
      <c r="P888" s="29" t="str">
        <f>IF(D888&gt;=Assumptions!$P$162,"High",IF(D888&gt;=Assumptions!$AH$162,"Mid",IF(D888&lt;=Assumptions!$G$162,"Low","Loading")))</f>
        <v>Loading</v>
      </c>
      <c r="Q888" s="39">
        <f>MAX(K888,MIN(Assumptions!$S$162,O888),Q889)</f>
        <v>2915</v>
      </c>
      <c r="R888" s="30">
        <f>IF(AND(Q888&lt;=K888,INDEX(Assumptions!$C$26:$C$36,MATCH(G888,Assumptions!$A$26:$A$36,0))&lt;&gt;""),INDEX(Assumptions!$C$26:$C$36,MATCH(G888,Assumptions!$A$26:$A$36,0)),ROUND(G888*Q888,-2))</f>
        <v>3984800</v>
      </c>
      <c r="S888" s="56" t="str">
        <f>TRIM(IF(AND(Assumptions!$L$162&lt;&gt;"",D888&lt;Assumptions!$L$162),"View blocked / roof in front ("&amp;Assumptions!$M$162&amp;"); view premium still loading until L"&amp;Assumptions!$L$162&amp;". ","")&amp;IF(D888=Assumptions!$AH$162,"Mid-floor view premium fully loaded. ","")&amp;IF(D888=Assumptions!$P$162,"High-floor view premium fully loaded. ","")&amp;IF(Q888&lt;=K888,"At developer starting price.",""))</f>
        <v/>
      </c>
      <c r="T888" s="57" t="str">
        <f>Assumptions!$AJ$162</f>
        <v>SW. Direct landed estate + nature reserve; private lift</v>
      </c>
    </row>
    <row r="889" spans="1:20" x14ac:dyDescent="0.2">
      <c r="A889" s="49" t="s">
        <v>1049</v>
      </c>
      <c r="B889" s="29">
        <v>7</v>
      </c>
      <c r="C889" s="50">
        <v>36</v>
      </c>
      <c r="D889" s="50">
        <v>6</v>
      </c>
      <c r="E889" s="27" t="s">
        <v>49</v>
      </c>
      <c r="F889" s="29" t="s">
        <v>1025</v>
      </c>
      <c r="G889" s="28">
        <v>1367</v>
      </c>
      <c r="H889" s="29" t="s">
        <v>65</v>
      </c>
      <c r="I889" s="38" t="str">
        <f>Assumptions!$I$162</f>
        <v>A</v>
      </c>
      <c r="J889" s="29" t="str">
        <f>IF(D889&lt;=Assumptions!$V$162,"Low",IF(D889&lt;=Assumptions!$W$162,"Mid","High"))</f>
        <v>Low</v>
      </c>
      <c r="K889" s="51">
        <f>Assumptions!$Q$162</f>
        <v>2800</v>
      </c>
      <c r="L889" s="52">
        <f>INDEX(Assumptions!$P$61:$P$90,D889)</f>
        <v>2867.905456196554</v>
      </c>
      <c r="M889" s="53">
        <f>IF(D889&lt;=Assumptions!$G$162,Assumptions!$AK$162,IF(D889&lt;Assumptions!$AH$162,Assumptions!$AK$162+(Assumptions!$AL$162-Assumptions!$AK$162)*(D889-Assumptions!$G$162)/(Assumptions!$AH$162-Assumptions!$G$162),IF(D889&lt;Assumptions!$P$162,Assumptions!$AL$162+(Assumptions!$AM$162-Assumptions!$AL$162)*(D889-Assumptions!$AH$162)/(Assumptions!$P$162-Assumptions!$AH$162),Assumptions!$AM$162)))</f>
        <v>50000</v>
      </c>
      <c r="N889" s="54">
        <f t="shared" si="26"/>
        <v>36.576444769568397</v>
      </c>
      <c r="O889" s="55">
        <f t="shared" si="27"/>
        <v>2904</v>
      </c>
      <c r="P889" s="29" t="str">
        <f>IF(D889&gt;=Assumptions!$P$162,"High",IF(D889&gt;=Assumptions!$AH$162,"Mid",IF(D889&lt;=Assumptions!$G$162,"Low","Loading")))</f>
        <v>Loading</v>
      </c>
      <c r="Q889" s="39">
        <f>MAX(K889,MIN(Assumptions!$S$162,O889),Q890)</f>
        <v>2904</v>
      </c>
      <c r="R889" s="30">
        <f>IF(AND(Q889&lt;=K889,INDEX(Assumptions!$C$26:$C$36,MATCH(G889,Assumptions!$A$26:$A$36,0))&lt;&gt;""),INDEX(Assumptions!$C$26:$C$36,MATCH(G889,Assumptions!$A$26:$A$36,0)),ROUND(G889*Q889,-2))</f>
        <v>3969800</v>
      </c>
      <c r="S889" s="56" t="str">
        <f>TRIM(IF(AND(Assumptions!$L$162&lt;&gt;"",D889&lt;Assumptions!$L$162),"View blocked / roof in front ("&amp;Assumptions!$M$162&amp;"); view premium still loading until L"&amp;Assumptions!$L$162&amp;". ","")&amp;IF(D889=Assumptions!$AH$162,"Mid-floor view premium fully loaded. ","")&amp;IF(D889=Assumptions!$P$162,"High-floor view premium fully loaded. ","")&amp;IF(Q889&lt;=K889,"At developer starting price.",""))</f>
        <v/>
      </c>
      <c r="T889" s="57" t="str">
        <f>Assumptions!$AJ$162</f>
        <v>SW. Direct landed estate + nature reserve; private lift</v>
      </c>
    </row>
    <row r="890" spans="1:20" x14ac:dyDescent="0.2">
      <c r="A890" s="49" t="s">
        <v>1050</v>
      </c>
      <c r="B890" s="29">
        <v>7</v>
      </c>
      <c r="C890" s="50">
        <v>36</v>
      </c>
      <c r="D890" s="50">
        <v>5</v>
      </c>
      <c r="E890" s="27" t="s">
        <v>49</v>
      </c>
      <c r="F890" s="29" t="s">
        <v>1025</v>
      </c>
      <c r="G890" s="28">
        <v>1367</v>
      </c>
      <c r="H890" s="29" t="s">
        <v>65</v>
      </c>
      <c r="I890" s="38" t="str">
        <f>Assumptions!$I$162</f>
        <v>A</v>
      </c>
      <c r="J890" s="29" t="str">
        <f>IF(D890&lt;=Assumptions!$V$162,"Low",IF(D890&lt;=Assumptions!$W$162,"Mid","High"))</f>
        <v>Low</v>
      </c>
      <c r="K890" s="51">
        <f>Assumptions!$Q$162</f>
        <v>2800</v>
      </c>
      <c r="L890" s="52">
        <f>INDEX(Assumptions!$P$61:$P$90,D890)</f>
        <v>2857.4624523875591</v>
      </c>
      <c r="M890" s="53">
        <f>IF(D890&lt;=Assumptions!$G$162,Assumptions!$AK$162,IF(D890&lt;Assumptions!$AH$162,Assumptions!$AK$162+(Assumptions!$AL$162-Assumptions!$AK$162)*(D890-Assumptions!$G$162)/(Assumptions!$AH$162-Assumptions!$G$162),IF(D890&lt;Assumptions!$P$162,Assumptions!$AL$162+(Assumptions!$AM$162-Assumptions!$AL$162)*(D890-Assumptions!$AH$162)/(Assumptions!$P$162-Assumptions!$AH$162),Assumptions!$AM$162)))</f>
        <v>50000</v>
      </c>
      <c r="N890" s="54">
        <f t="shared" si="26"/>
        <v>36.576444769568397</v>
      </c>
      <c r="O890" s="55">
        <f t="shared" si="27"/>
        <v>2894</v>
      </c>
      <c r="P890" s="29" t="str">
        <f>IF(D890&gt;=Assumptions!$P$162,"High",IF(D890&gt;=Assumptions!$AH$162,"Mid",IF(D890&lt;=Assumptions!$G$162,"Low","Loading")))</f>
        <v>Loading</v>
      </c>
      <c r="Q890" s="39">
        <f>MAX(K890,MIN(Assumptions!$S$162,O890),Q891)</f>
        <v>2894</v>
      </c>
      <c r="R890" s="30">
        <f>IF(AND(Q890&lt;=K890,INDEX(Assumptions!$C$26:$C$36,MATCH(G890,Assumptions!$A$26:$A$36,0))&lt;&gt;""),INDEX(Assumptions!$C$26:$C$36,MATCH(G890,Assumptions!$A$26:$A$36,0)),ROUND(G890*Q890,-2))</f>
        <v>3956100</v>
      </c>
      <c r="S890" s="56" t="str">
        <f>TRIM(IF(AND(Assumptions!$L$162&lt;&gt;"",D890&lt;Assumptions!$L$162),"View blocked / roof in front ("&amp;Assumptions!$M$162&amp;"); view premium still loading until L"&amp;Assumptions!$L$162&amp;". ","")&amp;IF(D890=Assumptions!$AH$162,"Mid-floor view premium fully loaded. ","")&amp;IF(D890=Assumptions!$P$162,"High-floor view premium fully loaded. ","")&amp;IF(Q890&lt;=K890,"At developer starting price.",""))</f>
        <v/>
      </c>
      <c r="T890" s="57" t="str">
        <f>Assumptions!$AJ$162</f>
        <v>SW. Direct landed estate + nature reserve; private lift</v>
      </c>
    </row>
    <row r="891" spans="1:20" x14ac:dyDescent="0.2">
      <c r="A891" s="49" t="s">
        <v>1051</v>
      </c>
      <c r="B891" s="29">
        <v>7</v>
      </c>
      <c r="C891" s="50">
        <v>36</v>
      </c>
      <c r="D891" s="50">
        <v>4</v>
      </c>
      <c r="E891" s="27" t="s">
        <v>49</v>
      </c>
      <c r="F891" s="29" t="s">
        <v>1025</v>
      </c>
      <c r="G891" s="28">
        <v>1367</v>
      </c>
      <c r="H891" s="29" t="s">
        <v>65</v>
      </c>
      <c r="I891" s="38" t="str">
        <f>Assumptions!$I$162</f>
        <v>A</v>
      </c>
      <c r="J891" s="29" t="str">
        <f>IF(D891&lt;=Assumptions!$V$162,"Low",IF(D891&lt;=Assumptions!$W$162,"Mid","High"))</f>
        <v>Low</v>
      </c>
      <c r="K891" s="51">
        <f>Assumptions!$Q$162</f>
        <v>2800</v>
      </c>
      <c r="L891" s="52">
        <f>INDEX(Assumptions!$P$61:$P$90,D891)</f>
        <v>2847.0194485785637</v>
      </c>
      <c r="M891" s="53">
        <f>IF(D891&lt;=Assumptions!$G$162,Assumptions!$AK$162,IF(D891&lt;Assumptions!$AH$162,Assumptions!$AK$162+(Assumptions!$AL$162-Assumptions!$AK$162)*(D891-Assumptions!$G$162)/(Assumptions!$AH$162-Assumptions!$G$162),IF(D891&lt;Assumptions!$P$162,Assumptions!$AL$162+(Assumptions!$AM$162-Assumptions!$AL$162)*(D891-Assumptions!$AH$162)/(Assumptions!$P$162-Assumptions!$AH$162),Assumptions!$AM$162)))</f>
        <v>50000</v>
      </c>
      <c r="N891" s="54">
        <f t="shared" si="26"/>
        <v>36.576444769568397</v>
      </c>
      <c r="O891" s="55">
        <f t="shared" si="27"/>
        <v>2884</v>
      </c>
      <c r="P891" s="29" t="str">
        <f>IF(D891&gt;=Assumptions!$P$162,"High",IF(D891&gt;=Assumptions!$AH$162,"Mid",IF(D891&lt;=Assumptions!$G$162,"Low","Loading")))</f>
        <v>Loading</v>
      </c>
      <c r="Q891" s="39">
        <f>MAX(K891,MIN(Assumptions!$S$162,O891),Q892)</f>
        <v>2884</v>
      </c>
      <c r="R891" s="30">
        <f>IF(AND(Q891&lt;=K891,INDEX(Assumptions!$C$26:$C$36,MATCH(G891,Assumptions!$A$26:$A$36,0))&lt;&gt;""),INDEX(Assumptions!$C$26:$C$36,MATCH(G891,Assumptions!$A$26:$A$36,0)),ROUND(G891*Q891,-2))</f>
        <v>3942400</v>
      </c>
      <c r="S891" s="56" t="str">
        <f>TRIM(IF(AND(Assumptions!$L$162&lt;&gt;"",D891&lt;Assumptions!$L$162),"View blocked / roof in front ("&amp;Assumptions!$M$162&amp;"); view premium still loading until L"&amp;Assumptions!$L$162&amp;". ","")&amp;IF(D891=Assumptions!$AH$162,"Mid-floor view premium fully loaded. ","")&amp;IF(D891=Assumptions!$P$162,"High-floor view premium fully loaded. ","")&amp;IF(Q891&lt;=K891,"At developer starting price.",""))</f>
        <v/>
      </c>
      <c r="T891" s="57" t="str">
        <f>Assumptions!$AJ$162</f>
        <v>SW. Direct landed estate + nature reserve; private lift</v>
      </c>
    </row>
    <row r="892" spans="1:20" x14ac:dyDescent="0.2">
      <c r="A892" s="49" t="s">
        <v>1052</v>
      </c>
      <c r="B892" s="29">
        <v>7</v>
      </c>
      <c r="C892" s="50">
        <v>36</v>
      </c>
      <c r="D892" s="50">
        <v>3</v>
      </c>
      <c r="E892" s="27" t="s">
        <v>49</v>
      </c>
      <c r="F892" s="29" t="s">
        <v>1025</v>
      </c>
      <c r="G892" s="28">
        <v>1367</v>
      </c>
      <c r="H892" s="29" t="s">
        <v>65</v>
      </c>
      <c r="I892" s="38" t="str">
        <f>Assumptions!$I$162</f>
        <v>A</v>
      </c>
      <c r="J892" s="29" t="str">
        <f>IF(D892&lt;=Assumptions!$V$162,"Low",IF(D892&lt;=Assumptions!$W$162,"Mid","High"))</f>
        <v>Low</v>
      </c>
      <c r="K892" s="51">
        <f>Assumptions!$Q$162</f>
        <v>2800</v>
      </c>
      <c r="L892" s="52">
        <f>INDEX(Assumptions!$P$61:$P$90,D892)</f>
        <v>2836.5764447695683</v>
      </c>
      <c r="M892" s="53">
        <f>IF(D892&lt;=Assumptions!$G$162,Assumptions!$AK$162,IF(D892&lt;Assumptions!$AH$162,Assumptions!$AK$162+(Assumptions!$AL$162-Assumptions!$AK$162)*(D892-Assumptions!$G$162)/(Assumptions!$AH$162-Assumptions!$G$162),IF(D892&lt;Assumptions!$P$162,Assumptions!$AL$162+(Assumptions!$AM$162-Assumptions!$AL$162)*(D892-Assumptions!$AH$162)/(Assumptions!$P$162-Assumptions!$AH$162),Assumptions!$AM$162)))</f>
        <v>50000</v>
      </c>
      <c r="N892" s="54">
        <f t="shared" si="26"/>
        <v>36.576444769568397</v>
      </c>
      <c r="O892" s="55">
        <f t="shared" si="27"/>
        <v>2873</v>
      </c>
      <c r="P892" s="29" t="str">
        <f>IF(D892&gt;=Assumptions!$P$162,"High",IF(D892&gt;=Assumptions!$AH$162,"Mid",IF(D892&lt;=Assumptions!$G$162,"Low","Loading")))</f>
        <v>Low</v>
      </c>
      <c r="Q892" s="39">
        <f>MAX(K892,MIN(Assumptions!$S$162,O892))</f>
        <v>2873</v>
      </c>
      <c r="R892" s="30">
        <f>IF(AND(Q892&lt;=K892,INDEX(Assumptions!$C$26:$C$36,MATCH(G892,Assumptions!$A$26:$A$36,0))&lt;&gt;""),INDEX(Assumptions!$C$26:$C$36,MATCH(G892,Assumptions!$A$26:$A$36,0)),ROUND(G892*Q892,-2))</f>
        <v>3927400</v>
      </c>
      <c r="S892" s="56" t="str">
        <f>TRIM(IF(AND(Assumptions!$L$162&lt;&gt;"",D892&lt;Assumptions!$L$162),"View blocked / roof in front ("&amp;Assumptions!$M$162&amp;"); view premium still loading until L"&amp;Assumptions!$L$162&amp;". ","")&amp;IF(D892=Assumptions!$AH$162,"Mid-floor view premium fully loaded. ","")&amp;IF(D892=Assumptions!$P$162,"High-floor view premium fully loaded. ","")&amp;IF(Q892&lt;=K892,"At developer starting price.",""))</f>
        <v/>
      </c>
      <c r="T892" s="57" t="str">
        <f>Assumptions!$AJ$162</f>
        <v>SW. Direct landed estate + nature reserve; private lift</v>
      </c>
    </row>
    <row r="893" spans="1:20" x14ac:dyDescent="0.2">
      <c r="A893" s="13" t="s">
        <v>1053</v>
      </c>
      <c r="B893" s="14">
        <v>9</v>
      </c>
      <c r="C893" s="40">
        <v>37</v>
      </c>
      <c r="D893" s="40">
        <v>21</v>
      </c>
      <c r="E893" s="9" t="s">
        <v>46</v>
      </c>
      <c r="F893" s="14" t="s">
        <v>1054</v>
      </c>
      <c r="G893" s="10">
        <v>1055</v>
      </c>
      <c r="H893" s="14" t="s">
        <v>62</v>
      </c>
      <c r="I893" s="41" t="str">
        <f>Assumptions!$I$163</f>
        <v>B</v>
      </c>
      <c r="J893" s="14" t="str">
        <f>IF(D893&lt;=Assumptions!$V$163,"Low",IF(D893&lt;=Assumptions!$W$163,"Mid","High"))</f>
        <v>High</v>
      </c>
      <c r="K893" s="15">
        <f>Assumptions!$Q$163</f>
        <v>2633</v>
      </c>
      <c r="L893" s="42">
        <f>INDEX(Assumptions!$K$61:$K$90,D893)</f>
        <v>3042.1538461538462</v>
      </c>
      <c r="M893" s="43">
        <f>IF(D893&lt;=Assumptions!$G$163,Assumptions!$AK$163,IF(D893&lt;Assumptions!$AH$163,Assumptions!$AK$163+(Assumptions!$AL$163-Assumptions!$AK$163)*(D893-Assumptions!$G$163)/(Assumptions!$AH$163-Assumptions!$G$163),IF(D893&lt;Assumptions!$P$163,Assumptions!$AL$163+(Assumptions!$AM$163-Assumptions!$AL$163)*(D893-Assumptions!$AH$163)/(Assumptions!$P$163-Assumptions!$AH$163),Assumptions!$AM$163)))</f>
        <v>23333.333333333328</v>
      </c>
      <c r="N893" s="44">
        <f t="shared" si="26"/>
        <v>22.116903633491308</v>
      </c>
      <c r="O893" s="45">
        <f t="shared" si="27"/>
        <v>3064</v>
      </c>
      <c r="P893" s="14" t="str">
        <f>IF(D893&gt;=Assumptions!$P$163,"High",IF(D893&gt;=Assumptions!$AH$163,"Mid",IF(D893&lt;=Assumptions!$G$163,"Low","Loading")))</f>
        <v>High</v>
      </c>
      <c r="Q893" s="46">
        <f>MAX(K893,MIN(Assumptions!$S$163,O893),Q894)</f>
        <v>3064</v>
      </c>
      <c r="R893" s="12">
        <f>IF(AND(Q893&lt;=K893,INDEX(Assumptions!$C$26:$C$36,MATCH(G893,Assumptions!$A$26:$A$36,0))&lt;&gt;""),INDEX(Assumptions!$C$26:$C$36,MATCH(G893,Assumptions!$A$26:$A$36,0)),ROUND(G893*Q893,-2))</f>
        <v>3232500</v>
      </c>
      <c r="S893" s="47" t="str">
        <f>TRIM(IF(AND(Assumptions!$L$163&lt;&gt;"",D893&lt;Assumptions!$L$163),"View blocked / roof in front ("&amp;Assumptions!$M$163&amp;"); view premium still loading until L"&amp;Assumptions!$L$163&amp;". ","")&amp;IF(D893=Assumptions!$AH$163,"Mid-floor view premium fully loaded. ","")&amp;IF(D893=Assumptions!$P$163,"High-floor view premium fully loaded. ","")&amp;IF(Q893&lt;=K893,"At developer starting price.",""))</f>
        <v/>
      </c>
      <c r="T893" s="48" t="str">
        <f>Assumptions!$AJ$163</f>
        <v>WNW (west sun). 190m view across the whole project; structure in front of low floors, pool properly seen from L10</v>
      </c>
    </row>
    <row r="894" spans="1:20" x14ac:dyDescent="0.2">
      <c r="A894" s="13" t="s">
        <v>1055</v>
      </c>
      <c r="B894" s="14">
        <v>9</v>
      </c>
      <c r="C894" s="40">
        <v>37</v>
      </c>
      <c r="D894" s="40">
        <v>20</v>
      </c>
      <c r="E894" s="9" t="s">
        <v>46</v>
      </c>
      <c r="F894" s="14" t="s">
        <v>1054</v>
      </c>
      <c r="G894" s="10">
        <v>1055</v>
      </c>
      <c r="H894" s="14" t="s">
        <v>62</v>
      </c>
      <c r="I894" s="41" t="str">
        <f>Assumptions!$I$163</f>
        <v>B</v>
      </c>
      <c r="J894" s="14" t="str">
        <f>IF(D894&lt;=Assumptions!$V$163,"Low",IF(D894&lt;=Assumptions!$W$163,"Mid","High"))</f>
        <v>High</v>
      </c>
      <c r="K894" s="15">
        <f>Assumptions!$Q$163</f>
        <v>2633</v>
      </c>
      <c r="L894" s="42">
        <f>INDEX(Assumptions!$K$61:$K$90,D894)</f>
        <v>3015.876923076923</v>
      </c>
      <c r="M894" s="43">
        <f>IF(D894&lt;=Assumptions!$G$163,Assumptions!$AK$163,IF(D894&lt;Assumptions!$AH$163,Assumptions!$AK$163+(Assumptions!$AL$163-Assumptions!$AK$163)*(D894-Assumptions!$G$163)/(Assumptions!$AH$163-Assumptions!$G$163),IF(D894&lt;Assumptions!$P$163,Assumptions!$AL$163+(Assumptions!$AM$163-Assumptions!$AL$163)*(D894-Assumptions!$AH$163)/(Assumptions!$P$163-Assumptions!$AH$163),Assumptions!$AM$163)))</f>
        <v>23333.333333333328</v>
      </c>
      <c r="N894" s="44">
        <f t="shared" si="26"/>
        <v>22.116903633491308</v>
      </c>
      <c r="O894" s="45">
        <f t="shared" si="27"/>
        <v>3038</v>
      </c>
      <c r="P894" s="14" t="str">
        <f>IF(D894&gt;=Assumptions!$P$163,"High",IF(D894&gt;=Assumptions!$AH$163,"Mid",IF(D894&lt;=Assumptions!$G$163,"Low","Loading")))</f>
        <v>High</v>
      </c>
      <c r="Q894" s="46">
        <f>MAX(K894,MIN(Assumptions!$S$163,O894),Q895)</f>
        <v>3038</v>
      </c>
      <c r="R894" s="12">
        <f>IF(AND(Q894&lt;=K894,INDEX(Assumptions!$C$26:$C$36,MATCH(G894,Assumptions!$A$26:$A$36,0))&lt;&gt;""),INDEX(Assumptions!$C$26:$C$36,MATCH(G894,Assumptions!$A$26:$A$36,0)),ROUND(G894*Q894,-2))</f>
        <v>3205100</v>
      </c>
      <c r="S894" s="47" t="str">
        <f>TRIM(IF(AND(Assumptions!$L$163&lt;&gt;"",D894&lt;Assumptions!$L$163),"View blocked / roof in front ("&amp;Assumptions!$M$163&amp;"); view premium still loading until L"&amp;Assumptions!$L$163&amp;". ","")&amp;IF(D894=Assumptions!$AH$163,"Mid-floor view premium fully loaded. ","")&amp;IF(D894=Assumptions!$P$163,"High-floor view premium fully loaded. ","")&amp;IF(Q894&lt;=K894,"At developer starting price.",""))</f>
        <v/>
      </c>
      <c r="T894" s="48" t="str">
        <f>Assumptions!$AJ$163</f>
        <v>WNW (west sun). 190m view across the whole project; structure in front of low floors, pool properly seen from L10</v>
      </c>
    </row>
    <row r="895" spans="1:20" x14ac:dyDescent="0.2">
      <c r="A895" s="13" t="s">
        <v>1056</v>
      </c>
      <c r="B895" s="14">
        <v>9</v>
      </c>
      <c r="C895" s="40">
        <v>37</v>
      </c>
      <c r="D895" s="40">
        <v>19</v>
      </c>
      <c r="E895" s="9" t="s">
        <v>46</v>
      </c>
      <c r="F895" s="14" t="s">
        <v>1054</v>
      </c>
      <c r="G895" s="10">
        <v>1055</v>
      </c>
      <c r="H895" s="14" t="s">
        <v>62</v>
      </c>
      <c r="I895" s="41" t="str">
        <f>Assumptions!$I$163</f>
        <v>B</v>
      </c>
      <c r="J895" s="14" t="str">
        <f>IF(D895&lt;=Assumptions!$V$163,"Low",IF(D895&lt;=Assumptions!$W$163,"Mid","High"))</f>
        <v>High</v>
      </c>
      <c r="K895" s="15">
        <f>Assumptions!$Q$163</f>
        <v>2633</v>
      </c>
      <c r="L895" s="42">
        <f>INDEX(Assumptions!$K$61:$K$90,D895)</f>
        <v>2989.6</v>
      </c>
      <c r="M895" s="43">
        <f>IF(D895&lt;=Assumptions!$G$163,Assumptions!$AK$163,IF(D895&lt;Assumptions!$AH$163,Assumptions!$AK$163+(Assumptions!$AL$163-Assumptions!$AK$163)*(D895-Assumptions!$G$163)/(Assumptions!$AH$163-Assumptions!$G$163),IF(D895&lt;Assumptions!$P$163,Assumptions!$AL$163+(Assumptions!$AM$163-Assumptions!$AL$163)*(D895-Assumptions!$AH$163)/(Assumptions!$P$163-Assumptions!$AH$163),Assumptions!$AM$163)))</f>
        <v>23333.333333333328</v>
      </c>
      <c r="N895" s="44">
        <f t="shared" si="26"/>
        <v>22.116903633491308</v>
      </c>
      <c r="O895" s="45">
        <f t="shared" si="27"/>
        <v>3012</v>
      </c>
      <c r="P895" s="14" t="str">
        <f>IF(D895&gt;=Assumptions!$P$163,"High",IF(D895&gt;=Assumptions!$AH$163,"Mid",IF(D895&lt;=Assumptions!$G$163,"Low","Loading")))</f>
        <v>High</v>
      </c>
      <c r="Q895" s="46">
        <f>MAX(K895,MIN(Assumptions!$S$163,O895),Q896)</f>
        <v>3012</v>
      </c>
      <c r="R895" s="12">
        <f>IF(AND(Q895&lt;=K895,INDEX(Assumptions!$C$26:$C$36,MATCH(G895,Assumptions!$A$26:$A$36,0))&lt;&gt;""),INDEX(Assumptions!$C$26:$C$36,MATCH(G895,Assumptions!$A$26:$A$36,0)),ROUND(G895*Q895,-2))</f>
        <v>3177700</v>
      </c>
      <c r="S895" s="47" t="str">
        <f>TRIM(IF(AND(Assumptions!$L$163&lt;&gt;"",D895&lt;Assumptions!$L$163),"View blocked / roof in front ("&amp;Assumptions!$M$163&amp;"); view premium still loading until L"&amp;Assumptions!$L$163&amp;". ","")&amp;IF(D895=Assumptions!$AH$163,"Mid-floor view premium fully loaded. ","")&amp;IF(D895=Assumptions!$P$163,"High-floor view premium fully loaded. ","")&amp;IF(Q895&lt;=K895,"At developer starting price.",""))</f>
        <v/>
      </c>
      <c r="T895" s="48" t="str">
        <f>Assumptions!$AJ$163</f>
        <v>WNW (west sun). 190m view across the whole project; structure in front of low floors, pool properly seen from L10</v>
      </c>
    </row>
    <row r="896" spans="1:20" x14ac:dyDescent="0.2">
      <c r="A896" s="13" t="s">
        <v>1057</v>
      </c>
      <c r="B896" s="14">
        <v>9</v>
      </c>
      <c r="C896" s="40">
        <v>37</v>
      </c>
      <c r="D896" s="40">
        <v>18</v>
      </c>
      <c r="E896" s="9" t="s">
        <v>46</v>
      </c>
      <c r="F896" s="14" t="s">
        <v>1054</v>
      </c>
      <c r="G896" s="10">
        <v>1055</v>
      </c>
      <c r="H896" s="14" t="s">
        <v>62</v>
      </c>
      <c r="I896" s="41" t="str">
        <f>Assumptions!$I$163</f>
        <v>B</v>
      </c>
      <c r="J896" s="14" t="str">
        <f>IF(D896&lt;=Assumptions!$V$163,"Low",IF(D896&lt;=Assumptions!$W$163,"Mid","High"))</f>
        <v>High</v>
      </c>
      <c r="K896" s="15">
        <f>Assumptions!$Q$163</f>
        <v>2633</v>
      </c>
      <c r="L896" s="42">
        <f>INDEX(Assumptions!$K$61:$K$90,D896)</f>
        <v>2963.3230769230768</v>
      </c>
      <c r="M896" s="43">
        <f>IF(D896&lt;=Assumptions!$G$163,Assumptions!$AK$163,IF(D896&lt;Assumptions!$AH$163,Assumptions!$AK$163+(Assumptions!$AL$163-Assumptions!$AK$163)*(D896-Assumptions!$G$163)/(Assumptions!$AH$163-Assumptions!$G$163),IF(D896&lt;Assumptions!$P$163,Assumptions!$AL$163+(Assumptions!$AM$163-Assumptions!$AL$163)*(D896-Assumptions!$AH$163)/(Assumptions!$P$163-Assumptions!$AH$163),Assumptions!$AM$163)))</f>
        <v>23333.333333333328</v>
      </c>
      <c r="N896" s="44">
        <f t="shared" si="26"/>
        <v>22.116903633491308</v>
      </c>
      <c r="O896" s="45">
        <f t="shared" si="27"/>
        <v>2985</v>
      </c>
      <c r="P896" s="14" t="str">
        <f>IF(D896&gt;=Assumptions!$P$163,"High",IF(D896&gt;=Assumptions!$AH$163,"Mid",IF(D896&lt;=Assumptions!$G$163,"Low","Loading")))</f>
        <v>High</v>
      </c>
      <c r="Q896" s="46">
        <f>MAX(K896,MIN(Assumptions!$S$163,O896),Q897)</f>
        <v>2985</v>
      </c>
      <c r="R896" s="12">
        <f>IF(AND(Q896&lt;=K896,INDEX(Assumptions!$C$26:$C$36,MATCH(G896,Assumptions!$A$26:$A$36,0))&lt;&gt;""),INDEX(Assumptions!$C$26:$C$36,MATCH(G896,Assumptions!$A$26:$A$36,0)),ROUND(G896*Q896,-2))</f>
        <v>3149200</v>
      </c>
      <c r="S896" s="47" t="str">
        <f>TRIM(IF(AND(Assumptions!$L$163&lt;&gt;"",D896&lt;Assumptions!$L$163),"View blocked / roof in front ("&amp;Assumptions!$M$163&amp;"); view premium still loading until L"&amp;Assumptions!$L$163&amp;". ","")&amp;IF(D896=Assumptions!$AH$163,"Mid-floor view premium fully loaded. ","")&amp;IF(D896=Assumptions!$P$163,"High-floor view premium fully loaded. ","")&amp;IF(Q896&lt;=K896,"At developer starting price.",""))</f>
        <v/>
      </c>
      <c r="T896" s="48" t="str">
        <f>Assumptions!$AJ$163</f>
        <v>WNW (west sun). 190m view across the whole project; structure in front of low floors, pool properly seen from L10</v>
      </c>
    </row>
    <row r="897" spans="1:20" x14ac:dyDescent="0.2">
      <c r="A897" s="13" t="s">
        <v>1058</v>
      </c>
      <c r="B897" s="14">
        <v>9</v>
      </c>
      <c r="C897" s="40">
        <v>37</v>
      </c>
      <c r="D897" s="40">
        <v>17</v>
      </c>
      <c r="E897" s="9" t="s">
        <v>46</v>
      </c>
      <c r="F897" s="14" t="s">
        <v>1054</v>
      </c>
      <c r="G897" s="10">
        <v>1055</v>
      </c>
      <c r="H897" s="14" t="s">
        <v>62</v>
      </c>
      <c r="I897" s="41" t="str">
        <f>Assumptions!$I$163</f>
        <v>B</v>
      </c>
      <c r="J897" s="14" t="str">
        <f>IF(D897&lt;=Assumptions!$V$163,"Low",IF(D897&lt;=Assumptions!$W$163,"Mid","High"))</f>
        <v>High</v>
      </c>
      <c r="K897" s="15">
        <f>Assumptions!$Q$163</f>
        <v>2633</v>
      </c>
      <c r="L897" s="42">
        <f>INDEX(Assumptions!$K$61:$K$90,D897)</f>
        <v>2937.0461538461536</v>
      </c>
      <c r="M897" s="43">
        <f>IF(D897&lt;=Assumptions!$G$163,Assumptions!$AK$163,IF(D897&lt;Assumptions!$AH$163,Assumptions!$AK$163+(Assumptions!$AL$163-Assumptions!$AK$163)*(D897-Assumptions!$G$163)/(Assumptions!$AH$163-Assumptions!$G$163),IF(D897&lt;Assumptions!$P$163,Assumptions!$AL$163+(Assumptions!$AM$163-Assumptions!$AL$163)*(D897-Assumptions!$AH$163)/(Assumptions!$P$163-Assumptions!$AH$163),Assumptions!$AM$163)))</f>
        <v>23333.333333333328</v>
      </c>
      <c r="N897" s="44">
        <f t="shared" si="26"/>
        <v>22.116903633491308</v>
      </c>
      <c r="O897" s="45">
        <f t="shared" si="27"/>
        <v>2959</v>
      </c>
      <c r="P897" s="14" t="str">
        <f>IF(D897&gt;=Assumptions!$P$163,"High",IF(D897&gt;=Assumptions!$AH$163,"Mid",IF(D897&lt;=Assumptions!$G$163,"Low","Loading")))</f>
        <v>High</v>
      </c>
      <c r="Q897" s="46">
        <f>MAX(K897,MIN(Assumptions!$S$163,O897),Q898)</f>
        <v>2959</v>
      </c>
      <c r="R897" s="12">
        <f>IF(AND(Q897&lt;=K897,INDEX(Assumptions!$C$26:$C$36,MATCH(G897,Assumptions!$A$26:$A$36,0))&lt;&gt;""),INDEX(Assumptions!$C$26:$C$36,MATCH(G897,Assumptions!$A$26:$A$36,0)),ROUND(G897*Q897,-2))</f>
        <v>3121700</v>
      </c>
      <c r="S897" s="47" t="str">
        <f>TRIM(IF(AND(Assumptions!$L$163&lt;&gt;"",D897&lt;Assumptions!$L$163),"View blocked / roof in front ("&amp;Assumptions!$M$163&amp;"); view premium still loading until L"&amp;Assumptions!$L$163&amp;". ","")&amp;IF(D897=Assumptions!$AH$163,"Mid-floor view premium fully loaded. ","")&amp;IF(D897=Assumptions!$P$163,"High-floor view premium fully loaded. ","")&amp;IF(Q897&lt;=K897,"At developer starting price.",""))</f>
        <v>High-floor view premium fully loaded.</v>
      </c>
      <c r="T897" s="48" t="str">
        <f>Assumptions!$AJ$163</f>
        <v>WNW (west sun). 190m view across the whole project; structure in front of low floors, pool properly seen from L10</v>
      </c>
    </row>
    <row r="898" spans="1:20" x14ac:dyDescent="0.2">
      <c r="A898" s="13" t="s">
        <v>1059</v>
      </c>
      <c r="B898" s="14">
        <v>9</v>
      </c>
      <c r="C898" s="40">
        <v>37</v>
      </c>
      <c r="D898" s="40">
        <v>16</v>
      </c>
      <c r="E898" s="9" t="s">
        <v>46</v>
      </c>
      <c r="F898" s="14" t="s">
        <v>1054</v>
      </c>
      <c r="G898" s="10">
        <v>1055</v>
      </c>
      <c r="H898" s="14" t="s">
        <v>62</v>
      </c>
      <c r="I898" s="41" t="str">
        <f>Assumptions!$I$163</f>
        <v>B</v>
      </c>
      <c r="J898" s="14" t="str">
        <f>IF(D898&lt;=Assumptions!$V$163,"Low",IF(D898&lt;=Assumptions!$W$163,"Mid","High"))</f>
        <v>Mid</v>
      </c>
      <c r="K898" s="15">
        <f>Assumptions!$Q$163</f>
        <v>2633</v>
      </c>
      <c r="L898" s="42">
        <f>INDEX(Assumptions!$K$61:$K$90,D898)</f>
        <v>2910.7692307692309</v>
      </c>
      <c r="M898" s="43">
        <f>IF(D898&lt;=Assumptions!$G$163,Assumptions!$AK$163,IF(D898&lt;Assumptions!$AH$163,Assumptions!$AK$163+(Assumptions!$AL$163-Assumptions!$AK$163)*(D898-Assumptions!$G$163)/(Assumptions!$AH$163-Assumptions!$G$163),IF(D898&lt;Assumptions!$P$163,Assumptions!$AL$163+(Assumptions!$AM$163-Assumptions!$AL$163)*(D898-Assumptions!$AH$163)/(Assumptions!$P$163-Assumptions!$AH$163),Assumptions!$AM$163)))</f>
        <v>25844.155844155841</v>
      </c>
      <c r="N898" s="44">
        <f t="shared" si="26"/>
        <v>24.496830184033971</v>
      </c>
      <c r="O898" s="45">
        <f t="shared" si="27"/>
        <v>2935</v>
      </c>
      <c r="P898" s="14" t="str">
        <f>IF(D898&gt;=Assumptions!$P$163,"High",IF(D898&gt;=Assumptions!$AH$163,"Mid",IF(D898&lt;=Assumptions!$G$163,"Low","Loading")))</f>
        <v>Mid</v>
      </c>
      <c r="Q898" s="46">
        <f>MAX(K898,MIN(Assumptions!$S$163,O898),Q899)</f>
        <v>2935</v>
      </c>
      <c r="R898" s="12">
        <f>IF(AND(Q898&lt;=K898,INDEX(Assumptions!$C$26:$C$36,MATCH(G898,Assumptions!$A$26:$A$36,0))&lt;&gt;""),INDEX(Assumptions!$C$26:$C$36,MATCH(G898,Assumptions!$A$26:$A$36,0)),ROUND(G898*Q898,-2))</f>
        <v>3096400</v>
      </c>
      <c r="S898" s="47" t="str">
        <f>TRIM(IF(AND(Assumptions!$L$163&lt;&gt;"",D898&lt;Assumptions!$L$163),"View blocked / roof in front ("&amp;Assumptions!$M$163&amp;"); view premium still loading until L"&amp;Assumptions!$L$163&amp;". ","")&amp;IF(D898=Assumptions!$AH$163,"Mid-floor view premium fully loaded. ","")&amp;IF(D898=Assumptions!$P$163,"High-floor view premium fully loaded. ","")&amp;IF(Q898&lt;=K898,"At developer starting price.",""))</f>
        <v/>
      </c>
      <c r="T898" s="48" t="str">
        <f>Assumptions!$AJ$163</f>
        <v>WNW (west sun). 190m view across the whole project; structure in front of low floors, pool properly seen from L10</v>
      </c>
    </row>
    <row r="899" spans="1:20" x14ac:dyDescent="0.2">
      <c r="A899" s="13" t="s">
        <v>1060</v>
      </c>
      <c r="B899" s="14">
        <v>9</v>
      </c>
      <c r="C899" s="40">
        <v>37</v>
      </c>
      <c r="D899" s="40">
        <v>15</v>
      </c>
      <c r="E899" s="9" t="s">
        <v>46</v>
      </c>
      <c r="F899" s="14" t="s">
        <v>1054</v>
      </c>
      <c r="G899" s="10">
        <v>1055</v>
      </c>
      <c r="H899" s="14" t="s">
        <v>62</v>
      </c>
      <c r="I899" s="41" t="str">
        <f>Assumptions!$I$163</f>
        <v>B</v>
      </c>
      <c r="J899" s="14" t="str">
        <f>IF(D899&lt;=Assumptions!$V$163,"Low",IF(D899&lt;=Assumptions!$W$163,"Mid","High"))</f>
        <v>Mid</v>
      </c>
      <c r="K899" s="15">
        <f>Assumptions!$Q$163</f>
        <v>2633</v>
      </c>
      <c r="L899" s="42">
        <f>INDEX(Assumptions!$K$61:$K$90,D899)</f>
        <v>2884.4923076923078</v>
      </c>
      <c r="M899" s="43">
        <f>IF(D899&lt;=Assumptions!$G$163,Assumptions!$AK$163,IF(D899&lt;Assumptions!$AH$163,Assumptions!$AK$163+(Assumptions!$AL$163-Assumptions!$AK$163)*(D899-Assumptions!$G$163)/(Assumptions!$AH$163-Assumptions!$G$163),IF(D899&lt;Assumptions!$P$163,Assumptions!$AL$163+(Assumptions!$AM$163-Assumptions!$AL$163)*(D899-Assumptions!$AH$163)/(Assumptions!$P$163-Assumptions!$AH$163),Assumptions!$AM$163)))</f>
        <v>28354.978354978353</v>
      </c>
      <c r="N899" s="44">
        <f t="shared" si="26"/>
        <v>26.876756734576638</v>
      </c>
      <c r="O899" s="45">
        <f t="shared" si="27"/>
        <v>2911</v>
      </c>
      <c r="P899" s="14" t="str">
        <f>IF(D899&gt;=Assumptions!$P$163,"High",IF(D899&gt;=Assumptions!$AH$163,"Mid",IF(D899&lt;=Assumptions!$G$163,"Low","Loading")))</f>
        <v>Mid</v>
      </c>
      <c r="Q899" s="46">
        <f>MAX(K899,MIN(Assumptions!$S$163,O899),Q900)</f>
        <v>2911</v>
      </c>
      <c r="R899" s="12">
        <f>IF(AND(Q899&lt;=K899,INDEX(Assumptions!$C$26:$C$36,MATCH(G899,Assumptions!$A$26:$A$36,0))&lt;&gt;""),INDEX(Assumptions!$C$26:$C$36,MATCH(G899,Assumptions!$A$26:$A$36,0)),ROUND(G899*Q899,-2))</f>
        <v>3071100</v>
      </c>
      <c r="S899" s="47" t="str">
        <f>TRIM(IF(AND(Assumptions!$L$163&lt;&gt;"",D899&lt;Assumptions!$L$163),"View blocked / roof in front ("&amp;Assumptions!$M$163&amp;"); view premium still loading until L"&amp;Assumptions!$L$163&amp;". ","")&amp;IF(D899=Assumptions!$AH$163,"Mid-floor view premium fully loaded. ","")&amp;IF(D899=Assumptions!$P$163,"High-floor view premium fully loaded. ","")&amp;IF(Q899&lt;=K899,"At developer starting price.",""))</f>
        <v/>
      </c>
      <c r="T899" s="48" t="str">
        <f>Assumptions!$AJ$163</f>
        <v>WNW (west sun). 190m view across the whole project; structure in front of low floors, pool properly seen from L10</v>
      </c>
    </row>
    <row r="900" spans="1:20" x14ac:dyDescent="0.2">
      <c r="A900" s="13" t="s">
        <v>1061</v>
      </c>
      <c r="B900" s="14">
        <v>9</v>
      </c>
      <c r="C900" s="40">
        <v>37</v>
      </c>
      <c r="D900" s="40">
        <v>14</v>
      </c>
      <c r="E900" s="9" t="s">
        <v>46</v>
      </c>
      <c r="F900" s="14" t="s">
        <v>1054</v>
      </c>
      <c r="G900" s="10">
        <v>1055</v>
      </c>
      <c r="H900" s="14" t="s">
        <v>62</v>
      </c>
      <c r="I900" s="41" t="str">
        <f>Assumptions!$I$163</f>
        <v>B</v>
      </c>
      <c r="J900" s="14" t="str">
        <f>IF(D900&lt;=Assumptions!$V$163,"Low",IF(D900&lt;=Assumptions!$W$163,"Mid","High"))</f>
        <v>Mid</v>
      </c>
      <c r="K900" s="15">
        <f>Assumptions!$Q$163</f>
        <v>2633</v>
      </c>
      <c r="L900" s="42">
        <f>INDEX(Assumptions!$K$61:$K$90,D900)</f>
        <v>2858.2153846153847</v>
      </c>
      <c r="M900" s="43">
        <f>IF(D900&lt;=Assumptions!$G$163,Assumptions!$AK$163,IF(D900&lt;Assumptions!$AH$163,Assumptions!$AK$163+(Assumptions!$AL$163-Assumptions!$AK$163)*(D900-Assumptions!$G$163)/(Assumptions!$AH$163-Assumptions!$G$163),IF(D900&lt;Assumptions!$P$163,Assumptions!$AL$163+(Assumptions!$AM$163-Assumptions!$AL$163)*(D900-Assumptions!$AH$163)/(Assumptions!$P$163-Assumptions!$AH$163),Assumptions!$AM$163)))</f>
        <v>30865.800865800862</v>
      </c>
      <c r="N900" s="44">
        <f t="shared" si="26"/>
        <v>29.256683285119301</v>
      </c>
      <c r="O900" s="45">
        <f t="shared" si="27"/>
        <v>2887</v>
      </c>
      <c r="P900" s="14" t="str">
        <f>IF(D900&gt;=Assumptions!$P$163,"High",IF(D900&gt;=Assumptions!$AH$163,"Mid",IF(D900&lt;=Assumptions!$G$163,"Low","Loading")))</f>
        <v>Mid</v>
      </c>
      <c r="Q900" s="46">
        <f>MAX(K900,MIN(Assumptions!$S$163,O900),Q901)</f>
        <v>2887</v>
      </c>
      <c r="R900" s="12">
        <f>IF(AND(Q900&lt;=K900,INDEX(Assumptions!$C$26:$C$36,MATCH(G900,Assumptions!$A$26:$A$36,0))&lt;&gt;""),INDEX(Assumptions!$C$26:$C$36,MATCH(G900,Assumptions!$A$26:$A$36,0)),ROUND(G900*Q900,-2))</f>
        <v>3045800</v>
      </c>
      <c r="S900" s="47" t="str">
        <f>TRIM(IF(AND(Assumptions!$L$163&lt;&gt;"",D900&lt;Assumptions!$L$163),"View blocked / roof in front ("&amp;Assumptions!$M$163&amp;"); view premium still loading until L"&amp;Assumptions!$L$163&amp;". ","")&amp;IF(D900=Assumptions!$AH$163,"Mid-floor view premium fully loaded. ","")&amp;IF(D900=Assumptions!$P$163,"High-floor view premium fully loaded. ","")&amp;IF(Q900&lt;=K900,"At developer starting price.",""))</f>
        <v/>
      </c>
      <c r="T900" s="48" t="str">
        <f>Assumptions!$AJ$163</f>
        <v>WNW (west sun). 190m view across the whole project; structure in front of low floors, pool properly seen from L10</v>
      </c>
    </row>
    <row r="901" spans="1:20" x14ac:dyDescent="0.2">
      <c r="A901" s="13" t="s">
        <v>1062</v>
      </c>
      <c r="B901" s="14">
        <v>9</v>
      </c>
      <c r="C901" s="40">
        <v>37</v>
      </c>
      <c r="D901" s="40">
        <v>13</v>
      </c>
      <c r="E901" s="9" t="s">
        <v>46</v>
      </c>
      <c r="F901" s="14" t="s">
        <v>1054</v>
      </c>
      <c r="G901" s="10">
        <v>1055</v>
      </c>
      <c r="H901" s="14" t="s">
        <v>62</v>
      </c>
      <c r="I901" s="41" t="str">
        <f>Assumptions!$I$163</f>
        <v>B</v>
      </c>
      <c r="J901" s="14" t="str">
        <f>IF(D901&lt;=Assumptions!$V$163,"Low",IF(D901&lt;=Assumptions!$W$163,"Mid","High"))</f>
        <v>Mid</v>
      </c>
      <c r="K901" s="15">
        <f>Assumptions!$Q$163</f>
        <v>2633</v>
      </c>
      <c r="L901" s="42">
        <f>INDEX(Assumptions!$K$61:$K$90,D901)</f>
        <v>2831.9384615384615</v>
      </c>
      <c r="M901" s="43">
        <f>IF(D901&lt;=Assumptions!$G$163,Assumptions!$AK$163,IF(D901&lt;Assumptions!$AH$163,Assumptions!$AK$163+(Assumptions!$AL$163-Assumptions!$AK$163)*(D901-Assumptions!$G$163)/(Assumptions!$AH$163-Assumptions!$G$163),IF(D901&lt;Assumptions!$P$163,Assumptions!$AL$163+(Assumptions!$AM$163-Assumptions!$AL$163)*(D901-Assumptions!$AH$163)/(Assumptions!$P$163-Assumptions!$AH$163),Assumptions!$AM$163)))</f>
        <v>33376.623376623378</v>
      </c>
      <c r="N901" s="44">
        <f t="shared" ref="N901:N964" si="28">M901/G901</f>
        <v>31.636609835661968</v>
      </c>
      <c r="O901" s="45">
        <f t="shared" ref="O901:O964" si="29">ROUND(L901+N901,0)</f>
        <v>2864</v>
      </c>
      <c r="P901" s="14" t="str">
        <f>IF(D901&gt;=Assumptions!$P$163,"High",IF(D901&gt;=Assumptions!$AH$163,"Mid",IF(D901&lt;=Assumptions!$G$163,"Low","Loading")))</f>
        <v>Mid</v>
      </c>
      <c r="Q901" s="46">
        <f>MAX(K901,MIN(Assumptions!$S$163,O901),Q902)</f>
        <v>2864</v>
      </c>
      <c r="R901" s="12">
        <f>IF(AND(Q901&lt;=K901,INDEX(Assumptions!$C$26:$C$36,MATCH(G901,Assumptions!$A$26:$A$36,0))&lt;&gt;""),INDEX(Assumptions!$C$26:$C$36,MATCH(G901,Assumptions!$A$26:$A$36,0)),ROUND(G901*Q901,-2))</f>
        <v>3021500</v>
      </c>
      <c r="S901" s="47" t="str">
        <f>TRIM(IF(AND(Assumptions!$L$163&lt;&gt;"",D901&lt;Assumptions!$L$163),"View blocked / roof in front ("&amp;Assumptions!$M$163&amp;"); view premium still loading until L"&amp;Assumptions!$L$163&amp;". ","")&amp;IF(D901=Assumptions!$AH$163,"Mid-floor view premium fully loaded. ","")&amp;IF(D901=Assumptions!$P$163,"High-floor view premium fully loaded. ","")&amp;IF(Q901&lt;=K901,"At developer starting price.",""))</f>
        <v/>
      </c>
      <c r="T901" s="48" t="str">
        <f>Assumptions!$AJ$163</f>
        <v>WNW (west sun). 190m view across the whole project; structure in front of low floors, pool properly seen from L10</v>
      </c>
    </row>
    <row r="902" spans="1:20" x14ac:dyDescent="0.2">
      <c r="A902" s="13" t="s">
        <v>1063</v>
      </c>
      <c r="B902" s="14">
        <v>9</v>
      </c>
      <c r="C902" s="40">
        <v>37</v>
      </c>
      <c r="D902" s="40">
        <v>12</v>
      </c>
      <c r="E902" s="9" t="s">
        <v>46</v>
      </c>
      <c r="F902" s="14" t="s">
        <v>1054</v>
      </c>
      <c r="G902" s="10">
        <v>1055</v>
      </c>
      <c r="H902" s="14" t="s">
        <v>62</v>
      </c>
      <c r="I902" s="41" t="str">
        <f>Assumptions!$I$163</f>
        <v>B</v>
      </c>
      <c r="J902" s="14" t="str">
        <f>IF(D902&lt;=Assumptions!$V$163,"Low",IF(D902&lt;=Assumptions!$W$163,"Mid","High"))</f>
        <v>Mid</v>
      </c>
      <c r="K902" s="15">
        <f>Assumptions!$Q$163</f>
        <v>2633</v>
      </c>
      <c r="L902" s="42">
        <f>INDEX(Assumptions!$K$61:$K$90,D902)</f>
        <v>2812.209207853758</v>
      </c>
      <c r="M902" s="43">
        <f>IF(D902&lt;=Assumptions!$G$163,Assumptions!$AK$163,IF(D902&lt;Assumptions!$AH$163,Assumptions!$AK$163+(Assumptions!$AL$163-Assumptions!$AK$163)*(D902-Assumptions!$G$163)/(Assumptions!$AH$163-Assumptions!$G$163),IF(D902&lt;Assumptions!$P$163,Assumptions!$AL$163+(Assumptions!$AM$163-Assumptions!$AL$163)*(D902-Assumptions!$AH$163)/(Assumptions!$P$163-Assumptions!$AH$163),Assumptions!$AM$163)))</f>
        <v>35887.445887445887</v>
      </c>
      <c r="N902" s="44">
        <f t="shared" si="28"/>
        <v>34.016536386204635</v>
      </c>
      <c r="O902" s="45">
        <f t="shared" si="29"/>
        <v>2846</v>
      </c>
      <c r="P902" s="14" t="str">
        <f>IF(D902&gt;=Assumptions!$P$163,"High",IF(D902&gt;=Assumptions!$AH$163,"Mid",IF(D902&lt;=Assumptions!$G$163,"Low","Loading")))</f>
        <v>Mid</v>
      </c>
      <c r="Q902" s="46">
        <f>MAX(K902,MIN(Assumptions!$S$163,O902),Q903)</f>
        <v>2846</v>
      </c>
      <c r="R902" s="12">
        <f>IF(AND(Q902&lt;=K902,INDEX(Assumptions!$C$26:$C$36,MATCH(G902,Assumptions!$A$26:$A$36,0))&lt;&gt;""),INDEX(Assumptions!$C$26:$C$36,MATCH(G902,Assumptions!$A$26:$A$36,0)),ROUND(G902*Q902,-2))</f>
        <v>3002500</v>
      </c>
      <c r="S902" s="47" t="str">
        <f>TRIM(IF(AND(Assumptions!$L$163&lt;&gt;"",D902&lt;Assumptions!$L$163),"View blocked / roof in front ("&amp;Assumptions!$M$163&amp;"); view premium still loading until L"&amp;Assumptions!$L$163&amp;". ","")&amp;IF(D902=Assumptions!$AH$163,"Mid-floor view premium fully loaded. ","")&amp;IF(D902=Assumptions!$P$163,"High-floor view premium fully loaded. ","")&amp;IF(Q902&lt;=K902,"At developer starting price.",""))</f>
        <v/>
      </c>
      <c r="T902" s="48" t="str">
        <f>Assumptions!$AJ$163</f>
        <v>WNW (west sun). 190m view across the whole project; structure in front of low floors, pool properly seen from L10</v>
      </c>
    </row>
    <row r="903" spans="1:20" x14ac:dyDescent="0.2">
      <c r="A903" s="13" t="s">
        <v>1064</v>
      </c>
      <c r="B903" s="14">
        <v>9</v>
      </c>
      <c r="C903" s="40">
        <v>37</v>
      </c>
      <c r="D903" s="40">
        <v>11</v>
      </c>
      <c r="E903" s="9" t="s">
        <v>46</v>
      </c>
      <c r="F903" s="14" t="s">
        <v>1054</v>
      </c>
      <c r="G903" s="10">
        <v>1055</v>
      </c>
      <c r="H903" s="14" t="s">
        <v>62</v>
      </c>
      <c r="I903" s="41" t="str">
        <f>Assumptions!$I$163</f>
        <v>B</v>
      </c>
      <c r="J903" s="14" t="str">
        <f>IF(D903&lt;=Assumptions!$V$163,"Low",IF(D903&lt;=Assumptions!$W$163,"Mid","High"))</f>
        <v>Mid</v>
      </c>
      <c r="K903" s="15">
        <f>Assumptions!$Q$163</f>
        <v>2633</v>
      </c>
      <c r="L903" s="42">
        <f>INDEX(Assumptions!$K$61:$K$90,D903)</f>
        <v>2799.0276235612732</v>
      </c>
      <c r="M903" s="43">
        <f>IF(D903&lt;=Assumptions!$G$163,Assumptions!$AK$163,IF(D903&lt;Assumptions!$AH$163,Assumptions!$AK$163+(Assumptions!$AL$163-Assumptions!$AK$163)*(D903-Assumptions!$G$163)/(Assumptions!$AH$163-Assumptions!$G$163),IF(D903&lt;Assumptions!$P$163,Assumptions!$AL$163+(Assumptions!$AM$163-Assumptions!$AL$163)*(D903-Assumptions!$AH$163)/(Assumptions!$P$163-Assumptions!$AH$163),Assumptions!$AM$163)))</f>
        <v>38398.268398268403</v>
      </c>
      <c r="N903" s="44">
        <f t="shared" si="28"/>
        <v>36.396462936747298</v>
      </c>
      <c r="O903" s="45">
        <f t="shared" si="29"/>
        <v>2835</v>
      </c>
      <c r="P903" s="14" t="str">
        <f>IF(D903&gt;=Assumptions!$P$163,"High",IF(D903&gt;=Assumptions!$AH$163,"Mid",IF(D903&lt;=Assumptions!$G$163,"Low","Loading")))</f>
        <v>Mid</v>
      </c>
      <c r="Q903" s="46">
        <f>MAX(K903,MIN(Assumptions!$S$163,O903),Q904)</f>
        <v>2835</v>
      </c>
      <c r="R903" s="12">
        <f>IF(AND(Q903&lt;=K903,INDEX(Assumptions!$C$26:$C$36,MATCH(G903,Assumptions!$A$26:$A$36,0))&lt;&gt;""),INDEX(Assumptions!$C$26:$C$36,MATCH(G903,Assumptions!$A$26:$A$36,0)),ROUND(G903*Q903,-2))</f>
        <v>2990900</v>
      </c>
      <c r="S903" s="47" t="str">
        <f>TRIM(IF(AND(Assumptions!$L$163&lt;&gt;"",D903&lt;Assumptions!$L$163),"View blocked / roof in front ("&amp;Assumptions!$M$163&amp;"); view premium still loading until L"&amp;Assumptions!$L$163&amp;". ","")&amp;IF(D903=Assumptions!$AH$163,"Mid-floor view premium fully loaded. ","")&amp;IF(D903=Assumptions!$P$163,"High-floor view premium fully loaded. ","")&amp;IF(Q903&lt;=K903,"At developer starting price.",""))</f>
        <v/>
      </c>
      <c r="T903" s="48" t="str">
        <f>Assumptions!$AJ$163</f>
        <v>WNW (west sun). 190m view across the whole project; structure in front of low floors, pool properly seen from L10</v>
      </c>
    </row>
    <row r="904" spans="1:20" x14ac:dyDescent="0.2">
      <c r="A904" s="13" t="s">
        <v>1065</v>
      </c>
      <c r="B904" s="14">
        <v>9</v>
      </c>
      <c r="C904" s="40">
        <v>37</v>
      </c>
      <c r="D904" s="40">
        <v>10</v>
      </c>
      <c r="E904" s="9" t="s">
        <v>46</v>
      </c>
      <c r="F904" s="14" t="s">
        <v>1054</v>
      </c>
      <c r="G904" s="10">
        <v>1055</v>
      </c>
      <c r="H904" s="14" t="s">
        <v>62</v>
      </c>
      <c r="I904" s="41" t="str">
        <f>Assumptions!$I$163</f>
        <v>B</v>
      </c>
      <c r="J904" s="14" t="str">
        <f>IF(D904&lt;=Assumptions!$V$163,"Low",IF(D904&lt;=Assumptions!$W$163,"Mid","High"))</f>
        <v>Mid</v>
      </c>
      <c r="K904" s="15">
        <f>Assumptions!$Q$163</f>
        <v>2633</v>
      </c>
      <c r="L904" s="42">
        <f>INDEX(Assumptions!$K$61:$K$90,D904)</f>
        <v>2785.8460392687884</v>
      </c>
      <c r="M904" s="43">
        <f>IF(D904&lt;=Assumptions!$G$163,Assumptions!$AK$163,IF(D904&lt;Assumptions!$AH$163,Assumptions!$AK$163+(Assumptions!$AL$163-Assumptions!$AK$163)*(D904-Assumptions!$G$163)/(Assumptions!$AH$163-Assumptions!$G$163),IF(D904&lt;Assumptions!$P$163,Assumptions!$AL$163+(Assumptions!$AM$163-Assumptions!$AL$163)*(D904-Assumptions!$AH$163)/(Assumptions!$P$163-Assumptions!$AH$163),Assumptions!$AM$163)))</f>
        <v>40909.090909090912</v>
      </c>
      <c r="N904" s="44">
        <f t="shared" si="28"/>
        <v>38.776389487289961</v>
      </c>
      <c r="O904" s="45">
        <f t="shared" si="29"/>
        <v>2825</v>
      </c>
      <c r="P904" s="14" t="str">
        <f>IF(D904&gt;=Assumptions!$P$163,"High",IF(D904&gt;=Assumptions!$AH$163,"Mid",IF(D904&lt;=Assumptions!$G$163,"Low","Loading")))</f>
        <v>Mid</v>
      </c>
      <c r="Q904" s="46">
        <f>MAX(K904,MIN(Assumptions!$S$163,O904),Q905)</f>
        <v>2825</v>
      </c>
      <c r="R904" s="12">
        <f>IF(AND(Q904&lt;=K904,INDEX(Assumptions!$C$26:$C$36,MATCH(G904,Assumptions!$A$26:$A$36,0))&lt;&gt;""),INDEX(Assumptions!$C$26:$C$36,MATCH(G904,Assumptions!$A$26:$A$36,0)),ROUND(G904*Q904,-2))</f>
        <v>2980400</v>
      </c>
      <c r="S904" s="47" t="str">
        <f>TRIM(IF(AND(Assumptions!$L$163&lt;&gt;"",D904&lt;Assumptions!$L$163),"View blocked / roof in front ("&amp;Assumptions!$M$163&amp;"); view premium still loading until L"&amp;Assumptions!$L$163&amp;". ","")&amp;IF(D904=Assumptions!$AH$163,"Mid-floor view premium fully loaded. ","")&amp;IF(D904=Assumptions!$P$163,"High-floor view premium fully loaded. ","")&amp;IF(Q904&lt;=K904,"At developer starting price.",""))</f>
        <v>Mid-floor view premium fully loaded.</v>
      </c>
      <c r="T904" s="48" t="str">
        <f>Assumptions!$AJ$163</f>
        <v>WNW (west sun). 190m view across the whole project; structure in front of low floors, pool properly seen from L10</v>
      </c>
    </row>
    <row r="905" spans="1:20" x14ac:dyDescent="0.2">
      <c r="A905" s="13" t="s">
        <v>1066</v>
      </c>
      <c r="B905" s="14">
        <v>9</v>
      </c>
      <c r="C905" s="40">
        <v>37</v>
      </c>
      <c r="D905" s="40">
        <v>9</v>
      </c>
      <c r="E905" s="9" t="s">
        <v>46</v>
      </c>
      <c r="F905" s="14" t="s">
        <v>1054</v>
      </c>
      <c r="G905" s="10">
        <v>1055</v>
      </c>
      <c r="H905" s="14" t="s">
        <v>62</v>
      </c>
      <c r="I905" s="41" t="str">
        <f>Assumptions!$I$163</f>
        <v>B</v>
      </c>
      <c r="J905" s="14" t="str">
        <f>IF(D905&lt;=Assumptions!$V$163,"Low",IF(D905&lt;=Assumptions!$W$163,"Mid","High"))</f>
        <v>Mid</v>
      </c>
      <c r="K905" s="15">
        <f>Assumptions!$Q$163</f>
        <v>2633</v>
      </c>
      <c r="L905" s="42">
        <f>INDEX(Assumptions!$K$61:$K$90,D905)</f>
        <v>2772.6644549763037</v>
      </c>
      <c r="M905" s="43">
        <f>IF(D905&lt;=Assumptions!$G$163,Assumptions!$AK$163,IF(D905&lt;Assumptions!$AH$163,Assumptions!$AK$163+(Assumptions!$AL$163-Assumptions!$AK$163)*(D905-Assumptions!$G$163)/(Assumptions!$AH$163-Assumptions!$G$163),IF(D905&lt;Assumptions!$P$163,Assumptions!$AL$163+(Assumptions!$AM$163-Assumptions!$AL$163)*(D905-Assumptions!$AH$163)/(Assumptions!$P$163-Assumptions!$AH$163),Assumptions!$AM$163)))</f>
        <v>29545.454545454544</v>
      </c>
      <c r="N905" s="44">
        <f t="shared" si="28"/>
        <v>28.005170185264969</v>
      </c>
      <c r="O905" s="45">
        <f t="shared" si="29"/>
        <v>2801</v>
      </c>
      <c r="P905" s="14" t="str">
        <f>IF(D905&gt;=Assumptions!$P$163,"High",IF(D905&gt;=Assumptions!$AH$163,"Mid",IF(D905&lt;=Assumptions!$G$163,"Low","Loading")))</f>
        <v>Loading</v>
      </c>
      <c r="Q905" s="46">
        <f>MAX(K905,MIN(Assumptions!$S$163,O905),Q906)</f>
        <v>2801</v>
      </c>
      <c r="R905" s="12">
        <f>IF(AND(Q905&lt;=K905,INDEX(Assumptions!$C$26:$C$36,MATCH(G905,Assumptions!$A$26:$A$36,0))&lt;&gt;""),INDEX(Assumptions!$C$26:$C$36,MATCH(G905,Assumptions!$A$26:$A$36,0)),ROUND(G905*Q905,-2))</f>
        <v>2955100</v>
      </c>
      <c r="S905" s="47" t="str">
        <f>TRIM(IF(AND(Assumptions!$L$163&lt;&gt;"",D905&lt;Assumptions!$L$163),"View blocked / roof in front ("&amp;Assumptions!$M$163&amp;"); view premium still loading until L"&amp;Assumptions!$L$163&amp;". ","")&amp;IF(D905=Assumptions!$AH$163,"Mid-floor view premium fully loaded. ","")&amp;IF(D905=Assumptions!$P$163,"High-floor view premium fully loaded. ","")&amp;IF(Q905&lt;=K905,"At developer starting price.",""))</f>
        <v>View blocked / roof in front (Structure in front of low floors; pool properly seen from L10); view premium still loading until L10.</v>
      </c>
      <c r="T905" s="48" t="str">
        <f>Assumptions!$AJ$163</f>
        <v>WNW (west sun). 190m view across the whole project; structure in front of low floors, pool properly seen from L10</v>
      </c>
    </row>
    <row r="906" spans="1:20" x14ac:dyDescent="0.2">
      <c r="A906" s="13" t="s">
        <v>1067</v>
      </c>
      <c r="B906" s="14">
        <v>9</v>
      </c>
      <c r="C906" s="40">
        <v>37</v>
      </c>
      <c r="D906" s="40">
        <v>8</v>
      </c>
      <c r="E906" s="9" t="s">
        <v>46</v>
      </c>
      <c r="F906" s="14" t="s">
        <v>1054</v>
      </c>
      <c r="G906" s="10">
        <v>1055</v>
      </c>
      <c r="H906" s="14" t="s">
        <v>62</v>
      </c>
      <c r="I906" s="41" t="str">
        <f>Assumptions!$I$163</f>
        <v>B</v>
      </c>
      <c r="J906" s="14" t="str">
        <f>IF(D906&lt;=Assumptions!$V$163,"Low",IF(D906&lt;=Assumptions!$W$163,"Mid","High"))</f>
        <v>Low</v>
      </c>
      <c r="K906" s="15">
        <f>Assumptions!$Q$163</f>
        <v>2633</v>
      </c>
      <c r="L906" s="42">
        <f>INDEX(Assumptions!$K$61:$K$90,D906)</f>
        <v>2759.4828706838189</v>
      </c>
      <c r="M906" s="43">
        <f>IF(D906&lt;=Assumptions!$G$163,Assumptions!$AK$163,IF(D906&lt;Assumptions!$AH$163,Assumptions!$AK$163+(Assumptions!$AL$163-Assumptions!$AK$163)*(D906-Assumptions!$G$163)/(Assumptions!$AH$163-Assumptions!$G$163),IF(D906&lt;Assumptions!$P$163,Assumptions!$AL$163+(Assumptions!$AM$163-Assumptions!$AL$163)*(D906-Assumptions!$AH$163)/(Assumptions!$P$163-Assumptions!$AH$163),Assumptions!$AM$163)))</f>
        <v>18181.818181818177</v>
      </c>
      <c r="N906" s="44">
        <f t="shared" si="28"/>
        <v>17.233950883239977</v>
      </c>
      <c r="O906" s="45">
        <f t="shared" si="29"/>
        <v>2777</v>
      </c>
      <c r="P906" s="14" t="str">
        <f>IF(D906&gt;=Assumptions!$P$163,"High",IF(D906&gt;=Assumptions!$AH$163,"Mid",IF(D906&lt;=Assumptions!$G$163,"Low","Loading")))</f>
        <v>Loading</v>
      </c>
      <c r="Q906" s="46">
        <f>MAX(K906,MIN(Assumptions!$S$163,O906),Q907)</f>
        <v>2777</v>
      </c>
      <c r="R906" s="12">
        <f>IF(AND(Q906&lt;=K906,INDEX(Assumptions!$C$26:$C$36,MATCH(G906,Assumptions!$A$26:$A$36,0))&lt;&gt;""),INDEX(Assumptions!$C$26:$C$36,MATCH(G906,Assumptions!$A$26:$A$36,0)),ROUND(G906*Q906,-2))</f>
        <v>2929700</v>
      </c>
      <c r="S906" s="47" t="str">
        <f>TRIM(IF(AND(Assumptions!$L$163&lt;&gt;"",D906&lt;Assumptions!$L$163),"View blocked / roof in front ("&amp;Assumptions!$M$163&amp;"); view premium still loading until L"&amp;Assumptions!$L$163&amp;". ","")&amp;IF(D906=Assumptions!$AH$163,"Mid-floor view premium fully loaded. ","")&amp;IF(D906=Assumptions!$P$163,"High-floor view premium fully loaded. ","")&amp;IF(Q906&lt;=K906,"At developer starting price.",""))</f>
        <v>View blocked / roof in front (Structure in front of low floors; pool properly seen from L10); view premium still loading until L10.</v>
      </c>
      <c r="T906" s="48" t="str">
        <f>Assumptions!$AJ$163</f>
        <v>WNW (west sun). 190m view across the whole project; structure in front of low floors, pool properly seen from L10</v>
      </c>
    </row>
    <row r="907" spans="1:20" x14ac:dyDescent="0.2">
      <c r="A907" s="13" t="s">
        <v>1068</v>
      </c>
      <c r="B907" s="14">
        <v>9</v>
      </c>
      <c r="C907" s="40">
        <v>37</v>
      </c>
      <c r="D907" s="40">
        <v>7</v>
      </c>
      <c r="E907" s="9" t="s">
        <v>46</v>
      </c>
      <c r="F907" s="14" t="s">
        <v>1054</v>
      </c>
      <c r="G907" s="10">
        <v>1055</v>
      </c>
      <c r="H907" s="14" t="s">
        <v>62</v>
      </c>
      <c r="I907" s="41" t="str">
        <f>Assumptions!$I$163</f>
        <v>B</v>
      </c>
      <c r="J907" s="14" t="str">
        <f>IF(D907&lt;=Assumptions!$V$163,"Low",IF(D907&lt;=Assumptions!$W$163,"Mid","High"))</f>
        <v>Low</v>
      </c>
      <c r="K907" s="15">
        <f>Assumptions!$Q$163</f>
        <v>2633</v>
      </c>
      <c r="L907" s="42">
        <f>INDEX(Assumptions!$K$61:$K$90,D907)</f>
        <v>2746.3012863913341</v>
      </c>
      <c r="M907" s="43">
        <f>IF(D907&lt;=Assumptions!$G$163,Assumptions!$AK$163,IF(D907&lt;Assumptions!$AH$163,Assumptions!$AK$163+(Assumptions!$AL$163-Assumptions!$AK$163)*(D907-Assumptions!$G$163)/(Assumptions!$AH$163-Assumptions!$G$163),IF(D907&lt;Assumptions!$P$163,Assumptions!$AL$163+(Assumptions!$AM$163-Assumptions!$AL$163)*(D907-Assumptions!$AH$163)/(Assumptions!$P$163-Assumptions!$AH$163),Assumptions!$AM$163)))</f>
        <v>6818.1818181818235</v>
      </c>
      <c r="N907" s="44">
        <f t="shared" si="28"/>
        <v>6.4627315812149986</v>
      </c>
      <c r="O907" s="45">
        <f t="shared" si="29"/>
        <v>2753</v>
      </c>
      <c r="P907" s="14" t="str">
        <f>IF(D907&gt;=Assumptions!$P$163,"High",IF(D907&gt;=Assumptions!$AH$163,"Mid",IF(D907&lt;=Assumptions!$G$163,"Low","Loading")))</f>
        <v>Loading</v>
      </c>
      <c r="Q907" s="46">
        <f>MAX(K907,MIN(Assumptions!$S$163,O907),Q908)</f>
        <v>2753</v>
      </c>
      <c r="R907" s="12">
        <f>IF(AND(Q907&lt;=K907,INDEX(Assumptions!$C$26:$C$36,MATCH(G907,Assumptions!$A$26:$A$36,0))&lt;&gt;""),INDEX(Assumptions!$C$26:$C$36,MATCH(G907,Assumptions!$A$26:$A$36,0)),ROUND(G907*Q907,-2))</f>
        <v>2904400</v>
      </c>
      <c r="S907" s="47" t="str">
        <f>TRIM(IF(AND(Assumptions!$L$163&lt;&gt;"",D907&lt;Assumptions!$L$163),"View blocked / roof in front ("&amp;Assumptions!$M$163&amp;"); view premium still loading until L"&amp;Assumptions!$L$163&amp;". ","")&amp;IF(D907=Assumptions!$AH$163,"Mid-floor view premium fully loaded. ","")&amp;IF(D907=Assumptions!$P$163,"High-floor view premium fully loaded. ","")&amp;IF(Q907&lt;=K907,"At developer starting price.",""))</f>
        <v>View blocked / roof in front (Structure in front of low floors; pool properly seen from L10); view premium still loading until L10.</v>
      </c>
      <c r="T907" s="48" t="str">
        <f>Assumptions!$AJ$163</f>
        <v>WNW (west sun). 190m view across the whole project; structure in front of low floors, pool properly seen from L10</v>
      </c>
    </row>
    <row r="908" spans="1:20" x14ac:dyDescent="0.2">
      <c r="A908" s="13" t="s">
        <v>1069</v>
      </c>
      <c r="B908" s="14">
        <v>9</v>
      </c>
      <c r="C908" s="40">
        <v>37</v>
      </c>
      <c r="D908" s="40">
        <v>6</v>
      </c>
      <c r="E908" s="9" t="s">
        <v>46</v>
      </c>
      <c r="F908" s="14" t="s">
        <v>1054</v>
      </c>
      <c r="G908" s="10">
        <v>1055</v>
      </c>
      <c r="H908" s="14" t="s">
        <v>62</v>
      </c>
      <c r="I908" s="41" t="str">
        <f>Assumptions!$I$163</f>
        <v>B</v>
      </c>
      <c r="J908" s="14" t="str">
        <f>IF(D908&lt;=Assumptions!$V$163,"Low",IF(D908&lt;=Assumptions!$W$163,"Mid","High"))</f>
        <v>Low</v>
      </c>
      <c r="K908" s="15">
        <f>Assumptions!$Q$163</f>
        <v>2633</v>
      </c>
      <c r="L908" s="42">
        <f>INDEX(Assumptions!$K$61:$K$90,D908)</f>
        <v>2733.1197020988493</v>
      </c>
      <c r="M908" s="43">
        <f>IF(D908&lt;=Assumptions!$G$163,Assumptions!$AK$163,IF(D908&lt;Assumptions!$AH$163,Assumptions!$AK$163+(Assumptions!$AL$163-Assumptions!$AK$163)*(D908-Assumptions!$G$163)/(Assumptions!$AH$163-Assumptions!$G$163),IF(D908&lt;Assumptions!$P$163,Assumptions!$AL$163+(Assumptions!$AM$163-Assumptions!$AL$163)*(D908-Assumptions!$AH$163)/(Assumptions!$P$163-Assumptions!$AH$163),Assumptions!$AM$163)))</f>
        <v>-4545.4545454545441</v>
      </c>
      <c r="N908" s="44">
        <f t="shared" si="28"/>
        <v>-4.3084877208099943</v>
      </c>
      <c r="O908" s="45">
        <f t="shared" si="29"/>
        <v>2729</v>
      </c>
      <c r="P908" s="14" t="str">
        <f>IF(D908&gt;=Assumptions!$P$163,"High",IF(D908&gt;=Assumptions!$AH$163,"Mid",IF(D908&lt;=Assumptions!$G$163,"Low","Loading")))</f>
        <v>Loading</v>
      </c>
      <c r="Q908" s="46">
        <f>MAX(K908,MIN(Assumptions!$S$163,O908),Q909)</f>
        <v>2729</v>
      </c>
      <c r="R908" s="12">
        <f>IF(AND(Q908&lt;=K908,INDEX(Assumptions!$C$26:$C$36,MATCH(G908,Assumptions!$A$26:$A$36,0))&lt;&gt;""),INDEX(Assumptions!$C$26:$C$36,MATCH(G908,Assumptions!$A$26:$A$36,0)),ROUND(G908*Q908,-2))</f>
        <v>2879100</v>
      </c>
      <c r="S908" s="47" t="str">
        <f>TRIM(IF(AND(Assumptions!$L$163&lt;&gt;"",D908&lt;Assumptions!$L$163),"View blocked / roof in front ("&amp;Assumptions!$M$163&amp;"); view premium still loading until L"&amp;Assumptions!$L$163&amp;". ","")&amp;IF(D908=Assumptions!$AH$163,"Mid-floor view premium fully loaded. ","")&amp;IF(D908=Assumptions!$P$163,"High-floor view premium fully loaded. ","")&amp;IF(Q908&lt;=K908,"At developer starting price.",""))</f>
        <v>View blocked / roof in front (Structure in front of low floors; pool properly seen from L10); view premium still loading until L10.</v>
      </c>
      <c r="T908" s="48" t="str">
        <f>Assumptions!$AJ$163</f>
        <v>WNW (west sun). 190m view across the whole project; structure in front of low floors, pool properly seen from L10</v>
      </c>
    </row>
    <row r="909" spans="1:20" x14ac:dyDescent="0.2">
      <c r="A909" s="13" t="s">
        <v>1070</v>
      </c>
      <c r="B909" s="14">
        <v>9</v>
      </c>
      <c r="C909" s="40">
        <v>37</v>
      </c>
      <c r="D909" s="40">
        <v>5</v>
      </c>
      <c r="E909" s="9" t="s">
        <v>46</v>
      </c>
      <c r="F909" s="14" t="s">
        <v>1054</v>
      </c>
      <c r="G909" s="10">
        <v>1055</v>
      </c>
      <c r="H909" s="14" t="s">
        <v>62</v>
      </c>
      <c r="I909" s="41" t="str">
        <f>Assumptions!$I$163</f>
        <v>B</v>
      </c>
      <c r="J909" s="14" t="str">
        <f>IF(D909&lt;=Assumptions!$V$163,"Low",IF(D909&lt;=Assumptions!$W$163,"Mid","High"))</f>
        <v>Low</v>
      </c>
      <c r="K909" s="15">
        <f>Assumptions!$Q$163</f>
        <v>2633</v>
      </c>
      <c r="L909" s="42">
        <f>INDEX(Assumptions!$K$61:$K$90,D909)</f>
        <v>2719.9381178063645</v>
      </c>
      <c r="M909" s="43">
        <f>IF(D909&lt;=Assumptions!$G$163,Assumptions!$AK$163,IF(D909&lt;Assumptions!$AH$163,Assumptions!$AK$163+(Assumptions!$AL$163-Assumptions!$AK$163)*(D909-Assumptions!$G$163)/(Assumptions!$AH$163-Assumptions!$G$163),IF(D909&lt;Assumptions!$P$163,Assumptions!$AL$163+(Assumptions!$AM$163-Assumptions!$AL$163)*(D909-Assumptions!$AH$163)/(Assumptions!$P$163-Assumptions!$AH$163),Assumptions!$AM$163)))</f>
        <v>-15909.090909090912</v>
      </c>
      <c r="N909" s="44">
        <f t="shared" si="28"/>
        <v>-15.079707022834988</v>
      </c>
      <c r="O909" s="45">
        <f t="shared" si="29"/>
        <v>2705</v>
      </c>
      <c r="P909" s="14" t="str">
        <f>IF(D909&gt;=Assumptions!$P$163,"High",IF(D909&gt;=Assumptions!$AH$163,"Mid",IF(D909&lt;=Assumptions!$G$163,"Low","Loading")))</f>
        <v>Loading</v>
      </c>
      <c r="Q909" s="46">
        <f>MAX(K909,MIN(Assumptions!$S$163,O909),Q910)</f>
        <v>2705</v>
      </c>
      <c r="R909" s="12">
        <f>IF(AND(Q909&lt;=K909,INDEX(Assumptions!$C$26:$C$36,MATCH(G909,Assumptions!$A$26:$A$36,0))&lt;&gt;""),INDEX(Assumptions!$C$26:$C$36,MATCH(G909,Assumptions!$A$26:$A$36,0)),ROUND(G909*Q909,-2))</f>
        <v>2853800</v>
      </c>
      <c r="S909" s="47" t="str">
        <f>TRIM(IF(AND(Assumptions!$L$163&lt;&gt;"",D909&lt;Assumptions!$L$163),"View blocked / roof in front ("&amp;Assumptions!$M$163&amp;"); view premium still loading until L"&amp;Assumptions!$L$163&amp;". ","")&amp;IF(D909=Assumptions!$AH$163,"Mid-floor view premium fully loaded. ","")&amp;IF(D909=Assumptions!$P$163,"High-floor view premium fully loaded. ","")&amp;IF(Q909&lt;=K909,"At developer starting price.",""))</f>
        <v>View blocked / roof in front (Structure in front of low floors; pool properly seen from L10); view premium still loading until L10.</v>
      </c>
      <c r="T909" s="48" t="str">
        <f>Assumptions!$AJ$163</f>
        <v>WNW (west sun). 190m view across the whole project; structure in front of low floors, pool properly seen from L10</v>
      </c>
    </row>
    <row r="910" spans="1:20" x14ac:dyDescent="0.2">
      <c r="A910" s="13" t="s">
        <v>1071</v>
      </c>
      <c r="B910" s="14">
        <v>9</v>
      </c>
      <c r="C910" s="40">
        <v>37</v>
      </c>
      <c r="D910" s="40">
        <v>4</v>
      </c>
      <c r="E910" s="9" t="s">
        <v>46</v>
      </c>
      <c r="F910" s="14" t="s">
        <v>1054</v>
      </c>
      <c r="G910" s="10">
        <v>1055</v>
      </c>
      <c r="H910" s="14" t="s">
        <v>62</v>
      </c>
      <c r="I910" s="41" t="str">
        <f>Assumptions!$I$163</f>
        <v>B</v>
      </c>
      <c r="J910" s="14" t="str">
        <f>IF(D910&lt;=Assumptions!$V$163,"Low",IF(D910&lt;=Assumptions!$W$163,"Mid","High"))</f>
        <v>Low</v>
      </c>
      <c r="K910" s="15">
        <f>Assumptions!$Q$163</f>
        <v>2633</v>
      </c>
      <c r="L910" s="42">
        <f>INDEX(Assumptions!$K$61:$K$90,D910)</f>
        <v>2706.7565335138797</v>
      </c>
      <c r="M910" s="43">
        <f>IF(D910&lt;=Assumptions!$G$163,Assumptions!$AK$163,IF(D910&lt;Assumptions!$AH$163,Assumptions!$AK$163+(Assumptions!$AL$163-Assumptions!$AK$163)*(D910-Assumptions!$G$163)/(Assumptions!$AH$163-Assumptions!$G$163),IF(D910&lt;Assumptions!$P$163,Assumptions!$AL$163+(Assumptions!$AM$163-Assumptions!$AL$163)*(D910-Assumptions!$AH$163)/(Assumptions!$P$163-Assumptions!$AH$163),Assumptions!$AM$163)))</f>
        <v>-27272.727272727272</v>
      </c>
      <c r="N910" s="44">
        <f t="shared" si="28"/>
        <v>-25.850926324859973</v>
      </c>
      <c r="O910" s="45">
        <f t="shared" si="29"/>
        <v>2681</v>
      </c>
      <c r="P910" s="14" t="str">
        <f>IF(D910&gt;=Assumptions!$P$163,"High",IF(D910&gt;=Assumptions!$AH$163,"Mid",IF(D910&lt;=Assumptions!$G$163,"Low","Loading")))</f>
        <v>Loading</v>
      </c>
      <c r="Q910" s="46">
        <f>MAX(K910,MIN(Assumptions!$S$163,O910),Q911)</f>
        <v>2681</v>
      </c>
      <c r="R910" s="12">
        <f>IF(AND(Q910&lt;=K910,INDEX(Assumptions!$C$26:$C$36,MATCH(G910,Assumptions!$A$26:$A$36,0))&lt;&gt;""),INDEX(Assumptions!$C$26:$C$36,MATCH(G910,Assumptions!$A$26:$A$36,0)),ROUND(G910*Q910,-2))</f>
        <v>2828500</v>
      </c>
      <c r="S910" s="47" t="str">
        <f>TRIM(IF(AND(Assumptions!$L$163&lt;&gt;"",D910&lt;Assumptions!$L$163),"View blocked / roof in front ("&amp;Assumptions!$M$163&amp;"); view premium still loading until L"&amp;Assumptions!$L$163&amp;". ","")&amp;IF(D910=Assumptions!$AH$163,"Mid-floor view premium fully loaded. ","")&amp;IF(D910=Assumptions!$P$163,"High-floor view premium fully loaded. ","")&amp;IF(Q910&lt;=K910,"At developer starting price.",""))</f>
        <v>View blocked / roof in front (Structure in front of low floors; pool properly seen from L10); view premium still loading until L10.</v>
      </c>
      <c r="T910" s="48" t="str">
        <f>Assumptions!$AJ$163</f>
        <v>WNW (west sun). 190m view across the whole project; structure in front of low floors, pool properly seen from L10</v>
      </c>
    </row>
    <row r="911" spans="1:20" x14ac:dyDescent="0.2">
      <c r="A911" s="13" t="s">
        <v>1072</v>
      </c>
      <c r="B911" s="14">
        <v>9</v>
      </c>
      <c r="C911" s="40">
        <v>37</v>
      </c>
      <c r="D911" s="40">
        <v>3</v>
      </c>
      <c r="E911" s="9" t="s">
        <v>46</v>
      </c>
      <c r="F911" s="14" t="s">
        <v>1054</v>
      </c>
      <c r="G911" s="10">
        <v>1055</v>
      </c>
      <c r="H911" s="14" t="s">
        <v>62</v>
      </c>
      <c r="I911" s="41" t="str">
        <f>Assumptions!$I$163</f>
        <v>B</v>
      </c>
      <c r="J911" s="14" t="str">
        <f>IF(D911&lt;=Assumptions!$V$163,"Low",IF(D911&lt;=Assumptions!$W$163,"Mid","High"))</f>
        <v>Low</v>
      </c>
      <c r="K911" s="15">
        <f>Assumptions!$Q$163</f>
        <v>2633</v>
      </c>
      <c r="L911" s="42">
        <f>INDEX(Assumptions!$K$61:$K$90,D911)</f>
        <v>2693.5749492213949</v>
      </c>
      <c r="M911" s="43">
        <f>IF(D911&lt;=Assumptions!$G$163,Assumptions!$AK$163,IF(D911&lt;Assumptions!$AH$163,Assumptions!$AK$163+(Assumptions!$AL$163-Assumptions!$AK$163)*(D911-Assumptions!$G$163)/(Assumptions!$AH$163-Assumptions!$G$163),IF(D911&lt;Assumptions!$P$163,Assumptions!$AL$163+(Assumptions!$AM$163-Assumptions!$AL$163)*(D911-Assumptions!$AH$163)/(Assumptions!$P$163-Assumptions!$AH$163),Assumptions!$AM$163)))</f>
        <v>-38636.363636363632</v>
      </c>
      <c r="N911" s="44">
        <f t="shared" si="28"/>
        <v>-36.622145626884958</v>
      </c>
      <c r="O911" s="45">
        <f t="shared" si="29"/>
        <v>2657</v>
      </c>
      <c r="P911" s="14" t="str">
        <f>IF(D911&gt;=Assumptions!$P$163,"High",IF(D911&gt;=Assumptions!$AH$163,"Mid",IF(D911&lt;=Assumptions!$G$163,"Low","Loading")))</f>
        <v>Loading</v>
      </c>
      <c r="Q911" s="46">
        <f>MAX(K911,MIN(Assumptions!$S$163,O911),Q912)</f>
        <v>2657</v>
      </c>
      <c r="R911" s="12">
        <f>IF(AND(Q911&lt;=K911,INDEX(Assumptions!$C$26:$C$36,MATCH(G911,Assumptions!$A$26:$A$36,0))&lt;&gt;""),INDEX(Assumptions!$C$26:$C$36,MATCH(G911,Assumptions!$A$26:$A$36,0)),ROUND(G911*Q911,-2))</f>
        <v>2803100</v>
      </c>
      <c r="S911" s="47" t="str">
        <f>TRIM(IF(AND(Assumptions!$L$163&lt;&gt;"",D911&lt;Assumptions!$L$163),"View blocked / roof in front ("&amp;Assumptions!$M$163&amp;"); view premium still loading until L"&amp;Assumptions!$L$163&amp;". ","")&amp;IF(D911=Assumptions!$AH$163,"Mid-floor view premium fully loaded. ","")&amp;IF(D911=Assumptions!$P$163,"High-floor view premium fully loaded. ","")&amp;IF(Q911&lt;=K911,"At developer starting price.",""))</f>
        <v>View blocked / roof in front (Structure in front of low floors; pool properly seen from L10); view premium still loading until L10.</v>
      </c>
      <c r="T911" s="48" t="str">
        <f>Assumptions!$AJ$163</f>
        <v>WNW (west sun). 190m view across the whole project; structure in front of low floors, pool properly seen from L10</v>
      </c>
    </row>
    <row r="912" spans="1:20" x14ac:dyDescent="0.2">
      <c r="A912" s="13" t="s">
        <v>1073</v>
      </c>
      <c r="B912" s="14">
        <v>9</v>
      </c>
      <c r="C912" s="40">
        <v>37</v>
      </c>
      <c r="D912" s="40">
        <v>2</v>
      </c>
      <c r="E912" s="9" t="s">
        <v>46</v>
      </c>
      <c r="F912" s="14" t="s">
        <v>1074</v>
      </c>
      <c r="G912" s="10">
        <v>1055</v>
      </c>
      <c r="H912" s="14" t="s">
        <v>62</v>
      </c>
      <c r="I912" s="41" t="str">
        <f>Assumptions!$I$163</f>
        <v>B</v>
      </c>
      <c r="J912" s="14" t="str">
        <f>IF(D912&lt;=Assumptions!$V$163,"Low",IF(D912&lt;=Assumptions!$W$163,"Mid","High"))</f>
        <v>Low</v>
      </c>
      <c r="K912" s="15">
        <f>Assumptions!$Q$163</f>
        <v>2633</v>
      </c>
      <c r="L912" s="42">
        <f>INDEX(Assumptions!$K$61:$K$90,D912)</f>
        <v>2680.3933649289102</v>
      </c>
      <c r="M912" s="43">
        <f>IF(D912&lt;=Assumptions!$G$163,Assumptions!$AK$163,IF(D912&lt;Assumptions!$AH$163,Assumptions!$AK$163+(Assumptions!$AL$163-Assumptions!$AK$163)*(D912-Assumptions!$G$163)/(Assumptions!$AH$163-Assumptions!$G$163),IF(D912&lt;Assumptions!$P$163,Assumptions!$AL$163+(Assumptions!$AM$163-Assumptions!$AL$163)*(D912-Assumptions!$AH$163)/(Assumptions!$P$163-Assumptions!$AH$163),Assumptions!$AM$163)))</f>
        <v>-50000</v>
      </c>
      <c r="N912" s="44">
        <f t="shared" si="28"/>
        <v>-47.393364928909953</v>
      </c>
      <c r="O912" s="45">
        <f t="shared" si="29"/>
        <v>2633</v>
      </c>
      <c r="P912" s="14" t="str">
        <f>IF(D912&gt;=Assumptions!$P$163,"High",IF(D912&gt;=Assumptions!$AH$163,"Mid",IF(D912&lt;=Assumptions!$G$163,"Low","Loading")))</f>
        <v>Low</v>
      </c>
      <c r="Q912" s="46">
        <f>MAX(K912,MIN(Assumptions!$S$163,O912))</f>
        <v>2633</v>
      </c>
      <c r="R912" s="12">
        <f>IF(AND(Q912&lt;=K912,INDEX(Assumptions!$C$26:$C$36,MATCH(G912,Assumptions!$A$26:$A$36,0))&lt;&gt;""),INDEX(Assumptions!$C$26:$C$36,MATCH(G912,Assumptions!$A$26:$A$36,0)),ROUND(G912*Q912,-2))</f>
        <v>2777000</v>
      </c>
      <c r="S912" s="47" t="str">
        <f>TRIM(IF(AND(Assumptions!$L$163&lt;&gt;"",D912&lt;Assumptions!$L$163),"View blocked / roof in front ("&amp;Assumptions!$M$163&amp;"); view premium still loading until L"&amp;Assumptions!$L$163&amp;". ","")&amp;IF(D912=Assumptions!$AH$163,"Mid-floor view premium fully loaded. ","")&amp;IF(D912=Assumptions!$P$163,"High-floor view premium fully loaded. ","")&amp;IF(Q912&lt;=K912,"At developer starting price.",""))</f>
        <v>View blocked / roof in front (Structure in front of low floors; pool properly seen from L10); view premium still loading until L10. At developer starting price.</v>
      </c>
      <c r="T912" s="48" t="str">
        <f>Assumptions!$AJ$163</f>
        <v>WNW (west sun). 190m view across the whole project; structure in front of low floors, pool properly seen from L10</v>
      </c>
    </row>
    <row r="913" spans="1:20" x14ac:dyDescent="0.2">
      <c r="A913" s="13" t="s">
        <v>1075</v>
      </c>
      <c r="B913" s="14">
        <v>9</v>
      </c>
      <c r="C913" s="40">
        <v>38</v>
      </c>
      <c r="D913" s="40">
        <v>21</v>
      </c>
      <c r="E913" s="9" t="s">
        <v>43</v>
      </c>
      <c r="F913" s="14" t="s">
        <v>159</v>
      </c>
      <c r="G913" s="10">
        <v>678</v>
      </c>
      <c r="H913" s="14" t="s">
        <v>62</v>
      </c>
      <c r="I913" s="41" t="str">
        <f>Assumptions!$I$164</f>
        <v>E</v>
      </c>
      <c r="J913" s="14" t="str">
        <f>IF(D913&lt;=Assumptions!$V$164,"Low",IF(D913&lt;=Assumptions!$W$164,"Mid","High"))</f>
        <v>High</v>
      </c>
      <c r="K913" s="15">
        <f>Assumptions!$Q$164</f>
        <v>2613</v>
      </c>
      <c r="L913" s="42">
        <f>INDEX(Assumptions!$C$61:$C$90,D913)</f>
        <v>3050.8642857142859</v>
      </c>
      <c r="M913" s="43">
        <f>IF(D913&lt;=Assumptions!$G$164,Assumptions!$AK$164,IF(D913&lt;Assumptions!$AH$164,Assumptions!$AK$164+(Assumptions!$AL$164-Assumptions!$AK$164)*(D913-Assumptions!$G$164)/(Assumptions!$AH$164-Assumptions!$G$164),IF(D913&lt;Assumptions!$P$164,Assumptions!$AL$164+(Assumptions!$AM$164-Assumptions!$AL$164)*(D913-Assumptions!$AH$164)/(Assumptions!$P$164-Assumptions!$AH$164),Assumptions!$AM$164)))</f>
        <v>-50000</v>
      </c>
      <c r="N913" s="44">
        <f t="shared" si="28"/>
        <v>-73.746312684365776</v>
      </c>
      <c r="O913" s="45">
        <f t="shared" si="29"/>
        <v>2977</v>
      </c>
      <c r="P913" s="14" t="str">
        <f>IF(D913&gt;=Assumptions!$P$164,"High",IF(D913&gt;=Assumptions!$AH$164,"Mid",IF(D913&lt;=Assumptions!$G$164,"Low","Loading")))</f>
        <v>High</v>
      </c>
      <c r="Q913" s="46">
        <f>MAX(K913,MIN(Assumptions!$S$164,O913),Q914)</f>
        <v>2977</v>
      </c>
      <c r="R913" s="12">
        <f>IF(AND(Q913&lt;=K913,INDEX(Assumptions!$C$26:$C$36,MATCH(G913,Assumptions!$A$26:$A$36,0))&lt;&gt;""),INDEX(Assumptions!$C$26:$C$36,MATCH(G913,Assumptions!$A$26:$A$36,0)),ROUND(G913*Q913,-2))</f>
        <v>2018400</v>
      </c>
      <c r="S913" s="47" t="str">
        <f>TRIM(IF(AND(Assumptions!$L$164&lt;&gt;"",D913&lt;Assumptions!$L$164),"View blocked / roof in front ("&amp;Assumptions!$M$164&amp;"); view premium still loading until L"&amp;Assumptions!$L$164&amp;". ","")&amp;IF(D913=Assumptions!$AH$164,"Mid-floor view premium fully loaded. ","")&amp;IF(D913=Assumptions!$P$164,"High-floor view premium fully loaded. ","")&amp;IF(Q913&lt;=K913,"At developer starting price.",""))</f>
        <v/>
      </c>
      <c r="T913" s="48" t="str">
        <f>Assumptions!$AJ$164</f>
        <v>NNE. View towards Thomson Three &amp; Sin Ming HDB; Paw Garden pavilion in front of low floors</v>
      </c>
    </row>
    <row r="914" spans="1:20" x14ac:dyDescent="0.2">
      <c r="A914" s="13" t="s">
        <v>1076</v>
      </c>
      <c r="B914" s="14">
        <v>9</v>
      </c>
      <c r="C914" s="40">
        <v>38</v>
      </c>
      <c r="D914" s="40">
        <v>20</v>
      </c>
      <c r="E914" s="9" t="s">
        <v>43</v>
      </c>
      <c r="F914" s="14" t="s">
        <v>159</v>
      </c>
      <c r="G914" s="10">
        <v>678</v>
      </c>
      <c r="H914" s="14" t="s">
        <v>62</v>
      </c>
      <c r="I914" s="41" t="str">
        <f>Assumptions!$I$164</f>
        <v>E</v>
      </c>
      <c r="J914" s="14" t="str">
        <f>IF(D914&lt;=Assumptions!$V$164,"Low",IF(D914&lt;=Assumptions!$W$164,"Mid","High"))</f>
        <v>High</v>
      </c>
      <c r="K914" s="15">
        <f>Assumptions!$Q$164</f>
        <v>2613</v>
      </c>
      <c r="L914" s="42">
        <f>INDEX(Assumptions!$C$61:$C$90,D914)</f>
        <v>3028.0785714285716</v>
      </c>
      <c r="M914" s="43">
        <f>IF(D914&lt;=Assumptions!$G$164,Assumptions!$AK$164,IF(D914&lt;Assumptions!$AH$164,Assumptions!$AK$164+(Assumptions!$AL$164-Assumptions!$AK$164)*(D914-Assumptions!$G$164)/(Assumptions!$AH$164-Assumptions!$G$164),IF(D914&lt;Assumptions!$P$164,Assumptions!$AL$164+(Assumptions!$AM$164-Assumptions!$AL$164)*(D914-Assumptions!$AH$164)/(Assumptions!$P$164-Assumptions!$AH$164),Assumptions!$AM$164)))</f>
        <v>-50000</v>
      </c>
      <c r="N914" s="44">
        <f t="shared" si="28"/>
        <v>-73.746312684365776</v>
      </c>
      <c r="O914" s="45">
        <f t="shared" si="29"/>
        <v>2954</v>
      </c>
      <c r="P914" s="14" t="str">
        <f>IF(D914&gt;=Assumptions!$P$164,"High",IF(D914&gt;=Assumptions!$AH$164,"Mid",IF(D914&lt;=Assumptions!$G$164,"Low","Loading")))</f>
        <v>High</v>
      </c>
      <c r="Q914" s="46">
        <f>MAX(K914,MIN(Assumptions!$S$164,O914),Q915)</f>
        <v>2954</v>
      </c>
      <c r="R914" s="12">
        <f>IF(AND(Q914&lt;=K914,INDEX(Assumptions!$C$26:$C$36,MATCH(G914,Assumptions!$A$26:$A$36,0))&lt;&gt;""),INDEX(Assumptions!$C$26:$C$36,MATCH(G914,Assumptions!$A$26:$A$36,0)),ROUND(G914*Q914,-2))</f>
        <v>2002800</v>
      </c>
      <c r="S914" s="47" t="str">
        <f>TRIM(IF(AND(Assumptions!$L$164&lt;&gt;"",D914&lt;Assumptions!$L$164),"View blocked / roof in front ("&amp;Assumptions!$M$164&amp;"); view premium still loading until L"&amp;Assumptions!$L$164&amp;". ","")&amp;IF(D914=Assumptions!$AH$164,"Mid-floor view premium fully loaded. ","")&amp;IF(D914=Assumptions!$P$164,"High-floor view premium fully loaded. ","")&amp;IF(Q914&lt;=K914,"At developer starting price.",""))</f>
        <v/>
      </c>
      <c r="T914" s="48" t="str">
        <f>Assumptions!$AJ$164</f>
        <v>NNE. View towards Thomson Three &amp; Sin Ming HDB; Paw Garden pavilion in front of low floors</v>
      </c>
    </row>
    <row r="915" spans="1:20" x14ac:dyDescent="0.2">
      <c r="A915" s="13" t="s">
        <v>1077</v>
      </c>
      <c r="B915" s="14">
        <v>9</v>
      </c>
      <c r="C915" s="40">
        <v>38</v>
      </c>
      <c r="D915" s="40">
        <v>19</v>
      </c>
      <c r="E915" s="9" t="s">
        <v>43</v>
      </c>
      <c r="F915" s="14" t="s">
        <v>159</v>
      </c>
      <c r="G915" s="10">
        <v>678</v>
      </c>
      <c r="H915" s="14" t="s">
        <v>62</v>
      </c>
      <c r="I915" s="41" t="str">
        <f>Assumptions!$I$164</f>
        <v>E</v>
      </c>
      <c r="J915" s="14" t="str">
        <f>IF(D915&lt;=Assumptions!$V$164,"Low",IF(D915&lt;=Assumptions!$W$164,"Mid","High"))</f>
        <v>High</v>
      </c>
      <c r="K915" s="15">
        <f>Assumptions!$Q$164</f>
        <v>2613</v>
      </c>
      <c r="L915" s="42">
        <f>INDEX(Assumptions!$C$61:$C$90,D915)</f>
        <v>3005.2928571428574</v>
      </c>
      <c r="M915" s="43">
        <f>IF(D915&lt;=Assumptions!$G$164,Assumptions!$AK$164,IF(D915&lt;Assumptions!$AH$164,Assumptions!$AK$164+(Assumptions!$AL$164-Assumptions!$AK$164)*(D915-Assumptions!$G$164)/(Assumptions!$AH$164-Assumptions!$G$164),IF(D915&lt;Assumptions!$P$164,Assumptions!$AL$164+(Assumptions!$AM$164-Assumptions!$AL$164)*(D915-Assumptions!$AH$164)/(Assumptions!$P$164-Assumptions!$AH$164),Assumptions!$AM$164)))</f>
        <v>-50000</v>
      </c>
      <c r="N915" s="44">
        <f t="shared" si="28"/>
        <v>-73.746312684365776</v>
      </c>
      <c r="O915" s="45">
        <f t="shared" si="29"/>
        <v>2932</v>
      </c>
      <c r="P915" s="14" t="str">
        <f>IF(D915&gt;=Assumptions!$P$164,"High",IF(D915&gt;=Assumptions!$AH$164,"Mid",IF(D915&lt;=Assumptions!$G$164,"Low","Loading")))</f>
        <v>High</v>
      </c>
      <c r="Q915" s="46">
        <f>MAX(K915,MIN(Assumptions!$S$164,O915),Q916)</f>
        <v>2932</v>
      </c>
      <c r="R915" s="12">
        <f>IF(AND(Q915&lt;=K915,INDEX(Assumptions!$C$26:$C$36,MATCH(G915,Assumptions!$A$26:$A$36,0))&lt;&gt;""),INDEX(Assumptions!$C$26:$C$36,MATCH(G915,Assumptions!$A$26:$A$36,0)),ROUND(G915*Q915,-2))</f>
        <v>1987900</v>
      </c>
      <c r="S915" s="47" t="str">
        <f>TRIM(IF(AND(Assumptions!$L$164&lt;&gt;"",D915&lt;Assumptions!$L$164),"View blocked / roof in front ("&amp;Assumptions!$M$164&amp;"); view premium still loading until L"&amp;Assumptions!$L$164&amp;". ","")&amp;IF(D915=Assumptions!$AH$164,"Mid-floor view premium fully loaded. ","")&amp;IF(D915=Assumptions!$P$164,"High-floor view premium fully loaded. ","")&amp;IF(Q915&lt;=K915,"At developer starting price.",""))</f>
        <v/>
      </c>
      <c r="T915" s="48" t="str">
        <f>Assumptions!$AJ$164</f>
        <v>NNE. View towards Thomson Three &amp; Sin Ming HDB; Paw Garden pavilion in front of low floors</v>
      </c>
    </row>
    <row r="916" spans="1:20" x14ac:dyDescent="0.2">
      <c r="A916" s="13" t="s">
        <v>1078</v>
      </c>
      <c r="B916" s="14">
        <v>9</v>
      </c>
      <c r="C916" s="40">
        <v>38</v>
      </c>
      <c r="D916" s="40">
        <v>18</v>
      </c>
      <c r="E916" s="9" t="s">
        <v>43</v>
      </c>
      <c r="F916" s="14" t="s">
        <v>159</v>
      </c>
      <c r="G916" s="10">
        <v>678</v>
      </c>
      <c r="H916" s="14" t="s">
        <v>62</v>
      </c>
      <c r="I916" s="41" t="str">
        <f>Assumptions!$I$164</f>
        <v>E</v>
      </c>
      <c r="J916" s="14" t="str">
        <f>IF(D916&lt;=Assumptions!$V$164,"Low",IF(D916&lt;=Assumptions!$W$164,"Mid","High"))</f>
        <v>High</v>
      </c>
      <c r="K916" s="15">
        <f>Assumptions!$Q$164</f>
        <v>2613</v>
      </c>
      <c r="L916" s="42">
        <f>INDEX(Assumptions!$C$61:$C$90,D916)</f>
        <v>2982.5071428571428</v>
      </c>
      <c r="M916" s="43">
        <f>IF(D916&lt;=Assumptions!$G$164,Assumptions!$AK$164,IF(D916&lt;Assumptions!$AH$164,Assumptions!$AK$164+(Assumptions!$AL$164-Assumptions!$AK$164)*(D916-Assumptions!$G$164)/(Assumptions!$AH$164-Assumptions!$G$164),IF(D916&lt;Assumptions!$P$164,Assumptions!$AL$164+(Assumptions!$AM$164-Assumptions!$AL$164)*(D916-Assumptions!$AH$164)/(Assumptions!$P$164-Assumptions!$AH$164),Assumptions!$AM$164)))</f>
        <v>-50000</v>
      </c>
      <c r="N916" s="44">
        <f t="shared" si="28"/>
        <v>-73.746312684365776</v>
      </c>
      <c r="O916" s="45">
        <f t="shared" si="29"/>
        <v>2909</v>
      </c>
      <c r="P916" s="14" t="str">
        <f>IF(D916&gt;=Assumptions!$P$164,"High",IF(D916&gt;=Assumptions!$AH$164,"Mid",IF(D916&lt;=Assumptions!$G$164,"Low","Loading")))</f>
        <v>High</v>
      </c>
      <c r="Q916" s="46">
        <f>MAX(K916,MIN(Assumptions!$S$164,O916),Q917)</f>
        <v>2909</v>
      </c>
      <c r="R916" s="12">
        <f>IF(AND(Q916&lt;=K916,INDEX(Assumptions!$C$26:$C$36,MATCH(G916,Assumptions!$A$26:$A$36,0))&lt;&gt;""),INDEX(Assumptions!$C$26:$C$36,MATCH(G916,Assumptions!$A$26:$A$36,0)),ROUND(G916*Q916,-2))</f>
        <v>1972300</v>
      </c>
      <c r="S916" s="47" t="str">
        <f>TRIM(IF(AND(Assumptions!$L$164&lt;&gt;"",D916&lt;Assumptions!$L$164),"View blocked / roof in front ("&amp;Assumptions!$M$164&amp;"); view premium still loading until L"&amp;Assumptions!$L$164&amp;". ","")&amp;IF(D916=Assumptions!$AH$164,"Mid-floor view premium fully loaded. ","")&amp;IF(D916=Assumptions!$P$164,"High-floor view premium fully loaded. ","")&amp;IF(Q916&lt;=K916,"At developer starting price.",""))</f>
        <v/>
      </c>
      <c r="T916" s="48" t="str">
        <f>Assumptions!$AJ$164</f>
        <v>NNE. View towards Thomson Three &amp; Sin Ming HDB; Paw Garden pavilion in front of low floors</v>
      </c>
    </row>
    <row r="917" spans="1:20" x14ac:dyDescent="0.2">
      <c r="A917" s="13" t="s">
        <v>1079</v>
      </c>
      <c r="B917" s="14">
        <v>9</v>
      </c>
      <c r="C917" s="40">
        <v>38</v>
      </c>
      <c r="D917" s="40">
        <v>17</v>
      </c>
      <c r="E917" s="9" t="s">
        <v>43</v>
      </c>
      <c r="F917" s="14" t="s">
        <v>159</v>
      </c>
      <c r="G917" s="10">
        <v>678</v>
      </c>
      <c r="H917" s="14" t="s">
        <v>62</v>
      </c>
      <c r="I917" s="41" t="str">
        <f>Assumptions!$I$164</f>
        <v>E</v>
      </c>
      <c r="J917" s="14" t="str">
        <f>IF(D917&lt;=Assumptions!$V$164,"Low",IF(D917&lt;=Assumptions!$W$164,"Mid","High"))</f>
        <v>High</v>
      </c>
      <c r="K917" s="15">
        <f>Assumptions!$Q$164</f>
        <v>2613</v>
      </c>
      <c r="L917" s="42">
        <f>INDEX(Assumptions!$C$61:$C$90,D917)</f>
        <v>2959.7214285714285</v>
      </c>
      <c r="M917" s="43">
        <f>IF(D917&lt;=Assumptions!$G$164,Assumptions!$AK$164,IF(D917&lt;Assumptions!$AH$164,Assumptions!$AK$164+(Assumptions!$AL$164-Assumptions!$AK$164)*(D917-Assumptions!$G$164)/(Assumptions!$AH$164-Assumptions!$G$164),IF(D917&lt;Assumptions!$P$164,Assumptions!$AL$164+(Assumptions!$AM$164-Assumptions!$AL$164)*(D917-Assumptions!$AH$164)/(Assumptions!$P$164-Assumptions!$AH$164),Assumptions!$AM$164)))</f>
        <v>-50000</v>
      </c>
      <c r="N917" s="44">
        <f t="shared" si="28"/>
        <v>-73.746312684365776</v>
      </c>
      <c r="O917" s="45">
        <f t="shared" si="29"/>
        <v>2886</v>
      </c>
      <c r="P917" s="14" t="str">
        <f>IF(D917&gt;=Assumptions!$P$164,"High",IF(D917&gt;=Assumptions!$AH$164,"Mid",IF(D917&lt;=Assumptions!$G$164,"Low","Loading")))</f>
        <v>High</v>
      </c>
      <c r="Q917" s="46">
        <f>MAX(K917,MIN(Assumptions!$S$164,O917),Q918)</f>
        <v>2886</v>
      </c>
      <c r="R917" s="12">
        <f>IF(AND(Q917&lt;=K917,INDEX(Assumptions!$C$26:$C$36,MATCH(G917,Assumptions!$A$26:$A$36,0))&lt;&gt;""),INDEX(Assumptions!$C$26:$C$36,MATCH(G917,Assumptions!$A$26:$A$36,0)),ROUND(G917*Q917,-2))</f>
        <v>1956700</v>
      </c>
      <c r="S917" s="47" t="str">
        <f>TRIM(IF(AND(Assumptions!$L$164&lt;&gt;"",D917&lt;Assumptions!$L$164),"View blocked / roof in front ("&amp;Assumptions!$M$164&amp;"); view premium still loading until L"&amp;Assumptions!$L$164&amp;". ","")&amp;IF(D917=Assumptions!$AH$164,"Mid-floor view premium fully loaded. ","")&amp;IF(D917=Assumptions!$P$164,"High-floor view premium fully loaded. ","")&amp;IF(Q917&lt;=K917,"At developer starting price.",""))</f>
        <v/>
      </c>
      <c r="T917" s="48" t="str">
        <f>Assumptions!$AJ$164</f>
        <v>NNE. View towards Thomson Three &amp; Sin Ming HDB; Paw Garden pavilion in front of low floors</v>
      </c>
    </row>
    <row r="918" spans="1:20" x14ac:dyDescent="0.2">
      <c r="A918" s="13" t="s">
        <v>1080</v>
      </c>
      <c r="B918" s="14">
        <v>9</v>
      </c>
      <c r="C918" s="40">
        <v>38</v>
      </c>
      <c r="D918" s="40">
        <v>16</v>
      </c>
      <c r="E918" s="9" t="s">
        <v>43</v>
      </c>
      <c r="F918" s="14" t="s">
        <v>159</v>
      </c>
      <c r="G918" s="10">
        <v>678</v>
      </c>
      <c r="H918" s="14" t="s">
        <v>62</v>
      </c>
      <c r="I918" s="41" t="str">
        <f>Assumptions!$I$164</f>
        <v>E</v>
      </c>
      <c r="J918" s="14" t="str">
        <f>IF(D918&lt;=Assumptions!$V$164,"Low",IF(D918&lt;=Assumptions!$W$164,"Mid","High"))</f>
        <v>High</v>
      </c>
      <c r="K918" s="15">
        <f>Assumptions!$Q$164</f>
        <v>2613</v>
      </c>
      <c r="L918" s="42">
        <f>INDEX(Assumptions!$C$61:$C$90,D918)</f>
        <v>2936.9357142857143</v>
      </c>
      <c r="M918" s="43">
        <f>IF(D918&lt;=Assumptions!$G$164,Assumptions!$AK$164,IF(D918&lt;Assumptions!$AH$164,Assumptions!$AK$164+(Assumptions!$AL$164-Assumptions!$AK$164)*(D918-Assumptions!$G$164)/(Assumptions!$AH$164-Assumptions!$G$164),IF(D918&lt;Assumptions!$P$164,Assumptions!$AL$164+(Assumptions!$AM$164-Assumptions!$AL$164)*(D918-Assumptions!$AH$164)/(Assumptions!$P$164-Assumptions!$AH$164),Assumptions!$AM$164)))</f>
        <v>-50000</v>
      </c>
      <c r="N918" s="44">
        <f t="shared" si="28"/>
        <v>-73.746312684365776</v>
      </c>
      <c r="O918" s="45">
        <f t="shared" si="29"/>
        <v>2863</v>
      </c>
      <c r="P918" s="14" t="str">
        <f>IF(D918&gt;=Assumptions!$P$164,"High",IF(D918&gt;=Assumptions!$AH$164,"Mid",IF(D918&lt;=Assumptions!$G$164,"Low","Loading")))</f>
        <v>High</v>
      </c>
      <c r="Q918" s="46">
        <f>MAX(K918,MIN(Assumptions!$S$164,O918),Q919)</f>
        <v>2863</v>
      </c>
      <c r="R918" s="12">
        <f>IF(AND(Q918&lt;=K918,INDEX(Assumptions!$C$26:$C$36,MATCH(G918,Assumptions!$A$26:$A$36,0))&lt;&gt;""),INDEX(Assumptions!$C$26:$C$36,MATCH(G918,Assumptions!$A$26:$A$36,0)),ROUND(G918*Q918,-2))</f>
        <v>1941100</v>
      </c>
      <c r="S918" s="47" t="str">
        <f>TRIM(IF(AND(Assumptions!$L$164&lt;&gt;"",D918&lt;Assumptions!$L$164),"View blocked / roof in front ("&amp;Assumptions!$M$164&amp;"); view premium still loading until L"&amp;Assumptions!$L$164&amp;". ","")&amp;IF(D918=Assumptions!$AH$164,"Mid-floor view premium fully loaded. ","")&amp;IF(D918=Assumptions!$P$164,"High-floor view premium fully loaded. ","")&amp;IF(Q918&lt;=K918,"At developer starting price.",""))</f>
        <v>High-floor view premium fully loaded.</v>
      </c>
      <c r="T918" s="48" t="str">
        <f>Assumptions!$AJ$164</f>
        <v>NNE. View towards Thomson Three &amp; Sin Ming HDB; Paw Garden pavilion in front of low floors</v>
      </c>
    </row>
    <row r="919" spans="1:20" x14ac:dyDescent="0.2">
      <c r="A919" s="13" t="s">
        <v>1081</v>
      </c>
      <c r="B919" s="14">
        <v>9</v>
      </c>
      <c r="C919" s="40">
        <v>38</v>
      </c>
      <c r="D919" s="40">
        <v>15</v>
      </c>
      <c r="E919" s="9" t="s">
        <v>43</v>
      </c>
      <c r="F919" s="14" t="s">
        <v>159</v>
      </c>
      <c r="G919" s="10">
        <v>678</v>
      </c>
      <c r="H919" s="14" t="s">
        <v>62</v>
      </c>
      <c r="I919" s="41" t="str">
        <f>Assumptions!$I$164</f>
        <v>E</v>
      </c>
      <c r="J919" s="14" t="str">
        <f>IF(D919&lt;=Assumptions!$V$164,"Low",IF(D919&lt;=Assumptions!$W$164,"Mid","High"))</f>
        <v>Mid</v>
      </c>
      <c r="K919" s="15">
        <f>Assumptions!$Q$164</f>
        <v>2613</v>
      </c>
      <c r="L919" s="42">
        <f>INDEX(Assumptions!$C$61:$C$90,D919)</f>
        <v>2914.15</v>
      </c>
      <c r="M919" s="43">
        <f>IF(D919&lt;=Assumptions!$G$164,Assumptions!$AK$164,IF(D919&lt;Assumptions!$AH$164,Assumptions!$AK$164+(Assumptions!$AL$164-Assumptions!$AK$164)*(D919-Assumptions!$G$164)/(Assumptions!$AH$164-Assumptions!$G$164),IF(D919&lt;Assumptions!$P$164,Assumptions!$AL$164+(Assumptions!$AM$164-Assumptions!$AL$164)*(D919-Assumptions!$AH$164)/(Assumptions!$P$164-Assumptions!$AH$164),Assumptions!$AM$164)))</f>
        <v>-50000</v>
      </c>
      <c r="N919" s="44">
        <f t="shared" si="28"/>
        <v>-73.746312684365776</v>
      </c>
      <c r="O919" s="45">
        <f t="shared" si="29"/>
        <v>2840</v>
      </c>
      <c r="P919" s="14" t="str">
        <f>IF(D919&gt;=Assumptions!$P$164,"High",IF(D919&gt;=Assumptions!$AH$164,"Mid",IF(D919&lt;=Assumptions!$G$164,"Low","Loading")))</f>
        <v>Mid</v>
      </c>
      <c r="Q919" s="46">
        <f>MAX(K919,MIN(Assumptions!$S$164,O919),Q920)</f>
        <v>2840</v>
      </c>
      <c r="R919" s="12">
        <f>IF(AND(Q919&lt;=K919,INDEX(Assumptions!$C$26:$C$36,MATCH(G919,Assumptions!$A$26:$A$36,0))&lt;&gt;""),INDEX(Assumptions!$C$26:$C$36,MATCH(G919,Assumptions!$A$26:$A$36,0)),ROUND(G919*Q919,-2))</f>
        <v>1925500</v>
      </c>
      <c r="S919" s="47" t="str">
        <f>TRIM(IF(AND(Assumptions!$L$164&lt;&gt;"",D919&lt;Assumptions!$L$164),"View blocked / roof in front ("&amp;Assumptions!$M$164&amp;"); view premium still loading until L"&amp;Assumptions!$L$164&amp;". ","")&amp;IF(D919=Assumptions!$AH$164,"Mid-floor view premium fully loaded. ","")&amp;IF(D919=Assumptions!$P$164,"High-floor view premium fully loaded. ","")&amp;IF(Q919&lt;=K919,"At developer starting price.",""))</f>
        <v/>
      </c>
      <c r="T919" s="48" t="str">
        <f>Assumptions!$AJ$164</f>
        <v>NNE. View towards Thomson Three &amp; Sin Ming HDB; Paw Garden pavilion in front of low floors</v>
      </c>
    </row>
    <row r="920" spans="1:20" x14ac:dyDescent="0.2">
      <c r="A920" s="13" t="s">
        <v>1082</v>
      </c>
      <c r="B920" s="14">
        <v>9</v>
      </c>
      <c r="C920" s="40">
        <v>38</v>
      </c>
      <c r="D920" s="40">
        <v>14</v>
      </c>
      <c r="E920" s="9" t="s">
        <v>43</v>
      </c>
      <c r="F920" s="14" t="s">
        <v>159</v>
      </c>
      <c r="G920" s="10">
        <v>678</v>
      </c>
      <c r="H920" s="14" t="s">
        <v>62</v>
      </c>
      <c r="I920" s="41" t="str">
        <f>Assumptions!$I$164</f>
        <v>E</v>
      </c>
      <c r="J920" s="14" t="str">
        <f>IF(D920&lt;=Assumptions!$V$164,"Low",IF(D920&lt;=Assumptions!$W$164,"Mid","High"))</f>
        <v>Mid</v>
      </c>
      <c r="K920" s="15">
        <f>Assumptions!$Q$164</f>
        <v>2613</v>
      </c>
      <c r="L920" s="42">
        <f>INDEX(Assumptions!$C$61:$C$90,D920)</f>
        <v>2891.3642857142859</v>
      </c>
      <c r="M920" s="43">
        <f>IF(D920&lt;=Assumptions!$G$164,Assumptions!$AK$164,IF(D920&lt;Assumptions!$AH$164,Assumptions!$AK$164+(Assumptions!$AL$164-Assumptions!$AK$164)*(D920-Assumptions!$G$164)/(Assumptions!$AH$164-Assumptions!$G$164),IF(D920&lt;Assumptions!$P$164,Assumptions!$AL$164+(Assumptions!$AM$164-Assumptions!$AL$164)*(D920-Assumptions!$AH$164)/(Assumptions!$P$164-Assumptions!$AH$164),Assumptions!$AM$164)))</f>
        <v>-50000</v>
      </c>
      <c r="N920" s="44">
        <f t="shared" si="28"/>
        <v>-73.746312684365776</v>
      </c>
      <c r="O920" s="45">
        <f t="shared" si="29"/>
        <v>2818</v>
      </c>
      <c r="P920" s="14" t="str">
        <f>IF(D920&gt;=Assumptions!$P$164,"High",IF(D920&gt;=Assumptions!$AH$164,"Mid",IF(D920&lt;=Assumptions!$G$164,"Low","Loading")))</f>
        <v>Mid</v>
      </c>
      <c r="Q920" s="46">
        <f>MAX(K920,MIN(Assumptions!$S$164,O920),Q921)</f>
        <v>2818</v>
      </c>
      <c r="R920" s="12">
        <f>IF(AND(Q920&lt;=K920,INDEX(Assumptions!$C$26:$C$36,MATCH(G920,Assumptions!$A$26:$A$36,0))&lt;&gt;""),INDEX(Assumptions!$C$26:$C$36,MATCH(G920,Assumptions!$A$26:$A$36,0)),ROUND(G920*Q920,-2))</f>
        <v>1910600</v>
      </c>
      <c r="S920" s="47" t="str">
        <f>TRIM(IF(AND(Assumptions!$L$164&lt;&gt;"",D920&lt;Assumptions!$L$164),"View blocked / roof in front ("&amp;Assumptions!$M$164&amp;"); view premium still loading until L"&amp;Assumptions!$L$164&amp;". ","")&amp;IF(D920=Assumptions!$AH$164,"Mid-floor view premium fully loaded. ","")&amp;IF(D920=Assumptions!$P$164,"High-floor view premium fully loaded. ","")&amp;IF(Q920&lt;=K920,"At developer starting price.",""))</f>
        <v/>
      </c>
      <c r="T920" s="48" t="str">
        <f>Assumptions!$AJ$164</f>
        <v>NNE. View towards Thomson Three &amp; Sin Ming HDB; Paw Garden pavilion in front of low floors</v>
      </c>
    </row>
    <row r="921" spans="1:20" x14ac:dyDescent="0.2">
      <c r="A921" s="13" t="s">
        <v>1083</v>
      </c>
      <c r="B921" s="14">
        <v>9</v>
      </c>
      <c r="C921" s="40">
        <v>38</v>
      </c>
      <c r="D921" s="40">
        <v>13</v>
      </c>
      <c r="E921" s="9" t="s">
        <v>43</v>
      </c>
      <c r="F921" s="14" t="s">
        <v>159</v>
      </c>
      <c r="G921" s="10">
        <v>678</v>
      </c>
      <c r="H921" s="14" t="s">
        <v>62</v>
      </c>
      <c r="I921" s="41" t="str">
        <f>Assumptions!$I$164</f>
        <v>E</v>
      </c>
      <c r="J921" s="14" t="str">
        <f>IF(D921&lt;=Assumptions!$V$164,"Low",IF(D921&lt;=Assumptions!$W$164,"Mid","High"))</f>
        <v>Mid</v>
      </c>
      <c r="K921" s="15">
        <f>Assumptions!$Q$164</f>
        <v>2613</v>
      </c>
      <c r="L921" s="42">
        <f>INDEX(Assumptions!$C$61:$C$90,D921)</f>
        <v>2868.5785714285716</v>
      </c>
      <c r="M921" s="43">
        <f>IF(D921&lt;=Assumptions!$G$164,Assumptions!$AK$164,IF(D921&lt;Assumptions!$AH$164,Assumptions!$AK$164+(Assumptions!$AL$164-Assumptions!$AK$164)*(D921-Assumptions!$G$164)/(Assumptions!$AH$164-Assumptions!$G$164),IF(D921&lt;Assumptions!$P$164,Assumptions!$AL$164+(Assumptions!$AM$164-Assumptions!$AL$164)*(D921-Assumptions!$AH$164)/(Assumptions!$P$164-Assumptions!$AH$164),Assumptions!$AM$164)))</f>
        <v>-50000</v>
      </c>
      <c r="N921" s="44">
        <f t="shared" si="28"/>
        <v>-73.746312684365776</v>
      </c>
      <c r="O921" s="45">
        <f t="shared" si="29"/>
        <v>2795</v>
      </c>
      <c r="P921" s="14" t="str">
        <f>IF(D921&gt;=Assumptions!$P$164,"High",IF(D921&gt;=Assumptions!$AH$164,"Mid",IF(D921&lt;=Assumptions!$G$164,"Low","Loading")))</f>
        <v>Mid</v>
      </c>
      <c r="Q921" s="46">
        <f>MAX(K921,MIN(Assumptions!$S$164,O921),Q922)</f>
        <v>2795</v>
      </c>
      <c r="R921" s="12">
        <f>IF(AND(Q921&lt;=K921,INDEX(Assumptions!$C$26:$C$36,MATCH(G921,Assumptions!$A$26:$A$36,0))&lt;&gt;""),INDEX(Assumptions!$C$26:$C$36,MATCH(G921,Assumptions!$A$26:$A$36,0)),ROUND(G921*Q921,-2))</f>
        <v>1895000</v>
      </c>
      <c r="S921" s="47" t="str">
        <f>TRIM(IF(AND(Assumptions!$L$164&lt;&gt;"",D921&lt;Assumptions!$L$164),"View blocked / roof in front ("&amp;Assumptions!$M$164&amp;"); view premium still loading until L"&amp;Assumptions!$L$164&amp;". ","")&amp;IF(D921=Assumptions!$AH$164,"Mid-floor view premium fully loaded. ","")&amp;IF(D921=Assumptions!$P$164,"High-floor view premium fully loaded. ","")&amp;IF(Q921&lt;=K921,"At developer starting price.",""))</f>
        <v/>
      </c>
      <c r="T921" s="48" t="str">
        <f>Assumptions!$AJ$164</f>
        <v>NNE. View towards Thomson Three &amp; Sin Ming HDB; Paw Garden pavilion in front of low floors</v>
      </c>
    </row>
    <row r="922" spans="1:20" x14ac:dyDescent="0.2">
      <c r="A922" s="13" t="s">
        <v>1084</v>
      </c>
      <c r="B922" s="14">
        <v>9</v>
      </c>
      <c r="C922" s="40">
        <v>38</v>
      </c>
      <c r="D922" s="40">
        <v>12</v>
      </c>
      <c r="E922" s="9" t="s">
        <v>43</v>
      </c>
      <c r="F922" s="14" t="s">
        <v>159</v>
      </c>
      <c r="G922" s="10">
        <v>678</v>
      </c>
      <c r="H922" s="14" t="s">
        <v>62</v>
      </c>
      <c r="I922" s="41" t="str">
        <f>Assumptions!$I$164</f>
        <v>E</v>
      </c>
      <c r="J922" s="14" t="str">
        <f>IF(D922&lt;=Assumptions!$V$164,"Low",IF(D922&lt;=Assumptions!$W$164,"Mid","High"))</f>
        <v>Mid</v>
      </c>
      <c r="K922" s="15">
        <f>Assumptions!$Q$164</f>
        <v>2613</v>
      </c>
      <c r="L922" s="42">
        <f>INDEX(Assumptions!$C$61:$C$90,D922)</f>
        <v>2845.7928571428574</v>
      </c>
      <c r="M922" s="43">
        <f>IF(D922&lt;=Assumptions!$G$164,Assumptions!$AK$164,IF(D922&lt;Assumptions!$AH$164,Assumptions!$AK$164+(Assumptions!$AL$164-Assumptions!$AK$164)*(D922-Assumptions!$G$164)/(Assumptions!$AH$164-Assumptions!$G$164),IF(D922&lt;Assumptions!$P$164,Assumptions!$AL$164+(Assumptions!$AM$164-Assumptions!$AL$164)*(D922-Assumptions!$AH$164)/(Assumptions!$P$164-Assumptions!$AH$164),Assumptions!$AM$164)))</f>
        <v>-50000</v>
      </c>
      <c r="N922" s="44">
        <f t="shared" si="28"/>
        <v>-73.746312684365776</v>
      </c>
      <c r="O922" s="45">
        <f t="shared" si="29"/>
        <v>2772</v>
      </c>
      <c r="P922" s="14" t="str">
        <f>IF(D922&gt;=Assumptions!$P$164,"High",IF(D922&gt;=Assumptions!$AH$164,"Mid",IF(D922&lt;=Assumptions!$G$164,"Low","Loading")))</f>
        <v>Mid</v>
      </c>
      <c r="Q922" s="46">
        <f>MAX(K922,MIN(Assumptions!$S$164,O922),Q923)</f>
        <v>2772</v>
      </c>
      <c r="R922" s="12">
        <f>IF(AND(Q922&lt;=K922,INDEX(Assumptions!$C$26:$C$36,MATCH(G922,Assumptions!$A$26:$A$36,0))&lt;&gt;""),INDEX(Assumptions!$C$26:$C$36,MATCH(G922,Assumptions!$A$26:$A$36,0)),ROUND(G922*Q922,-2))</f>
        <v>1879400</v>
      </c>
      <c r="S922" s="47" t="str">
        <f>TRIM(IF(AND(Assumptions!$L$164&lt;&gt;"",D922&lt;Assumptions!$L$164),"View blocked / roof in front ("&amp;Assumptions!$M$164&amp;"); view premium still loading until L"&amp;Assumptions!$L$164&amp;". ","")&amp;IF(D922=Assumptions!$AH$164,"Mid-floor view premium fully loaded. ","")&amp;IF(D922=Assumptions!$P$164,"High-floor view premium fully loaded. ","")&amp;IF(Q922&lt;=K922,"At developer starting price.",""))</f>
        <v/>
      </c>
      <c r="T922" s="48" t="str">
        <f>Assumptions!$AJ$164</f>
        <v>NNE. View towards Thomson Three &amp; Sin Ming HDB; Paw Garden pavilion in front of low floors</v>
      </c>
    </row>
    <row r="923" spans="1:20" x14ac:dyDescent="0.2">
      <c r="A923" s="13" t="s">
        <v>1085</v>
      </c>
      <c r="B923" s="14">
        <v>9</v>
      </c>
      <c r="C923" s="40">
        <v>38</v>
      </c>
      <c r="D923" s="40">
        <v>11</v>
      </c>
      <c r="E923" s="9" t="s">
        <v>43</v>
      </c>
      <c r="F923" s="14" t="s">
        <v>159</v>
      </c>
      <c r="G923" s="10">
        <v>678</v>
      </c>
      <c r="H923" s="14" t="s">
        <v>62</v>
      </c>
      <c r="I923" s="41" t="str">
        <f>Assumptions!$I$164</f>
        <v>E</v>
      </c>
      <c r="J923" s="14" t="str">
        <f>IF(D923&lt;=Assumptions!$V$164,"Low",IF(D923&lt;=Assumptions!$W$164,"Mid","High"))</f>
        <v>Mid</v>
      </c>
      <c r="K923" s="15">
        <f>Assumptions!$Q$164</f>
        <v>2613</v>
      </c>
      <c r="L923" s="42">
        <f>INDEX(Assumptions!$C$61:$C$90,D923)</f>
        <v>2826.6287532991773</v>
      </c>
      <c r="M923" s="43">
        <f>IF(D923&lt;=Assumptions!$G$164,Assumptions!$AK$164,IF(D923&lt;Assumptions!$AH$164,Assumptions!$AK$164+(Assumptions!$AL$164-Assumptions!$AK$164)*(D923-Assumptions!$G$164)/(Assumptions!$AH$164-Assumptions!$G$164),IF(D923&lt;Assumptions!$P$164,Assumptions!$AL$164+(Assumptions!$AM$164-Assumptions!$AL$164)*(D923-Assumptions!$AH$164)/(Assumptions!$P$164-Assumptions!$AH$164),Assumptions!$AM$164)))</f>
        <v>-50000</v>
      </c>
      <c r="N923" s="44">
        <f t="shared" si="28"/>
        <v>-73.746312684365776</v>
      </c>
      <c r="O923" s="45">
        <f t="shared" si="29"/>
        <v>2753</v>
      </c>
      <c r="P923" s="14" t="str">
        <f>IF(D923&gt;=Assumptions!$P$164,"High",IF(D923&gt;=Assumptions!$AH$164,"Mid",IF(D923&lt;=Assumptions!$G$164,"Low","Loading")))</f>
        <v>Mid</v>
      </c>
      <c r="Q923" s="46">
        <f>MAX(K923,MIN(Assumptions!$S$164,O923),Q924)</f>
        <v>2753</v>
      </c>
      <c r="R923" s="12">
        <f>IF(AND(Q923&lt;=K923,INDEX(Assumptions!$C$26:$C$36,MATCH(G923,Assumptions!$A$26:$A$36,0))&lt;&gt;""),INDEX(Assumptions!$C$26:$C$36,MATCH(G923,Assumptions!$A$26:$A$36,0)),ROUND(G923*Q923,-2))</f>
        <v>1866500</v>
      </c>
      <c r="S923" s="47" t="str">
        <f>TRIM(IF(AND(Assumptions!$L$164&lt;&gt;"",D923&lt;Assumptions!$L$164),"View blocked / roof in front ("&amp;Assumptions!$M$164&amp;"); view premium still loading until L"&amp;Assumptions!$L$164&amp;". ","")&amp;IF(D923=Assumptions!$AH$164,"Mid-floor view premium fully loaded. ","")&amp;IF(D923=Assumptions!$P$164,"High-floor view premium fully loaded. ","")&amp;IF(Q923&lt;=K923,"At developer starting price.",""))</f>
        <v/>
      </c>
      <c r="T923" s="48" t="str">
        <f>Assumptions!$AJ$164</f>
        <v>NNE. View towards Thomson Three &amp; Sin Ming HDB; Paw Garden pavilion in front of low floors</v>
      </c>
    </row>
    <row r="924" spans="1:20" x14ac:dyDescent="0.2">
      <c r="A924" s="13" t="s">
        <v>1086</v>
      </c>
      <c r="B924" s="14">
        <v>9</v>
      </c>
      <c r="C924" s="40">
        <v>38</v>
      </c>
      <c r="D924" s="40">
        <v>10</v>
      </c>
      <c r="E924" s="9" t="s">
        <v>43</v>
      </c>
      <c r="F924" s="14" t="s">
        <v>159</v>
      </c>
      <c r="G924" s="10">
        <v>678</v>
      </c>
      <c r="H924" s="14" t="s">
        <v>62</v>
      </c>
      <c r="I924" s="41" t="str">
        <f>Assumptions!$I$164</f>
        <v>E</v>
      </c>
      <c r="J924" s="14" t="str">
        <f>IF(D924&lt;=Assumptions!$V$164,"Low",IF(D924&lt;=Assumptions!$W$164,"Mid","High"))</f>
        <v>Mid</v>
      </c>
      <c r="K924" s="15">
        <f>Assumptions!$Q$164</f>
        <v>2613</v>
      </c>
      <c r="L924" s="42">
        <f>INDEX(Assumptions!$C$61:$C$90,D924)</f>
        <v>2811.0862598975314</v>
      </c>
      <c r="M924" s="43">
        <f>IF(D924&lt;=Assumptions!$G$164,Assumptions!$AK$164,IF(D924&lt;Assumptions!$AH$164,Assumptions!$AK$164+(Assumptions!$AL$164-Assumptions!$AK$164)*(D924-Assumptions!$G$164)/(Assumptions!$AH$164-Assumptions!$G$164),IF(D924&lt;Assumptions!$P$164,Assumptions!$AL$164+(Assumptions!$AM$164-Assumptions!$AL$164)*(D924-Assumptions!$AH$164)/(Assumptions!$P$164-Assumptions!$AH$164),Assumptions!$AM$164)))</f>
        <v>-50000</v>
      </c>
      <c r="N924" s="44">
        <f t="shared" si="28"/>
        <v>-73.746312684365776</v>
      </c>
      <c r="O924" s="45">
        <f t="shared" si="29"/>
        <v>2737</v>
      </c>
      <c r="P924" s="14" t="str">
        <f>IF(D924&gt;=Assumptions!$P$164,"High",IF(D924&gt;=Assumptions!$AH$164,"Mid",IF(D924&lt;=Assumptions!$G$164,"Low","Loading")))</f>
        <v>Mid</v>
      </c>
      <c r="Q924" s="46">
        <f>MAX(K924,MIN(Assumptions!$S$164,O924),Q925)</f>
        <v>2737</v>
      </c>
      <c r="R924" s="12">
        <f>IF(AND(Q924&lt;=K924,INDEX(Assumptions!$C$26:$C$36,MATCH(G924,Assumptions!$A$26:$A$36,0))&lt;&gt;""),INDEX(Assumptions!$C$26:$C$36,MATCH(G924,Assumptions!$A$26:$A$36,0)),ROUND(G924*Q924,-2))</f>
        <v>1855700</v>
      </c>
      <c r="S924" s="47" t="str">
        <f>TRIM(IF(AND(Assumptions!$L$164&lt;&gt;"",D924&lt;Assumptions!$L$164),"View blocked / roof in front ("&amp;Assumptions!$M$164&amp;"); view premium still loading until L"&amp;Assumptions!$L$164&amp;". ","")&amp;IF(D924=Assumptions!$AH$164,"Mid-floor view premium fully loaded. ","")&amp;IF(D924=Assumptions!$P$164,"High-floor view premium fully loaded. ","")&amp;IF(Q924&lt;=K924,"At developer starting price.",""))</f>
        <v/>
      </c>
      <c r="T924" s="48" t="str">
        <f>Assumptions!$AJ$164</f>
        <v>NNE. View towards Thomson Three &amp; Sin Ming HDB; Paw Garden pavilion in front of low floors</v>
      </c>
    </row>
    <row r="925" spans="1:20" x14ac:dyDescent="0.2">
      <c r="A925" s="13" t="s">
        <v>1087</v>
      </c>
      <c r="B925" s="14">
        <v>9</v>
      </c>
      <c r="C925" s="40">
        <v>38</v>
      </c>
      <c r="D925" s="40">
        <v>9</v>
      </c>
      <c r="E925" s="9" t="s">
        <v>43</v>
      </c>
      <c r="F925" s="14" t="s">
        <v>159</v>
      </c>
      <c r="G925" s="10">
        <v>678</v>
      </c>
      <c r="H925" s="14" t="s">
        <v>62</v>
      </c>
      <c r="I925" s="41" t="str">
        <f>Assumptions!$I$164</f>
        <v>E</v>
      </c>
      <c r="J925" s="14" t="str">
        <f>IF(D925&lt;=Assumptions!$V$164,"Low",IF(D925&lt;=Assumptions!$W$164,"Mid","High"))</f>
        <v>Mid</v>
      </c>
      <c r="K925" s="15">
        <f>Assumptions!$Q$164</f>
        <v>2613</v>
      </c>
      <c r="L925" s="42">
        <f>INDEX(Assumptions!$C$61:$C$90,D925)</f>
        <v>2795.5437664958858</v>
      </c>
      <c r="M925" s="43">
        <f>IF(D925&lt;=Assumptions!$G$164,Assumptions!$AK$164,IF(D925&lt;Assumptions!$AH$164,Assumptions!$AK$164+(Assumptions!$AL$164-Assumptions!$AK$164)*(D925-Assumptions!$G$164)/(Assumptions!$AH$164-Assumptions!$G$164),IF(D925&lt;Assumptions!$P$164,Assumptions!$AL$164+(Assumptions!$AM$164-Assumptions!$AL$164)*(D925-Assumptions!$AH$164)/(Assumptions!$P$164-Assumptions!$AH$164),Assumptions!$AM$164)))</f>
        <v>-50000</v>
      </c>
      <c r="N925" s="44">
        <f t="shared" si="28"/>
        <v>-73.746312684365776</v>
      </c>
      <c r="O925" s="45">
        <f t="shared" si="29"/>
        <v>2722</v>
      </c>
      <c r="P925" s="14" t="str">
        <f>IF(D925&gt;=Assumptions!$P$164,"High",IF(D925&gt;=Assumptions!$AH$164,"Mid",IF(D925&lt;=Assumptions!$G$164,"Low","Loading")))</f>
        <v>Mid</v>
      </c>
      <c r="Q925" s="46">
        <f>MAX(K925,MIN(Assumptions!$S$164,O925),Q926)</f>
        <v>2722</v>
      </c>
      <c r="R925" s="12">
        <f>IF(AND(Q925&lt;=K925,INDEX(Assumptions!$C$26:$C$36,MATCH(G925,Assumptions!$A$26:$A$36,0))&lt;&gt;""),INDEX(Assumptions!$C$26:$C$36,MATCH(G925,Assumptions!$A$26:$A$36,0)),ROUND(G925*Q925,-2))</f>
        <v>1845500</v>
      </c>
      <c r="S925" s="47" t="str">
        <f>TRIM(IF(AND(Assumptions!$L$164&lt;&gt;"",D925&lt;Assumptions!$L$164),"View blocked / roof in front ("&amp;Assumptions!$M$164&amp;"); view premium still loading until L"&amp;Assumptions!$L$164&amp;". ","")&amp;IF(D925=Assumptions!$AH$164,"Mid-floor view premium fully loaded. ","")&amp;IF(D925=Assumptions!$P$164,"High-floor view premium fully loaded. ","")&amp;IF(Q925&lt;=K925,"At developer starting price.",""))</f>
        <v/>
      </c>
      <c r="T925" s="48" t="str">
        <f>Assumptions!$AJ$164</f>
        <v>NNE. View towards Thomson Three &amp; Sin Ming HDB; Paw Garden pavilion in front of low floors</v>
      </c>
    </row>
    <row r="926" spans="1:20" x14ac:dyDescent="0.2">
      <c r="A926" s="13" t="s">
        <v>1088</v>
      </c>
      <c r="B926" s="14">
        <v>9</v>
      </c>
      <c r="C926" s="40">
        <v>38</v>
      </c>
      <c r="D926" s="40">
        <v>8</v>
      </c>
      <c r="E926" s="9" t="s">
        <v>43</v>
      </c>
      <c r="F926" s="14" t="s">
        <v>159</v>
      </c>
      <c r="G926" s="10">
        <v>678</v>
      </c>
      <c r="H926" s="14" t="s">
        <v>62</v>
      </c>
      <c r="I926" s="41" t="str">
        <f>Assumptions!$I$164</f>
        <v>E</v>
      </c>
      <c r="J926" s="14" t="str">
        <f>IF(D926&lt;=Assumptions!$V$164,"Low",IF(D926&lt;=Assumptions!$W$164,"Mid","High"))</f>
        <v>Mid</v>
      </c>
      <c r="K926" s="15">
        <f>Assumptions!$Q$164</f>
        <v>2613</v>
      </c>
      <c r="L926" s="42">
        <f>INDEX(Assumptions!$C$61:$C$90,D926)</f>
        <v>2780.0012730942403</v>
      </c>
      <c r="M926" s="43">
        <f>IF(D926&lt;=Assumptions!$G$164,Assumptions!$AK$164,IF(D926&lt;Assumptions!$AH$164,Assumptions!$AK$164+(Assumptions!$AL$164-Assumptions!$AK$164)*(D926-Assumptions!$G$164)/(Assumptions!$AH$164-Assumptions!$G$164),IF(D926&lt;Assumptions!$P$164,Assumptions!$AL$164+(Assumptions!$AM$164-Assumptions!$AL$164)*(D926-Assumptions!$AH$164)/(Assumptions!$P$164-Assumptions!$AH$164),Assumptions!$AM$164)))</f>
        <v>-50000</v>
      </c>
      <c r="N926" s="44">
        <f t="shared" si="28"/>
        <v>-73.746312684365776</v>
      </c>
      <c r="O926" s="45">
        <f t="shared" si="29"/>
        <v>2706</v>
      </c>
      <c r="P926" s="14" t="str">
        <f>IF(D926&gt;=Assumptions!$P$164,"High",IF(D926&gt;=Assumptions!$AH$164,"Mid",IF(D926&lt;=Assumptions!$G$164,"Low","Loading")))</f>
        <v>Mid</v>
      </c>
      <c r="Q926" s="46">
        <f>MAX(K926,MIN(Assumptions!$S$164,O926),Q927)</f>
        <v>2706</v>
      </c>
      <c r="R926" s="12">
        <f>IF(AND(Q926&lt;=K926,INDEX(Assumptions!$C$26:$C$36,MATCH(G926,Assumptions!$A$26:$A$36,0))&lt;&gt;""),INDEX(Assumptions!$C$26:$C$36,MATCH(G926,Assumptions!$A$26:$A$36,0)),ROUND(G926*Q926,-2))</f>
        <v>1834700</v>
      </c>
      <c r="S926" s="47" t="str">
        <f>TRIM(IF(AND(Assumptions!$L$164&lt;&gt;"",D926&lt;Assumptions!$L$164),"View blocked / roof in front ("&amp;Assumptions!$M$164&amp;"); view premium still loading until L"&amp;Assumptions!$L$164&amp;". ","")&amp;IF(D926=Assumptions!$AH$164,"Mid-floor view premium fully loaded. ","")&amp;IF(D926=Assumptions!$P$164,"High-floor view premium fully loaded. ","")&amp;IF(Q926&lt;=K926,"At developer starting price.",""))</f>
        <v>Mid-floor view premium fully loaded.</v>
      </c>
      <c r="T926" s="48" t="str">
        <f>Assumptions!$AJ$164</f>
        <v>NNE. View towards Thomson Three &amp; Sin Ming HDB; Paw Garden pavilion in front of low floors</v>
      </c>
    </row>
    <row r="927" spans="1:20" x14ac:dyDescent="0.2">
      <c r="A927" s="13" t="s">
        <v>1089</v>
      </c>
      <c r="B927" s="14">
        <v>9</v>
      </c>
      <c r="C927" s="40">
        <v>38</v>
      </c>
      <c r="D927" s="40">
        <v>7</v>
      </c>
      <c r="E927" s="9" t="s">
        <v>43</v>
      </c>
      <c r="F927" s="14" t="s">
        <v>159</v>
      </c>
      <c r="G927" s="10">
        <v>678</v>
      </c>
      <c r="H927" s="14" t="s">
        <v>62</v>
      </c>
      <c r="I927" s="41" t="str">
        <f>Assumptions!$I$164</f>
        <v>E</v>
      </c>
      <c r="J927" s="14" t="str">
        <f>IF(D927&lt;=Assumptions!$V$164,"Low",IF(D927&lt;=Assumptions!$W$164,"Mid","High"))</f>
        <v>Low</v>
      </c>
      <c r="K927" s="15">
        <f>Assumptions!$Q$164</f>
        <v>2613</v>
      </c>
      <c r="L927" s="42">
        <f>INDEX(Assumptions!$C$61:$C$90,D927)</f>
        <v>2764.4587796925944</v>
      </c>
      <c r="M927" s="43">
        <f>IF(D927&lt;=Assumptions!$G$164,Assumptions!$AK$164,IF(D927&lt;Assumptions!$AH$164,Assumptions!$AK$164+(Assumptions!$AL$164-Assumptions!$AK$164)*(D927-Assumptions!$G$164)/(Assumptions!$AH$164-Assumptions!$G$164),IF(D927&lt;Assumptions!$P$164,Assumptions!$AL$164+(Assumptions!$AM$164-Assumptions!$AL$164)*(D927-Assumptions!$AH$164)/(Assumptions!$P$164-Assumptions!$AH$164),Assumptions!$AM$164)))</f>
        <v>-50000</v>
      </c>
      <c r="N927" s="44">
        <f t="shared" si="28"/>
        <v>-73.746312684365776</v>
      </c>
      <c r="O927" s="45">
        <f t="shared" si="29"/>
        <v>2691</v>
      </c>
      <c r="P927" s="14" t="str">
        <f>IF(D927&gt;=Assumptions!$P$164,"High",IF(D927&gt;=Assumptions!$AH$164,"Mid",IF(D927&lt;=Assumptions!$G$164,"Low","Loading")))</f>
        <v>Loading</v>
      </c>
      <c r="Q927" s="46">
        <f>MAX(K927,MIN(Assumptions!$S$164,O927),Q928)</f>
        <v>2691</v>
      </c>
      <c r="R927" s="12">
        <f>IF(AND(Q927&lt;=K927,INDEX(Assumptions!$C$26:$C$36,MATCH(G927,Assumptions!$A$26:$A$36,0))&lt;&gt;""),INDEX(Assumptions!$C$26:$C$36,MATCH(G927,Assumptions!$A$26:$A$36,0)),ROUND(G927*Q927,-2))</f>
        <v>1824500</v>
      </c>
      <c r="S927" s="47" t="str">
        <f>TRIM(IF(AND(Assumptions!$L$164&lt;&gt;"",D927&lt;Assumptions!$L$164),"View blocked / roof in front ("&amp;Assumptions!$M$164&amp;"); view premium still loading until L"&amp;Assumptions!$L$164&amp;". ","")&amp;IF(D927=Assumptions!$AH$164,"Mid-floor view premium fully loaded. ","")&amp;IF(D927=Assumptions!$P$164,"High-floor view premium fully loaded. ","")&amp;IF(Q927&lt;=K927,"At developer starting price.",""))</f>
        <v/>
      </c>
      <c r="T927" s="48" t="str">
        <f>Assumptions!$AJ$164</f>
        <v>NNE. View towards Thomson Three &amp; Sin Ming HDB; Paw Garden pavilion in front of low floors</v>
      </c>
    </row>
    <row r="928" spans="1:20" x14ac:dyDescent="0.2">
      <c r="A928" s="13" t="s">
        <v>1090</v>
      </c>
      <c r="B928" s="14">
        <v>9</v>
      </c>
      <c r="C928" s="40">
        <v>38</v>
      </c>
      <c r="D928" s="40">
        <v>6</v>
      </c>
      <c r="E928" s="9" t="s">
        <v>43</v>
      </c>
      <c r="F928" s="14" t="s">
        <v>159</v>
      </c>
      <c r="G928" s="10">
        <v>678</v>
      </c>
      <c r="H928" s="14" t="s">
        <v>62</v>
      </c>
      <c r="I928" s="41" t="str">
        <f>Assumptions!$I$164</f>
        <v>E</v>
      </c>
      <c r="J928" s="14" t="str">
        <f>IF(D928&lt;=Assumptions!$V$164,"Low",IF(D928&lt;=Assumptions!$W$164,"Mid","High"))</f>
        <v>Low</v>
      </c>
      <c r="K928" s="15">
        <f>Assumptions!$Q$164</f>
        <v>2613</v>
      </c>
      <c r="L928" s="42">
        <f>INDEX(Assumptions!$C$61:$C$90,D928)</f>
        <v>2748.9162862909488</v>
      </c>
      <c r="M928" s="43">
        <f>IF(D928&lt;=Assumptions!$G$164,Assumptions!$AK$164,IF(D928&lt;Assumptions!$AH$164,Assumptions!$AK$164+(Assumptions!$AL$164-Assumptions!$AK$164)*(D928-Assumptions!$G$164)/(Assumptions!$AH$164-Assumptions!$G$164),IF(D928&lt;Assumptions!$P$164,Assumptions!$AL$164+(Assumptions!$AM$164-Assumptions!$AL$164)*(D928-Assumptions!$AH$164)/(Assumptions!$P$164-Assumptions!$AH$164),Assumptions!$AM$164)))</f>
        <v>-50000</v>
      </c>
      <c r="N928" s="44">
        <f t="shared" si="28"/>
        <v>-73.746312684365776</v>
      </c>
      <c r="O928" s="45">
        <f t="shared" si="29"/>
        <v>2675</v>
      </c>
      <c r="P928" s="14" t="str">
        <f>IF(D928&gt;=Assumptions!$P$164,"High",IF(D928&gt;=Assumptions!$AH$164,"Mid",IF(D928&lt;=Assumptions!$G$164,"Low","Loading")))</f>
        <v>Loading</v>
      </c>
      <c r="Q928" s="46">
        <f>MAX(K928,MIN(Assumptions!$S$164,O928),Q929)</f>
        <v>2675</v>
      </c>
      <c r="R928" s="12">
        <f>IF(AND(Q928&lt;=K928,INDEX(Assumptions!$C$26:$C$36,MATCH(G928,Assumptions!$A$26:$A$36,0))&lt;&gt;""),INDEX(Assumptions!$C$26:$C$36,MATCH(G928,Assumptions!$A$26:$A$36,0)),ROUND(G928*Q928,-2))</f>
        <v>1813700</v>
      </c>
      <c r="S928" s="47" t="str">
        <f>TRIM(IF(AND(Assumptions!$L$164&lt;&gt;"",D928&lt;Assumptions!$L$164),"View blocked / roof in front ("&amp;Assumptions!$M$164&amp;"); view premium still loading until L"&amp;Assumptions!$L$164&amp;". ","")&amp;IF(D928=Assumptions!$AH$164,"Mid-floor view premium fully loaded. ","")&amp;IF(D928=Assumptions!$P$164,"High-floor view premium fully loaded. ","")&amp;IF(Q928&lt;=K928,"At developer starting price.",""))</f>
        <v/>
      </c>
      <c r="T928" s="48" t="str">
        <f>Assumptions!$AJ$164</f>
        <v>NNE. View towards Thomson Three &amp; Sin Ming HDB; Paw Garden pavilion in front of low floors</v>
      </c>
    </row>
    <row r="929" spans="1:20" x14ac:dyDescent="0.2">
      <c r="A929" s="13" t="s">
        <v>1091</v>
      </c>
      <c r="B929" s="14">
        <v>9</v>
      </c>
      <c r="C929" s="40">
        <v>38</v>
      </c>
      <c r="D929" s="40">
        <v>5</v>
      </c>
      <c r="E929" s="9" t="s">
        <v>43</v>
      </c>
      <c r="F929" s="14" t="s">
        <v>159</v>
      </c>
      <c r="G929" s="10">
        <v>678</v>
      </c>
      <c r="H929" s="14" t="s">
        <v>62</v>
      </c>
      <c r="I929" s="41" t="str">
        <f>Assumptions!$I$164</f>
        <v>E</v>
      </c>
      <c r="J929" s="14" t="str">
        <f>IF(D929&lt;=Assumptions!$V$164,"Low",IF(D929&lt;=Assumptions!$W$164,"Mid","High"))</f>
        <v>Low</v>
      </c>
      <c r="K929" s="15">
        <f>Assumptions!$Q$164</f>
        <v>2613</v>
      </c>
      <c r="L929" s="42">
        <f>INDEX(Assumptions!$C$61:$C$90,D929)</f>
        <v>2733.3737928893029</v>
      </c>
      <c r="M929" s="43">
        <f>IF(D929&lt;=Assumptions!$G$164,Assumptions!$AK$164,IF(D929&lt;Assumptions!$AH$164,Assumptions!$AK$164+(Assumptions!$AL$164-Assumptions!$AK$164)*(D929-Assumptions!$G$164)/(Assumptions!$AH$164-Assumptions!$G$164),IF(D929&lt;Assumptions!$P$164,Assumptions!$AL$164+(Assumptions!$AM$164-Assumptions!$AL$164)*(D929-Assumptions!$AH$164)/(Assumptions!$P$164-Assumptions!$AH$164),Assumptions!$AM$164)))</f>
        <v>-50000</v>
      </c>
      <c r="N929" s="44">
        <f t="shared" si="28"/>
        <v>-73.746312684365776</v>
      </c>
      <c r="O929" s="45">
        <f t="shared" si="29"/>
        <v>2660</v>
      </c>
      <c r="P929" s="14" t="str">
        <f>IF(D929&gt;=Assumptions!$P$164,"High",IF(D929&gt;=Assumptions!$AH$164,"Mid",IF(D929&lt;=Assumptions!$G$164,"Low","Loading")))</f>
        <v>Loading</v>
      </c>
      <c r="Q929" s="46">
        <f>MAX(K929,MIN(Assumptions!$S$164,O929),Q930)</f>
        <v>2660</v>
      </c>
      <c r="R929" s="12">
        <f>IF(AND(Q929&lt;=K929,INDEX(Assumptions!$C$26:$C$36,MATCH(G929,Assumptions!$A$26:$A$36,0))&lt;&gt;""),INDEX(Assumptions!$C$26:$C$36,MATCH(G929,Assumptions!$A$26:$A$36,0)),ROUND(G929*Q929,-2))</f>
        <v>1803500</v>
      </c>
      <c r="S929" s="47" t="str">
        <f>TRIM(IF(AND(Assumptions!$L$164&lt;&gt;"",D929&lt;Assumptions!$L$164),"View blocked / roof in front ("&amp;Assumptions!$M$164&amp;"); view premium still loading until L"&amp;Assumptions!$L$164&amp;". ","")&amp;IF(D929=Assumptions!$AH$164,"Mid-floor view premium fully loaded. ","")&amp;IF(D929=Assumptions!$P$164,"High-floor view premium fully loaded. ","")&amp;IF(Q929&lt;=K929,"At developer starting price.",""))</f>
        <v/>
      </c>
      <c r="T929" s="48" t="str">
        <f>Assumptions!$AJ$164</f>
        <v>NNE. View towards Thomson Three &amp; Sin Ming HDB; Paw Garden pavilion in front of low floors</v>
      </c>
    </row>
    <row r="930" spans="1:20" x14ac:dyDescent="0.2">
      <c r="A930" s="13" t="s">
        <v>1092</v>
      </c>
      <c r="B930" s="14">
        <v>9</v>
      </c>
      <c r="C930" s="40">
        <v>38</v>
      </c>
      <c r="D930" s="40">
        <v>4</v>
      </c>
      <c r="E930" s="9" t="s">
        <v>43</v>
      </c>
      <c r="F930" s="14" t="s">
        <v>159</v>
      </c>
      <c r="G930" s="10">
        <v>678</v>
      </c>
      <c r="H930" s="14" t="s">
        <v>62</v>
      </c>
      <c r="I930" s="41" t="str">
        <f>Assumptions!$I$164</f>
        <v>E</v>
      </c>
      <c r="J930" s="14" t="str">
        <f>IF(D930&lt;=Assumptions!$V$164,"Low",IF(D930&lt;=Assumptions!$W$164,"Mid","High"))</f>
        <v>Low</v>
      </c>
      <c r="K930" s="15">
        <f>Assumptions!$Q$164</f>
        <v>2613</v>
      </c>
      <c r="L930" s="42">
        <f>INDEX(Assumptions!$C$61:$C$90,D930)</f>
        <v>2717.8312994876574</v>
      </c>
      <c r="M930" s="43">
        <f>IF(D930&lt;=Assumptions!$G$164,Assumptions!$AK$164,IF(D930&lt;Assumptions!$AH$164,Assumptions!$AK$164+(Assumptions!$AL$164-Assumptions!$AK$164)*(D930-Assumptions!$G$164)/(Assumptions!$AH$164-Assumptions!$G$164),IF(D930&lt;Assumptions!$P$164,Assumptions!$AL$164+(Assumptions!$AM$164-Assumptions!$AL$164)*(D930-Assumptions!$AH$164)/(Assumptions!$P$164-Assumptions!$AH$164),Assumptions!$AM$164)))</f>
        <v>-50000</v>
      </c>
      <c r="N930" s="44">
        <f t="shared" si="28"/>
        <v>-73.746312684365776</v>
      </c>
      <c r="O930" s="45">
        <f t="shared" si="29"/>
        <v>2644</v>
      </c>
      <c r="P930" s="14" t="str">
        <f>IF(D930&gt;=Assumptions!$P$164,"High",IF(D930&gt;=Assumptions!$AH$164,"Mid",IF(D930&lt;=Assumptions!$G$164,"Low","Loading")))</f>
        <v>Loading</v>
      </c>
      <c r="Q930" s="46">
        <f>MAX(K930,MIN(Assumptions!$S$164,O930),Q931)</f>
        <v>2644</v>
      </c>
      <c r="R930" s="12">
        <f>IF(AND(Q930&lt;=K930,INDEX(Assumptions!$C$26:$C$36,MATCH(G930,Assumptions!$A$26:$A$36,0))&lt;&gt;""),INDEX(Assumptions!$C$26:$C$36,MATCH(G930,Assumptions!$A$26:$A$36,0)),ROUND(G930*Q930,-2))</f>
        <v>1792600</v>
      </c>
      <c r="S930" s="47" t="str">
        <f>TRIM(IF(AND(Assumptions!$L$164&lt;&gt;"",D930&lt;Assumptions!$L$164),"View blocked / roof in front ("&amp;Assumptions!$M$164&amp;"); view premium still loading until L"&amp;Assumptions!$L$164&amp;". ","")&amp;IF(D930=Assumptions!$AH$164,"Mid-floor view premium fully loaded. ","")&amp;IF(D930=Assumptions!$P$164,"High-floor view premium fully loaded. ","")&amp;IF(Q930&lt;=K930,"At developer starting price.",""))</f>
        <v>View blocked / roof in front (Paw Garden Pavilion: 21% of view, 25.8 to 32.7m away); view premium still loading until L5.</v>
      </c>
      <c r="T930" s="48" t="str">
        <f>Assumptions!$AJ$164</f>
        <v>NNE. View towards Thomson Three &amp; Sin Ming HDB; Paw Garden pavilion in front of low floors</v>
      </c>
    </row>
    <row r="931" spans="1:20" x14ac:dyDescent="0.2">
      <c r="A931" s="13" t="s">
        <v>1093</v>
      </c>
      <c r="B931" s="14">
        <v>9</v>
      </c>
      <c r="C931" s="40">
        <v>38</v>
      </c>
      <c r="D931" s="40">
        <v>3</v>
      </c>
      <c r="E931" s="9" t="s">
        <v>43</v>
      </c>
      <c r="F931" s="14" t="s">
        <v>159</v>
      </c>
      <c r="G931" s="10">
        <v>678</v>
      </c>
      <c r="H931" s="14" t="s">
        <v>62</v>
      </c>
      <c r="I931" s="41" t="str">
        <f>Assumptions!$I$164</f>
        <v>E</v>
      </c>
      <c r="J931" s="14" t="str">
        <f>IF(D931&lt;=Assumptions!$V$164,"Low",IF(D931&lt;=Assumptions!$W$164,"Mid","High"))</f>
        <v>Low</v>
      </c>
      <c r="K931" s="15">
        <f>Assumptions!$Q$164</f>
        <v>2613</v>
      </c>
      <c r="L931" s="42">
        <f>INDEX(Assumptions!$C$61:$C$90,D931)</f>
        <v>2702.2888060860114</v>
      </c>
      <c r="M931" s="43">
        <f>IF(D931&lt;=Assumptions!$G$164,Assumptions!$AK$164,IF(D931&lt;Assumptions!$AH$164,Assumptions!$AK$164+(Assumptions!$AL$164-Assumptions!$AK$164)*(D931-Assumptions!$G$164)/(Assumptions!$AH$164-Assumptions!$G$164),IF(D931&lt;Assumptions!$P$164,Assumptions!$AL$164+(Assumptions!$AM$164-Assumptions!$AL$164)*(D931-Assumptions!$AH$164)/(Assumptions!$P$164-Assumptions!$AH$164),Assumptions!$AM$164)))</f>
        <v>-50000</v>
      </c>
      <c r="N931" s="44">
        <f t="shared" si="28"/>
        <v>-73.746312684365776</v>
      </c>
      <c r="O931" s="45">
        <f t="shared" si="29"/>
        <v>2629</v>
      </c>
      <c r="P931" s="14" t="str">
        <f>IF(D931&gt;=Assumptions!$P$164,"High",IF(D931&gt;=Assumptions!$AH$164,"Mid",IF(D931&lt;=Assumptions!$G$164,"Low","Loading")))</f>
        <v>Loading</v>
      </c>
      <c r="Q931" s="46">
        <f>MAX(K931,MIN(Assumptions!$S$164,O931),Q932)</f>
        <v>2629</v>
      </c>
      <c r="R931" s="12">
        <f>IF(AND(Q931&lt;=K931,INDEX(Assumptions!$C$26:$C$36,MATCH(G931,Assumptions!$A$26:$A$36,0))&lt;&gt;""),INDEX(Assumptions!$C$26:$C$36,MATCH(G931,Assumptions!$A$26:$A$36,0)),ROUND(G931*Q931,-2))</f>
        <v>1782500</v>
      </c>
      <c r="S931" s="47" t="str">
        <f>TRIM(IF(AND(Assumptions!$L$164&lt;&gt;"",D931&lt;Assumptions!$L$164),"View blocked / roof in front ("&amp;Assumptions!$M$164&amp;"); view premium still loading until L"&amp;Assumptions!$L$164&amp;". ","")&amp;IF(D931=Assumptions!$AH$164,"Mid-floor view premium fully loaded. ","")&amp;IF(D931=Assumptions!$P$164,"High-floor view premium fully loaded. ","")&amp;IF(Q931&lt;=K931,"At developer starting price.",""))</f>
        <v>View blocked / roof in front (Paw Garden Pavilion: 21% of view, 25.8 to 32.7m away); view premium still loading until L5.</v>
      </c>
      <c r="T931" s="48" t="str">
        <f>Assumptions!$AJ$164</f>
        <v>NNE. View towards Thomson Three &amp; Sin Ming HDB; Paw Garden pavilion in front of low floors</v>
      </c>
    </row>
    <row r="932" spans="1:20" x14ac:dyDescent="0.2">
      <c r="A932" s="13" t="s">
        <v>1094</v>
      </c>
      <c r="B932" s="14">
        <v>9</v>
      </c>
      <c r="C932" s="40">
        <v>38</v>
      </c>
      <c r="D932" s="40">
        <v>2</v>
      </c>
      <c r="E932" s="9" t="s">
        <v>43</v>
      </c>
      <c r="F932" s="14" t="s">
        <v>179</v>
      </c>
      <c r="G932" s="10">
        <v>678</v>
      </c>
      <c r="H932" s="14" t="s">
        <v>62</v>
      </c>
      <c r="I932" s="41" t="str">
        <f>Assumptions!$I$164</f>
        <v>E</v>
      </c>
      <c r="J932" s="14" t="str">
        <f>IF(D932&lt;=Assumptions!$V$164,"Low",IF(D932&lt;=Assumptions!$W$164,"Mid","High"))</f>
        <v>Low</v>
      </c>
      <c r="K932" s="15">
        <f>Assumptions!$Q$164</f>
        <v>2613</v>
      </c>
      <c r="L932" s="42">
        <f>INDEX(Assumptions!$C$61:$C$90,D932)</f>
        <v>2686.7463126843659</v>
      </c>
      <c r="M932" s="43">
        <f>IF(D932&lt;=Assumptions!$G$164,Assumptions!$AK$164,IF(D932&lt;Assumptions!$AH$164,Assumptions!$AK$164+(Assumptions!$AL$164-Assumptions!$AK$164)*(D932-Assumptions!$G$164)/(Assumptions!$AH$164-Assumptions!$G$164),IF(D932&lt;Assumptions!$P$164,Assumptions!$AL$164+(Assumptions!$AM$164-Assumptions!$AL$164)*(D932-Assumptions!$AH$164)/(Assumptions!$P$164-Assumptions!$AH$164),Assumptions!$AM$164)))</f>
        <v>-50000</v>
      </c>
      <c r="N932" s="44">
        <f t="shared" si="28"/>
        <v>-73.746312684365776</v>
      </c>
      <c r="O932" s="45">
        <f t="shared" si="29"/>
        <v>2613</v>
      </c>
      <c r="P932" s="14" t="str">
        <f>IF(D932&gt;=Assumptions!$P$164,"High",IF(D932&gt;=Assumptions!$AH$164,"Mid",IF(D932&lt;=Assumptions!$G$164,"Low","Loading")))</f>
        <v>Low</v>
      </c>
      <c r="Q932" s="46">
        <f>MAX(K932,MIN(Assumptions!$S$164,O932))</f>
        <v>2613</v>
      </c>
      <c r="R932" s="12">
        <f>IF(AND(Q932&lt;=K932,INDEX(Assumptions!$C$26:$C$36,MATCH(G932,Assumptions!$A$26:$A$36,0))&lt;&gt;""),INDEX(Assumptions!$C$26:$C$36,MATCH(G932,Assumptions!$A$26:$A$36,0)),ROUND(G932*Q932,-2))</f>
        <v>1772000</v>
      </c>
      <c r="S932" s="47" t="str">
        <f>TRIM(IF(AND(Assumptions!$L$164&lt;&gt;"",D932&lt;Assumptions!$L$164),"View blocked / roof in front ("&amp;Assumptions!$M$164&amp;"); view premium still loading until L"&amp;Assumptions!$L$164&amp;". ","")&amp;IF(D932=Assumptions!$AH$164,"Mid-floor view premium fully loaded. ","")&amp;IF(D932=Assumptions!$P$164,"High-floor view premium fully loaded. ","")&amp;IF(Q932&lt;=K932,"At developer starting price.",""))</f>
        <v>View blocked / roof in front (Paw Garden Pavilion: 21% of view, 25.8 to 32.7m away); view premium still loading until L5. At developer starting price.</v>
      </c>
      <c r="T932" s="48" t="str">
        <f>Assumptions!$AJ$164</f>
        <v>NNE. View towards Thomson Three &amp; Sin Ming HDB; Paw Garden pavilion in front of low floors</v>
      </c>
    </row>
    <row r="933" spans="1:20" x14ac:dyDescent="0.2">
      <c r="A933" s="13" t="s">
        <v>1095</v>
      </c>
      <c r="B933" s="14">
        <v>9</v>
      </c>
      <c r="C933" s="40">
        <v>39</v>
      </c>
      <c r="D933" s="40">
        <v>21</v>
      </c>
      <c r="E933" s="9" t="s">
        <v>43</v>
      </c>
      <c r="F933" s="14" t="s">
        <v>137</v>
      </c>
      <c r="G933" s="10">
        <v>678</v>
      </c>
      <c r="H933" s="14" t="s">
        <v>62</v>
      </c>
      <c r="I933" s="41" t="str">
        <f>Assumptions!$I$165</f>
        <v>E</v>
      </c>
      <c r="J933" s="14" t="str">
        <f>IF(D933&lt;=Assumptions!$V$165,"Low",IF(D933&lt;=Assumptions!$W$165,"Mid","High"))</f>
        <v>High</v>
      </c>
      <c r="K933" s="15">
        <f>Assumptions!$Q$165</f>
        <v>2613</v>
      </c>
      <c r="L933" s="42">
        <f>INDEX(Assumptions!$C$61:$C$90,D933)</f>
        <v>3050.8642857142859</v>
      </c>
      <c r="M933" s="43">
        <f>IF(D933&lt;=Assumptions!$G$165,Assumptions!$AK$165,IF(D933&lt;Assumptions!$AH$165,Assumptions!$AK$165+(Assumptions!$AL$165-Assumptions!$AK$165)*(D933-Assumptions!$G$165)/(Assumptions!$AH$165-Assumptions!$G$165),IF(D933&lt;Assumptions!$P$165,Assumptions!$AL$165+(Assumptions!$AM$165-Assumptions!$AL$165)*(D933-Assumptions!$AH$165)/(Assumptions!$P$165-Assumptions!$AH$165),Assumptions!$AM$165)))</f>
        <v>-50000</v>
      </c>
      <c r="N933" s="44">
        <f t="shared" si="28"/>
        <v>-73.746312684365776</v>
      </c>
      <c r="O933" s="45">
        <f t="shared" si="29"/>
        <v>2977</v>
      </c>
      <c r="P933" s="14" t="str">
        <f>IF(D933&gt;=Assumptions!$P$165,"High",IF(D933&gt;=Assumptions!$AH$165,"Mid",IF(D933&lt;=Assumptions!$G$165,"Low","Loading")))</f>
        <v>High</v>
      </c>
      <c r="Q933" s="46">
        <f>MAX(K933,MIN(Assumptions!$S$165,O933),Q934)</f>
        <v>2977</v>
      </c>
      <c r="R933" s="12">
        <f>IF(AND(Q933&lt;=K933,INDEX(Assumptions!$C$26:$C$36,MATCH(G933,Assumptions!$A$26:$A$36,0))&lt;&gt;""),INDEX(Assumptions!$C$26:$C$36,MATCH(G933,Assumptions!$A$26:$A$36,0)),ROUND(G933*Q933,-2))</f>
        <v>2018400</v>
      </c>
      <c r="S933" s="47" t="str">
        <f>TRIM(IF(AND(Assumptions!$L$165&lt;&gt;"",D933&lt;Assumptions!$L$165),"View blocked / roof in front ("&amp;Assumptions!$M$165&amp;"); view premium still loading until L"&amp;Assumptions!$L$165&amp;". ","")&amp;IF(D933=Assumptions!$AH$165,"Mid-floor view premium fully loaded. ","")&amp;IF(D933=Assumptions!$P$165,"High-floor view premium fully loaded. ","")&amp;IF(Q933&lt;=K933,"At developer starting price.",""))</f>
        <v/>
      </c>
      <c r="T933" s="48" t="str">
        <f>Assumptions!$AJ$165</f>
        <v>NNE. View towards Thomson Three &amp; Sin Ming HDB; Paw Garden pavilion in front of low floors</v>
      </c>
    </row>
    <row r="934" spans="1:20" x14ac:dyDescent="0.2">
      <c r="A934" s="13" t="s">
        <v>1096</v>
      </c>
      <c r="B934" s="14">
        <v>9</v>
      </c>
      <c r="C934" s="40">
        <v>39</v>
      </c>
      <c r="D934" s="40">
        <v>20</v>
      </c>
      <c r="E934" s="9" t="s">
        <v>43</v>
      </c>
      <c r="F934" s="14" t="s">
        <v>137</v>
      </c>
      <c r="G934" s="10">
        <v>678</v>
      </c>
      <c r="H934" s="14" t="s">
        <v>62</v>
      </c>
      <c r="I934" s="41" t="str">
        <f>Assumptions!$I$165</f>
        <v>E</v>
      </c>
      <c r="J934" s="14" t="str">
        <f>IF(D934&lt;=Assumptions!$V$165,"Low",IF(D934&lt;=Assumptions!$W$165,"Mid","High"))</f>
        <v>High</v>
      </c>
      <c r="K934" s="15">
        <f>Assumptions!$Q$165</f>
        <v>2613</v>
      </c>
      <c r="L934" s="42">
        <f>INDEX(Assumptions!$C$61:$C$90,D934)</f>
        <v>3028.0785714285716</v>
      </c>
      <c r="M934" s="43">
        <f>IF(D934&lt;=Assumptions!$G$165,Assumptions!$AK$165,IF(D934&lt;Assumptions!$AH$165,Assumptions!$AK$165+(Assumptions!$AL$165-Assumptions!$AK$165)*(D934-Assumptions!$G$165)/(Assumptions!$AH$165-Assumptions!$G$165),IF(D934&lt;Assumptions!$P$165,Assumptions!$AL$165+(Assumptions!$AM$165-Assumptions!$AL$165)*(D934-Assumptions!$AH$165)/(Assumptions!$P$165-Assumptions!$AH$165),Assumptions!$AM$165)))</f>
        <v>-50000</v>
      </c>
      <c r="N934" s="44">
        <f t="shared" si="28"/>
        <v>-73.746312684365776</v>
      </c>
      <c r="O934" s="45">
        <f t="shared" si="29"/>
        <v>2954</v>
      </c>
      <c r="P934" s="14" t="str">
        <f>IF(D934&gt;=Assumptions!$P$165,"High",IF(D934&gt;=Assumptions!$AH$165,"Mid",IF(D934&lt;=Assumptions!$G$165,"Low","Loading")))</f>
        <v>High</v>
      </c>
      <c r="Q934" s="46">
        <f>MAX(K934,MIN(Assumptions!$S$165,O934),Q935)</f>
        <v>2954</v>
      </c>
      <c r="R934" s="12">
        <f>IF(AND(Q934&lt;=K934,INDEX(Assumptions!$C$26:$C$36,MATCH(G934,Assumptions!$A$26:$A$36,0))&lt;&gt;""),INDEX(Assumptions!$C$26:$C$36,MATCH(G934,Assumptions!$A$26:$A$36,0)),ROUND(G934*Q934,-2))</f>
        <v>2002800</v>
      </c>
      <c r="S934" s="47" t="str">
        <f>TRIM(IF(AND(Assumptions!$L$165&lt;&gt;"",D934&lt;Assumptions!$L$165),"View blocked / roof in front ("&amp;Assumptions!$M$165&amp;"); view premium still loading until L"&amp;Assumptions!$L$165&amp;". ","")&amp;IF(D934=Assumptions!$AH$165,"Mid-floor view premium fully loaded. ","")&amp;IF(D934=Assumptions!$P$165,"High-floor view premium fully loaded. ","")&amp;IF(Q934&lt;=K934,"At developer starting price.",""))</f>
        <v/>
      </c>
      <c r="T934" s="48" t="str">
        <f>Assumptions!$AJ$165</f>
        <v>NNE. View towards Thomson Three &amp; Sin Ming HDB; Paw Garden pavilion in front of low floors</v>
      </c>
    </row>
    <row r="935" spans="1:20" x14ac:dyDescent="0.2">
      <c r="A935" s="13" t="s">
        <v>1097</v>
      </c>
      <c r="B935" s="14">
        <v>9</v>
      </c>
      <c r="C935" s="40">
        <v>39</v>
      </c>
      <c r="D935" s="40">
        <v>19</v>
      </c>
      <c r="E935" s="9" t="s">
        <v>43</v>
      </c>
      <c r="F935" s="14" t="s">
        <v>137</v>
      </c>
      <c r="G935" s="10">
        <v>678</v>
      </c>
      <c r="H935" s="14" t="s">
        <v>62</v>
      </c>
      <c r="I935" s="41" t="str">
        <f>Assumptions!$I$165</f>
        <v>E</v>
      </c>
      <c r="J935" s="14" t="str">
        <f>IF(D935&lt;=Assumptions!$V$165,"Low",IF(D935&lt;=Assumptions!$W$165,"Mid","High"))</f>
        <v>High</v>
      </c>
      <c r="K935" s="15">
        <f>Assumptions!$Q$165</f>
        <v>2613</v>
      </c>
      <c r="L935" s="42">
        <f>INDEX(Assumptions!$C$61:$C$90,D935)</f>
        <v>3005.2928571428574</v>
      </c>
      <c r="M935" s="43">
        <f>IF(D935&lt;=Assumptions!$G$165,Assumptions!$AK$165,IF(D935&lt;Assumptions!$AH$165,Assumptions!$AK$165+(Assumptions!$AL$165-Assumptions!$AK$165)*(D935-Assumptions!$G$165)/(Assumptions!$AH$165-Assumptions!$G$165),IF(D935&lt;Assumptions!$P$165,Assumptions!$AL$165+(Assumptions!$AM$165-Assumptions!$AL$165)*(D935-Assumptions!$AH$165)/(Assumptions!$P$165-Assumptions!$AH$165),Assumptions!$AM$165)))</f>
        <v>-50000</v>
      </c>
      <c r="N935" s="44">
        <f t="shared" si="28"/>
        <v>-73.746312684365776</v>
      </c>
      <c r="O935" s="45">
        <f t="shared" si="29"/>
        <v>2932</v>
      </c>
      <c r="P935" s="14" t="str">
        <f>IF(D935&gt;=Assumptions!$P$165,"High",IF(D935&gt;=Assumptions!$AH$165,"Mid",IF(D935&lt;=Assumptions!$G$165,"Low","Loading")))</f>
        <v>High</v>
      </c>
      <c r="Q935" s="46">
        <f>MAX(K935,MIN(Assumptions!$S$165,O935),Q936)</f>
        <v>2932</v>
      </c>
      <c r="R935" s="12">
        <f>IF(AND(Q935&lt;=K935,INDEX(Assumptions!$C$26:$C$36,MATCH(G935,Assumptions!$A$26:$A$36,0))&lt;&gt;""),INDEX(Assumptions!$C$26:$C$36,MATCH(G935,Assumptions!$A$26:$A$36,0)),ROUND(G935*Q935,-2))</f>
        <v>1987900</v>
      </c>
      <c r="S935" s="47" t="str">
        <f>TRIM(IF(AND(Assumptions!$L$165&lt;&gt;"",D935&lt;Assumptions!$L$165),"View blocked / roof in front ("&amp;Assumptions!$M$165&amp;"); view premium still loading until L"&amp;Assumptions!$L$165&amp;". ","")&amp;IF(D935=Assumptions!$AH$165,"Mid-floor view premium fully loaded. ","")&amp;IF(D935=Assumptions!$P$165,"High-floor view premium fully loaded. ","")&amp;IF(Q935&lt;=K935,"At developer starting price.",""))</f>
        <v/>
      </c>
      <c r="T935" s="48" t="str">
        <f>Assumptions!$AJ$165</f>
        <v>NNE. View towards Thomson Three &amp; Sin Ming HDB; Paw Garden pavilion in front of low floors</v>
      </c>
    </row>
    <row r="936" spans="1:20" x14ac:dyDescent="0.2">
      <c r="A936" s="13" t="s">
        <v>1098</v>
      </c>
      <c r="B936" s="14">
        <v>9</v>
      </c>
      <c r="C936" s="40">
        <v>39</v>
      </c>
      <c r="D936" s="40">
        <v>18</v>
      </c>
      <c r="E936" s="9" t="s">
        <v>43</v>
      </c>
      <c r="F936" s="14" t="s">
        <v>137</v>
      </c>
      <c r="G936" s="10">
        <v>678</v>
      </c>
      <c r="H936" s="14" t="s">
        <v>62</v>
      </c>
      <c r="I936" s="41" t="str">
        <f>Assumptions!$I$165</f>
        <v>E</v>
      </c>
      <c r="J936" s="14" t="str">
        <f>IF(D936&lt;=Assumptions!$V$165,"Low",IF(D936&lt;=Assumptions!$W$165,"Mid","High"))</f>
        <v>High</v>
      </c>
      <c r="K936" s="15">
        <f>Assumptions!$Q$165</f>
        <v>2613</v>
      </c>
      <c r="L936" s="42">
        <f>INDEX(Assumptions!$C$61:$C$90,D936)</f>
        <v>2982.5071428571428</v>
      </c>
      <c r="M936" s="43">
        <f>IF(D936&lt;=Assumptions!$G$165,Assumptions!$AK$165,IF(D936&lt;Assumptions!$AH$165,Assumptions!$AK$165+(Assumptions!$AL$165-Assumptions!$AK$165)*(D936-Assumptions!$G$165)/(Assumptions!$AH$165-Assumptions!$G$165),IF(D936&lt;Assumptions!$P$165,Assumptions!$AL$165+(Assumptions!$AM$165-Assumptions!$AL$165)*(D936-Assumptions!$AH$165)/(Assumptions!$P$165-Assumptions!$AH$165),Assumptions!$AM$165)))</f>
        <v>-50000</v>
      </c>
      <c r="N936" s="44">
        <f t="shared" si="28"/>
        <v>-73.746312684365776</v>
      </c>
      <c r="O936" s="45">
        <f t="shared" si="29"/>
        <v>2909</v>
      </c>
      <c r="P936" s="14" t="str">
        <f>IF(D936&gt;=Assumptions!$P$165,"High",IF(D936&gt;=Assumptions!$AH$165,"Mid",IF(D936&lt;=Assumptions!$G$165,"Low","Loading")))</f>
        <v>High</v>
      </c>
      <c r="Q936" s="46">
        <f>MAX(K936,MIN(Assumptions!$S$165,O936),Q937)</f>
        <v>2909</v>
      </c>
      <c r="R936" s="12">
        <f>IF(AND(Q936&lt;=K936,INDEX(Assumptions!$C$26:$C$36,MATCH(G936,Assumptions!$A$26:$A$36,0))&lt;&gt;""),INDEX(Assumptions!$C$26:$C$36,MATCH(G936,Assumptions!$A$26:$A$36,0)),ROUND(G936*Q936,-2))</f>
        <v>1972300</v>
      </c>
      <c r="S936" s="47" t="str">
        <f>TRIM(IF(AND(Assumptions!$L$165&lt;&gt;"",D936&lt;Assumptions!$L$165),"View blocked / roof in front ("&amp;Assumptions!$M$165&amp;"); view premium still loading until L"&amp;Assumptions!$L$165&amp;". ","")&amp;IF(D936=Assumptions!$AH$165,"Mid-floor view premium fully loaded. ","")&amp;IF(D936=Assumptions!$P$165,"High-floor view premium fully loaded. ","")&amp;IF(Q936&lt;=K936,"At developer starting price.",""))</f>
        <v/>
      </c>
      <c r="T936" s="48" t="str">
        <f>Assumptions!$AJ$165</f>
        <v>NNE. View towards Thomson Three &amp; Sin Ming HDB; Paw Garden pavilion in front of low floors</v>
      </c>
    </row>
    <row r="937" spans="1:20" x14ac:dyDescent="0.2">
      <c r="A937" s="13" t="s">
        <v>1099</v>
      </c>
      <c r="B937" s="14">
        <v>9</v>
      </c>
      <c r="C937" s="40">
        <v>39</v>
      </c>
      <c r="D937" s="40">
        <v>17</v>
      </c>
      <c r="E937" s="9" t="s">
        <v>43</v>
      </c>
      <c r="F937" s="14" t="s">
        <v>137</v>
      </c>
      <c r="G937" s="10">
        <v>678</v>
      </c>
      <c r="H937" s="14" t="s">
        <v>62</v>
      </c>
      <c r="I937" s="41" t="str">
        <f>Assumptions!$I$165</f>
        <v>E</v>
      </c>
      <c r="J937" s="14" t="str">
        <f>IF(D937&lt;=Assumptions!$V$165,"Low",IF(D937&lt;=Assumptions!$W$165,"Mid","High"))</f>
        <v>High</v>
      </c>
      <c r="K937" s="15">
        <f>Assumptions!$Q$165</f>
        <v>2613</v>
      </c>
      <c r="L937" s="42">
        <f>INDEX(Assumptions!$C$61:$C$90,D937)</f>
        <v>2959.7214285714285</v>
      </c>
      <c r="M937" s="43">
        <f>IF(D937&lt;=Assumptions!$G$165,Assumptions!$AK$165,IF(D937&lt;Assumptions!$AH$165,Assumptions!$AK$165+(Assumptions!$AL$165-Assumptions!$AK$165)*(D937-Assumptions!$G$165)/(Assumptions!$AH$165-Assumptions!$G$165),IF(D937&lt;Assumptions!$P$165,Assumptions!$AL$165+(Assumptions!$AM$165-Assumptions!$AL$165)*(D937-Assumptions!$AH$165)/(Assumptions!$P$165-Assumptions!$AH$165),Assumptions!$AM$165)))</f>
        <v>-50000</v>
      </c>
      <c r="N937" s="44">
        <f t="shared" si="28"/>
        <v>-73.746312684365776</v>
      </c>
      <c r="O937" s="45">
        <f t="shared" si="29"/>
        <v>2886</v>
      </c>
      <c r="P937" s="14" t="str">
        <f>IF(D937&gt;=Assumptions!$P$165,"High",IF(D937&gt;=Assumptions!$AH$165,"Mid",IF(D937&lt;=Assumptions!$G$165,"Low","Loading")))</f>
        <v>High</v>
      </c>
      <c r="Q937" s="46">
        <f>MAX(K937,MIN(Assumptions!$S$165,O937),Q938)</f>
        <v>2886</v>
      </c>
      <c r="R937" s="12">
        <f>IF(AND(Q937&lt;=K937,INDEX(Assumptions!$C$26:$C$36,MATCH(G937,Assumptions!$A$26:$A$36,0))&lt;&gt;""),INDEX(Assumptions!$C$26:$C$36,MATCH(G937,Assumptions!$A$26:$A$36,0)),ROUND(G937*Q937,-2))</f>
        <v>1956700</v>
      </c>
      <c r="S937" s="47" t="str">
        <f>TRIM(IF(AND(Assumptions!$L$165&lt;&gt;"",D937&lt;Assumptions!$L$165),"View blocked / roof in front ("&amp;Assumptions!$M$165&amp;"); view premium still loading until L"&amp;Assumptions!$L$165&amp;". ","")&amp;IF(D937=Assumptions!$AH$165,"Mid-floor view premium fully loaded. ","")&amp;IF(D937=Assumptions!$P$165,"High-floor view premium fully loaded. ","")&amp;IF(Q937&lt;=K937,"At developer starting price.",""))</f>
        <v/>
      </c>
      <c r="T937" s="48" t="str">
        <f>Assumptions!$AJ$165</f>
        <v>NNE. View towards Thomson Three &amp; Sin Ming HDB; Paw Garden pavilion in front of low floors</v>
      </c>
    </row>
    <row r="938" spans="1:20" x14ac:dyDescent="0.2">
      <c r="A938" s="13" t="s">
        <v>1100</v>
      </c>
      <c r="B938" s="14">
        <v>9</v>
      </c>
      <c r="C938" s="40">
        <v>39</v>
      </c>
      <c r="D938" s="40">
        <v>16</v>
      </c>
      <c r="E938" s="9" t="s">
        <v>43</v>
      </c>
      <c r="F938" s="14" t="s">
        <v>137</v>
      </c>
      <c r="G938" s="10">
        <v>678</v>
      </c>
      <c r="H938" s="14" t="s">
        <v>62</v>
      </c>
      <c r="I938" s="41" t="str">
        <f>Assumptions!$I$165</f>
        <v>E</v>
      </c>
      <c r="J938" s="14" t="str">
        <f>IF(D938&lt;=Assumptions!$V$165,"Low",IF(D938&lt;=Assumptions!$W$165,"Mid","High"))</f>
        <v>High</v>
      </c>
      <c r="K938" s="15">
        <f>Assumptions!$Q$165</f>
        <v>2613</v>
      </c>
      <c r="L938" s="42">
        <f>INDEX(Assumptions!$C$61:$C$90,D938)</f>
        <v>2936.9357142857143</v>
      </c>
      <c r="M938" s="43">
        <f>IF(D938&lt;=Assumptions!$G$165,Assumptions!$AK$165,IF(D938&lt;Assumptions!$AH$165,Assumptions!$AK$165+(Assumptions!$AL$165-Assumptions!$AK$165)*(D938-Assumptions!$G$165)/(Assumptions!$AH$165-Assumptions!$G$165),IF(D938&lt;Assumptions!$P$165,Assumptions!$AL$165+(Assumptions!$AM$165-Assumptions!$AL$165)*(D938-Assumptions!$AH$165)/(Assumptions!$P$165-Assumptions!$AH$165),Assumptions!$AM$165)))</f>
        <v>-50000</v>
      </c>
      <c r="N938" s="44">
        <f t="shared" si="28"/>
        <v>-73.746312684365776</v>
      </c>
      <c r="O938" s="45">
        <f t="shared" si="29"/>
        <v>2863</v>
      </c>
      <c r="P938" s="14" t="str">
        <f>IF(D938&gt;=Assumptions!$P$165,"High",IF(D938&gt;=Assumptions!$AH$165,"Mid",IF(D938&lt;=Assumptions!$G$165,"Low","Loading")))</f>
        <v>High</v>
      </c>
      <c r="Q938" s="46">
        <f>MAX(K938,MIN(Assumptions!$S$165,O938),Q939)</f>
        <v>2863</v>
      </c>
      <c r="R938" s="12">
        <f>IF(AND(Q938&lt;=K938,INDEX(Assumptions!$C$26:$C$36,MATCH(G938,Assumptions!$A$26:$A$36,0))&lt;&gt;""),INDEX(Assumptions!$C$26:$C$36,MATCH(G938,Assumptions!$A$26:$A$36,0)),ROUND(G938*Q938,-2))</f>
        <v>1941100</v>
      </c>
      <c r="S938" s="47" t="str">
        <f>TRIM(IF(AND(Assumptions!$L$165&lt;&gt;"",D938&lt;Assumptions!$L$165),"View blocked / roof in front ("&amp;Assumptions!$M$165&amp;"); view premium still loading until L"&amp;Assumptions!$L$165&amp;". ","")&amp;IF(D938=Assumptions!$AH$165,"Mid-floor view premium fully loaded. ","")&amp;IF(D938=Assumptions!$P$165,"High-floor view premium fully loaded. ","")&amp;IF(Q938&lt;=K938,"At developer starting price.",""))</f>
        <v>High-floor view premium fully loaded.</v>
      </c>
      <c r="T938" s="48" t="str">
        <f>Assumptions!$AJ$165</f>
        <v>NNE. View towards Thomson Three &amp; Sin Ming HDB; Paw Garden pavilion in front of low floors</v>
      </c>
    </row>
    <row r="939" spans="1:20" x14ac:dyDescent="0.2">
      <c r="A939" s="13" t="s">
        <v>1101</v>
      </c>
      <c r="B939" s="14">
        <v>9</v>
      </c>
      <c r="C939" s="40">
        <v>39</v>
      </c>
      <c r="D939" s="40">
        <v>15</v>
      </c>
      <c r="E939" s="9" t="s">
        <v>43</v>
      </c>
      <c r="F939" s="14" t="s">
        <v>137</v>
      </c>
      <c r="G939" s="10">
        <v>678</v>
      </c>
      <c r="H939" s="14" t="s">
        <v>62</v>
      </c>
      <c r="I939" s="41" t="str">
        <f>Assumptions!$I$165</f>
        <v>E</v>
      </c>
      <c r="J939" s="14" t="str">
        <f>IF(D939&lt;=Assumptions!$V$165,"Low",IF(D939&lt;=Assumptions!$W$165,"Mid","High"))</f>
        <v>Mid</v>
      </c>
      <c r="K939" s="15">
        <f>Assumptions!$Q$165</f>
        <v>2613</v>
      </c>
      <c r="L939" s="42">
        <f>INDEX(Assumptions!$C$61:$C$90,D939)</f>
        <v>2914.15</v>
      </c>
      <c r="M939" s="43">
        <f>IF(D939&lt;=Assumptions!$G$165,Assumptions!$AK$165,IF(D939&lt;Assumptions!$AH$165,Assumptions!$AK$165+(Assumptions!$AL$165-Assumptions!$AK$165)*(D939-Assumptions!$G$165)/(Assumptions!$AH$165-Assumptions!$G$165),IF(D939&lt;Assumptions!$P$165,Assumptions!$AL$165+(Assumptions!$AM$165-Assumptions!$AL$165)*(D939-Assumptions!$AH$165)/(Assumptions!$P$165-Assumptions!$AH$165),Assumptions!$AM$165)))</f>
        <v>-50000</v>
      </c>
      <c r="N939" s="44">
        <f t="shared" si="28"/>
        <v>-73.746312684365776</v>
      </c>
      <c r="O939" s="45">
        <f t="shared" si="29"/>
        <v>2840</v>
      </c>
      <c r="P939" s="14" t="str">
        <f>IF(D939&gt;=Assumptions!$P$165,"High",IF(D939&gt;=Assumptions!$AH$165,"Mid",IF(D939&lt;=Assumptions!$G$165,"Low","Loading")))</f>
        <v>Mid</v>
      </c>
      <c r="Q939" s="46">
        <f>MAX(K939,MIN(Assumptions!$S$165,O939),Q940)</f>
        <v>2840</v>
      </c>
      <c r="R939" s="12">
        <f>IF(AND(Q939&lt;=K939,INDEX(Assumptions!$C$26:$C$36,MATCH(G939,Assumptions!$A$26:$A$36,0))&lt;&gt;""),INDEX(Assumptions!$C$26:$C$36,MATCH(G939,Assumptions!$A$26:$A$36,0)),ROUND(G939*Q939,-2))</f>
        <v>1925500</v>
      </c>
      <c r="S939" s="47" t="str">
        <f>TRIM(IF(AND(Assumptions!$L$165&lt;&gt;"",D939&lt;Assumptions!$L$165),"View blocked / roof in front ("&amp;Assumptions!$M$165&amp;"); view premium still loading until L"&amp;Assumptions!$L$165&amp;". ","")&amp;IF(D939=Assumptions!$AH$165,"Mid-floor view premium fully loaded. ","")&amp;IF(D939=Assumptions!$P$165,"High-floor view premium fully loaded. ","")&amp;IF(Q939&lt;=K939,"At developer starting price.",""))</f>
        <v/>
      </c>
      <c r="T939" s="48" t="str">
        <f>Assumptions!$AJ$165</f>
        <v>NNE. View towards Thomson Three &amp; Sin Ming HDB; Paw Garden pavilion in front of low floors</v>
      </c>
    </row>
    <row r="940" spans="1:20" x14ac:dyDescent="0.2">
      <c r="A940" s="13" t="s">
        <v>1102</v>
      </c>
      <c r="B940" s="14">
        <v>9</v>
      </c>
      <c r="C940" s="40">
        <v>39</v>
      </c>
      <c r="D940" s="40">
        <v>14</v>
      </c>
      <c r="E940" s="9" t="s">
        <v>43</v>
      </c>
      <c r="F940" s="14" t="s">
        <v>137</v>
      </c>
      <c r="G940" s="10">
        <v>678</v>
      </c>
      <c r="H940" s="14" t="s">
        <v>62</v>
      </c>
      <c r="I940" s="41" t="str">
        <f>Assumptions!$I$165</f>
        <v>E</v>
      </c>
      <c r="J940" s="14" t="str">
        <f>IF(D940&lt;=Assumptions!$V$165,"Low",IF(D940&lt;=Assumptions!$W$165,"Mid","High"))</f>
        <v>Mid</v>
      </c>
      <c r="K940" s="15">
        <f>Assumptions!$Q$165</f>
        <v>2613</v>
      </c>
      <c r="L940" s="42">
        <f>INDEX(Assumptions!$C$61:$C$90,D940)</f>
        <v>2891.3642857142859</v>
      </c>
      <c r="M940" s="43">
        <f>IF(D940&lt;=Assumptions!$G$165,Assumptions!$AK$165,IF(D940&lt;Assumptions!$AH$165,Assumptions!$AK$165+(Assumptions!$AL$165-Assumptions!$AK$165)*(D940-Assumptions!$G$165)/(Assumptions!$AH$165-Assumptions!$G$165),IF(D940&lt;Assumptions!$P$165,Assumptions!$AL$165+(Assumptions!$AM$165-Assumptions!$AL$165)*(D940-Assumptions!$AH$165)/(Assumptions!$P$165-Assumptions!$AH$165),Assumptions!$AM$165)))</f>
        <v>-50000</v>
      </c>
      <c r="N940" s="44">
        <f t="shared" si="28"/>
        <v>-73.746312684365776</v>
      </c>
      <c r="O940" s="45">
        <f t="shared" si="29"/>
        <v>2818</v>
      </c>
      <c r="P940" s="14" t="str">
        <f>IF(D940&gt;=Assumptions!$P$165,"High",IF(D940&gt;=Assumptions!$AH$165,"Mid",IF(D940&lt;=Assumptions!$G$165,"Low","Loading")))</f>
        <v>Mid</v>
      </c>
      <c r="Q940" s="46">
        <f>MAX(K940,MIN(Assumptions!$S$165,O940),Q941)</f>
        <v>2818</v>
      </c>
      <c r="R940" s="12">
        <f>IF(AND(Q940&lt;=K940,INDEX(Assumptions!$C$26:$C$36,MATCH(G940,Assumptions!$A$26:$A$36,0))&lt;&gt;""),INDEX(Assumptions!$C$26:$C$36,MATCH(G940,Assumptions!$A$26:$A$36,0)),ROUND(G940*Q940,-2))</f>
        <v>1910600</v>
      </c>
      <c r="S940" s="47" t="str">
        <f>TRIM(IF(AND(Assumptions!$L$165&lt;&gt;"",D940&lt;Assumptions!$L$165),"View blocked / roof in front ("&amp;Assumptions!$M$165&amp;"); view premium still loading until L"&amp;Assumptions!$L$165&amp;". ","")&amp;IF(D940=Assumptions!$AH$165,"Mid-floor view premium fully loaded. ","")&amp;IF(D940=Assumptions!$P$165,"High-floor view premium fully loaded. ","")&amp;IF(Q940&lt;=K940,"At developer starting price.",""))</f>
        <v/>
      </c>
      <c r="T940" s="48" t="str">
        <f>Assumptions!$AJ$165</f>
        <v>NNE. View towards Thomson Three &amp; Sin Ming HDB; Paw Garden pavilion in front of low floors</v>
      </c>
    </row>
    <row r="941" spans="1:20" x14ac:dyDescent="0.2">
      <c r="A941" s="13" t="s">
        <v>1103</v>
      </c>
      <c r="B941" s="14">
        <v>9</v>
      </c>
      <c r="C941" s="40">
        <v>39</v>
      </c>
      <c r="D941" s="40">
        <v>13</v>
      </c>
      <c r="E941" s="9" t="s">
        <v>43</v>
      </c>
      <c r="F941" s="14" t="s">
        <v>137</v>
      </c>
      <c r="G941" s="10">
        <v>678</v>
      </c>
      <c r="H941" s="14" t="s">
        <v>62</v>
      </c>
      <c r="I941" s="41" t="str">
        <f>Assumptions!$I$165</f>
        <v>E</v>
      </c>
      <c r="J941" s="14" t="str">
        <f>IF(D941&lt;=Assumptions!$V$165,"Low",IF(D941&lt;=Assumptions!$W$165,"Mid","High"))</f>
        <v>Mid</v>
      </c>
      <c r="K941" s="15">
        <f>Assumptions!$Q$165</f>
        <v>2613</v>
      </c>
      <c r="L941" s="42">
        <f>INDEX(Assumptions!$C$61:$C$90,D941)</f>
        <v>2868.5785714285716</v>
      </c>
      <c r="M941" s="43">
        <f>IF(D941&lt;=Assumptions!$G$165,Assumptions!$AK$165,IF(D941&lt;Assumptions!$AH$165,Assumptions!$AK$165+(Assumptions!$AL$165-Assumptions!$AK$165)*(D941-Assumptions!$G$165)/(Assumptions!$AH$165-Assumptions!$G$165),IF(D941&lt;Assumptions!$P$165,Assumptions!$AL$165+(Assumptions!$AM$165-Assumptions!$AL$165)*(D941-Assumptions!$AH$165)/(Assumptions!$P$165-Assumptions!$AH$165),Assumptions!$AM$165)))</f>
        <v>-50000</v>
      </c>
      <c r="N941" s="44">
        <f t="shared" si="28"/>
        <v>-73.746312684365776</v>
      </c>
      <c r="O941" s="45">
        <f t="shared" si="29"/>
        <v>2795</v>
      </c>
      <c r="P941" s="14" t="str">
        <f>IF(D941&gt;=Assumptions!$P$165,"High",IF(D941&gt;=Assumptions!$AH$165,"Mid",IF(D941&lt;=Assumptions!$G$165,"Low","Loading")))</f>
        <v>Mid</v>
      </c>
      <c r="Q941" s="46">
        <f>MAX(K941,MIN(Assumptions!$S$165,O941),Q942)</f>
        <v>2795</v>
      </c>
      <c r="R941" s="12">
        <f>IF(AND(Q941&lt;=K941,INDEX(Assumptions!$C$26:$C$36,MATCH(G941,Assumptions!$A$26:$A$36,0))&lt;&gt;""),INDEX(Assumptions!$C$26:$C$36,MATCH(G941,Assumptions!$A$26:$A$36,0)),ROUND(G941*Q941,-2))</f>
        <v>1895000</v>
      </c>
      <c r="S941" s="47" t="str">
        <f>TRIM(IF(AND(Assumptions!$L$165&lt;&gt;"",D941&lt;Assumptions!$L$165),"View blocked / roof in front ("&amp;Assumptions!$M$165&amp;"); view premium still loading until L"&amp;Assumptions!$L$165&amp;". ","")&amp;IF(D941=Assumptions!$AH$165,"Mid-floor view premium fully loaded. ","")&amp;IF(D941=Assumptions!$P$165,"High-floor view premium fully loaded. ","")&amp;IF(Q941&lt;=K941,"At developer starting price.",""))</f>
        <v/>
      </c>
      <c r="T941" s="48" t="str">
        <f>Assumptions!$AJ$165</f>
        <v>NNE. View towards Thomson Three &amp; Sin Ming HDB; Paw Garden pavilion in front of low floors</v>
      </c>
    </row>
    <row r="942" spans="1:20" x14ac:dyDescent="0.2">
      <c r="A942" s="13" t="s">
        <v>1104</v>
      </c>
      <c r="B942" s="14">
        <v>9</v>
      </c>
      <c r="C942" s="40">
        <v>39</v>
      </c>
      <c r="D942" s="40">
        <v>12</v>
      </c>
      <c r="E942" s="9" t="s">
        <v>43</v>
      </c>
      <c r="F942" s="14" t="s">
        <v>137</v>
      </c>
      <c r="G942" s="10">
        <v>678</v>
      </c>
      <c r="H942" s="14" t="s">
        <v>62</v>
      </c>
      <c r="I942" s="41" t="str">
        <f>Assumptions!$I$165</f>
        <v>E</v>
      </c>
      <c r="J942" s="14" t="str">
        <f>IF(D942&lt;=Assumptions!$V$165,"Low",IF(D942&lt;=Assumptions!$W$165,"Mid","High"))</f>
        <v>Mid</v>
      </c>
      <c r="K942" s="15">
        <f>Assumptions!$Q$165</f>
        <v>2613</v>
      </c>
      <c r="L942" s="42">
        <f>INDEX(Assumptions!$C$61:$C$90,D942)</f>
        <v>2845.7928571428574</v>
      </c>
      <c r="M942" s="43">
        <f>IF(D942&lt;=Assumptions!$G$165,Assumptions!$AK$165,IF(D942&lt;Assumptions!$AH$165,Assumptions!$AK$165+(Assumptions!$AL$165-Assumptions!$AK$165)*(D942-Assumptions!$G$165)/(Assumptions!$AH$165-Assumptions!$G$165),IF(D942&lt;Assumptions!$P$165,Assumptions!$AL$165+(Assumptions!$AM$165-Assumptions!$AL$165)*(D942-Assumptions!$AH$165)/(Assumptions!$P$165-Assumptions!$AH$165),Assumptions!$AM$165)))</f>
        <v>-50000</v>
      </c>
      <c r="N942" s="44">
        <f t="shared" si="28"/>
        <v>-73.746312684365776</v>
      </c>
      <c r="O942" s="45">
        <f t="shared" si="29"/>
        <v>2772</v>
      </c>
      <c r="P942" s="14" t="str">
        <f>IF(D942&gt;=Assumptions!$P$165,"High",IF(D942&gt;=Assumptions!$AH$165,"Mid",IF(D942&lt;=Assumptions!$G$165,"Low","Loading")))</f>
        <v>Mid</v>
      </c>
      <c r="Q942" s="46">
        <f>MAX(K942,MIN(Assumptions!$S$165,O942),Q943)</f>
        <v>2772</v>
      </c>
      <c r="R942" s="12">
        <f>IF(AND(Q942&lt;=K942,INDEX(Assumptions!$C$26:$C$36,MATCH(G942,Assumptions!$A$26:$A$36,0))&lt;&gt;""),INDEX(Assumptions!$C$26:$C$36,MATCH(G942,Assumptions!$A$26:$A$36,0)),ROUND(G942*Q942,-2))</f>
        <v>1879400</v>
      </c>
      <c r="S942" s="47" t="str">
        <f>TRIM(IF(AND(Assumptions!$L$165&lt;&gt;"",D942&lt;Assumptions!$L$165),"View blocked / roof in front ("&amp;Assumptions!$M$165&amp;"); view premium still loading until L"&amp;Assumptions!$L$165&amp;". ","")&amp;IF(D942=Assumptions!$AH$165,"Mid-floor view premium fully loaded. ","")&amp;IF(D942=Assumptions!$P$165,"High-floor view premium fully loaded. ","")&amp;IF(Q942&lt;=K942,"At developer starting price.",""))</f>
        <v/>
      </c>
      <c r="T942" s="48" t="str">
        <f>Assumptions!$AJ$165</f>
        <v>NNE. View towards Thomson Three &amp; Sin Ming HDB; Paw Garden pavilion in front of low floors</v>
      </c>
    </row>
    <row r="943" spans="1:20" x14ac:dyDescent="0.2">
      <c r="A943" s="13" t="s">
        <v>1105</v>
      </c>
      <c r="B943" s="14">
        <v>9</v>
      </c>
      <c r="C943" s="40">
        <v>39</v>
      </c>
      <c r="D943" s="40">
        <v>11</v>
      </c>
      <c r="E943" s="9" t="s">
        <v>43</v>
      </c>
      <c r="F943" s="14" t="s">
        <v>137</v>
      </c>
      <c r="G943" s="10">
        <v>678</v>
      </c>
      <c r="H943" s="14" t="s">
        <v>62</v>
      </c>
      <c r="I943" s="41" t="str">
        <f>Assumptions!$I$165</f>
        <v>E</v>
      </c>
      <c r="J943" s="14" t="str">
        <f>IF(D943&lt;=Assumptions!$V$165,"Low",IF(D943&lt;=Assumptions!$W$165,"Mid","High"))</f>
        <v>Mid</v>
      </c>
      <c r="K943" s="15">
        <f>Assumptions!$Q$165</f>
        <v>2613</v>
      </c>
      <c r="L943" s="42">
        <f>INDEX(Assumptions!$C$61:$C$90,D943)</f>
        <v>2826.6287532991773</v>
      </c>
      <c r="M943" s="43">
        <f>IF(D943&lt;=Assumptions!$G$165,Assumptions!$AK$165,IF(D943&lt;Assumptions!$AH$165,Assumptions!$AK$165+(Assumptions!$AL$165-Assumptions!$AK$165)*(D943-Assumptions!$G$165)/(Assumptions!$AH$165-Assumptions!$G$165),IF(D943&lt;Assumptions!$P$165,Assumptions!$AL$165+(Assumptions!$AM$165-Assumptions!$AL$165)*(D943-Assumptions!$AH$165)/(Assumptions!$P$165-Assumptions!$AH$165),Assumptions!$AM$165)))</f>
        <v>-50000</v>
      </c>
      <c r="N943" s="44">
        <f t="shared" si="28"/>
        <v>-73.746312684365776</v>
      </c>
      <c r="O943" s="45">
        <f t="shared" si="29"/>
        <v>2753</v>
      </c>
      <c r="P943" s="14" t="str">
        <f>IF(D943&gt;=Assumptions!$P$165,"High",IF(D943&gt;=Assumptions!$AH$165,"Mid",IF(D943&lt;=Assumptions!$G$165,"Low","Loading")))</f>
        <v>Mid</v>
      </c>
      <c r="Q943" s="46">
        <f>MAX(K943,MIN(Assumptions!$S$165,O943),Q944)</f>
        <v>2753</v>
      </c>
      <c r="R943" s="12">
        <f>IF(AND(Q943&lt;=K943,INDEX(Assumptions!$C$26:$C$36,MATCH(G943,Assumptions!$A$26:$A$36,0))&lt;&gt;""),INDEX(Assumptions!$C$26:$C$36,MATCH(G943,Assumptions!$A$26:$A$36,0)),ROUND(G943*Q943,-2))</f>
        <v>1866500</v>
      </c>
      <c r="S943" s="47" t="str">
        <f>TRIM(IF(AND(Assumptions!$L$165&lt;&gt;"",D943&lt;Assumptions!$L$165),"View blocked / roof in front ("&amp;Assumptions!$M$165&amp;"); view premium still loading until L"&amp;Assumptions!$L$165&amp;". ","")&amp;IF(D943=Assumptions!$AH$165,"Mid-floor view premium fully loaded. ","")&amp;IF(D943=Assumptions!$P$165,"High-floor view premium fully loaded. ","")&amp;IF(Q943&lt;=K943,"At developer starting price.",""))</f>
        <v/>
      </c>
      <c r="T943" s="48" t="str">
        <f>Assumptions!$AJ$165</f>
        <v>NNE. View towards Thomson Three &amp; Sin Ming HDB; Paw Garden pavilion in front of low floors</v>
      </c>
    </row>
    <row r="944" spans="1:20" x14ac:dyDescent="0.2">
      <c r="A944" s="13" t="s">
        <v>1106</v>
      </c>
      <c r="B944" s="14">
        <v>9</v>
      </c>
      <c r="C944" s="40">
        <v>39</v>
      </c>
      <c r="D944" s="40">
        <v>10</v>
      </c>
      <c r="E944" s="9" t="s">
        <v>43</v>
      </c>
      <c r="F944" s="14" t="s">
        <v>137</v>
      </c>
      <c r="G944" s="10">
        <v>678</v>
      </c>
      <c r="H944" s="14" t="s">
        <v>62</v>
      </c>
      <c r="I944" s="41" t="str">
        <f>Assumptions!$I$165</f>
        <v>E</v>
      </c>
      <c r="J944" s="14" t="str">
        <f>IF(D944&lt;=Assumptions!$V$165,"Low",IF(D944&lt;=Assumptions!$W$165,"Mid","High"))</f>
        <v>Mid</v>
      </c>
      <c r="K944" s="15">
        <f>Assumptions!$Q$165</f>
        <v>2613</v>
      </c>
      <c r="L944" s="42">
        <f>INDEX(Assumptions!$C$61:$C$90,D944)</f>
        <v>2811.0862598975314</v>
      </c>
      <c r="M944" s="43">
        <f>IF(D944&lt;=Assumptions!$G$165,Assumptions!$AK$165,IF(D944&lt;Assumptions!$AH$165,Assumptions!$AK$165+(Assumptions!$AL$165-Assumptions!$AK$165)*(D944-Assumptions!$G$165)/(Assumptions!$AH$165-Assumptions!$G$165),IF(D944&lt;Assumptions!$P$165,Assumptions!$AL$165+(Assumptions!$AM$165-Assumptions!$AL$165)*(D944-Assumptions!$AH$165)/(Assumptions!$P$165-Assumptions!$AH$165),Assumptions!$AM$165)))</f>
        <v>-50000</v>
      </c>
      <c r="N944" s="44">
        <f t="shared" si="28"/>
        <v>-73.746312684365776</v>
      </c>
      <c r="O944" s="45">
        <f t="shared" si="29"/>
        <v>2737</v>
      </c>
      <c r="P944" s="14" t="str">
        <f>IF(D944&gt;=Assumptions!$P$165,"High",IF(D944&gt;=Assumptions!$AH$165,"Mid",IF(D944&lt;=Assumptions!$G$165,"Low","Loading")))</f>
        <v>Mid</v>
      </c>
      <c r="Q944" s="46">
        <f>MAX(K944,MIN(Assumptions!$S$165,O944),Q945)</f>
        <v>2737</v>
      </c>
      <c r="R944" s="12">
        <f>IF(AND(Q944&lt;=K944,INDEX(Assumptions!$C$26:$C$36,MATCH(G944,Assumptions!$A$26:$A$36,0))&lt;&gt;""),INDEX(Assumptions!$C$26:$C$36,MATCH(G944,Assumptions!$A$26:$A$36,0)),ROUND(G944*Q944,-2))</f>
        <v>1855700</v>
      </c>
      <c r="S944" s="47" t="str">
        <f>TRIM(IF(AND(Assumptions!$L$165&lt;&gt;"",D944&lt;Assumptions!$L$165),"View blocked / roof in front ("&amp;Assumptions!$M$165&amp;"); view premium still loading until L"&amp;Assumptions!$L$165&amp;". ","")&amp;IF(D944=Assumptions!$AH$165,"Mid-floor view premium fully loaded. ","")&amp;IF(D944=Assumptions!$P$165,"High-floor view premium fully loaded. ","")&amp;IF(Q944&lt;=K944,"At developer starting price.",""))</f>
        <v/>
      </c>
      <c r="T944" s="48" t="str">
        <f>Assumptions!$AJ$165</f>
        <v>NNE. View towards Thomson Three &amp; Sin Ming HDB; Paw Garden pavilion in front of low floors</v>
      </c>
    </row>
    <row r="945" spans="1:20" x14ac:dyDescent="0.2">
      <c r="A945" s="13" t="s">
        <v>1107</v>
      </c>
      <c r="B945" s="14">
        <v>9</v>
      </c>
      <c r="C945" s="40">
        <v>39</v>
      </c>
      <c r="D945" s="40">
        <v>9</v>
      </c>
      <c r="E945" s="9" t="s">
        <v>43</v>
      </c>
      <c r="F945" s="14" t="s">
        <v>137</v>
      </c>
      <c r="G945" s="10">
        <v>678</v>
      </c>
      <c r="H945" s="14" t="s">
        <v>62</v>
      </c>
      <c r="I945" s="41" t="str">
        <f>Assumptions!$I$165</f>
        <v>E</v>
      </c>
      <c r="J945" s="14" t="str">
        <f>IF(D945&lt;=Assumptions!$V$165,"Low",IF(D945&lt;=Assumptions!$W$165,"Mid","High"))</f>
        <v>Mid</v>
      </c>
      <c r="K945" s="15">
        <f>Assumptions!$Q$165</f>
        <v>2613</v>
      </c>
      <c r="L945" s="42">
        <f>INDEX(Assumptions!$C$61:$C$90,D945)</f>
        <v>2795.5437664958858</v>
      </c>
      <c r="M945" s="43">
        <f>IF(D945&lt;=Assumptions!$G$165,Assumptions!$AK$165,IF(D945&lt;Assumptions!$AH$165,Assumptions!$AK$165+(Assumptions!$AL$165-Assumptions!$AK$165)*(D945-Assumptions!$G$165)/(Assumptions!$AH$165-Assumptions!$G$165),IF(D945&lt;Assumptions!$P$165,Assumptions!$AL$165+(Assumptions!$AM$165-Assumptions!$AL$165)*(D945-Assumptions!$AH$165)/(Assumptions!$P$165-Assumptions!$AH$165),Assumptions!$AM$165)))</f>
        <v>-50000</v>
      </c>
      <c r="N945" s="44">
        <f t="shared" si="28"/>
        <v>-73.746312684365776</v>
      </c>
      <c r="O945" s="45">
        <f t="shared" si="29"/>
        <v>2722</v>
      </c>
      <c r="P945" s="14" t="str">
        <f>IF(D945&gt;=Assumptions!$P$165,"High",IF(D945&gt;=Assumptions!$AH$165,"Mid",IF(D945&lt;=Assumptions!$G$165,"Low","Loading")))</f>
        <v>Mid</v>
      </c>
      <c r="Q945" s="46">
        <f>MAX(K945,MIN(Assumptions!$S$165,O945),Q946)</f>
        <v>2722</v>
      </c>
      <c r="R945" s="12">
        <f>IF(AND(Q945&lt;=K945,INDEX(Assumptions!$C$26:$C$36,MATCH(G945,Assumptions!$A$26:$A$36,0))&lt;&gt;""),INDEX(Assumptions!$C$26:$C$36,MATCH(G945,Assumptions!$A$26:$A$36,0)),ROUND(G945*Q945,-2))</f>
        <v>1845500</v>
      </c>
      <c r="S945" s="47" t="str">
        <f>TRIM(IF(AND(Assumptions!$L$165&lt;&gt;"",D945&lt;Assumptions!$L$165),"View blocked / roof in front ("&amp;Assumptions!$M$165&amp;"); view premium still loading until L"&amp;Assumptions!$L$165&amp;". ","")&amp;IF(D945=Assumptions!$AH$165,"Mid-floor view premium fully loaded. ","")&amp;IF(D945=Assumptions!$P$165,"High-floor view premium fully loaded. ","")&amp;IF(Q945&lt;=K945,"At developer starting price.",""))</f>
        <v/>
      </c>
      <c r="T945" s="48" t="str">
        <f>Assumptions!$AJ$165</f>
        <v>NNE. View towards Thomson Three &amp; Sin Ming HDB; Paw Garden pavilion in front of low floors</v>
      </c>
    </row>
    <row r="946" spans="1:20" x14ac:dyDescent="0.2">
      <c r="A946" s="13" t="s">
        <v>1108</v>
      </c>
      <c r="B946" s="14">
        <v>9</v>
      </c>
      <c r="C946" s="40">
        <v>39</v>
      </c>
      <c r="D946" s="40">
        <v>8</v>
      </c>
      <c r="E946" s="9" t="s">
        <v>43</v>
      </c>
      <c r="F946" s="14" t="s">
        <v>137</v>
      </c>
      <c r="G946" s="10">
        <v>678</v>
      </c>
      <c r="H946" s="14" t="s">
        <v>62</v>
      </c>
      <c r="I946" s="41" t="str">
        <f>Assumptions!$I$165</f>
        <v>E</v>
      </c>
      <c r="J946" s="14" t="str">
        <f>IF(D946&lt;=Assumptions!$V$165,"Low",IF(D946&lt;=Assumptions!$W$165,"Mid","High"))</f>
        <v>Mid</v>
      </c>
      <c r="K946" s="15">
        <f>Assumptions!$Q$165</f>
        <v>2613</v>
      </c>
      <c r="L946" s="42">
        <f>INDEX(Assumptions!$C$61:$C$90,D946)</f>
        <v>2780.0012730942403</v>
      </c>
      <c r="M946" s="43">
        <f>IF(D946&lt;=Assumptions!$G$165,Assumptions!$AK$165,IF(D946&lt;Assumptions!$AH$165,Assumptions!$AK$165+(Assumptions!$AL$165-Assumptions!$AK$165)*(D946-Assumptions!$G$165)/(Assumptions!$AH$165-Assumptions!$G$165),IF(D946&lt;Assumptions!$P$165,Assumptions!$AL$165+(Assumptions!$AM$165-Assumptions!$AL$165)*(D946-Assumptions!$AH$165)/(Assumptions!$P$165-Assumptions!$AH$165),Assumptions!$AM$165)))</f>
        <v>-50000</v>
      </c>
      <c r="N946" s="44">
        <f t="shared" si="28"/>
        <v>-73.746312684365776</v>
      </c>
      <c r="O946" s="45">
        <f t="shared" si="29"/>
        <v>2706</v>
      </c>
      <c r="P946" s="14" t="str">
        <f>IF(D946&gt;=Assumptions!$P$165,"High",IF(D946&gt;=Assumptions!$AH$165,"Mid",IF(D946&lt;=Assumptions!$G$165,"Low","Loading")))</f>
        <v>Mid</v>
      </c>
      <c r="Q946" s="46">
        <f>MAX(K946,MIN(Assumptions!$S$165,O946),Q947)</f>
        <v>2706</v>
      </c>
      <c r="R946" s="12">
        <f>IF(AND(Q946&lt;=K946,INDEX(Assumptions!$C$26:$C$36,MATCH(G946,Assumptions!$A$26:$A$36,0))&lt;&gt;""),INDEX(Assumptions!$C$26:$C$36,MATCH(G946,Assumptions!$A$26:$A$36,0)),ROUND(G946*Q946,-2))</f>
        <v>1834700</v>
      </c>
      <c r="S946" s="47" t="str">
        <f>TRIM(IF(AND(Assumptions!$L$165&lt;&gt;"",D946&lt;Assumptions!$L$165),"View blocked / roof in front ("&amp;Assumptions!$M$165&amp;"); view premium still loading until L"&amp;Assumptions!$L$165&amp;". ","")&amp;IF(D946=Assumptions!$AH$165,"Mid-floor view premium fully loaded. ","")&amp;IF(D946=Assumptions!$P$165,"High-floor view premium fully loaded. ","")&amp;IF(Q946&lt;=K946,"At developer starting price.",""))</f>
        <v>Mid-floor view premium fully loaded.</v>
      </c>
      <c r="T946" s="48" t="str">
        <f>Assumptions!$AJ$165</f>
        <v>NNE. View towards Thomson Three &amp; Sin Ming HDB; Paw Garden pavilion in front of low floors</v>
      </c>
    </row>
    <row r="947" spans="1:20" x14ac:dyDescent="0.2">
      <c r="A947" s="13" t="s">
        <v>1109</v>
      </c>
      <c r="B947" s="14">
        <v>9</v>
      </c>
      <c r="C947" s="40">
        <v>39</v>
      </c>
      <c r="D947" s="40">
        <v>7</v>
      </c>
      <c r="E947" s="9" t="s">
        <v>43</v>
      </c>
      <c r="F947" s="14" t="s">
        <v>137</v>
      </c>
      <c r="G947" s="10">
        <v>678</v>
      </c>
      <c r="H947" s="14" t="s">
        <v>62</v>
      </c>
      <c r="I947" s="41" t="str">
        <f>Assumptions!$I$165</f>
        <v>E</v>
      </c>
      <c r="J947" s="14" t="str">
        <f>IF(D947&lt;=Assumptions!$V$165,"Low",IF(D947&lt;=Assumptions!$W$165,"Mid","High"))</f>
        <v>Low</v>
      </c>
      <c r="K947" s="15">
        <f>Assumptions!$Q$165</f>
        <v>2613</v>
      </c>
      <c r="L947" s="42">
        <f>INDEX(Assumptions!$C$61:$C$90,D947)</f>
        <v>2764.4587796925944</v>
      </c>
      <c r="M947" s="43">
        <f>IF(D947&lt;=Assumptions!$G$165,Assumptions!$AK$165,IF(D947&lt;Assumptions!$AH$165,Assumptions!$AK$165+(Assumptions!$AL$165-Assumptions!$AK$165)*(D947-Assumptions!$G$165)/(Assumptions!$AH$165-Assumptions!$G$165),IF(D947&lt;Assumptions!$P$165,Assumptions!$AL$165+(Assumptions!$AM$165-Assumptions!$AL$165)*(D947-Assumptions!$AH$165)/(Assumptions!$P$165-Assumptions!$AH$165),Assumptions!$AM$165)))</f>
        <v>-50000</v>
      </c>
      <c r="N947" s="44">
        <f t="shared" si="28"/>
        <v>-73.746312684365776</v>
      </c>
      <c r="O947" s="45">
        <f t="shared" si="29"/>
        <v>2691</v>
      </c>
      <c r="P947" s="14" t="str">
        <f>IF(D947&gt;=Assumptions!$P$165,"High",IF(D947&gt;=Assumptions!$AH$165,"Mid",IF(D947&lt;=Assumptions!$G$165,"Low","Loading")))</f>
        <v>Loading</v>
      </c>
      <c r="Q947" s="46">
        <f>MAX(K947,MIN(Assumptions!$S$165,O947),Q948)</f>
        <v>2691</v>
      </c>
      <c r="R947" s="12">
        <f>IF(AND(Q947&lt;=K947,INDEX(Assumptions!$C$26:$C$36,MATCH(G947,Assumptions!$A$26:$A$36,0))&lt;&gt;""),INDEX(Assumptions!$C$26:$C$36,MATCH(G947,Assumptions!$A$26:$A$36,0)),ROUND(G947*Q947,-2))</f>
        <v>1824500</v>
      </c>
      <c r="S947" s="47" t="str">
        <f>TRIM(IF(AND(Assumptions!$L$165&lt;&gt;"",D947&lt;Assumptions!$L$165),"View blocked / roof in front ("&amp;Assumptions!$M$165&amp;"); view premium still loading until L"&amp;Assumptions!$L$165&amp;". ","")&amp;IF(D947=Assumptions!$AH$165,"Mid-floor view premium fully loaded. ","")&amp;IF(D947=Assumptions!$P$165,"High-floor view premium fully loaded. ","")&amp;IF(Q947&lt;=K947,"At developer starting price.",""))</f>
        <v/>
      </c>
      <c r="T947" s="48" t="str">
        <f>Assumptions!$AJ$165</f>
        <v>NNE. View towards Thomson Three &amp; Sin Ming HDB; Paw Garden pavilion in front of low floors</v>
      </c>
    </row>
    <row r="948" spans="1:20" x14ac:dyDescent="0.2">
      <c r="A948" s="13" t="s">
        <v>1110</v>
      </c>
      <c r="B948" s="14">
        <v>9</v>
      </c>
      <c r="C948" s="40">
        <v>39</v>
      </c>
      <c r="D948" s="40">
        <v>6</v>
      </c>
      <c r="E948" s="9" t="s">
        <v>43</v>
      </c>
      <c r="F948" s="14" t="s">
        <v>137</v>
      </c>
      <c r="G948" s="10">
        <v>678</v>
      </c>
      <c r="H948" s="14" t="s">
        <v>62</v>
      </c>
      <c r="I948" s="41" t="str">
        <f>Assumptions!$I$165</f>
        <v>E</v>
      </c>
      <c r="J948" s="14" t="str">
        <f>IF(D948&lt;=Assumptions!$V$165,"Low",IF(D948&lt;=Assumptions!$W$165,"Mid","High"))</f>
        <v>Low</v>
      </c>
      <c r="K948" s="15">
        <f>Assumptions!$Q$165</f>
        <v>2613</v>
      </c>
      <c r="L948" s="42">
        <f>INDEX(Assumptions!$C$61:$C$90,D948)</f>
        <v>2748.9162862909488</v>
      </c>
      <c r="M948" s="43">
        <f>IF(D948&lt;=Assumptions!$G$165,Assumptions!$AK$165,IF(D948&lt;Assumptions!$AH$165,Assumptions!$AK$165+(Assumptions!$AL$165-Assumptions!$AK$165)*(D948-Assumptions!$G$165)/(Assumptions!$AH$165-Assumptions!$G$165),IF(D948&lt;Assumptions!$P$165,Assumptions!$AL$165+(Assumptions!$AM$165-Assumptions!$AL$165)*(D948-Assumptions!$AH$165)/(Assumptions!$P$165-Assumptions!$AH$165),Assumptions!$AM$165)))</f>
        <v>-50000</v>
      </c>
      <c r="N948" s="44">
        <f t="shared" si="28"/>
        <v>-73.746312684365776</v>
      </c>
      <c r="O948" s="45">
        <f t="shared" si="29"/>
        <v>2675</v>
      </c>
      <c r="P948" s="14" t="str">
        <f>IF(D948&gt;=Assumptions!$P$165,"High",IF(D948&gt;=Assumptions!$AH$165,"Mid",IF(D948&lt;=Assumptions!$G$165,"Low","Loading")))</f>
        <v>Loading</v>
      </c>
      <c r="Q948" s="46">
        <f>MAX(K948,MIN(Assumptions!$S$165,O948),Q949)</f>
        <v>2675</v>
      </c>
      <c r="R948" s="12">
        <f>IF(AND(Q948&lt;=K948,INDEX(Assumptions!$C$26:$C$36,MATCH(G948,Assumptions!$A$26:$A$36,0))&lt;&gt;""),INDEX(Assumptions!$C$26:$C$36,MATCH(G948,Assumptions!$A$26:$A$36,0)),ROUND(G948*Q948,-2))</f>
        <v>1813700</v>
      </c>
      <c r="S948" s="47" t="str">
        <f>TRIM(IF(AND(Assumptions!$L$165&lt;&gt;"",D948&lt;Assumptions!$L$165),"View blocked / roof in front ("&amp;Assumptions!$M$165&amp;"); view premium still loading until L"&amp;Assumptions!$L$165&amp;". ","")&amp;IF(D948=Assumptions!$AH$165,"Mid-floor view premium fully loaded. ","")&amp;IF(D948=Assumptions!$P$165,"High-floor view premium fully loaded. ","")&amp;IF(Q948&lt;=K948,"At developer starting price.",""))</f>
        <v/>
      </c>
      <c r="T948" s="48" t="str">
        <f>Assumptions!$AJ$165</f>
        <v>NNE. View towards Thomson Three &amp; Sin Ming HDB; Paw Garden pavilion in front of low floors</v>
      </c>
    </row>
    <row r="949" spans="1:20" x14ac:dyDescent="0.2">
      <c r="A949" s="13" t="s">
        <v>1111</v>
      </c>
      <c r="B949" s="14">
        <v>9</v>
      </c>
      <c r="C949" s="40">
        <v>39</v>
      </c>
      <c r="D949" s="40">
        <v>5</v>
      </c>
      <c r="E949" s="9" t="s">
        <v>43</v>
      </c>
      <c r="F949" s="14" t="s">
        <v>137</v>
      </c>
      <c r="G949" s="10">
        <v>678</v>
      </c>
      <c r="H949" s="14" t="s">
        <v>62</v>
      </c>
      <c r="I949" s="41" t="str">
        <f>Assumptions!$I$165</f>
        <v>E</v>
      </c>
      <c r="J949" s="14" t="str">
        <f>IF(D949&lt;=Assumptions!$V$165,"Low",IF(D949&lt;=Assumptions!$W$165,"Mid","High"))</f>
        <v>Low</v>
      </c>
      <c r="K949" s="15">
        <f>Assumptions!$Q$165</f>
        <v>2613</v>
      </c>
      <c r="L949" s="42">
        <f>INDEX(Assumptions!$C$61:$C$90,D949)</f>
        <v>2733.3737928893029</v>
      </c>
      <c r="M949" s="43">
        <f>IF(D949&lt;=Assumptions!$G$165,Assumptions!$AK$165,IF(D949&lt;Assumptions!$AH$165,Assumptions!$AK$165+(Assumptions!$AL$165-Assumptions!$AK$165)*(D949-Assumptions!$G$165)/(Assumptions!$AH$165-Assumptions!$G$165),IF(D949&lt;Assumptions!$P$165,Assumptions!$AL$165+(Assumptions!$AM$165-Assumptions!$AL$165)*(D949-Assumptions!$AH$165)/(Assumptions!$P$165-Assumptions!$AH$165),Assumptions!$AM$165)))</f>
        <v>-50000</v>
      </c>
      <c r="N949" s="44">
        <f t="shared" si="28"/>
        <v>-73.746312684365776</v>
      </c>
      <c r="O949" s="45">
        <f t="shared" si="29"/>
        <v>2660</v>
      </c>
      <c r="P949" s="14" t="str">
        <f>IF(D949&gt;=Assumptions!$P$165,"High",IF(D949&gt;=Assumptions!$AH$165,"Mid",IF(D949&lt;=Assumptions!$G$165,"Low","Loading")))</f>
        <v>Loading</v>
      </c>
      <c r="Q949" s="46">
        <f>MAX(K949,MIN(Assumptions!$S$165,O949),Q950)</f>
        <v>2660</v>
      </c>
      <c r="R949" s="12">
        <f>IF(AND(Q949&lt;=K949,INDEX(Assumptions!$C$26:$C$36,MATCH(G949,Assumptions!$A$26:$A$36,0))&lt;&gt;""),INDEX(Assumptions!$C$26:$C$36,MATCH(G949,Assumptions!$A$26:$A$36,0)),ROUND(G949*Q949,-2))</f>
        <v>1803500</v>
      </c>
      <c r="S949" s="47" t="str">
        <f>TRIM(IF(AND(Assumptions!$L$165&lt;&gt;"",D949&lt;Assumptions!$L$165),"View blocked / roof in front ("&amp;Assumptions!$M$165&amp;"); view premium still loading until L"&amp;Assumptions!$L$165&amp;". ","")&amp;IF(D949=Assumptions!$AH$165,"Mid-floor view premium fully loaded. ","")&amp;IF(D949=Assumptions!$P$165,"High-floor view premium fully loaded. ","")&amp;IF(Q949&lt;=K949,"At developer starting price.",""))</f>
        <v/>
      </c>
      <c r="T949" s="48" t="str">
        <f>Assumptions!$AJ$165</f>
        <v>NNE. View towards Thomson Three &amp; Sin Ming HDB; Paw Garden pavilion in front of low floors</v>
      </c>
    </row>
    <row r="950" spans="1:20" x14ac:dyDescent="0.2">
      <c r="A950" s="13" t="s">
        <v>1112</v>
      </c>
      <c r="B950" s="14">
        <v>9</v>
      </c>
      <c r="C950" s="40">
        <v>39</v>
      </c>
      <c r="D950" s="40">
        <v>4</v>
      </c>
      <c r="E950" s="9" t="s">
        <v>43</v>
      </c>
      <c r="F950" s="14" t="s">
        <v>137</v>
      </c>
      <c r="G950" s="10">
        <v>678</v>
      </c>
      <c r="H950" s="14" t="s">
        <v>62</v>
      </c>
      <c r="I950" s="41" t="str">
        <f>Assumptions!$I$165</f>
        <v>E</v>
      </c>
      <c r="J950" s="14" t="str">
        <f>IF(D950&lt;=Assumptions!$V$165,"Low",IF(D950&lt;=Assumptions!$W$165,"Mid","High"))</f>
        <v>Low</v>
      </c>
      <c r="K950" s="15">
        <f>Assumptions!$Q$165</f>
        <v>2613</v>
      </c>
      <c r="L950" s="42">
        <f>INDEX(Assumptions!$C$61:$C$90,D950)</f>
        <v>2717.8312994876574</v>
      </c>
      <c r="M950" s="43">
        <f>IF(D950&lt;=Assumptions!$G$165,Assumptions!$AK$165,IF(D950&lt;Assumptions!$AH$165,Assumptions!$AK$165+(Assumptions!$AL$165-Assumptions!$AK$165)*(D950-Assumptions!$G$165)/(Assumptions!$AH$165-Assumptions!$G$165),IF(D950&lt;Assumptions!$P$165,Assumptions!$AL$165+(Assumptions!$AM$165-Assumptions!$AL$165)*(D950-Assumptions!$AH$165)/(Assumptions!$P$165-Assumptions!$AH$165),Assumptions!$AM$165)))</f>
        <v>-50000</v>
      </c>
      <c r="N950" s="44">
        <f t="shared" si="28"/>
        <v>-73.746312684365776</v>
      </c>
      <c r="O950" s="45">
        <f t="shared" si="29"/>
        <v>2644</v>
      </c>
      <c r="P950" s="14" t="str">
        <f>IF(D950&gt;=Assumptions!$P$165,"High",IF(D950&gt;=Assumptions!$AH$165,"Mid",IF(D950&lt;=Assumptions!$G$165,"Low","Loading")))</f>
        <v>Loading</v>
      </c>
      <c r="Q950" s="46">
        <f>MAX(K950,MIN(Assumptions!$S$165,O950),Q951)</f>
        <v>2644</v>
      </c>
      <c r="R950" s="12">
        <f>IF(AND(Q950&lt;=K950,INDEX(Assumptions!$C$26:$C$36,MATCH(G950,Assumptions!$A$26:$A$36,0))&lt;&gt;""),INDEX(Assumptions!$C$26:$C$36,MATCH(G950,Assumptions!$A$26:$A$36,0)),ROUND(G950*Q950,-2))</f>
        <v>1792600</v>
      </c>
      <c r="S950" s="47" t="str">
        <f>TRIM(IF(AND(Assumptions!$L$165&lt;&gt;"",D950&lt;Assumptions!$L$165),"View blocked / roof in front ("&amp;Assumptions!$M$165&amp;"); view premium still loading until L"&amp;Assumptions!$L$165&amp;". ","")&amp;IF(D950=Assumptions!$AH$165,"Mid-floor view premium fully loaded. ","")&amp;IF(D950=Assumptions!$P$165,"High-floor view premium fully loaded. ","")&amp;IF(Q950&lt;=K950,"At developer starting price.",""))</f>
        <v/>
      </c>
      <c r="T950" s="48" t="str">
        <f>Assumptions!$AJ$165</f>
        <v>NNE. View towards Thomson Three &amp; Sin Ming HDB; Paw Garden pavilion in front of low floors</v>
      </c>
    </row>
    <row r="951" spans="1:20" x14ac:dyDescent="0.2">
      <c r="A951" s="13" t="s">
        <v>1113</v>
      </c>
      <c r="B951" s="14">
        <v>9</v>
      </c>
      <c r="C951" s="40">
        <v>39</v>
      </c>
      <c r="D951" s="40">
        <v>3</v>
      </c>
      <c r="E951" s="9" t="s">
        <v>43</v>
      </c>
      <c r="F951" s="14" t="s">
        <v>137</v>
      </c>
      <c r="G951" s="10">
        <v>678</v>
      </c>
      <c r="H951" s="14" t="s">
        <v>62</v>
      </c>
      <c r="I951" s="41" t="str">
        <f>Assumptions!$I$165</f>
        <v>E</v>
      </c>
      <c r="J951" s="14" t="str">
        <f>IF(D951&lt;=Assumptions!$V$165,"Low",IF(D951&lt;=Assumptions!$W$165,"Mid","High"))</f>
        <v>Low</v>
      </c>
      <c r="K951" s="15">
        <f>Assumptions!$Q$165</f>
        <v>2613</v>
      </c>
      <c r="L951" s="42">
        <f>INDEX(Assumptions!$C$61:$C$90,D951)</f>
        <v>2702.2888060860114</v>
      </c>
      <c r="M951" s="43">
        <f>IF(D951&lt;=Assumptions!$G$165,Assumptions!$AK$165,IF(D951&lt;Assumptions!$AH$165,Assumptions!$AK$165+(Assumptions!$AL$165-Assumptions!$AK$165)*(D951-Assumptions!$G$165)/(Assumptions!$AH$165-Assumptions!$G$165),IF(D951&lt;Assumptions!$P$165,Assumptions!$AL$165+(Assumptions!$AM$165-Assumptions!$AL$165)*(D951-Assumptions!$AH$165)/(Assumptions!$P$165-Assumptions!$AH$165),Assumptions!$AM$165)))</f>
        <v>-50000</v>
      </c>
      <c r="N951" s="44">
        <f t="shared" si="28"/>
        <v>-73.746312684365776</v>
      </c>
      <c r="O951" s="45">
        <f t="shared" si="29"/>
        <v>2629</v>
      </c>
      <c r="P951" s="14" t="str">
        <f>IF(D951&gt;=Assumptions!$P$165,"High",IF(D951&gt;=Assumptions!$AH$165,"Mid",IF(D951&lt;=Assumptions!$G$165,"Low","Loading")))</f>
        <v>Loading</v>
      </c>
      <c r="Q951" s="46">
        <f>MAX(K951,MIN(Assumptions!$S$165,O951),Q952)</f>
        <v>2629</v>
      </c>
      <c r="R951" s="12">
        <f>IF(AND(Q951&lt;=K951,INDEX(Assumptions!$C$26:$C$36,MATCH(G951,Assumptions!$A$26:$A$36,0))&lt;&gt;""),INDEX(Assumptions!$C$26:$C$36,MATCH(G951,Assumptions!$A$26:$A$36,0)),ROUND(G951*Q951,-2))</f>
        <v>1782500</v>
      </c>
      <c r="S951" s="47" t="str">
        <f>TRIM(IF(AND(Assumptions!$L$165&lt;&gt;"",D951&lt;Assumptions!$L$165),"View blocked / roof in front ("&amp;Assumptions!$M$165&amp;"); view premium still loading until L"&amp;Assumptions!$L$165&amp;". ","")&amp;IF(D951=Assumptions!$AH$165,"Mid-floor view premium fully loaded. ","")&amp;IF(D951=Assumptions!$P$165,"High-floor view premium fully loaded. ","")&amp;IF(Q951&lt;=K951,"At developer starting price.",""))</f>
        <v>View blocked / roof in front (Paw Garden Pavilion: 20% of view, 22.9 to 29.9m away); view premium still loading until L4.</v>
      </c>
      <c r="T951" s="48" t="str">
        <f>Assumptions!$AJ$165</f>
        <v>NNE. View towards Thomson Three &amp; Sin Ming HDB; Paw Garden pavilion in front of low floors</v>
      </c>
    </row>
    <row r="952" spans="1:20" x14ac:dyDescent="0.2">
      <c r="A952" s="13" t="s">
        <v>1114</v>
      </c>
      <c r="B952" s="14">
        <v>9</v>
      </c>
      <c r="C952" s="40">
        <v>39</v>
      </c>
      <c r="D952" s="40">
        <v>2</v>
      </c>
      <c r="E952" s="9" t="s">
        <v>43</v>
      </c>
      <c r="F952" s="14" t="s">
        <v>157</v>
      </c>
      <c r="G952" s="10">
        <v>678</v>
      </c>
      <c r="H952" s="14" t="s">
        <v>62</v>
      </c>
      <c r="I952" s="41" t="str">
        <f>Assumptions!$I$165</f>
        <v>E</v>
      </c>
      <c r="J952" s="14" t="str">
        <f>IF(D952&lt;=Assumptions!$V$165,"Low",IF(D952&lt;=Assumptions!$W$165,"Mid","High"))</f>
        <v>Low</v>
      </c>
      <c r="K952" s="15">
        <f>Assumptions!$Q$165</f>
        <v>2613</v>
      </c>
      <c r="L952" s="42">
        <f>INDEX(Assumptions!$C$61:$C$90,D952)</f>
        <v>2686.7463126843659</v>
      </c>
      <c r="M952" s="43">
        <f>IF(D952&lt;=Assumptions!$G$165,Assumptions!$AK$165,IF(D952&lt;Assumptions!$AH$165,Assumptions!$AK$165+(Assumptions!$AL$165-Assumptions!$AK$165)*(D952-Assumptions!$G$165)/(Assumptions!$AH$165-Assumptions!$G$165),IF(D952&lt;Assumptions!$P$165,Assumptions!$AL$165+(Assumptions!$AM$165-Assumptions!$AL$165)*(D952-Assumptions!$AH$165)/(Assumptions!$P$165-Assumptions!$AH$165),Assumptions!$AM$165)))</f>
        <v>-50000</v>
      </c>
      <c r="N952" s="44">
        <f t="shared" si="28"/>
        <v>-73.746312684365776</v>
      </c>
      <c r="O952" s="45">
        <f t="shared" si="29"/>
        <v>2613</v>
      </c>
      <c r="P952" s="14" t="str">
        <f>IF(D952&gt;=Assumptions!$P$165,"High",IF(D952&gt;=Assumptions!$AH$165,"Mid",IF(D952&lt;=Assumptions!$G$165,"Low","Loading")))</f>
        <v>Low</v>
      </c>
      <c r="Q952" s="46">
        <f>MAX(K952,MIN(Assumptions!$S$165,O952))</f>
        <v>2613</v>
      </c>
      <c r="R952" s="12">
        <f>IF(AND(Q952&lt;=K952,INDEX(Assumptions!$C$26:$C$36,MATCH(G952,Assumptions!$A$26:$A$36,0))&lt;&gt;""),INDEX(Assumptions!$C$26:$C$36,MATCH(G952,Assumptions!$A$26:$A$36,0)),ROUND(G952*Q952,-2))</f>
        <v>1772000</v>
      </c>
      <c r="S952" s="47" t="str">
        <f>TRIM(IF(AND(Assumptions!$L$165&lt;&gt;"",D952&lt;Assumptions!$L$165),"View blocked / roof in front ("&amp;Assumptions!$M$165&amp;"); view premium still loading until L"&amp;Assumptions!$L$165&amp;". ","")&amp;IF(D952=Assumptions!$AH$165,"Mid-floor view premium fully loaded. ","")&amp;IF(D952=Assumptions!$P$165,"High-floor view premium fully loaded. ","")&amp;IF(Q952&lt;=K952,"At developer starting price.",""))</f>
        <v>View blocked / roof in front (Paw Garden Pavilion: 20% of view, 22.9 to 29.9m away); view premium still loading until L4. At developer starting price.</v>
      </c>
      <c r="T952" s="48" t="str">
        <f>Assumptions!$AJ$165</f>
        <v>NNE. View towards Thomson Three &amp; Sin Ming HDB; Paw Garden pavilion in front of low floors</v>
      </c>
    </row>
    <row r="953" spans="1:20" x14ac:dyDescent="0.2">
      <c r="A953" s="13" t="s">
        <v>1115</v>
      </c>
      <c r="B953" s="14">
        <v>9</v>
      </c>
      <c r="C953" s="40">
        <v>40</v>
      </c>
      <c r="D953" s="40">
        <v>21</v>
      </c>
      <c r="E953" s="9" t="s">
        <v>45</v>
      </c>
      <c r="F953" s="14" t="s">
        <v>1116</v>
      </c>
      <c r="G953" s="10">
        <v>947</v>
      </c>
      <c r="H953" s="14" t="s">
        <v>62</v>
      </c>
      <c r="I953" s="41" t="str">
        <f>Assumptions!$I$166</f>
        <v>D</v>
      </c>
      <c r="J953" s="14" t="str">
        <f>IF(D953&lt;=Assumptions!$V$166,"Low",IF(D953&lt;=Assumptions!$W$166,"Mid","High"))</f>
        <v>High</v>
      </c>
      <c r="K953" s="15">
        <f>Assumptions!$Q$166</f>
        <v>2642</v>
      </c>
      <c r="L953" s="42">
        <f>INDEX(Assumptions!$I$61:$I$90,D953)</f>
        <v>3065.4538461538464</v>
      </c>
      <c r="M953" s="43">
        <f>IF(D953&lt;=Assumptions!$G$166,Assumptions!$AK$166,IF(D953&lt;Assumptions!$AH$166,Assumptions!$AK$166+(Assumptions!$AL$166-Assumptions!$AK$166)*(D953-Assumptions!$G$166)/(Assumptions!$AH$166-Assumptions!$G$166),IF(D953&lt;Assumptions!$P$166,Assumptions!$AL$166+(Assumptions!$AM$166-Assumptions!$AL$166)*(D953-Assumptions!$AH$166)/(Assumptions!$P$166-Assumptions!$AH$166),Assumptions!$AM$166)))</f>
        <v>-50000</v>
      </c>
      <c r="N953" s="44">
        <f t="shared" si="28"/>
        <v>-52.798310454065472</v>
      </c>
      <c r="O953" s="45">
        <f t="shared" si="29"/>
        <v>3013</v>
      </c>
      <c r="P953" s="14" t="str">
        <f>IF(D953&gt;=Assumptions!$P$166,"High",IF(D953&gt;=Assumptions!$AH$166,"Mid",IF(D953&lt;=Assumptions!$G$166,"Low","Loading")))</f>
        <v>High</v>
      </c>
      <c r="Q953" s="46">
        <f>MAX(K953,MIN(Assumptions!$S$166,O953),Q954)</f>
        <v>3013</v>
      </c>
      <c r="R953" s="12">
        <f>IF(AND(Q953&lt;=K953,INDEX(Assumptions!$C$26:$C$36,MATCH(G953,Assumptions!$A$26:$A$36,0))&lt;&gt;""),INDEX(Assumptions!$C$26:$C$36,MATCH(G953,Assumptions!$A$26:$A$36,0)),ROUND(G953*Q953,-2))</f>
        <v>2853300</v>
      </c>
      <c r="S953" s="47" t="str">
        <f>TRIM(IF(AND(Assumptions!$L$166&lt;&gt;"",D953&lt;Assumptions!$L$166),"View blocked / roof in front ("&amp;Assumptions!$M$166&amp;"); view premium still loading until L"&amp;Assumptions!$L$166&amp;". ","")&amp;IF(D953=Assumptions!$AH$166,"Mid-floor view premium fully loaded. ","")&amp;IF(D953=Assumptions!$P$166,"High-floor view premium fully loaded. ","")&amp;IF(Q953&lt;=K953,"At developer starting price.",""))</f>
        <v/>
      </c>
      <c r="T953" s="48" t="str">
        <f>Assumptions!$AJ$166</f>
        <v>NNE. 28m to boundary facing Thomson Three cluster houses, next to Relaxation Bubble Pool</v>
      </c>
    </row>
    <row r="954" spans="1:20" x14ac:dyDescent="0.2">
      <c r="A954" s="13" t="s">
        <v>1117</v>
      </c>
      <c r="B954" s="14">
        <v>9</v>
      </c>
      <c r="C954" s="40">
        <v>40</v>
      </c>
      <c r="D954" s="40">
        <v>20</v>
      </c>
      <c r="E954" s="9" t="s">
        <v>45</v>
      </c>
      <c r="F954" s="14" t="s">
        <v>1116</v>
      </c>
      <c r="G954" s="10">
        <v>947</v>
      </c>
      <c r="H954" s="14" t="s">
        <v>62</v>
      </c>
      <c r="I954" s="41" t="str">
        <f>Assumptions!$I$166</f>
        <v>D</v>
      </c>
      <c r="J954" s="14" t="str">
        <f>IF(D954&lt;=Assumptions!$V$166,"Low",IF(D954&lt;=Assumptions!$W$166,"Mid","High"))</f>
        <v>High</v>
      </c>
      <c r="K954" s="15">
        <f>Assumptions!$Q$166</f>
        <v>2642</v>
      </c>
      <c r="L954" s="42">
        <f>INDEX(Assumptions!$I$61:$I$90,D954)</f>
        <v>3040.9923076923078</v>
      </c>
      <c r="M954" s="43">
        <f>IF(D954&lt;=Assumptions!$G$166,Assumptions!$AK$166,IF(D954&lt;Assumptions!$AH$166,Assumptions!$AK$166+(Assumptions!$AL$166-Assumptions!$AK$166)*(D954-Assumptions!$G$166)/(Assumptions!$AH$166-Assumptions!$G$166),IF(D954&lt;Assumptions!$P$166,Assumptions!$AL$166+(Assumptions!$AM$166-Assumptions!$AL$166)*(D954-Assumptions!$AH$166)/(Assumptions!$P$166-Assumptions!$AH$166),Assumptions!$AM$166)))</f>
        <v>-50000</v>
      </c>
      <c r="N954" s="44">
        <f t="shared" si="28"/>
        <v>-52.798310454065472</v>
      </c>
      <c r="O954" s="45">
        <f t="shared" si="29"/>
        <v>2988</v>
      </c>
      <c r="P954" s="14" t="str">
        <f>IF(D954&gt;=Assumptions!$P$166,"High",IF(D954&gt;=Assumptions!$AH$166,"Mid",IF(D954&lt;=Assumptions!$G$166,"Low","Loading")))</f>
        <v>High</v>
      </c>
      <c r="Q954" s="46">
        <f>MAX(K954,MIN(Assumptions!$S$166,O954),Q955)</f>
        <v>2988</v>
      </c>
      <c r="R954" s="12">
        <f>IF(AND(Q954&lt;=K954,INDEX(Assumptions!$C$26:$C$36,MATCH(G954,Assumptions!$A$26:$A$36,0))&lt;&gt;""),INDEX(Assumptions!$C$26:$C$36,MATCH(G954,Assumptions!$A$26:$A$36,0)),ROUND(G954*Q954,-2))</f>
        <v>2829600</v>
      </c>
      <c r="S954" s="47" t="str">
        <f>TRIM(IF(AND(Assumptions!$L$166&lt;&gt;"",D954&lt;Assumptions!$L$166),"View blocked / roof in front ("&amp;Assumptions!$M$166&amp;"); view premium still loading until L"&amp;Assumptions!$L$166&amp;". ","")&amp;IF(D954=Assumptions!$AH$166,"Mid-floor view premium fully loaded. ","")&amp;IF(D954=Assumptions!$P$166,"High-floor view premium fully loaded. ","")&amp;IF(Q954&lt;=K954,"At developer starting price.",""))</f>
        <v/>
      </c>
      <c r="T954" s="48" t="str">
        <f>Assumptions!$AJ$166</f>
        <v>NNE. 28m to boundary facing Thomson Three cluster houses, next to Relaxation Bubble Pool</v>
      </c>
    </row>
    <row r="955" spans="1:20" x14ac:dyDescent="0.2">
      <c r="A955" s="13" t="s">
        <v>1118</v>
      </c>
      <c r="B955" s="14">
        <v>9</v>
      </c>
      <c r="C955" s="40">
        <v>40</v>
      </c>
      <c r="D955" s="40">
        <v>19</v>
      </c>
      <c r="E955" s="9" t="s">
        <v>45</v>
      </c>
      <c r="F955" s="14" t="s">
        <v>1116</v>
      </c>
      <c r="G955" s="10">
        <v>947</v>
      </c>
      <c r="H955" s="14" t="s">
        <v>62</v>
      </c>
      <c r="I955" s="41" t="str">
        <f>Assumptions!$I$166</f>
        <v>D</v>
      </c>
      <c r="J955" s="14" t="str">
        <f>IF(D955&lt;=Assumptions!$V$166,"Low",IF(D955&lt;=Assumptions!$W$166,"Mid","High"))</f>
        <v>High</v>
      </c>
      <c r="K955" s="15">
        <f>Assumptions!$Q$166</f>
        <v>2642</v>
      </c>
      <c r="L955" s="42">
        <f>INDEX(Assumptions!$I$61:$I$90,D955)</f>
        <v>3016.5307692307692</v>
      </c>
      <c r="M955" s="43">
        <f>IF(D955&lt;=Assumptions!$G$166,Assumptions!$AK$166,IF(D955&lt;Assumptions!$AH$166,Assumptions!$AK$166+(Assumptions!$AL$166-Assumptions!$AK$166)*(D955-Assumptions!$G$166)/(Assumptions!$AH$166-Assumptions!$G$166),IF(D955&lt;Assumptions!$P$166,Assumptions!$AL$166+(Assumptions!$AM$166-Assumptions!$AL$166)*(D955-Assumptions!$AH$166)/(Assumptions!$P$166-Assumptions!$AH$166),Assumptions!$AM$166)))</f>
        <v>-50000</v>
      </c>
      <c r="N955" s="44">
        <f t="shared" si="28"/>
        <v>-52.798310454065472</v>
      </c>
      <c r="O955" s="45">
        <f t="shared" si="29"/>
        <v>2964</v>
      </c>
      <c r="P955" s="14" t="str">
        <f>IF(D955&gt;=Assumptions!$P$166,"High",IF(D955&gt;=Assumptions!$AH$166,"Mid",IF(D955&lt;=Assumptions!$G$166,"Low","Loading")))</f>
        <v>High</v>
      </c>
      <c r="Q955" s="46">
        <f>MAX(K955,MIN(Assumptions!$S$166,O955),Q956)</f>
        <v>2964</v>
      </c>
      <c r="R955" s="12">
        <f>IF(AND(Q955&lt;=K955,INDEX(Assumptions!$C$26:$C$36,MATCH(G955,Assumptions!$A$26:$A$36,0))&lt;&gt;""),INDEX(Assumptions!$C$26:$C$36,MATCH(G955,Assumptions!$A$26:$A$36,0)),ROUND(G955*Q955,-2))</f>
        <v>2806900</v>
      </c>
      <c r="S955" s="47" t="str">
        <f>TRIM(IF(AND(Assumptions!$L$166&lt;&gt;"",D955&lt;Assumptions!$L$166),"View blocked / roof in front ("&amp;Assumptions!$M$166&amp;"); view premium still loading until L"&amp;Assumptions!$L$166&amp;". ","")&amp;IF(D955=Assumptions!$AH$166,"Mid-floor view premium fully loaded. ","")&amp;IF(D955=Assumptions!$P$166,"High-floor view premium fully loaded. ","")&amp;IF(Q955&lt;=K955,"At developer starting price.",""))</f>
        <v/>
      </c>
      <c r="T955" s="48" t="str">
        <f>Assumptions!$AJ$166</f>
        <v>NNE. 28m to boundary facing Thomson Three cluster houses, next to Relaxation Bubble Pool</v>
      </c>
    </row>
    <row r="956" spans="1:20" x14ac:dyDescent="0.2">
      <c r="A956" s="13" t="s">
        <v>1119</v>
      </c>
      <c r="B956" s="14">
        <v>9</v>
      </c>
      <c r="C956" s="40">
        <v>40</v>
      </c>
      <c r="D956" s="40">
        <v>18</v>
      </c>
      <c r="E956" s="9" t="s">
        <v>45</v>
      </c>
      <c r="F956" s="14" t="s">
        <v>1116</v>
      </c>
      <c r="G956" s="10">
        <v>947</v>
      </c>
      <c r="H956" s="14" t="s">
        <v>62</v>
      </c>
      <c r="I956" s="41" t="str">
        <f>Assumptions!$I$166</f>
        <v>D</v>
      </c>
      <c r="J956" s="14" t="str">
        <f>IF(D956&lt;=Assumptions!$V$166,"Low",IF(D956&lt;=Assumptions!$W$166,"Mid","High"))</f>
        <v>High</v>
      </c>
      <c r="K956" s="15">
        <f>Assumptions!$Q$166</f>
        <v>2642</v>
      </c>
      <c r="L956" s="42">
        <f>INDEX(Assumptions!$I$61:$I$90,D956)</f>
        <v>2992.0692307692311</v>
      </c>
      <c r="M956" s="43">
        <f>IF(D956&lt;=Assumptions!$G$166,Assumptions!$AK$166,IF(D956&lt;Assumptions!$AH$166,Assumptions!$AK$166+(Assumptions!$AL$166-Assumptions!$AK$166)*(D956-Assumptions!$G$166)/(Assumptions!$AH$166-Assumptions!$G$166),IF(D956&lt;Assumptions!$P$166,Assumptions!$AL$166+(Assumptions!$AM$166-Assumptions!$AL$166)*(D956-Assumptions!$AH$166)/(Assumptions!$P$166-Assumptions!$AH$166),Assumptions!$AM$166)))</f>
        <v>-50000</v>
      </c>
      <c r="N956" s="44">
        <f t="shared" si="28"/>
        <v>-52.798310454065472</v>
      </c>
      <c r="O956" s="45">
        <f t="shared" si="29"/>
        <v>2939</v>
      </c>
      <c r="P956" s="14" t="str">
        <f>IF(D956&gt;=Assumptions!$P$166,"High",IF(D956&gt;=Assumptions!$AH$166,"Mid",IF(D956&lt;=Assumptions!$G$166,"Low","Loading")))</f>
        <v>High</v>
      </c>
      <c r="Q956" s="46">
        <f>MAX(K956,MIN(Assumptions!$S$166,O956),Q957)</f>
        <v>2939</v>
      </c>
      <c r="R956" s="12">
        <f>IF(AND(Q956&lt;=K956,INDEX(Assumptions!$C$26:$C$36,MATCH(G956,Assumptions!$A$26:$A$36,0))&lt;&gt;""),INDEX(Assumptions!$C$26:$C$36,MATCH(G956,Assumptions!$A$26:$A$36,0)),ROUND(G956*Q956,-2))</f>
        <v>2783200</v>
      </c>
      <c r="S956" s="47" t="str">
        <f>TRIM(IF(AND(Assumptions!$L$166&lt;&gt;"",D956&lt;Assumptions!$L$166),"View blocked / roof in front ("&amp;Assumptions!$M$166&amp;"); view premium still loading until L"&amp;Assumptions!$L$166&amp;". ","")&amp;IF(D956=Assumptions!$AH$166,"Mid-floor view premium fully loaded. ","")&amp;IF(D956=Assumptions!$P$166,"High-floor view premium fully loaded. ","")&amp;IF(Q956&lt;=K956,"At developer starting price.",""))</f>
        <v/>
      </c>
      <c r="T956" s="48" t="str">
        <f>Assumptions!$AJ$166</f>
        <v>NNE. 28m to boundary facing Thomson Three cluster houses, next to Relaxation Bubble Pool</v>
      </c>
    </row>
    <row r="957" spans="1:20" x14ac:dyDescent="0.2">
      <c r="A957" s="13" t="s">
        <v>1120</v>
      </c>
      <c r="B957" s="14">
        <v>9</v>
      </c>
      <c r="C957" s="40">
        <v>40</v>
      </c>
      <c r="D957" s="40">
        <v>17</v>
      </c>
      <c r="E957" s="9" t="s">
        <v>45</v>
      </c>
      <c r="F957" s="14" t="s">
        <v>1116</v>
      </c>
      <c r="G957" s="10">
        <v>947</v>
      </c>
      <c r="H957" s="14" t="s">
        <v>62</v>
      </c>
      <c r="I957" s="41" t="str">
        <f>Assumptions!$I$166</f>
        <v>D</v>
      </c>
      <c r="J957" s="14" t="str">
        <f>IF(D957&lt;=Assumptions!$V$166,"Low",IF(D957&lt;=Assumptions!$W$166,"Mid","High"))</f>
        <v>High</v>
      </c>
      <c r="K957" s="15">
        <f>Assumptions!$Q$166</f>
        <v>2642</v>
      </c>
      <c r="L957" s="42">
        <f>INDEX(Assumptions!$I$61:$I$90,D957)</f>
        <v>2967.6076923076926</v>
      </c>
      <c r="M957" s="43">
        <f>IF(D957&lt;=Assumptions!$G$166,Assumptions!$AK$166,IF(D957&lt;Assumptions!$AH$166,Assumptions!$AK$166+(Assumptions!$AL$166-Assumptions!$AK$166)*(D957-Assumptions!$G$166)/(Assumptions!$AH$166-Assumptions!$G$166),IF(D957&lt;Assumptions!$P$166,Assumptions!$AL$166+(Assumptions!$AM$166-Assumptions!$AL$166)*(D957-Assumptions!$AH$166)/(Assumptions!$P$166-Assumptions!$AH$166),Assumptions!$AM$166)))</f>
        <v>-50000</v>
      </c>
      <c r="N957" s="44">
        <f t="shared" si="28"/>
        <v>-52.798310454065472</v>
      </c>
      <c r="O957" s="45">
        <f t="shared" si="29"/>
        <v>2915</v>
      </c>
      <c r="P957" s="14" t="str">
        <f>IF(D957&gt;=Assumptions!$P$166,"High",IF(D957&gt;=Assumptions!$AH$166,"Mid",IF(D957&lt;=Assumptions!$G$166,"Low","Loading")))</f>
        <v>High</v>
      </c>
      <c r="Q957" s="46">
        <f>MAX(K957,MIN(Assumptions!$S$166,O957),Q958)</f>
        <v>2915</v>
      </c>
      <c r="R957" s="12">
        <f>IF(AND(Q957&lt;=K957,INDEX(Assumptions!$C$26:$C$36,MATCH(G957,Assumptions!$A$26:$A$36,0))&lt;&gt;""),INDEX(Assumptions!$C$26:$C$36,MATCH(G957,Assumptions!$A$26:$A$36,0)),ROUND(G957*Q957,-2))</f>
        <v>2760500</v>
      </c>
      <c r="S957" s="47" t="str">
        <f>TRIM(IF(AND(Assumptions!$L$166&lt;&gt;"",D957&lt;Assumptions!$L$166),"View blocked / roof in front ("&amp;Assumptions!$M$166&amp;"); view premium still loading until L"&amp;Assumptions!$L$166&amp;". ","")&amp;IF(D957=Assumptions!$AH$166,"Mid-floor view premium fully loaded. ","")&amp;IF(D957=Assumptions!$P$166,"High-floor view premium fully loaded. ","")&amp;IF(Q957&lt;=K957,"At developer starting price.",""))</f>
        <v/>
      </c>
      <c r="T957" s="48" t="str">
        <f>Assumptions!$AJ$166</f>
        <v>NNE. 28m to boundary facing Thomson Three cluster houses, next to Relaxation Bubble Pool</v>
      </c>
    </row>
    <row r="958" spans="1:20" x14ac:dyDescent="0.2">
      <c r="A958" s="13" t="s">
        <v>1121</v>
      </c>
      <c r="B958" s="14">
        <v>9</v>
      </c>
      <c r="C958" s="40">
        <v>40</v>
      </c>
      <c r="D958" s="40">
        <v>16</v>
      </c>
      <c r="E958" s="9" t="s">
        <v>45</v>
      </c>
      <c r="F958" s="14" t="s">
        <v>1116</v>
      </c>
      <c r="G958" s="10">
        <v>947</v>
      </c>
      <c r="H958" s="14" t="s">
        <v>62</v>
      </c>
      <c r="I958" s="41" t="str">
        <f>Assumptions!$I$166</f>
        <v>D</v>
      </c>
      <c r="J958" s="14" t="str">
        <f>IF(D958&lt;=Assumptions!$V$166,"Low",IF(D958&lt;=Assumptions!$W$166,"Mid","High"))</f>
        <v>High</v>
      </c>
      <c r="K958" s="15">
        <f>Assumptions!$Q$166</f>
        <v>2642</v>
      </c>
      <c r="L958" s="42">
        <f>INDEX(Assumptions!$I$61:$I$90,D958)</f>
        <v>2943.146153846154</v>
      </c>
      <c r="M958" s="43">
        <f>IF(D958&lt;=Assumptions!$G$166,Assumptions!$AK$166,IF(D958&lt;Assumptions!$AH$166,Assumptions!$AK$166+(Assumptions!$AL$166-Assumptions!$AK$166)*(D958-Assumptions!$G$166)/(Assumptions!$AH$166-Assumptions!$G$166),IF(D958&lt;Assumptions!$P$166,Assumptions!$AL$166+(Assumptions!$AM$166-Assumptions!$AL$166)*(D958-Assumptions!$AH$166)/(Assumptions!$P$166-Assumptions!$AH$166),Assumptions!$AM$166)))</f>
        <v>-50000</v>
      </c>
      <c r="N958" s="44">
        <f t="shared" si="28"/>
        <v>-52.798310454065472</v>
      </c>
      <c r="O958" s="45">
        <f t="shared" si="29"/>
        <v>2890</v>
      </c>
      <c r="P958" s="14" t="str">
        <f>IF(D958&gt;=Assumptions!$P$166,"High",IF(D958&gt;=Assumptions!$AH$166,"Mid",IF(D958&lt;=Assumptions!$G$166,"Low","Loading")))</f>
        <v>High</v>
      </c>
      <c r="Q958" s="46">
        <f>MAX(K958,MIN(Assumptions!$S$166,O958),Q959)</f>
        <v>2890</v>
      </c>
      <c r="R958" s="12">
        <f>IF(AND(Q958&lt;=K958,INDEX(Assumptions!$C$26:$C$36,MATCH(G958,Assumptions!$A$26:$A$36,0))&lt;&gt;""),INDEX(Assumptions!$C$26:$C$36,MATCH(G958,Assumptions!$A$26:$A$36,0)),ROUND(G958*Q958,-2))</f>
        <v>2736800</v>
      </c>
      <c r="S958" s="47" t="str">
        <f>TRIM(IF(AND(Assumptions!$L$166&lt;&gt;"",D958&lt;Assumptions!$L$166),"View blocked / roof in front ("&amp;Assumptions!$M$166&amp;"); view premium still loading until L"&amp;Assumptions!$L$166&amp;". ","")&amp;IF(D958=Assumptions!$AH$166,"Mid-floor view premium fully loaded. ","")&amp;IF(D958=Assumptions!$P$166,"High-floor view premium fully loaded. ","")&amp;IF(Q958&lt;=K958,"At developer starting price.",""))</f>
        <v>High-floor view premium fully loaded.</v>
      </c>
      <c r="T958" s="48" t="str">
        <f>Assumptions!$AJ$166</f>
        <v>NNE. 28m to boundary facing Thomson Three cluster houses, next to Relaxation Bubble Pool</v>
      </c>
    </row>
    <row r="959" spans="1:20" x14ac:dyDescent="0.2">
      <c r="A959" s="13" t="s">
        <v>1122</v>
      </c>
      <c r="B959" s="14">
        <v>9</v>
      </c>
      <c r="C959" s="40">
        <v>40</v>
      </c>
      <c r="D959" s="40">
        <v>15</v>
      </c>
      <c r="E959" s="9" t="s">
        <v>45</v>
      </c>
      <c r="F959" s="14" t="s">
        <v>1116</v>
      </c>
      <c r="G959" s="10">
        <v>947</v>
      </c>
      <c r="H959" s="14" t="s">
        <v>62</v>
      </c>
      <c r="I959" s="41" t="str">
        <f>Assumptions!$I$166</f>
        <v>D</v>
      </c>
      <c r="J959" s="14" t="str">
        <f>IF(D959&lt;=Assumptions!$V$166,"Low",IF(D959&lt;=Assumptions!$W$166,"Mid","High"))</f>
        <v>Mid</v>
      </c>
      <c r="K959" s="15">
        <f>Assumptions!$Q$166</f>
        <v>2642</v>
      </c>
      <c r="L959" s="42">
        <f>INDEX(Assumptions!$I$61:$I$90,D959)</f>
        <v>2918.6846153846154</v>
      </c>
      <c r="M959" s="43">
        <f>IF(D959&lt;=Assumptions!$G$166,Assumptions!$AK$166,IF(D959&lt;Assumptions!$AH$166,Assumptions!$AK$166+(Assumptions!$AL$166-Assumptions!$AK$166)*(D959-Assumptions!$G$166)/(Assumptions!$AH$166-Assumptions!$G$166),IF(D959&lt;Assumptions!$P$166,Assumptions!$AL$166+(Assumptions!$AM$166-Assumptions!$AL$166)*(D959-Assumptions!$AH$166)/(Assumptions!$P$166-Assumptions!$AH$166),Assumptions!$AM$166)))</f>
        <v>-50000</v>
      </c>
      <c r="N959" s="44">
        <f t="shared" si="28"/>
        <v>-52.798310454065472</v>
      </c>
      <c r="O959" s="45">
        <f t="shared" si="29"/>
        <v>2866</v>
      </c>
      <c r="P959" s="14" t="str">
        <f>IF(D959&gt;=Assumptions!$P$166,"High",IF(D959&gt;=Assumptions!$AH$166,"Mid",IF(D959&lt;=Assumptions!$G$166,"Low","Loading")))</f>
        <v>Mid</v>
      </c>
      <c r="Q959" s="46">
        <f>MAX(K959,MIN(Assumptions!$S$166,O959),Q960)</f>
        <v>2866</v>
      </c>
      <c r="R959" s="12">
        <f>IF(AND(Q959&lt;=K959,INDEX(Assumptions!$C$26:$C$36,MATCH(G959,Assumptions!$A$26:$A$36,0))&lt;&gt;""),INDEX(Assumptions!$C$26:$C$36,MATCH(G959,Assumptions!$A$26:$A$36,0)),ROUND(G959*Q959,-2))</f>
        <v>2714100</v>
      </c>
      <c r="S959" s="47" t="str">
        <f>TRIM(IF(AND(Assumptions!$L$166&lt;&gt;"",D959&lt;Assumptions!$L$166),"View blocked / roof in front ("&amp;Assumptions!$M$166&amp;"); view premium still loading until L"&amp;Assumptions!$L$166&amp;". ","")&amp;IF(D959=Assumptions!$AH$166,"Mid-floor view premium fully loaded. ","")&amp;IF(D959=Assumptions!$P$166,"High-floor view premium fully loaded. ","")&amp;IF(Q959&lt;=K959,"At developer starting price.",""))</f>
        <v/>
      </c>
      <c r="T959" s="48" t="str">
        <f>Assumptions!$AJ$166</f>
        <v>NNE. 28m to boundary facing Thomson Three cluster houses, next to Relaxation Bubble Pool</v>
      </c>
    </row>
    <row r="960" spans="1:20" x14ac:dyDescent="0.2">
      <c r="A960" s="13" t="s">
        <v>1123</v>
      </c>
      <c r="B960" s="14">
        <v>9</v>
      </c>
      <c r="C960" s="40">
        <v>40</v>
      </c>
      <c r="D960" s="40">
        <v>14</v>
      </c>
      <c r="E960" s="9" t="s">
        <v>45</v>
      </c>
      <c r="F960" s="14" t="s">
        <v>1116</v>
      </c>
      <c r="G960" s="10">
        <v>947</v>
      </c>
      <c r="H960" s="14" t="s">
        <v>62</v>
      </c>
      <c r="I960" s="41" t="str">
        <f>Assumptions!$I$166</f>
        <v>D</v>
      </c>
      <c r="J960" s="14" t="str">
        <f>IF(D960&lt;=Assumptions!$V$166,"Low",IF(D960&lt;=Assumptions!$W$166,"Mid","High"))</f>
        <v>Mid</v>
      </c>
      <c r="K960" s="15">
        <f>Assumptions!$Q$166</f>
        <v>2642</v>
      </c>
      <c r="L960" s="42">
        <f>INDEX(Assumptions!$I$61:$I$90,D960)</f>
        <v>2894.2230769230773</v>
      </c>
      <c r="M960" s="43">
        <f>IF(D960&lt;=Assumptions!$G$166,Assumptions!$AK$166,IF(D960&lt;Assumptions!$AH$166,Assumptions!$AK$166+(Assumptions!$AL$166-Assumptions!$AK$166)*(D960-Assumptions!$G$166)/(Assumptions!$AH$166-Assumptions!$G$166),IF(D960&lt;Assumptions!$P$166,Assumptions!$AL$166+(Assumptions!$AM$166-Assumptions!$AL$166)*(D960-Assumptions!$AH$166)/(Assumptions!$P$166-Assumptions!$AH$166),Assumptions!$AM$166)))</f>
        <v>-50000</v>
      </c>
      <c r="N960" s="44">
        <f t="shared" si="28"/>
        <v>-52.798310454065472</v>
      </c>
      <c r="O960" s="45">
        <f t="shared" si="29"/>
        <v>2841</v>
      </c>
      <c r="P960" s="14" t="str">
        <f>IF(D960&gt;=Assumptions!$P$166,"High",IF(D960&gt;=Assumptions!$AH$166,"Mid",IF(D960&lt;=Assumptions!$G$166,"Low","Loading")))</f>
        <v>Mid</v>
      </c>
      <c r="Q960" s="46">
        <f>MAX(K960,MIN(Assumptions!$S$166,O960),Q961)</f>
        <v>2841</v>
      </c>
      <c r="R960" s="12">
        <f>IF(AND(Q960&lt;=K960,INDEX(Assumptions!$C$26:$C$36,MATCH(G960,Assumptions!$A$26:$A$36,0))&lt;&gt;""),INDEX(Assumptions!$C$26:$C$36,MATCH(G960,Assumptions!$A$26:$A$36,0)),ROUND(G960*Q960,-2))</f>
        <v>2690400</v>
      </c>
      <c r="S960" s="47" t="str">
        <f>TRIM(IF(AND(Assumptions!$L$166&lt;&gt;"",D960&lt;Assumptions!$L$166),"View blocked / roof in front ("&amp;Assumptions!$M$166&amp;"); view premium still loading until L"&amp;Assumptions!$L$166&amp;". ","")&amp;IF(D960=Assumptions!$AH$166,"Mid-floor view premium fully loaded. ","")&amp;IF(D960=Assumptions!$P$166,"High-floor view premium fully loaded. ","")&amp;IF(Q960&lt;=K960,"At developer starting price.",""))</f>
        <v/>
      </c>
      <c r="T960" s="48" t="str">
        <f>Assumptions!$AJ$166</f>
        <v>NNE. 28m to boundary facing Thomson Three cluster houses, next to Relaxation Bubble Pool</v>
      </c>
    </row>
    <row r="961" spans="1:20" x14ac:dyDescent="0.2">
      <c r="A961" s="13" t="s">
        <v>1124</v>
      </c>
      <c r="B961" s="14">
        <v>9</v>
      </c>
      <c r="C961" s="40">
        <v>40</v>
      </c>
      <c r="D961" s="40">
        <v>13</v>
      </c>
      <c r="E961" s="9" t="s">
        <v>45</v>
      </c>
      <c r="F961" s="14" t="s">
        <v>1116</v>
      </c>
      <c r="G961" s="10">
        <v>947</v>
      </c>
      <c r="H961" s="14" t="s">
        <v>62</v>
      </c>
      <c r="I961" s="41" t="str">
        <f>Assumptions!$I$166</f>
        <v>D</v>
      </c>
      <c r="J961" s="14" t="str">
        <f>IF(D961&lt;=Assumptions!$V$166,"Low",IF(D961&lt;=Assumptions!$W$166,"Mid","High"))</f>
        <v>Mid</v>
      </c>
      <c r="K961" s="15">
        <f>Assumptions!$Q$166</f>
        <v>2642</v>
      </c>
      <c r="L961" s="42">
        <f>INDEX(Assumptions!$I$61:$I$90,D961)</f>
        <v>2869.7615384615387</v>
      </c>
      <c r="M961" s="43">
        <f>IF(D961&lt;=Assumptions!$G$166,Assumptions!$AK$166,IF(D961&lt;Assumptions!$AH$166,Assumptions!$AK$166+(Assumptions!$AL$166-Assumptions!$AK$166)*(D961-Assumptions!$G$166)/(Assumptions!$AH$166-Assumptions!$G$166),IF(D961&lt;Assumptions!$P$166,Assumptions!$AL$166+(Assumptions!$AM$166-Assumptions!$AL$166)*(D961-Assumptions!$AH$166)/(Assumptions!$P$166-Assumptions!$AH$166),Assumptions!$AM$166)))</f>
        <v>-50000</v>
      </c>
      <c r="N961" s="44">
        <f t="shared" si="28"/>
        <v>-52.798310454065472</v>
      </c>
      <c r="O961" s="45">
        <f t="shared" si="29"/>
        <v>2817</v>
      </c>
      <c r="P961" s="14" t="str">
        <f>IF(D961&gt;=Assumptions!$P$166,"High",IF(D961&gt;=Assumptions!$AH$166,"Mid",IF(D961&lt;=Assumptions!$G$166,"Low","Loading")))</f>
        <v>Mid</v>
      </c>
      <c r="Q961" s="46">
        <f>MAX(K961,MIN(Assumptions!$S$166,O961),Q962)</f>
        <v>2817</v>
      </c>
      <c r="R961" s="12">
        <f>IF(AND(Q961&lt;=K961,INDEX(Assumptions!$C$26:$C$36,MATCH(G961,Assumptions!$A$26:$A$36,0))&lt;&gt;""),INDEX(Assumptions!$C$26:$C$36,MATCH(G961,Assumptions!$A$26:$A$36,0)),ROUND(G961*Q961,-2))</f>
        <v>2667700</v>
      </c>
      <c r="S961" s="47" t="str">
        <f>TRIM(IF(AND(Assumptions!$L$166&lt;&gt;"",D961&lt;Assumptions!$L$166),"View blocked / roof in front ("&amp;Assumptions!$M$166&amp;"); view premium still loading until L"&amp;Assumptions!$L$166&amp;". ","")&amp;IF(D961=Assumptions!$AH$166,"Mid-floor view premium fully loaded. ","")&amp;IF(D961=Assumptions!$P$166,"High-floor view premium fully loaded. ","")&amp;IF(Q961&lt;=K961,"At developer starting price.",""))</f>
        <v/>
      </c>
      <c r="T961" s="48" t="str">
        <f>Assumptions!$AJ$166</f>
        <v>NNE. 28m to boundary facing Thomson Three cluster houses, next to Relaxation Bubble Pool</v>
      </c>
    </row>
    <row r="962" spans="1:20" x14ac:dyDescent="0.2">
      <c r="A962" s="13" t="s">
        <v>1125</v>
      </c>
      <c r="B962" s="14">
        <v>9</v>
      </c>
      <c r="C962" s="40">
        <v>40</v>
      </c>
      <c r="D962" s="40">
        <v>12</v>
      </c>
      <c r="E962" s="9" t="s">
        <v>45</v>
      </c>
      <c r="F962" s="14" t="s">
        <v>1116</v>
      </c>
      <c r="G962" s="10">
        <v>947</v>
      </c>
      <c r="H962" s="14" t="s">
        <v>62</v>
      </c>
      <c r="I962" s="41" t="str">
        <f>Assumptions!$I$166</f>
        <v>D</v>
      </c>
      <c r="J962" s="14" t="str">
        <f>IF(D962&lt;=Assumptions!$V$166,"Low",IF(D962&lt;=Assumptions!$W$166,"Mid","High"))</f>
        <v>Mid</v>
      </c>
      <c r="K962" s="15">
        <f>Assumptions!$Q$166</f>
        <v>2642</v>
      </c>
      <c r="L962" s="42">
        <f>INDEX(Assumptions!$I$61:$I$90,D962)</f>
        <v>2845.3</v>
      </c>
      <c r="M962" s="43">
        <f>IF(D962&lt;=Assumptions!$G$166,Assumptions!$AK$166,IF(D962&lt;Assumptions!$AH$166,Assumptions!$AK$166+(Assumptions!$AL$166-Assumptions!$AK$166)*(D962-Assumptions!$G$166)/(Assumptions!$AH$166-Assumptions!$G$166),IF(D962&lt;Assumptions!$P$166,Assumptions!$AL$166+(Assumptions!$AM$166-Assumptions!$AL$166)*(D962-Assumptions!$AH$166)/(Assumptions!$P$166-Assumptions!$AH$166),Assumptions!$AM$166)))</f>
        <v>-50000</v>
      </c>
      <c r="N962" s="44">
        <f t="shared" si="28"/>
        <v>-52.798310454065472</v>
      </c>
      <c r="O962" s="45">
        <f t="shared" si="29"/>
        <v>2793</v>
      </c>
      <c r="P962" s="14" t="str">
        <f>IF(D962&gt;=Assumptions!$P$166,"High",IF(D962&gt;=Assumptions!$AH$166,"Mid",IF(D962&lt;=Assumptions!$G$166,"Low","Loading")))</f>
        <v>Mid</v>
      </c>
      <c r="Q962" s="46">
        <f>MAX(K962,MIN(Assumptions!$S$166,O962),Q963)</f>
        <v>2793</v>
      </c>
      <c r="R962" s="12">
        <f>IF(AND(Q962&lt;=K962,INDEX(Assumptions!$C$26:$C$36,MATCH(G962,Assumptions!$A$26:$A$36,0))&lt;&gt;""),INDEX(Assumptions!$C$26:$C$36,MATCH(G962,Assumptions!$A$26:$A$36,0)),ROUND(G962*Q962,-2))</f>
        <v>2645000</v>
      </c>
      <c r="S962" s="47" t="str">
        <f>TRIM(IF(AND(Assumptions!$L$166&lt;&gt;"",D962&lt;Assumptions!$L$166),"View blocked / roof in front ("&amp;Assumptions!$M$166&amp;"); view premium still loading until L"&amp;Assumptions!$L$166&amp;". ","")&amp;IF(D962=Assumptions!$AH$166,"Mid-floor view premium fully loaded. ","")&amp;IF(D962=Assumptions!$P$166,"High-floor view premium fully loaded. ","")&amp;IF(Q962&lt;=K962,"At developer starting price.",""))</f>
        <v/>
      </c>
      <c r="T962" s="48" t="str">
        <f>Assumptions!$AJ$166</f>
        <v>NNE. 28m to boundary facing Thomson Three cluster houses, next to Relaxation Bubble Pool</v>
      </c>
    </row>
    <row r="963" spans="1:20" x14ac:dyDescent="0.2">
      <c r="A963" s="13" t="s">
        <v>1126</v>
      </c>
      <c r="B963" s="14">
        <v>9</v>
      </c>
      <c r="C963" s="40">
        <v>40</v>
      </c>
      <c r="D963" s="40">
        <v>11</v>
      </c>
      <c r="E963" s="9" t="s">
        <v>45</v>
      </c>
      <c r="F963" s="14" t="s">
        <v>1116</v>
      </c>
      <c r="G963" s="10">
        <v>947</v>
      </c>
      <c r="H963" s="14" t="s">
        <v>62</v>
      </c>
      <c r="I963" s="41" t="str">
        <f>Assumptions!$I$166</f>
        <v>D</v>
      </c>
      <c r="J963" s="14" t="str">
        <f>IF(D963&lt;=Assumptions!$V$166,"Low",IF(D963&lt;=Assumptions!$W$166,"Mid","High"))</f>
        <v>Mid</v>
      </c>
      <c r="K963" s="15">
        <f>Assumptions!$Q$166</f>
        <v>2642</v>
      </c>
      <c r="L963" s="42">
        <f>INDEX(Assumptions!$I$61:$I$90,D963)</f>
        <v>2830.2498310454066</v>
      </c>
      <c r="M963" s="43">
        <f>IF(D963&lt;=Assumptions!$G$166,Assumptions!$AK$166,IF(D963&lt;Assumptions!$AH$166,Assumptions!$AK$166+(Assumptions!$AL$166-Assumptions!$AK$166)*(D963-Assumptions!$G$166)/(Assumptions!$AH$166-Assumptions!$G$166),IF(D963&lt;Assumptions!$P$166,Assumptions!$AL$166+(Assumptions!$AM$166-Assumptions!$AL$166)*(D963-Assumptions!$AH$166)/(Assumptions!$P$166-Assumptions!$AH$166),Assumptions!$AM$166)))</f>
        <v>-50000</v>
      </c>
      <c r="N963" s="44">
        <f t="shared" si="28"/>
        <v>-52.798310454065472</v>
      </c>
      <c r="O963" s="45">
        <f t="shared" si="29"/>
        <v>2777</v>
      </c>
      <c r="P963" s="14" t="str">
        <f>IF(D963&gt;=Assumptions!$P$166,"High",IF(D963&gt;=Assumptions!$AH$166,"Mid",IF(D963&lt;=Assumptions!$G$166,"Low","Loading")))</f>
        <v>Mid</v>
      </c>
      <c r="Q963" s="46">
        <f>MAX(K963,MIN(Assumptions!$S$166,O963),Q964)</f>
        <v>2777</v>
      </c>
      <c r="R963" s="12">
        <f>IF(AND(Q963&lt;=K963,INDEX(Assumptions!$C$26:$C$36,MATCH(G963,Assumptions!$A$26:$A$36,0))&lt;&gt;""),INDEX(Assumptions!$C$26:$C$36,MATCH(G963,Assumptions!$A$26:$A$36,0)),ROUND(G963*Q963,-2))</f>
        <v>2629800</v>
      </c>
      <c r="S963" s="47" t="str">
        <f>TRIM(IF(AND(Assumptions!$L$166&lt;&gt;"",D963&lt;Assumptions!$L$166),"View blocked / roof in front ("&amp;Assumptions!$M$166&amp;"); view premium still loading until L"&amp;Assumptions!$L$166&amp;". ","")&amp;IF(D963=Assumptions!$AH$166,"Mid-floor view premium fully loaded. ","")&amp;IF(D963=Assumptions!$P$166,"High-floor view premium fully loaded. ","")&amp;IF(Q963&lt;=K963,"At developer starting price.",""))</f>
        <v/>
      </c>
      <c r="T963" s="48" t="str">
        <f>Assumptions!$AJ$166</f>
        <v>NNE. 28m to boundary facing Thomson Three cluster houses, next to Relaxation Bubble Pool</v>
      </c>
    </row>
    <row r="964" spans="1:20" x14ac:dyDescent="0.2">
      <c r="A964" s="13" t="s">
        <v>1127</v>
      </c>
      <c r="B964" s="14">
        <v>9</v>
      </c>
      <c r="C964" s="40">
        <v>40</v>
      </c>
      <c r="D964" s="40">
        <v>10</v>
      </c>
      <c r="E964" s="9" t="s">
        <v>45</v>
      </c>
      <c r="F964" s="14" t="s">
        <v>1116</v>
      </c>
      <c r="G964" s="10">
        <v>947</v>
      </c>
      <c r="H964" s="14" t="s">
        <v>62</v>
      </c>
      <c r="I964" s="41" t="str">
        <f>Assumptions!$I$166</f>
        <v>D</v>
      </c>
      <c r="J964" s="14" t="str">
        <f>IF(D964&lt;=Assumptions!$V$166,"Low",IF(D964&lt;=Assumptions!$W$166,"Mid","High"))</f>
        <v>Mid</v>
      </c>
      <c r="K964" s="15">
        <f>Assumptions!$Q$166</f>
        <v>2642</v>
      </c>
      <c r="L964" s="42">
        <f>INDEX(Assumptions!$I$61:$I$90,D964)</f>
        <v>2815.199662090813</v>
      </c>
      <c r="M964" s="43">
        <f>IF(D964&lt;=Assumptions!$G$166,Assumptions!$AK$166,IF(D964&lt;Assumptions!$AH$166,Assumptions!$AK$166+(Assumptions!$AL$166-Assumptions!$AK$166)*(D964-Assumptions!$G$166)/(Assumptions!$AH$166-Assumptions!$G$166),IF(D964&lt;Assumptions!$P$166,Assumptions!$AL$166+(Assumptions!$AM$166-Assumptions!$AL$166)*(D964-Assumptions!$AH$166)/(Assumptions!$P$166-Assumptions!$AH$166),Assumptions!$AM$166)))</f>
        <v>-50000</v>
      </c>
      <c r="N964" s="44">
        <f t="shared" si="28"/>
        <v>-52.798310454065472</v>
      </c>
      <c r="O964" s="45">
        <f t="shared" si="29"/>
        <v>2762</v>
      </c>
      <c r="P964" s="14" t="str">
        <f>IF(D964&gt;=Assumptions!$P$166,"High",IF(D964&gt;=Assumptions!$AH$166,"Mid",IF(D964&lt;=Assumptions!$G$166,"Low","Loading")))</f>
        <v>Mid</v>
      </c>
      <c r="Q964" s="46">
        <f>MAX(K964,MIN(Assumptions!$S$166,O964),Q965)</f>
        <v>2762</v>
      </c>
      <c r="R964" s="12">
        <f>IF(AND(Q964&lt;=K964,INDEX(Assumptions!$C$26:$C$36,MATCH(G964,Assumptions!$A$26:$A$36,0))&lt;&gt;""),INDEX(Assumptions!$C$26:$C$36,MATCH(G964,Assumptions!$A$26:$A$36,0)),ROUND(G964*Q964,-2))</f>
        <v>2615600</v>
      </c>
      <c r="S964" s="47" t="str">
        <f>TRIM(IF(AND(Assumptions!$L$166&lt;&gt;"",D964&lt;Assumptions!$L$166),"View blocked / roof in front ("&amp;Assumptions!$M$166&amp;"); view premium still loading until L"&amp;Assumptions!$L$166&amp;". ","")&amp;IF(D964=Assumptions!$AH$166,"Mid-floor view premium fully loaded. ","")&amp;IF(D964=Assumptions!$P$166,"High-floor view premium fully loaded. ","")&amp;IF(Q964&lt;=K964,"At developer starting price.",""))</f>
        <v/>
      </c>
      <c r="T964" s="48" t="str">
        <f>Assumptions!$AJ$166</f>
        <v>NNE. 28m to boundary facing Thomson Three cluster houses, next to Relaxation Bubble Pool</v>
      </c>
    </row>
    <row r="965" spans="1:20" x14ac:dyDescent="0.2">
      <c r="A965" s="13" t="s">
        <v>1128</v>
      </c>
      <c r="B965" s="14">
        <v>9</v>
      </c>
      <c r="C965" s="40">
        <v>40</v>
      </c>
      <c r="D965" s="40">
        <v>9</v>
      </c>
      <c r="E965" s="9" t="s">
        <v>45</v>
      </c>
      <c r="F965" s="14" t="s">
        <v>1116</v>
      </c>
      <c r="G965" s="10">
        <v>947</v>
      </c>
      <c r="H965" s="14" t="s">
        <v>62</v>
      </c>
      <c r="I965" s="41" t="str">
        <f>Assumptions!$I$166</f>
        <v>D</v>
      </c>
      <c r="J965" s="14" t="str">
        <f>IF(D965&lt;=Assumptions!$V$166,"Low",IF(D965&lt;=Assumptions!$W$166,"Mid","High"))</f>
        <v>Mid</v>
      </c>
      <c r="K965" s="15">
        <f>Assumptions!$Q$166</f>
        <v>2642</v>
      </c>
      <c r="L965" s="42">
        <f>INDEX(Assumptions!$I$61:$I$90,D965)</f>
        <v>2800.1494931362199</v>
      </c>
      <c r="M965" s="43">
        <f>IF(D965&lt;=Assumptions!$G$166,Assumptions!$AK$166,IF(D965&lt;Assumptions!$AH$166,Assumptions!$AK$166+(Assumptions!$AL$166-Assumptions!$AK$166)*(D965-Assumptions!$G$166)/(Assumptions!$AH$166-Assumptions!$G$166),IF(D965&lt;Assumptions!$P$166,Assumptions!$AL$166+(Assumptions!$AM$166-Assumptions!$AL$166)*(D965-Assumptions!$AH$166)/(Assumptions!$P$166-Assumptions!$AH$166),Assumptions!$AM$166)))</f>
        <v>-50000</v>
      </c>
      <c r="N965" s="44">
        <f t="shared" ref="N965:N1028" si="30">M965/G965</f>
        <v>-52.798310454065472</v>
      </c>
      <c r="O965" s="45">
        <f t="shared" ref="O965:O1028" si="31">ROUND(L965+N965,0)</f>
        <v>2747</v>
      </c>
      <c r="P965" s="14" t="str">
        <f>IF(D965&gt;=Assumptions!$P$166,"High",IF(D965&gt;=Assumptions!$AH$166,"Mid",IF(D965&lt;=Assumptions!$G$166,"Low","Loading")))</f>
        <v>Mid</v>
      </c>
      <c r="Q965" s="46">
        <f>MAX(K965,MIN(Assumptions!$S$166,O965),Q966)</f>
        <v>2747</v>
      </c>
      <c r="R965" s="12">
        <f>IF(AND(Q965&lt;=K965,INDEX(Assumptions!$C$26:$C$36,MATCH(G965,Assumptions!$A$26:$A$36,0))&lt;&gt;""),INDEX(Assumptions!$C$26:$C$36,MATCH(G965,Assumptions!$A$26:$A$36,0)),ROUND(G965*Q965,-2))</f>
        <v>2601400</v>
      </c>
      <c r="S965" s="47" t="str">
        <f>TRIM(IF(AND(Assumptions!$L$166&lt;&gt;"",D965&lt;Assumptions!$L$166),"View blocked / roof in front ("&amp;Assumptions!$M$166&amp;"); view premium still loading until L"&amp;Assumptions!$L$166&amp;". ","")&amp;IF(D965=Assumptions!$AH$166,"Mid-floor view premium fully loaded. ","")&amp;IF(D965=Assumptions!$P$166,"High-floor view premium fully loaded. ","")&amp;IF(Q965&lt;=K965,"At developer starting price.",""))</f>
        <v>Mid-floor view premium fully loaded.</v>
      </c>
      <c r="T965" s="48" t="str">
        <f>Assumptions!$AJ$166</f>
        <v>NNE. 28m to boundary facing Thomson Three cluster houses, next to Relaxation Bubble Pool</v>
      </c>
    </row>
    <row r="966" spans="1:20" x14ac:dyDescent="0.2">
      <c r="A966" s="13" t="s">
        <v>1129</v>
      </c>
      <c r="B966" s="14">
        <v>9</v>
      </c>
      <c r="C966" s="40">
        <v>40</v>
      </c>
      <c r="D966" s="40">
        <v>8</v>
      </c>
      <c r="E966" s="9" t="s">
        <v>45</v>
      </c>
      <c r="F966" s="14" t="s">
        <v>1116</v>
      </c>
      <c r="G966" s="10">
        <v>947</v>
      </c>
      <c r="H966" s="14" t="s">
        <v>62</v>
      </c>
      <c r="I966" s="41" t="str">
        <f>Assumptions!$I$166</f>
        <v>D</v>
      </c>
      <c r="J966" s="14" t="str">
        <f>IF(D966&lt;=Assumptions!$V$166,"Low",IF(D966&lt;=Assumptions!$W$166,"Mid","High"))</f>
        <v>Low</v>
      </c>
      <c r="K966" s="15">
        <f>Assumptions!$Q$166</f>
        <v>2642</v>
      </c>
      <c r="L966" s="42">
        <f>INDEX(Assumptions!$I$61:$I$90,D966)</f>
        <v>2785.0993241816263</v>
      </c>
      <c r="M966" s="43">
        <f>IF(D966&lt;=Assumptions!$G$166,Assumptions!$AK$166,IF(D966&lt;Assumptions!$AH$166,Assumptions!$AK$166+(Assumptions!$AL$166-Assumptions!$AK$166)*(D966-Assumptions!$G$166)/(Assumptions!$AH$166-Assumptions!$G$166),IF(D966&lt;Assumptions!$P$166,Assumptions!$AL$166+(Assumptions!$AM$166-Assumptions!$AL$166)*(D966-Assumptions!$AH$166)/(Assumptions!$P$166-Assumptions!$AH$166),Assumptions!$AM$166)))</f>
        <v>-50000</v>
      </c>
      <c r="N966" s="44">
        <f t="shared" si="30"/>
        <v>-52.798310454065472</v>
      </c>
      <c r="O966" s="45">
        <f t="shared" si="31"/>
        <v>2732</v>
      </c>
      <c r="P966" s="14" t="str">
        <f>IF(D966&gt;=Assumptions!$P$166,"High",IF(D966&gt;=Assumptions!$AH$166,"Mid",IF(D966&lt;=Assumptions!$G$166,"Low","Loading")))</f>
        <v>Loading</v>
      </c>
      <c r="Q966" s="46">
        <f>MAX(K966,MIN(Assumptions!$S$166,O966),Q967)</f>
        <v>2732</v>
      </c>
      <c r="R966" s="12">
        <f>IF(AND(Q966&lt;=K966,INDEX(Assumptions!$C$26:$C$36,MATCH(G966,Assumptions!$A$26:$A$36,0))&lt;&gt;""),INDEX(Assumptions!$C$26:$C$36,MATCH(G966,Assumptions!$A$26:$A$36,0)),ROUND(G966*Q966,-2))</f>
        <v>2587200</v>
      </c>
      <c r="S966" s="47" t="str">
        <f>TRIM(IF(AND(Assumptions!$L$166&lt;&gt;"",D966&lt;Assumptions!$L$166),"View blocked / roof in front ("&amp;Assumptions!$M$166&amp;"); view premium still loading until L"&amp;Assumptions!$L$166&amp;". ","")&amp;IF(D966=Assumptions!$AH$166,"Mid-floor view premium fully loaded. ","")&amp;IF(D966=Assumptions!$P$166,"High-floor view premium fully loaded. ","")&amp;IF(Q966&lt;=K966,"At developer starting price.",""))</f>
        <v/>
      </c>
      <c r="T966" s="48" t="str">
        <f>Assumptions!$AJ$166</f>
        <v>NNE. 28m to boundary facing Thomson Three cluster houses, next to Relaxation Bubble Pool</v>
      </c>
    </row>
    <row r="967" spans="1:20" x14ac:dyDescent="0.2">
      <c r="A967" s="13" t="s">
        <v>1130</v>
      </c>
      <c r="B967" s="14">
        <v>9</v>
      </c>
      <c r="C967" s="40">
        <v>40</v>
      </c>
      <c r="D967" s="40">
        <v>7</v>
      </c>
      <c r="E967" s="9" t="s">
        <v>45</v>
      </c>
      <c r="F967" s="14" t="s">
        <v>1116</v>
      </c>
      <c r="G967" s="10">
        <v>947</v>
      </c>
      <c r="H967" s="14" t="s">
        <v>62</v>
      </c>
      <c r="I967" s="41" t="str">
        <f>Assumptions!$I$166</f>
        <v>D</v>
      </c>
      <c r="J967" s="14" t="str">
        <f>IF(D967&lt;=Assumptions!$V$166,"Low",IF(D967&lt;=Assumptions!$W$166,"Mid","High"))</f>
        <v>Low</v>
      </c>
      <c r="K967" s="15">
        <f>Assumptions!$Q$166</f>
        <v>2642</v>
      </c>
      <c r="L967" s="42">
        <f>INDEX(Assumptions!$I$61:$I$90,D967)</f>
        <v>2770.0491552270328</v>
      </c>
      <c r="M967" s="43">
        <f>IF(D967&lt;=Assumptions!$G$166,Assumptions!$AK$166,IF(D967&lt;Assumptions!$AH$166,Assumptions!$AK$166+(Assumptions!$AL$166-Assumptions!$AK$166)*(D967-Assumptions!$G$166)/(Assumptions!$AH$166-Assumptions!$G$166),IF(D967&lt;Assumptions!$P$166,Assumptions!$AL$166+(Assumptions!$AM$166-Assumptions!$AL$166)*(D967-Assumptions!$AH$166)/(Assumptions!$P$166-Assumptions!$AH$166),Assumptions!$AM$166)))</f>
        <v>-50000</v>
      </c>
      <c r="N967" s="44">
        <f t="shared" si="30"/>
        <v>-52.798310454065472</v>
      </c>
      <c r="O967" s="45">
        <f t="shared" si="31"/>
        <v>2717</v>
      </c>
      <c r="P967" s="14" t="str">
        <f>IF(D967&gt;=Assumptions!$P$166,"High",IF(D967&gt;=Assumptions!$AH$166,"Mid",IF(D967&lt;=Assumptions!$G$166,"Low","Loading")))</f>
        <v>Loading</v>
      </c>
      <c r="Q967" s="46">
        <f>MAX(K967,MIN(Assumptions!$S$166,O967),Q968)</f>
        <v>2717</v>
      </c>
      <c r="R967" s="12">
        <f>IF(AND(Q967&lt;=K967,INDEX(Assumptions!$C$26:$C$36,MATCH(G967,Assumptions!$A$26:$A$36,0))&lt;&gt;""),INDEX(Assumptions!$C$26:$C$36,MATCH(G967,Assumptions!$A$26:$A$36,0)),ROUND(G967*Q967,-2))</f>
        <v>2573000</v>
      </c>
      <c r="S967" s="47" t="str">
        <f>TRIM(IF(AND(Assumptions!$L$166&lt;&gt;"",D967&lt;Assumptions!$L$166),"View blocked / roof in front ("&amp;Assumptions!$M$166&amp;"); view premium still loading until L"&amp;Assumptions!$L$166&amp;". ","")&amp;IF(D967=Assumptions!$AH$166,"Mid-floor view premium fully loaded. ","")&amp;IF(D967=Assumptions!$P$166,"High-floor view premium fully loaded. ","")&amp;IF(Q967&lt;=K967,"At developer starting price.",""))</f>
        <v/>
      </c>
      <c r="T967" s="48" t="str">
        <f>Assumptions!$AJ$166</f>
        <v>NNE. 28m to boundary facing Thomson Three cluster houses, next to Relaxation Bubble Pool</v>
      </c>
    </row>
    <row r="968" spans="1:20" x14ac:dyDescent="0.2">
      <c r="A968" s="13" t="s">
        <v>1131</v>
      </c>
      <c r="B968" s="14">
        <v>9</v>
      </c>
      <c r="C968" s="40">
        <v>40</v>
      </c>
      <c r="D968" s="40">
        <v>6</v>
      </c>
      <c r="E968" s="9" t="s">
        <v>45</v>
      </c>
      <c r="F968" s="14" t="s">
        <v>1116</v>
      </c>
      <c r="G968" s="10">
        <v>947</v>
      </c>
      <c r="H968" s="14" t="s">
        <v>62</v>
      </c>
      <c r="I968" s="41" t="str">
        <f>Assumptions!$I$166</f>
        <v>D</v>
      </c>
      <c r="J968" s="14" t="str">
        <f>IF(D968&lt;=Assumptions!$V$166,"Low",IF(D968&lt;=Assumptions!$W$166,"Mid","High"))</f>
        <v>Low</v>
      </c>
      <c r="K968" s="15">
        <f>Assumptions!$Q$166</f>
        <v>2642</v>
      </c>
      <c r="L968" s="42">
        <f>INDEX(Assumptions!$I$61:$I$90,D968)</f>
        <v>2754.9989862724392</v>
      </c>
      <c r="M968" s="43">
        <f>IF(D968&lt;=Assumptions!$G$166,Assumptions!$AK$166,IF(D968&lt;Assumptions!$AH$166,Assumptions!$AK$166+(Assumptions!$AL$166-Assumptions!$AK$166)*(D968-Assumptions!$G$166)/(Assumptions!$AH$166-Assumptions!$G$166),IF(D968&lt;Assumptions!$P$166,Assumptions!$AL$166+(Assumptions!$AM$166-Assumptions!$AL$166)*(D968-Assumptions!$AH$166)/(Assumptions!$P$166-Assumptions!$AH$166),Assumptions!$AM$166)))</f>
        <v>-50000</v>
      </c>
      <c r="N968" s="44">
        <f t="shared" si="30"/>
        <v>-52.798310454065472</v>
      </c>
      <c r="O968" s="45">
        <f t="shared" si="31"/>
        <v>2702</v>
      </c>
      <c r="P968" s="14" t="str">
        <f>IF(D968&gt;=Assumptions!$P$166,"High",IF(D968&gt;=Assumptions!$AH$166,"Mid",IF(D968&lt;=Assumptions!$G$166,"Low","Loading")))</f>
        <v>Loading</v>
      </c>
      <c r="Q968" s="46">
        <f>MAX(K968,MIN(Assumptions!$S$166,O968),Q969)</f>
        <v>2702</v>
      </c>
      <c r="R968" s="12">
        <f>IF(AND(Q968&lt;=K968,INDEX(Assumptions!$C$26:$C$36,MATCH(G968,Assumptions!$A$26:$A$36,0))&lt;&gt;""),INDEX(Assumptions!$C$26:$C$36,MATCH(G968,Assumptions!$A$26:$A$36,0)),ROUND(G968*Q968,-2))</f>
        <v>2558800</v>
      </c>
      <c r="S968" s="47" t="str">
        <f>TRIM(IF(AND(Assumptions!$L$166&lt;&gt;"",D968&lt;Assumptions!$L$166),"View blocked / roof in front ("&amp;Assumptions!$M$166&amp;"); view premium still loading until L"&amp;Assumptions!$L$166&amp;". ","")&amp;IF(D968=Assumptions!$AH$166,"Mid-floor view premium fully loaded. ","")&amp;IF(D968=Assumptions!$P$166,"High-floor view premium fully loaded. ","")&amp;IF(Q968&lt;=K968,"At developer starting price.",""))</f>
        <v/>
      </c>
      <c r="T968" s="48" t="str">
        <f>Assumptions!$AJ$166</f>
        <v>NNE. 28m to boundary facing Thomson Three cluster houses, next to Relaxation Bubble Pool</v>
      </c>
    </row>
    <row r="969" spans="1:20" x14ac:dyDescent="0.2">
      <c r="A969" s="13" t="s">
        <v>1132</v>
      </c>
      <c r="B969" s="14">
        <v>9</v>
      </c>
      <c r="C969" s="40">
        <v>40</v>
      </c>
      <c r="D969" s="40">
        <v>5</v>
      </c>
      <c r="E969" s="9" t="s">
        <v>45</v>
      </c>
      <c r="F969" s="14" t="s">
        <v>1116</v>
      </c>
      <c r="G969" s="10">
        <v>947</v>
      </c>
      <c r="H969" s="14" t="s">
        <v>62</v>
      </c>
      <c r="I969" s="41" t="str">
        <f>Assumptions!$I$166</f>
        <v>D</v>
      </c>
      <c r="J969" s="14" t="str">
        <f>IF(D969&lt;=Assumptions!$V$166,"Low",IF(D969&lt;=Assumptions!$W$166,"Mid","High"))</f>
        <v>Low</v>
      </c>
      <c r="K969" s="15">
        <f>Assumptions!$Q$166</f>
        <v>2642</v>
      </c>
      <c r="L969" s="42">
        <f>INDEX(Assumptions!$I$61:$I$90,D969)</f>
        <v>2739.9488173178456</v>
      </c>
      <c r="M969" s="43">
        <f>IF(D969&lt;=Assumptions!$G$166,Assumptions!$AK$166,IF(D969&lt;Assumptions!$AH$166,Assumptions!$AK$166+(Assumptions!$AL$166-Assumptions!$AK$166)*(D969-Assumptions!$G$166)/(Assumptions!$AH$166-Assumptions!$G$166),IF(D969&lt;Assumptions!$P$166,Assumptions!$AL$166+(Assumptions!$AM$166-Assumptions!$AL$166)*(D969-Assumptions!$AH$166)/(Assumptions!$P$166-Assumptions!$AH$166),Assumptions!$AM$166)))</f>
        <v>-50000</v>
      </c>
      <c r="N969" s="44">
        <f t="shared" si="30"/>
        <v>-52.798310454065472</v>
      </c>
      <c r="O969" s="45">
        <f t="shared" si="31"/>
        <v>2687</v>
      </c>
      <c r="P969" s="14" t="str">
        <f>IF(D969&gt;=Assumptions!$P$166,"High",IF(D969&gt;=Assumptions!$AH$166,"Mid",IF(D969&lt;=Assumptions!$G$166,"Low","Loading")))</f>
        <v>Loading</v>
      </c>
      <c r="Q969" s="46">
        <f>MAX(K969,MIN(Assumptions!$S$166,O969),Q970)</f>
        <v>2687</v>
      </c>
      <c r="R969" s="12">
        <f>IF(AND(Q969&lt;=K969,INDEX(Assumptions!$C$26:$C$36,MATCH(G969,Assumptions!$A$26:$A$36,0))&lt;&gt;""),INDEX(Assumptions!$C$26:$C$36,MATCH(G969,Assumptions!$A$26:$A$36,0)),ROUND(G969*Q969,-2))</f>
        <v>2544600</v>
      </c>
      <c r="S969" s="47" t="str">
        <f>TRIM(IF(AND(Assumptions!$L$166&lt;&gt;"",D969&lt;Assumptions!$L$166),"View blocked / roof in front ("&amp;Assumptions!$M$166&amp;"); view premium still loading until L"&amp;Assumptions!$L$166&amp;". ","")&amp;IF(D969=Assumptions!$AH$166,"Mid-floor view premium fully loaded. ","")&amp;IF(D969=Assumptions!$P$166,"High-floor view premium fully loaded. ","")&amp;IF(Q969&lt;=K969,"At developer starting price.",""))</f>
        <v/>
      </c>
      <c r="T969" s="48" t="str">
        <f>Assumptions!$AJ$166</f>
        <v>NNE. 28m to boundary facing Thomson Three cluster houses, next to Relaxation Bubble Pool</v>
      </c>
    </row>
    <row r="970" spans="1:20" x14ac:dyDescent="0.2">
      <c r="A970" s="13" t="s">
        <v>1133</v>
      </c>
      <c r="B970" s="14">
        <v>9</v>
      </c>
      <c r="C970" s="40">
        <v>40</v>
      </c>
      <c r="D970" s="40">
        <v>4</v>
      </c>
      <c r="E970" s="9" t="s">
        <v>45</v>
      </c>
      <c r="F970" s="14" t="s">
        <v>1116</v>
      </c>
      <c r="G970" s="10">
        <v>947</v>
      </c>
      <c r="H970" s="14" t="s">
        <v>62</v>
      </c>
      <c r="I970" s="41" t="str">
        <f>Assumptions!$I$166</f>
        <v>D</v>
      </c>
      <c r="J970" s="14" t="str">
        <f>IF(D970&lt;=Assumptions!$V$166,"Low",IF(D970&lt;=Assumptions!$W$166,"Mid","High"))</f>
        <v>Low</v>
      </c>
      <c r="K970" s="15">
        <f>Assumptions!$Q$166</f>
        <v>2642</v>
      </c>
      <c r="L970" s="42">
        <f>INDEX(Assumptions!$I$61:$I$90,D970)</f>
        <v>2724.8986483632525</v>
      </c>
      <c r="M970" s="43">
        <f>IF(D970&lt;=Assumptions!$G$166,Assumptions!$AK$166,IF(D970&lt;Assumptions!$AH$166,Assumptions!$AK$166+(Assumptions!$AL$166-Assumptions!$AK$166)*(D970-Assumptions!$G$166)/(Assumptions!$AH$166-Assumptions!$G$166),IF(D970&lt;Assumptions!$P$166,Assumptions!$AL$166+(Assumptions!$AM$166-Assumptions!$AL$166)*(D970-Assumptions!$AH$166)/(Assumptions!$P$166-Assumptions!$AH$166),Assumptions!$AM$166)))</f>
        <v>-50000</v>
      </c>
      <c r="N970" s="44">
        <f t="shared" si="30"/>
        <v>-52.798310454065472</v>
      </c>
      <c r="O970" s="45">
        <f t="shared" si="31"/>
        <v>2672</v>
      </c>
      <c r="P970" s="14" t="str">
        <f>IF(D970&gt;=Assumptions!$P$166,"High",IF(D970&gt;=Assumptions!$AH$166,"Mid",IF(D970&lt;=Assumptions!$G$166,"Low","Loading")))</f>
        <v>Loading</v>
      </c>
      <c r="Q970" s="46">
        <f>MAX(K970,MIN(Assumptions!$S$166,O970),Q971)</f>
        <v>2672</v>
      </c>
      <c r="R970" s="12">
        <f>IF(AND(Q970&lt;=K970,INDEX(Assumptions!$C$26:$C$36,MATCH(G970,Assumptions!$A$26:$A$36,0))&lt;&gt;""),INDEX(Assumptions!$C$26:$C$36,MATCH(G970,Assumptions!$A$26:$A$36,0)),ROUND(G970*Q970,-2))</f>
        <v>2530400</v>
      </c>
      <c r="S970" s="47" t="str">
        <f>TRIM(IF(AND(Assumptions!$L$166&lt;&gt;"",D970&lt;Assumptions!$L$166),"View blocked / roof in front ("&amp;Assumptions!$M$166&amp;"); view premium still loading until L"&amp;Assumptions!$L$166&amp;". ","")&amp;IF(D970=Assumptions!$AH$166,"Mid-floor view premium fully loaded. ","")&amp;IF(D970=Assumptions!$P$166,"High-floor view premium fully loaded. ","")&amp;IF(Q970&lt;=K970,"At developer starting price.",""))</f>
        <v/>
      </c>
      <c r="T970" s="48" t="str">
        <f>Assumptions!$AJ$166</f>
        <v>NNE. 28m to boundary facing Thomson Three cluster houses, next to Relaxation Bubble Pool</v>
      </c>
    </row>
    <row r="971" spans="1:20" x14ac:dyDescent="0.2">
      <c r="A971" s="13" t="s">
        <v>1134</v>
      </c>
      <c r="B971" s="14">
        <v>9</v>
      </c>
      <c r="C971" s="40">
        <v>40</v>
      </c>
      <c r="D971" s="40">
        <v>3</v>
      </c>
      <c r="E971" s="9" t="s">
        <v>45</v>
      </c>
      <c r="F971" s="14" t="s">
        <v>1116</v>
      </c>
      <c r="G971" s="10">
        <v>947</v>
      </c>
      <c r="H971" s="14" t="s">
        <v>62</v>
      </c>
      <c r="I971" s="41" t="str">
        <f>Assumptions!$I$166</f>
        <v>D</v>
      </c>
      <c r="J971" s="14" t="str">
        <f>IF(D971&lt;=Assumptions!$V$166,"Low",IF(D971&lt;=Assumptions!$W$166,"Mid","High"))</f>
        <v>Low</v>
      </c>
      <c r="K971" s="15">
        <f>Assumptions!$Q$166</f>
        <v>2642</v>
      </c>
      <c r="L971" s="42">
        <f>INDEX(Assumptions!$I$61:$I$90,D971)</f>
        <v>2709.8484794086589</v>
      </c>
      <c r="M971" s="43">
        <f>IF(D971&lt;=Assumptions!$G$166,Assumptions!$AK$166,IF(D971&lt;Assumptions!$AH$166,Assumptions!$AK$166+(Assumptions!$AL$166-Assumptions!$AK$166)*(D971-Assumptions!$G$166)/(Assumptions!$AH$166-Assumptions!$G$166),IF(D971&lt;Assumptions!$P$166,Assumptions!$AL$166+(Assumptions!$AM$166-Assumptions!$AL$166)*(D971-Assumptions!$AH$166)/(Assumptions!$P$166-Assumptions!$AH$166),Assumptions!$AM$166)))</f>
        <v>-50000</v>
      </c>
      <c r="N971" s="44">
        <f t="shared" si="30"/>
        <v>-52.798310454065472</v>
      </c>
      <c r="O971" s="45">
        <f t="shared" si="31"/>
        <v>2657</v>
      </c>
      <c r="P971" s="14" t="str">
        <f>IF(D971&gt;=Assumptions!$P$166,"High",IF(D971&gt;=Assumptions!$AH$166,"Mid",IF(D971&lt;=Assumptions!$G$166,"Low","Loading")))</f>
        <v>Loading</v>
      </c>
      <c r="Q971" s="46">
        <f>MAX(K971,MIN(Assumptions!$S$166,O971),Q972)</f>
        <v>2657</v>
      </c>
      <c r="R971" s="12">
        <f>IF(AND(Q971&lt;=K971,INDEX(Assumptions!$C$26:$C$36,MATCH(G971,Assumptions!$A$26:$A$36,0))&lt;&gt;""),INDEX(Assumptions!$C$26:$C$36,MATCH(G971,Assumptions!$A$26:$A$36,0)),ROUND(G971*Q971,-2))</f>
        <v>2516200</v>
      </c>
      <c r="S971" s="47" t="str">
        <f>TRIM(IF(AND(Assumptions!$L$166&lt;&gt;"",D971&lt;Assumptions!$L$166),"View blocked / roof in front ("&amp;Assumptions!$M$166&amp;"); view premium still loading until L"&amp;Assumptions!$L$166&amp;". ","")&amp;IF(D971=Assumptions!$AH$166,"Mid-floor view premium fully loaded. ","")&amp;IF(D971=Assumptions!$P$166,"High-floor view premium fully loaded. ","")&amp;IF(Q971&lt;=K971,"At developer starting price.",""))</f>
        <v>View blocked / roof in front (Paw Garden Pavilion: 20% of view, 23 to 29.9m away); view premium still loading until L4.</v>
      </c>
      <c r="T971" s="48" t="str">
        <f>Assumptions!$AJ$166</f>
        <v>NNE. 28m to boundary facing Thomson Three cluster houses, next to Relaxation Bubble Pool</v>
      </c>
    </row>
    <row r="972" spans="1:20" x14ac:dyDescent="0.2">
      <c r="A972" s="13" t="s">
        <v>1135</v>
      </c>
      <c r="B972" s="14">
        <v>9</v>
      </c>
      <c r="C972" s="40">
        <v>40</v>
      </c>
      <c r="D972" s="40">
        <v>2</v>
      </c>
      <c r="E972" s="9" t="s">
        <v>45</v>
      </c>
      <c r="F972" s="14" t="s">
        <v>1136</v>
      </c>
      <c r="G972" s="10">
        <v>947</v>
      </c>
      <c r="H972" s="14" t="s">
        <v>62</v>
      </c>
      <c r="I972" s="41" t="str">
        <f>Assumptions!$I$166</f>
        <v>D</v>
      </c>
      <c r="J972" s="14" t="str">
        <f>IF(D972&lt;=Assumptions!$V$166,"Low",IF(D972&lt;=Assumptions!$W$166,"Mid","High"))</f>
        <v>Low</v>
      </c>
      <c r="K972" s="15">
        <f>Assumptions!$Q$166</f>
        <v>2642</v>
      </c>
      <c r="L972" s="42">
        <f>INDEX(Assumptions!$I$61:$I$90,D972)</f>
        <v>2694.7983104540654</v>
      </c>
      <c r="M972" s="43">
        <f>IF(D972&lt;=Assumptions!$G$166,Assumptions!$AK$166,IF(D972&lt;Assumptions!$AH$166,Assumptions!$AK$166+(Assumptions!$AL$166-Assumptions!$AK$166)*(D972-Assumptions!$G$166)/(Assumptions!$AH$166-Assumptions!$G$166),IF(D972&lt;Assumptions!$P$166,Assumptions!$AL$166+(Assumptions!$AM$166-Assumptions!$AL$166)*(D972-Assumptions!$AH$166)/(Assumptions!$P$166-Assumptions!$AH$166),Assumptions!$AM$166)))</f>
        <v>-50000</v>
      </c>
      <c r="N972" s="44">
        <f t="shared" si="30"/>
        <v>-52.798310454065472</v>
      </c>
      <c r="O972" s="45">
        <f t="shared" si="31"/>
        <v>2642</v>
      </c>
      <c r="P972" s="14" t="str">
        <f>IF(D972&gt;=Assumptions!$P$166,"High",IF(D972&gt;=Assumptions!$AH$166,"Mid",IF(D972&lt;=Assumptions!$G$166,"Low","Loading")))</f>
        <v>Low</v>
      </c>
      <c r="Q972" s="46">
        <f>MAX(K972,MIN(Assumptions!$S$166,O972))</f>
        <v>2642</v>
      </c>
      <c r="R972" s="12">
        <f>IF(AND(Q972&lt;=K972,INDEX(Assumptions!$C$26:$C$36,MATCH(G972,Assumptions!$A$26:$A$36,0))&lt;&gt;""),INDEX(Assumptions!$C$26:$C$36,MATCH(G972,Assumptions!$A$26:$A$36,0)),ROUND(G972*Q972,-2))</f>
        <v>2503000</v>
      </c>
      <c r="S972" s="47" t="str">
        <f>TRIM(IF(AND(Assumptions!$L$166&lt;&gt;"",D972&lt;Assumptions!$L$166),"View blocked / roof in front ("&amp;Assumptions!$M$166&amp;"); view premium still loading until L"&amp;Assumptions!$L$166&amp;". ","")&amp;IF(D972=Assumptions!$AH$166,"Mid-floor view premium fully loaded. ","")&amp;IF(D972=Assumptions!$P$166,"High-floor view premium fully loaded. ","")&amp;IF(Q972&lt;=K972,"At developer starting price.",""))</f>
        <v>View blocked / roof in front (Paw Garden Pavilion: 20% of view, 23 to 29.9m away); view premium still loading until L4. At developer starting price.</v>
      </c>
      <c r="T972" s="48" t="str">
        <f>Assumptions!$AJ$166</f>
        <v>NNE. 28m to boundary facing Thomson Three cluster houses, next to Relaxation Bubble Pool</v>
      </c>
    </row>
    <row r="973" spans="1:20" x14ac:dyDescent="0.2">
      <c r="A973" s="13" t="s">
        <v>1137</v>
      </c>
      <c r="B973" s="14">
        <v>9</v>
      </c>
      <c r="C973" s="40">
        <v>41</v>
      </c>
      <c r="D973" s="40">
        <v>21</v>
      </c>
      <c r="E973" s="9" t="s">
        <v>47</v>
      </c>
      <c r="F973" s="14" t="s">
        <v>1138</v>
      </c>
      <c r="G973" s="10">
        <v>1152</v>
      </c>
      <c r="H973" s="14" t="s">
        <v>62</v>
      </c>
      <c r="I973" s="41" t="str">
        <f>Assumptions!$I$167</f>
        <v>B</v>
      </c>
      <c r="J973" s="14" t="str">
        <f>IF(D973&lt;=Assumptions!$V$167,"Low",IF(D973&lt;=Assumptions!$W$167,"Mid","High"))</f>
        <v>High</v>
      </c>
      <c r="K973" s="15">
        <f>Assumptions!$Q$167</f>
        <v>2650</v>
      </c>
      <c r="L973" s="42">
        <f>INDEX(Assumptions!$M$61:$M$90,D973)</f>
        <v>3049.0307692307697</v>
      </c>
      <c r="M973" s="43">
        <f>IF(D973&lt;=Assumptions!$G$167,Assumptions!$AK$167,IF(D973&lt;Assumptions!$AH$167,Assumptions!$AK$167+(Assumptions!$AL$167-Assumptions!$AK$167)*(D973-Assumptions!$G$167)/(Assumptions!$AH$167-Assumptions!$G$167),IF(D973&lt;Assumptions!$P$167,Assumptions!$AL$167+(Assumptions!$AM$167-Assumptions!$AL$167)*(D973-Assumptions!$AH$167)/(Assumptions!$P$167-Assumptions!$AH$167),Assumptions!$AM$167)))</f>
        <v>-50000</v>
      </c>
      <c r="N973" s="44">
        <f t="shared" si="30"/>
        <v>-43.402777777777779</v>
      </c>
      <c r="O973" s="45">
        <f t="shared" si="31"/>
        <v>3006</v>
      </c>
      <c r="P973" s="14" t="str">
        <f>IF(D973&gt;=Assumptions!$P$167,"High",IF(D973&gt;=Assumptions!$AH$167,"Mid",IF(D973&lt;=Assumptions!$G$167,"Low","Loading")))</f>
        <v>High</v>
      </c>
      <c r="Q973" s="46">
        <f>MAX(K973,MIN(Assumptions!$S$167,O973),Q974)</f>
        <v>3006</v>
      </c>
      <c r="R973" s="12">
        <f>IF(AND(Q973&lt;=K973,INDEX(Assumptions!$C$26:$C$36,MATCH(G973,Assumptions!$A$26:$A$36,0))&lt;&gt;""),INDEX(Assumptions!$C$26:$C$36,MATCH(G973,Assumptions!$A$26:$A$36,0)),ROUND(G973*Q973,-2))</f>
        <v>3462900</v>
      </c>
      <c r="S973" s="47" t="str">
        <f>TRIM(IF(AND(Assumptions!$L$167&lt;&gt;"",D973&lt;Assumptions!$L$167),"View blocked / roof in front ("&amp;Assumptions!$M$167&amp;"); view premium still loading until L"&amp;Assumptions!$L$167&amp;". ","")&amp;IF(D973=Assumptions!$AH$167,"Mid-floor view premium fully loaded. ","")&amp;IF(D973=Assumptions!$P$167,"High-floor view premium fully loaded. ","")&amp;IF(Q973&lt;=K973,"At developer starting price.",""))</f>
        <v/>
      </c>
      <c r="T973" s="48" t="str">
        <f>Assumptions!$AJ$167</f>
        <v>ESE. Inner Island Pool + landed estate view (Island Club sits behind the pool)</v>
      </c>
    </row>
    <row r="974" spans="1:20" x14ac:dyDescent="0.2">
      <c r="A974" s="13" t="s">
        <v>1139</v>
      </c>
      <c r="B974" s="14">
        <v>9</v>
      </c>
      <c r="C974" s="40">
        <v>41</v>
      </c>
      <c r="D974" s="40">
        <v>20</v>
      </c>
      <c r="E974" s="9" t="s">
        <v>47</v>
      </c>
      <c r="F974" s="14" t="s">
        <v>1138</v>
      </c>
      <c r="G974" s="10">
        <v>1152</v>
      </c>
      <c r="H974" s="14" t="s">
        <v>62</v>
      </c>
      <c r="I974" s="41" t="str">
        <f>Assumptions!$I$167</f>
        <v>B</v>
      </c>
      <c r="J974" s="14" t="str">
        <f>IF(D974&lt;=Assumptions!$V$167,"Low",IF(D974&lt;=Assumptions!$W$167,"Mid","High"))</f>
        <v>High</v>
      </c>
      <c r="K974" s="15">
        <f>Assumptions!$Q$167</f>
        <v>2650</v>
      </c>
      <c r="L974" s="42">
        <f>INDEX(Assumptions!$M$61:$M$90,D974)</f>
        <v>3024.938461538462</v>
      </c>
      <c r="M974" s="43">
        <f>IF(D974&lt;=Assumptions!$G$167,Assumptions!$AK$167,IF(D974&lt;Assumptions!$AH$167,Assumptions!$AK$167+(Assumptions!$AL$167-Assumptions!$AK$167)*(D974-Assumptions!$G$167)/(Assumptions!$AH$167-Assumptions!$G$167),IF(D974&lt;Assumptions!$P$167,Assumptions!$AL$167+(Assumptions!$AM$167-Assumptions!$AL$167)*(D974-Assumptions!$AH$167)/(Assumptions!$P$167-Assumptions!$AH$167),Assumptions!$AM$167)))</f>
        <v>-50000</v>
      </c>
      <c r="N974" s="44">
        <f t="shared" si="30"/>
        <v>-43.402777777777779</v>
      </c>
      <c r="O974" s="45">
        <f t="shared" si="31"/>
        <v>2982</v>
      </c>
      <c r="P974" s="14" t="str">
        <f>IF(D974&gt;=Assumptions!$P$167,"High",IF(D974&gt;=Assumptions!$AH$167,"Mid",IF(D974&lt;=Assumptions!$G$167,"Low","Loading")))</f>
        <v>High</v>
      </c>
      <c r="Q974" s="46">
        <f>MAX(K974,MIN(Assumptions!$S$167,O974),Q975)</f>
        <v>2982</v>
      </c>
      <c r="R974" s="12">
        <f>IF(AND(Q974&lt;=K974,INDEX(Assumptions!$C$26:$C$36,MATCH(G974,Assumptions!$A$26:$A$36,0))&lt;&gt;""),INDEX(Assumptions!$C$26:$C$36,MATCH(G974,Assumptions!$A$26:$A$36,0)),ROUND(G974*Q974,-2))</f>
        <v>3435300</v>
      </c>
      <c r="S974" s="47" t="str">
        <f>TRIM(IF(AND(Assumptions!$L$167&lt;&gt;"",D974&lt;Assumptions!$L$167),"View blocked / roof in front ("&amp;Assumptions!$M$167&amp;"); view premium still loading until L"&amp;Assumptions!$L$167&amp;". ","")&amp;IF(D974=Assumptions!$AH$167,"Mid-floor view premium fully loaded. ","")&amp;IF(D974=Assumptions!$P$167,"High-floor view premium fully loaded. ","")&amp;IF(Q974&lt;=K974,"At developer starting price.",""))</f>
        <v/>
      </c>
      <c r="T974" s="48" t="str">
        <f>Assumptions!$AJ$167</f>
        <v>ESE. Inner Island Pool + landed estate view (Island Club sits behind the pool)</v>
      </c>
    </row>
    <row r="975" spans="1:20" x14ac:dyDescent="0.2">
      <c r="A975" s="13" t="s">
        <v>1140</v>
      </c>
      <c r="B975" s="14">
        <v>9</v>
      </c>
      <c r="C975" s="40">
        <v>41</v>
      </c>
      <c r="D975" s="40">
        <v>19</v>
      </c>
      <c r="E975" s="9" t="s">
        <v>47</v>
      </c>
      <c r="F975" s="14" t="s">
        <v>1138</v>
      </c>
      <c r="G975" s="10">
        <v>1152</v>
      </c>
      <c r="H975" s="14" t="s">
        <v>62</v>
      </c>
      <c r="I975" s="41" t="str">
        <f>Assumptions!$I$167</f>
        <v>B</v>
      </c>
      <c r="J975" s="14" t="str">
        <f>IF(D975&lt;=Assumptions!$V$167,"Low",IF(D975&lt;=Assumptions!$W$167,"Mid","High"))</f>
        <v>High</v>
      </c>
      <c r="K975" s="15">
        <f>Assumptions!$Q$167</f>
        <v>2650</v>
      </c>
      <c r="L975" s="42">
        <f>INDEX(Assumptions!$M$61:$M$90,D975)</f>
        <v>3000.8461538461543</v>
      </c>
      <c r="M975" s="43">
        <f>IF(D975&lt;=Assumptions!$G$167,Assumptions!$AK$167,IF(D975&lt;Assumptions!$AH$167,Assumptions!$AK$167+(Assumptions!$AL$167-Assumptions!$AK$167)*(D975-Assumptions!$G$167)/(Assumptions!$AH$167-Assumptions!$G$167),IF(D975&lt;Assumptions!$P$167,Assumptions!$AL$167+(Assumptions!$AM$167-Assumptions!$AL$167)*(D975-Assumptions!$AH$167)/(Assumptions!$P$167-Assumptions!$AH$167),Assumptions!$AM$167)))</f>
        <v>-50000</v>
      </c>
      <c r="N975" s="44">
        <f t="shared" si="30"/>
        <v>-43.402777777777779</v>
      </c>
      <c r="O975" s="45">
        <f t="shared" si="31"/>
        <v>2957</v>
      </c>
      <c r="P975" s="14" t="str">
        <f>IF(D975&gt;=Assumptions!$P$167,"High",IF(D975&gt;=Assumptions!$AH$167,"Mid",IF(D975&lt;=Assumptions!$G$167,"Low","Loading")))</f>
        <v>High</v>
      </c>
      <c r="Q975" s="46">
        <f>MAX(K975,MIN(Assumptions!$S$167,O975),Q976)</f>
        <v>2957</v>
      </c>
      <c r="R975" s="12">
        <f>IF(AND(Q975&lt;=K975,INDEX(Assumptions!$C$26:$C$36,MATCH(G975,Assumptions!$A$26:$A$36,0))&lt;&gt;""),INDEX(Assumptions!$C$26:$C$36,MATCH(G975,Assumptions!$A$26:$A$36,0)),ROUND(G975*Q975,-2))</f>
        <v>3406500</v>
      </c>
      <c r="S975" s="47" t="str">
        <f>TRIM(IF(AND(Assumptions!$L$167&lt;&gt;"",D975&lt;Assumptions!$L$167),"View blocked / roof in front ("&amp;Assumptions!$M$167&amp;"); view premium still loading until L"&amp;Assumptions!$L$167&amp;". ","")&amp;IF(D975=Assumptions!$AH$167,"Mid-floor view premium fully loaded. ","")&amp;IF(D975=Assumptions!$P$167,"High-floor view premium fully loaded. ","")&amp;IF(Q975&lt;=K975,"At developer starting price.",""))</f>
        <v/>
      </c>
      <c r="T975" s="48" t="str">
        <f>Assumptions!$AJ$167</f>
        <v>ESE. Inner Island Pool + landed estate view (Island Club sits behind the pool)</v>
      </c>
    </row>
    <row r="976" spans="1:20" x14ac:dyDescent="0.2">
      <c r="A976" s="13" t="s">
        <v>1141</v>
      </c>
      <c r="B976" s="14">
        <v>9</v>
      </c>
      <c r="C976" s="40">
        <v>41</v>
      </c>
      <c r="D976" s="40">
        <v>18</v>
      </c>
      <c r="E976" s="9" t="s">
        <v>47</v>
      </c>
      <c r="F976" s="14" t="s">
        <v>1138</v>
      </c>
      <c r="G976" s="10">
        <v>1152</v>
      </c>
      <c r="H976" s="14" t="s">
        <v>62</v>
      </c>
      <c r="I976" s="41" t="str">
        <f>Assumptions!$I$167</f>
        <v>B</v>
      </c>
      <c r="J976" s="14" t="str">
        <f>IF(D976&lt;=Assumptions!$V$167,"Low",IF(D976&lt;=Assumptions!$W$167,"Mid","High"))</f>
        <v>High</v>
      </c>
      <c r="K976" s="15">
        <f>Assumptions!$Q$167</f>
        <v>2650</v>
      </c>
      <c r="L976" s="42">
        <f>INDEX(Assumptions!$M$61:$M$90,D976)</f>
        <v>2976.7538461538461</v>
      </c>
      <c r="M976" s="43">
        <f>IF(D976&lt;=Assumptions!$G$167,Assumptions!$AK$167,IF(D976&lt;Assumptions!$AH$167,Assumptions!$AK$167+(Assumptions!$AL$167-Assumptions!$AK$167)*(D976-Assumptions!$G$167)/(Assumptions!$AH$167-Assumptions!$G$167),IF(D976&lt;Assumptions!$P$167,Assumptions!$AL$167+(Assumptions!$AM$167-Assumptions!$AL$167)*(D976-Assumptions!$AH$167)/(Assumptions!$P$167-Assumptions!$AH$167),Assumptions!$AM$167)))</f>
        <v>-50000</v>
      </c>
      <c r="N976" s="44">
        <f t="shared" si="30"/>
        <v>-43.402777777777779</v>
      </c>
      <c r="O976" s="45">
        <f t="shared" si="31"/>
        <v>2933</v>
      </c>
      <c r="P976" s="14" t="str">
        <f>IF(D976&gt;=Assumptions!$P$167,"High",IF(D976&gt;=Assumptions!$AH$167,"Mid",IF(D976&lt;=Assumptions!$G$167,"Low","Loading")))</f>
        <v>High</v>
      </c>
      <c r="Q976" s="46">
        <f>MAX(K976,MIN(Assumptions!$S$167,O976),Q977)</f>
        <v>2933</v>
      </c>
      <c r="R976" s="12">
        <f>IF(AND(Q976&lt;=K976,INDEX(Assumptions!$C$26:$C$36,MATCH(G976,Assumptions!$A$26:$A$36,0))&lt;&gt;""),INDEX(Assumptions!$C$26:$C$36,MATCH(G976,Assumptions!$A$26:$A$36,0)),ROUND(G976*Q976,-2))</f>
        <v>3378800</v>
      </c>
      <c r="S976" s="47" t="str">
        <f>TRIM(IF(AND(Assumptions!$L$167&lt;&gt;"",D976&lt;Assumptions!$L$167),"View blocked / roof in front ("&amp;Assumptions!$M$167&amp;"); view premium still loading until L"&amp;Assumptions!$L$167&amp;". ","")&amp;IF(D976=Assumptions!$AH$167,"Mid-floor view premium fully loaded. ","")&amp;IF(D976=Assumptions!$P$167,"High-floor view premium fully loaded. ","")&amp;IF(Q976&lt;=K976,"At developer starting price.",""))</f>
        <v/>
      </c>
      <c r="T976" s="48" t="str">
        <f>Assumptions!$AJ$167</f>
        <v>ESE. Inner Island Pool + landed estate view (Island Club sits behind the pool)</v>
      </c>
    </row>
    <row r="977" spans="1:20" x14ac:dyDescent="0.2">
      <c r="A977" s="13" t="s">
        <v>1142</v>
      </c>
      <c r="B977" s="14">
        <v>9</v>
      </c>
      <c r="C977" s="40">
        <v>41</v>
      </c>
      <c r="D977" s="40">
        <v>17</v>
      </c>
      <c r="E977" s="9" t="s">
        <v>47</v>
      </c>
      <c r="F977" s="14" t="s">
        <v>1138</v>
      </c>
      <c r="G977" s="10">
        <v>1152</v>
      </c>
      <c r="H977" s="14" t="s">
        <v>62</v>
      </c>
      <c r="I977" s="41" t="str">
        <f>Assumptions!$I$167</f>
        <v>B</v>
      </c>
      <c r="J977" s="14" t="str">
        <f>IF(D977&lt;=Assumptions!$V$167,"Low",IF(D977&lt;=Assumptions!$W$167,"Mid","High"))</f>
        <v>High</v>
      </c>
      <c r="K977" s="15">
        <f>Assumptions!$Q$167</f>
        <v>2650</v>
      </c>
      <c r="L977" s="42">
        <f>INDEX(Assumptions!$M$61:$M$90,D977)</f>
        <v>2952.6615384615384</v>
      </c>
      <c r="M977" s="43">
        <f>IF(D977&lt;=Assumptions!$G$167,Assumptions!$AK$167,IF(D977&lt;Assumptions!$AH$167,Assumptions!$AK$167+(Assumptions!$AL$167-Assumptions!$AK$167)*(D977-Assumptions!$G$167)/(Assumptions!$AH$167-Assumptions!$G$167),IF(D977&lt;Assumptions!$P$167,Assumptions!$AL$167+(Assumptions!$AM$167-Assumptions!$AL$167)*(D977-Assumptions!$AH$167)/(Assumptions!$P$167-Assumptions!$AH$167),Assumptions!$AM$167)))</f>
        <v>-50000</v>
      </c>
      <c r="N977" s="44">
        <f t="shared" si="30"/>
        <v>-43.402777777777779</v>
      </c>
      <c r="O977" s="45">
        <f t="shared" si="31"/>
        <v>2909</v>
      </c>
      <c r="P977" s="14" t="str">
        <f>IF(D977&gt;=Assumptions!$P$167,"High",IF(D977&gt;=Assumptions!$AH$167,"Mid",IF(D977&lt;=Assumptions!$G$167,"Low","Loading")))</f>
        <v>High</v>
      </c>
      <c r="Q977" s="46">
        <f>MAX(K977,MIN(Assumptions!$S$167,O977),Q978)</f>
        <v>2909</v>
      </c>
      <c r="R977" s="12">
        <f>IF(AND(Q977&lt;=K977,INDEX(Assumptions!$C$26:$C$36,MATCH(G977,Assumptions!$A$26:$A$36,0))&lt;&gt;""),INDEX(Assumptions!$C$26:$C$36,MATCH(G977,Assumptions!$A$26:$A$36,0)),ROUND(G977*Q977,-2))</f>
        <v>3351200</v>
      </c>
      <c r="S977" s="47" t="str">
        <f>TRIM(IF(AND(Assumptions!$L$167&lt;&gt;"",D977&lt;Assumptions!$L$167),"View blocked / roof in front ("&amp;Assumptions!$M$167&amp;"); view premium still loading until L"&amp;Assumptions!$L$167&amp;". ","")&amp;IF(D977=Assumptions!$AH$167,"Mid-floor view premium fully loaded. ","")&amp;IF(D977=Assumptions!$P$167,"High-floor view premium fully loaded. ","")&amp;IF(Q977&lt;=K977,"At developer starting price.",""))</f>
        <v/>
      </c>
      <c r="T977" s="48" t="str">
        <f>Assumptions!$AJ$167</f>
        <v>ESE. Inner Island Pool + landed estate view (Island Club sits behind the pool)</v>
      </c>
    </row>
    <row r="978" spans="1:20" x14ac:dyDescent="0.2">
      <c r="A978" s="13" t="s">
        <v>1143</v>
      </c>
      <c r="B978" s="14">
        <v>9</v>
      </c>
      <c r="C978" s="40">
        <v>41</v>
      </c>
      <c r="D978" s="40">
        <v>16</v>
      </c>
      <c r="E978" s="9" t="s">
        <v>47</v>
      </c>
      <c r="F978" s="14" t="s">
        <v>1138</v>
      </c>
      <c r="G978" s="10">
        <v>1152</v>
      </c>
      <c r="H978" s="14" t="s">
        <v>62</v>
      </c>
      <c r="I978" s="41" t="str">
        <f>Assumptions!$I$167</f>
        <v>B</v>
      </c>
      <c r="J978" s="14" t="str">
        <f>IF(D978&lt;=Assumptions!$V$167,"Low",IF(D978&lt;=Assumptions!$W$167,"Mid","High"))</f>
        <v>High</v>
      </c>
      <c r="K978" s="15">
        <f>Assumptions!$Q$167</f>
        <v>2650</v>
      </c>
      <c r="L978" s="42">
        <f>INDEX(Assumptions!$M$61:$M$90,D978)</f>
        <v>2928.5692307692307</v>
      </c>
      <c r="M978" s="43">
        <f>IF(D978&lt;=Assumptions!$G$167,Assumptions!$AK$167,IF(D978&lt;Assumptions!$AH$167,Assumptions!$AK$167+(Assumptions!$AL$167-Assumptions!$AK$167)*(D978-Assumptions!$G$167)/(Assumptions!$AH$167-Assumptions!$G$167),IF(D978&lt;Assumptions!$P$167,Assumptions!$AL$167+(Assumptions!$AM$167-Assumptions!$AL$167)*(D978-Assumptions!$AH$167)/(Assumptions!$P$167-Assumptions!$AH$167),Assumptions!$AM$167)))</f>
        <v>-50000</v>
      </c>
      <c r="N978" s="44">
        <f t="shared" si="30"/>
        <v>-43.402777777777779</v>
      </c>
      <c r="O978" s="45">
        <f t="shared" si="31"/>
        <v>2885</v>
      </c>
      <c r="P978" s="14" t="str">
        <f>IF(D978&gt;=Assumptions!$P$167,"High",IF(D978&gt;=Assumptions!$AH$167,"Mid",IF(D978&lt;=Assumptions!$G$167,"Low","Loading")))</f>
        <v>High</v>
      </c>
      <c r="Q978" s="46">
        <f>MAX(K978,MIN(Assumptions!$S$167,O978),Q979)</f>
        <v>2885</v>
      </c>
      <c r="R978" s="12">
        <f>IF(AND(Q978&lt;=K978,INDEX(Assumptions!$C$26:$C$36,MATCH(G978,Assumptions!$A$26:$A$36,0))&lt;&gt;""),INDEX(Assumptions!$C$26:$C$36,MATCH(G978,Assumptions!$A$26:$A$36,0)),ROUND(G978*Q978,-2))</f>
        <v>3323500</v>
      </c>
      <c r="S978" s="47" t="str">
        <f>TRIM(IF(AND(Assumptions!$L$167&lt;&gt;"",D978&lt;Assumptions!$L$167),"View blocked / roof in front ("&amp;Assumptions!$M$167&amp;"); view premium still loading until L"&amp;Assumptions!$L$167&amp;". ","")&amp;IF(D978=Assumptions!$AH$167,"Mid-floor view premium fully loaded. ","")&amp;IF(D978=Assumptions!$P$167,"High-floor view premium fully loaded. ","")&amp;IF(Q978&lt;=K978,"At developer starting price.",""))</f>
        <v>High-floor view premium fully loaded.</v>
      </c>
      <c r="T978" s="48" t="str">
        <f>Assumptions!$AJ$167</f>
        <v>ESE. Inner Island Pool + landed estate view (Island Club sits behind the pool)</v>
      </c>
    </row>
    <row r="979" spans="1:20" x14ac:dyDescent="0.2">
      <c r="A979" s="13" t="s">
        <v>1144</v>
      </c>
      <c r="B979" s="14">
        <v>9</v>
      </c>
      <c r="C979" s="40">
        <v>41</v>
      </c>
      <c r="D979" s="40">
        <v>15</v>
      </c>
      <c r="E979" s="9" t="s">
        <v>47</v>
      </c>
      <c r="F979" s="14" t="s">
        <v>1138</v>
      </c>
      <c r="G979" s="10">
        <v>1152</v>
      </c>
      <c r="H979" s="14" t="s">
        <v>62</v>
      </c>
      <c r="I979" s="41" t="str">
        <f>Assumptions!$I$167</f>
        <v>B</v>
      </c>
      <c r="J979" s="14" t="str">
        <f>IF(D979&lt;=Assumptions!$V$167,"Low",IF(D979&lt;=Assumptions!$W$167,"Mid","High"))</f>
        <v>Mid</v>
      </c>
      <c r="K979" s="15">
        <f>Assumptions!$Q$167</f>
        <v>2650</v>
      </c>
      <c r="L979" s="42">
        <f>INDEX(Assumptions!$M$61:$M$90,D979)</f>
        <v>2904.476923076923</v>
      </c>
      <c r="M979" s="43">
        <f>IF(D979&lt;=Assumptions!$G$167,Assumptions!$AK$167,IF(D979&lt;Assumptions!$AH$167,Assumptions!$AK$167+(Assumptions!$AL$167-Assumptions!$AK$167)*(D979-Assumptions!$G$167)/(Assumptions!$AH$167-Assumptions!$G$167),IF(D979&lt;Assumptions!$P$167,Assumptions!$AL$167+(Assumptions!$AM$167-Assumptions!$AL$167)*(D979-Assumptions!$AH$167)/(Assumptions!$P$167-Assumptions!$AH$167),Assumptions!$AM$167)))</f>
        <v>-50000</v>
      </c>
      <c r="N979" s="44">
        <f t="shared" si="30"/>
        <v>-43.402777777777779</v>
      </c>
      <c r="O979" s="45">
        <f t="shared" si="31"/>
        <v>2861</v>
      </c>
      <c r="P979" s="14" t="str">
        <f>IF(D979&gt;=Assumptions!$P$167,"High",IF(D979&gt;=Assumptions!$AH$167,"Mid",IF(D979&lt;=Assumptions!$G$167,"Low","Loading")))</f>
        <v>Mid</v>
      </c>
      <c r="Q979" s="46">
        <f>MAX(K979,MIN(Assumptions!$S$167,O979),Q980)</f>
        <v>2861</v>
      </c>
      <c r="R979" s="12">
        <f>IF(AND(Q979&lt;=K979,INDEX(Assumptions!$C$26:$C$36,MATCH(G979,Assumptions!$A$26:$A$36,0))&lt;&gt;""),INDEX(Assumptions!$C$26:$C$36,MATCH(G979,Assumptions!$A$26:$A$36,0)),ROUND(G979*Q979,-2))</f>
        <v>3295900</v>
      </c>
      <c r="S979" s="47" t="str">
        <f>TRIM(IF(AND(Assumptions!$L$167&lt;&gt;"",D979&lt;Assumptions!$L$167),"View blocked / roof in front ("&amp;Assumptions!$M$167&amp;"); view premium still loading until L"&amp;Assumptions!$L$167&amp;". ","")&amp;IF(D979=Assumptions!$AH$167,"Mid-floor view premium fully loaded. ","")&amp;IF(D979=Assumptions!$P$167,"High-floor view premium fully loaded. ","")&amp;IF(Q979&lt;=K979,"At developer starting price.",""))</f>
        <v/>
      </c>
      <c r="T979" s="48" t="str">
        <f>Assumptions!$AJ$167</f>
        <v>ESE. Inner Island Pool + landed estate view (Island Club sits behind the pool)</v>
      </c>
    </row>
    <row r="980" spans="1:20" x14ac:dyDescent="0.2">
      <c r="A980" s="13" t="s">
        <v>1145</v>
      </c>
      <c r="B980" s="14">
        <v>9</v>
      </c>
      <c r="C980" s="40">
        <v>41</v>
      </c>
      <c r="D980" s="40">
        <v>14</v>
      </c>
      <c r="E980" s="9" t="s">
        <v>47</v>
      </c>
      <c r="F980" s="14" t="s">
        <v>1138</v>
      </c>
      <c r="G980" s="10">
        <v>1152</v>
      </c>
      <c r="H980" s="14" t="s">
        <v>62</v>
      </c>
      <c r="I980" s="41" t="str">
        <f>Assumptions!$I$167</f>
        <v>B</v>
      </c>
      <c r="J980" s="14" t="str">
        <f>IF(D980&lt;=Assumptions!$V$167,"Low",IF(D980&lt;=Assumptions!$W$167,"Mid","High"))</f>
        <v>Mid</v>
      </c>
      <c r="K980" s="15">
        <f>Assumptions!$Q$167</f>
        <v>2650</v>
      </c>
      <c r="L980" s="42">
        <f>INDEX(Assumptions!$M$61:$M$90,D980)</f>
        <v>2880.3846153846152</v>
      </c>
      <c r="M980" s="43">
        <f>IF(D980&lt;=Assumptions!$G$167,Assumptions!$AK$167,IF(D980&lt;Assumptions!$AH$167,Assumptions!$AK$167+(Assumptions!$AL$167-Assumptions!$AK$167)*(D980-Assumptions!$G$167)/(Assumptions!$AH$167-Assumptions!$G$167),IF(D980&lt;Assumptions!$P$167,Assumptions!$AL$167+(Assumptions!$AM$167-Assumptions!$AL$167)*(D980-Assumptions!$AH$167)/(Assumptions!$P$167-Assumptions!$AH$167),Assumptions!$AM$167)))</f>
        <v>-50000</v>
      </c>
      <c r="N980" s="44">
        <f t="shared" si="30"/>
        <v>-43.402777777777779</v>
      </c>
      <c r="O980" s="45">
        <f t="shared" si="31"/>
        <v>2837</v>
      </c>
      <c r="P980" s="14" t="str">
        <f>IF(D980&gt;=Assumptions!$P$167,"High",IF(D980&gt;=Assumptions!$AH$167,"Mid",IF(D980&lt;=Assumptions!$G$167,"Low","Loading")))</f>
        <v>Mid</v>
      </c>
      <c r="Q980" s="46">
        <f>MAX(K980,MIN(Assumptions!$S$167,O980),Q981)</f>
        <v>2837</v>
      </c>
      <c r="R980" s="12">
        <f>IF(AND(Q980&lt;=K980,INDEX(Assumptions!$C$26:$C$36,MATCH(G980,Assumptions!$A$26:$A$36,0))&lt;&gt;""),INDEX(Assumptions!$C$26:$C$36,MATCH(G980,Assumptions!$A$26:$A$36,0)),ROUND(G980*Q980,-2))</f>
        <v>3268200</v>
      </c>
      <c r="S980" s="47" t="str">
        <f>TRIM(IF(AND(Assumptions!$L$167&lt;&gt;"",D980&lt;Assumptions!$L$167),"View blocked / roof in front ("&amp;Assumptions!$M$167&amp;"); view premium still loading until L"&amp;Assumptions!$L$167&amp;". ","")&amp;IF(D980=Assumptions!$AH$167,"Mid-floor view premium fully loaded. ","")&amp;IF(D980=Assumptions!$P$167,"High-floor view premium fully loaded. ","")&amp;IF(Q980&lt;=K980,"At developer starting price.",""))</f>
        <v/>
      </c>
      <c r="T980" s="48" t="str">
        <f>Assumptions!$AJ$167</f>
        <v>ESE. Inner Island Pool + landed estate view (Island Club sits behind the pool)</v>
      </c>
    </row>
    <row r="981" spans="1:20" x14ac:dyDescent="0.2">
      <c r="A981" s="13" t="s">
        <v>1146</v>
      </c>
      <c r="B981" s="14">
        <v>9</v>
      </c>
      <c r="C981" s="40">
        <v>41</v>
      </c>
      <c r="D981" s="40">
        <v>13</v>
      </c>
      <c r="E981" s="9" t="s">
        <v>47</v>
      </c>
      <c r="F981" s="14" t="s">
        <v>1138</v>
      </c>
      <c r="G981" s="10">
        <v>1152</v>
      </c>
      <c r="H981" s="14" t="s">
        <v>62</v>
      </c>
      <c r="I981" s="41" t="str">
        <f>Assumptions!$I$167</f>
        <v>B</v>
      </c>
      <c r="J981" s="14" t="str">
        <f>IF(D981&lt;=Assumptions!$V$167,"Low",IF(D981&lt;=Assumptions!$W$167,"Mid","High"))</f>
        <v>Mid</v>
      </c>
      <c r="K981" s="15">
        <f>Assumptions!$Q$167</f>
        <v>2650</v>
      </c>
      <c r="L981" s="42">
        <f>INDEX(Assumptions!$M$61:$M$90,D981)</f>
        <v>2856.2923076923075</v>
      </c>
      <c r="M981" s="43">
        <f>IF(D981&lt;=Assumptions!$G$167,Assumptions!$AK$167,IF(D981&lt;Assumptions!$AH$167,Assumptions!$AK$167+(Assumptions!$AL$167-Assumptions!$AK$167)*(D981-Assumptions!$G$167)/(Assumptions!$AH$167-Assumptions!$G$167),IF(D981&lt;Assumptions!$P$167,Assumptions!$AL$167+(Assumptions!$AM$167-Assumptions!$AL$167)*(D981-Assumptions!$AH$167)/(Assumptions!$P$167-Assumptions!$AH$167),Assumptions!$AM$167)))</f>
        <v>-50000</v>
      </c>
      <c r="N981" s="44">
        <f t="shared" si="30"/>
        <v>-43.402777777777779</v>
      </c>
      <c r="O981" s="45">
        <f t="shared" si="31"/>
        <v>2813</v>
      </c>
      <c r="P981" s="14" t="str">
        <f>IF(D981&gt;=Assumptions!$P$167,"High",IF(D981&gt;=Assumptions!$AH$167,"Mid",IF(D981&lt;=Assumptions!$G$167,"Low","Loading")))</f>
        <v>Mid</v>
      </c>
      <c r="Q981" s="46">
        <f>MAX(K981,MIN(Assumptions!$S$167,O981),Q982)</f>
        <v>2813</v>
      </c>
      <c r="R981" s="12">
        <f>IF(AND(Q981&lt;=K981,INDEX(Assumptions!$C$26:$C$36,MATCH(G981,Assumptions!$A$26:$A$36,0))&lt;&gt;""),INDEX(Assumptions!$C$26:$C$36,MATCH(G981,Assumptions!$A$26:$A$36,0)),ROUND(G981*Q981,-2))</f>
        <v>3240600</v>
      </c>
      <c r="S981" s="47" t="str">
        <f>TRIM(IF(AND(Assumptions!$L$167&lt;&gt;"",D981&lt;Assumptions!$L$167),"View blocked / roof in front ("&amp;Assumptions!$M$167&amp;"); view premium still loading until L"&amp;Assumptions!$L$167&amp;". ","")&amp;IF(D981=Assumptions!$AH$167,"Mid-floor view premium fully loaded. ","")&amp;IF(D981=Assumptions!$P$167,"High-floor view premium fully loaded. ","")&amp;IF(Q981&lt;=K981,"At developer starting price.",""))</f>
        <v/>
      </c>
      <c r="T981" s="48" t="str">
        <f>Assumptions!$AJ$167</f>
        <v>ESE. Inner Island Pool + landed estate view (Island Club sits behind the pool)</v>
      </c>
    </row>
    <row r="982" spans="1:20" x14ac:dyDescent="0.2">
      <c r="A982" s="13" t="s">
        <v>1147</v>
      </c>
      <c r="B982" s="14">
        <v>9</v>
      </c>
      <c r="C982" s="40">
        <v>41</v>
      </c>
      <c r="D982" s="40">
        <v>12</v>
      </c>
      <c r="E982" s="9" t="s">
        <v>47</v>
      </c>
      <c r="F982" s="14" t="s">
        <v>1138</v>
      </c>
      <c r="G982" s="10">
        <v>1152</v>
      </c>
      <c r="H982" s="14" t="s">
        <v>62</v>
      </c>
      <c r="I982" s="41" t="str">
        <f>Assumptions!$I$167</f>
        <v>B</v>
      </c>
      <c r="J982" s="14" t="str">
        <f>IF(D982&lt;=Assumptions!$V$167,"Low",IF(D982&lt;=Assumptions!$W$167,"Mid","High"))</f>
        <v>Mid</v>
      </c>
      <c r="K982" s="15">
        <f>Assumptions!$Q$167</f>
        <v>2650</v>
      </c>
      <c r="L982" s="42">
        <f>INDEX(Assumptions!$M$61:$M$90,D982)</f>
        <v>2832.2</v>
      </c>
      <c r="M982" s="43">
        <f>IF(D982&lt;=Assumptions!$G$167,Assumptions!$AK$167,IF(D982&lt;Assumptions!$AH$167,Assumptions!$AK$167+(Assumptions!$AL$167-Assumptions!$AK$167)*(D982-Assumptions!$G$167)/(Assumptions!$AH$167-Assumptions!$G$167),IF(D982&lt;Assumptions!$P$167,Assumptions!$AL$167+(Assumptions!$AM$167-Assumptions!$AL$167)*(D982-Assumptions!$AH$167)/(Assumptions!$P$167-Assumptions!$AH$167),Assumptions!$AM$167)))</f>
        <v>-50000</v>
      </c>
      <c r="N982" s="44">
        <f t="shared" si="30"/>
        <v>-43.402777777777779</v>
      </c>
      <c r="O982" s="45">
        <f t="shared" si="31"/>
        <v>2789</v>
      </c>
      <c r="P982" s="14" t="str">
        <f>IF(D982&gt;=Assumptions!$P$167,"High",IF(D982&gt;=Assumptions!$AH$167,"Mid",IF(D982&lt;=Assumptions!$G$167,"Low","Loading")))</f>
        <v>Mid</v>
      </c>
      <c r="Q982" s="46">
        <f>MAX(K982,MIN(Assumptions!$S$167,O982),Q983)</f>
        <v>2789</v>
      </c>
      <c r="R982" s="12">
        <f>IF(AND(Q982&lt;=K982,INDEX(Assumptions!$C$26:$C$36,MATCH(G982,Assumptions!$A$26:$A$36,0))&lt;&gt;""),INDEX(Assumptions!$C$26:$C$36,MATCH(G982,Assumptions!$A$26:$A$36,0)),ROUND(G982*Q982,-2))</f>
        <v>3212900</v>
      </c>
      <c r="S982" s="47" t="str">
        <f>TRIM(IF(AND(Assumptions!$L$167&lt;&gt;"",D982&lt;Assumptions!$L$167),"View blocked / roof in front ("&amp;Assumptions!$M$167&amp;"); view premium still loading until L"&amp;Assumptions!$L$167&amp;". ","")&amp;IF(D982=Assumptions!$AH$167,"Mid-floor view premium fully loaded. ","")&amp;IF(D982=Assumptions!$P$167,"High-floor view premium fully loaded. ","")&amp;IF(Q982&lt;=K982,"At developer starting price.",""))</f>
        <v/>
      </c>
      <c r="T982" s="48" t="str">
        <f>Assumptions!$AJ$167</f>
        <v>ESE. Inner Island Pool + landed estate view (Island Club sits behind the pool)</v>
      </c>
    </row>
    <row r="983" spans="1:20" x14ac:dyDescent="0.2">
      <c r="A983" s="13" t="s">
        <v>1148</v>
      </c>
      <c r="B983" s="14">
        <v>9</v>
      </c>
      <c r="C983" s="40">
        <v>41</v>
      </c>
      <c r="D983" s="40">
        <v>11</v>
      </c>
      <c r="E983" s="9" t="s">
        <v>47</v>
      </c>
      <c r="F983" s="14" t="s">
        <v>1138</v>
      </c>
      <c r="G983" s="10">
        <v>1152</v>
      </c>
      <c r="H983" s="14" t="s">
        <v>62</v>
      </c>
      <c r="I983" s="41" t="str">
        <f>Assumptions!$I$167</f>
        <v>B</v>
      </c>
      <c r="J983" s="14" t="str">
        <f>IF(D983&lt;=Assumptions!$V$167,"Low",IF(D983&lt;=Assumptions!$W$167,"Mid","High"))</f>
        <v>Mid</v>
      </c>
      <c r="K983" s="15">
        <f>Assumptions!$Q$167</f>
        <v>2650</v>
      </c>
      <c r="L983" s="42">
        <f>INDEX(Assumptions!$M$61:$M$90,D983)</f>
        <v>2818.3202777777778</v>
      </c>
      <c r="M983" s="43">
        <f>IF(D983&lt;=Assumptions!$G$167,Assumptions!$AK$167,IF(D983&lt;Assumptions!$AH$167,Assumptions!$AK$167+(Assumptions!$AL$167-Assumptions!$AK$167)*(D983-Assumptions!$G$167)/(Assumptions!$AH$167-Assumptions!$G$167),IF(D983&lt;Assumptions!$P$167,Assumptions!$AL$167+(Assumptions!$AM$167-Assumptions!$AL$167)*(D983-Assumptions!$AH$167)/(Assumptions!$P$167-Assumptions!$AH$167),Assumptions!$AM$167)))</f>
        <v>-50000</v>
      </c>
      <c r="N983" s="44">
        <f t="shared" si="30"/>
        <v>-43.402777777777779</v>
      </c>
      <c r="O983" s="45">
        <f t="shared" si="31"/>
        <v>2775</v>
      </c>
      <c r="P983" s="14" t="str">
        <f>IF(D983&gt;=Assumptions!$P$167,"High",IF(D983&gt;=Assumptions!$AH$167,"Mid",IF(D983&lt;=Assumptions!$G$167,"Low","Loading")))</f>
        <v>Mid</v>
      </c>
      <c r="Q983" s="46">
        <f>MAX(K983,MIN(Assumptions!$S$167,O983),Q984)</f>
        <v>2775</v>
      </c>
      <c r="R983" s="12">
        <f>IF(AND(Q983&lt;=K983,INDEX(Assumptions!$C$26:$C$36,MATCH(G983,Assumptions!$A$26:$A$36,0))&lt;&gt;""),INDEX(Assumptions!$C$26:$C$36,MATCH(G983,Assumptions!$A$26:$A$36,0)),ROUND(G983*Q983,-2))</f>
        <v>3196800</v>
      </c>
      <c r="S983" s="47" t="str">
        <f>TRIM(IF(AND(Assumptions!$L$167&lt;&gt;"",D983&lt;Assumptions!$L$167),"View blocked / roof in front ("&amp;Assumptions!$M$167&amp;"); view premium still loading until L"&amp;Assumptions!$L$167&amp;". ","")&amp;IF(D983=Assumptions!$AH$167,"Mid-floor view premium fully loaded. ","")&amp;IF(D983=Assumptions!$P$167,"High-floor view premium fully loaded. ","")&amp;IF(Q983&lt;=K983,"At developer starting price.",""))</f>
        <v/>
      </c>
      <c r="T983" s="48" t="str">
        <f>Assumptions!$AJ$167</f>
        <v>ESE. Inner Island Pool + landed estate view (Island Club sits behind the pool)</v>
      </c>
    </row>
    <row r="984" spans="1:20" x14ac:dyDescent="0.2">
      <c r="A984" s="13" t="s">
        <v>1149</v>
      </c>
      <c r="B984" s="14">
        <v>9</v>
      </c>
      <c r="C984" s="40">
        <v>41</v>
      </c>
      <c r="D984" s="40">
        <v>10</v>
      </c>
      <c r="E984" s="9" t="s">
        <v>47</v>
      </c>
      <c r="F984" s="14" t="s">
        <v>1138</v>
      </c>
      <c r="G984" s="10">
        <v>1152</v>
      </c>
      <c r="H984" s="14" t="s">
        <v>62</v>
      </c>
      <c r="I984" s="41" t="str">
        <f>Assumptions!$I$167</f>
        <v>B</v>
      </c>
      <c r="J984" s="14" t="str">
        <f>IF(D984&lt;=Assumptions!$V$167,"Low",IF(D984&lt;=Assumptions!$W$167,"Mid","High"))</f>
        <v>Mid</v>
      </c>
      <c r="K984" s="15">
        <f>Assumptions!$Q$167</f>
        <v>2650</v>
      </c>
      <c r="L984" s="42">
        <f>INDEX(Assumptions!$M$61:$M$90,D984)</f>
        <v>2804.4405555555554</v>
      </c>
      <c r="M984" s="43">
        <f>IF(D984&lt;=Assumptions!$G$167,Assumptions!$AK$167,IF(D984&lt;Assumptions!$AH$167,Assumptions!$AK$167+(Assumptions!$AL$167-Assumptions!$AK$167)*(D984-Assumptions!$G$167)/(Assumptions!$AH$167-Assumptions!$G$167),IF(D984&lt;Assumptions!$P$167,Assumptions!$AL$167+(Assumptions!$AM$167-Assumptions!$AL$167)*(D984-Assumptions!$AH$167)/(Assumptions!$P$167-Assumptions!$AH$167),Assumptions!$AM$167)))</f>
        <v>-50000</v>
      </c>
      <c r="N984" s="44">
        <f t="shared" si="30"/>
        <v>-43.402777777777779</v>
      </c>
      <c r="O984" s="45">
        <f t="shared" si="31"/>
        <v>2761</v>
      </c>
      <c r="P984" s="14" t="str">
        <f>IF(D984&gt;=Assumptions!$P$167,"High",IF(D984&gt;=Assumptions!$AH$167,"Mid",IF(D984&lt;=Assumptions!$G$167,"Low","Loading")))</f>
        <v>Mid</v>
      </c>
      <c r="Q984" s="46">
        <f>MAX(K984,MIN(Assumptions!$S$167,O984),Q985)</f>
        <v>2761</v>
      </c>
      <c r="R984" s="12">
        <f>IF(AND(Q984&lt;=K984,INDEX(Assumptions!$C$26:$C$36,MATCH(G984,Assumptions!$A$26:$A$36,0))&lt;&gt;""),INDEX(Assumptions!$C$26:$C$36,MATCH(G984,Assumptions!$A$26:$A$36,0)),ROUND(G984*Q984,-2))</f>
        <v>3180700</v>
      </c>
      <c r="S984" s="47" t="str">
        <f>TRIM(IF(AND(Assumptions!$L$167&lt;&gt;"",D984&lt;Assumptions!$L$167),"View blocked / roof in front ("&amp;Assumptions!$M$167&amp;"); view premium still loading until L"&amp;Assumptions!$L$167&amp;". ","")&amp;IF(D984=Assumptions!$AH$167,"Mid-floor view premium fully loaded. ","")&amp;IF(D984=Assumptions!$P$167,"High-floor view premium fully loaded. ","")&amp;IF(Q984&lt;=K984,"At developer starting price.",""))</f>
        <v/>
      </c>
      <c r="T984" s="48" t="str">
        <f>Assumptions!$AJ$167</f>
        <v>ESE. Inner Island Pool + landed estate view (Island Club sits behind the pool)</v>
      </c>
    </row>
    <row r="985" spans="1:20" x14ac:dyDescent="0.2">
      <c r="A985" s="13" t="s">
        <v>1150</v>
      </c>
      <c r="B985" s="14">
        <v>9</v>
      </c>
      <c r="C985" s="40">
        <v>41</v>
      </c>
      <c r="D985" s="40">
        <v>9</v>
      </c>
      <c r="E985" s="9" t="s">
        <v>47</v>
      </c>
      <c r="F985" s="14" t="s">
        <v>1138</v>
      </c>
      <c r="G985" s="10">
        <v>1152</v>
      </c>
      <c r="H985" s="14" t="s">
        <v>62</v>
      </c>
      <c r="I985" s="41" t="str">
        <f>Assumptions!$I$167</f>
        <v>B</v>
      </c>
      <c r="J985" s="14" t="str">
        <f>IF(D985&lt;=Assumptions!$V$167,"Low",IF(D985&lt;=Assumptions!$W$167,"Mid","High"))</f>
        <v>Mid</v>
      </c>
      <c r="K985" s="15">
        <f>Assumptions!$Q$167</f>
        <v>2650</v>
      </c>
      <c r="L985" s="42">
        <f>INDEX(Assumptions!$M$61:$M$90,D985)</f>
        <v>2790.560833333333</v>
      </c>
      <c r="M985" s="43">
        <f>IF(D985&lt;=Assumptions!$G$167,Assumptions!$AK$167,IF(D985&lt;Assumptions!$AH$167,Assumptions!$AK$167+(Assumptions!$AL$167-Assumptions!$AK$167)*(D985-Assumptions!$G$167)/(Assumptions!$AH$167-Assumptions!$G$167),IF(D985&lt;Assumptions!$P$167,Assumptions!$AL$167+(Assumptions!$AM$167-Assumptions!$AL$167)*(D985-Assumptions!$AH$167)/(Assumptions!$P$167-Assumptions!$AH$167),Assumptions!$AM$167)))</f>
        <v>-50000</v>
      </c>
      <c r="N985" s="44">
        <f t="shared" si="30"/>
        <v>-43.402777777777779</v>
      </c>
      <c r="O985" s="45">
        <f t="shared" si="31"/>
        <v>2747</v>
      </c>
      <c r="P985" s="14" t="str">
        <f>IF(D985&gt;=Assumptions!$P$167,"High",IF(D985&gt;=Assumptions!$AH$167,"Mid",IF(D985&lt;=Assumptions!$G$167,"Low","Loading")))</f>
        <v>Mid</v>
      </c>
      <c r="Q985" s="46">
        <f>MAX(K985,MIN(Assumptions!$S$167,O985),Q986)</f>
        <v>2747</v>
      </c>
      <c r="R985" s="12">
        <f>IF(AND(Q985&lt;=K985,INDEX(Assumptions!$C$26:$C$36,MATCH(G985,Assumptions!$A$26:$A$36,0))&lt;&gt;""),INDEX(Assumptions!$C$26:$C$36,MATCH(G985,Assumptions!$A$26:$A$36,0)),ROUND(G985*Q985,-2))</f>
        <v>3164500</v>
      </c>
      <c r="S985" s="47" t="str">
        <f>TRIM(IF(AND(Assumptions!$L$167&lt;&gt;"",D985&lt;Assumptions!$L$167),"View blocked / roof in front ("&amp;Assumptions!$M$167&amp;"); view premium still loading until L"&amp;Assumptions!$L$167&amp;". ","")&amp;IF(D985=Assumptions!$AH$167,"Mid-floor view premium fully loaded. ","")&amp;IF(D985=Assumptions!$P$167,"High-floor view premium fully loaded. ","")&amp;IF(Q985&lt;=K985,"At developer starting price.",""))</f>
        <v>Mid-floor view premium fully loaded.</v>
      </c>
      <c r="T985" s="48" t="str">
        <f>Assumptions!$AJ$167</f>
        <v>ESE. Inner Island Pool + landed estate view (Island Club sits behind the pool)</v>
      </c>
    </row>
    <row r="986" spans="1:20" x14ac:dyDescent="0.2">
      <c r="A986" s="13" t="s">
        <v>1151</v>
      </c>
      <c r="B986" s="14">
        <v>9</v>
      </c>
      <c r="C986" s="40">
        <v>41</v>
      </c>
      <c r="D986" s="40">
        <v>8</v>
      </c>
      <c r="E986" s="9" t="s">
        <v>47</v>
      </c>
      <c r="F986" s="14" t="s">
        <v>1138</v>
      </c>
      <c r="G986" s="10">
        <v>1152</v>
      </c>
      <c r="H986" s="14" t="s">
        <v>62</v>
      </c>
      <c r="I986" s="41" t="str">
        <f>Assumptions!$I$167</f>
        <v>B</v>
      </c>
      <c r="J986" s="14" t="str">
        <f>IF(D986&lt;=Assumptions!$V$167,"Low",IF(D986&lt;=Assumptions!$W$167,"Mid","High"))</f>
        <v>Low</v>
      </c>
      <c r="K986" s="15">
        <f>Assumptions!$Q$167</f>
        <v>2650</v>
      </c>
      <c r="L986" s="42">
        <f>INDEX(Assumptions!$M$61:$M$90,D986)</f>
        <v>2776.681111111111</v>
      </c>
      <c r="M986" s="43">
        <f>IF(D986&lt;=Assumptions!$G$167,Assumptions!$AK$167,IF(D986&lt;Assumptions!$AH$167,Assumptions!$AK$167+(Assumptions!$AL$167-Assumptions!$AK$167)*(D986-Assumptions!$G$167)/(Assumptions!$AH$167-Assumptions!$G$167),IF(D986&lt;Assumptions!$P$167,Assumptions!$AL$167+(Assumptions!$AM$167-Assumptions!$AL$167)*(D986-Assumptions!$AH$167)/(Assumptions!$P$167-Assumptions!$AH$167),Assumptions!$AM$167)))</f>
        <v>-35714.28571428571</v>
      </c>
      <c r="N986" s="44">
        <f t="shared" si="30"/>
        <v>-31.001984126984123</v>
      </c>
      <c r="O986" s="45">
        <f t="shared" si="31"/>
        <v>2746</v>
      </c>
      <c r="P986" s="14" t="str">
        <f>IF(D986&gt;=Assumptions!$P$167,"High",IF(D986&gt;=Assumptions!$AH$167,"Mid",IF(D986&lt;=Assumptions!$G$167,"Low","Loading")))</f>
        <v>Loading</v>
      </c>
      <c r="Q986" s="46">
        <f>MAX(K986,MIN(Assumptions!$S$167,O986),Q987)</f>
        <v>2746</v>
      </c>
      <c r="R986" s="12">
        <f>IF(AND(Q986&lt;=K986,INDEX(Assumptions!$C$26:$C$36,MATCH(G986,Assumptions!$A$26:$A$36,0))&lt;&gt;""),INDEX(Assumptions!$C$26:$C$36,MATCH(G986,Assumptions!$A$26:$A$36,0)),ROUND(G986*Q986,-2))</f>
        <v>3163400</v>
      </c>
      <c r="S986" s="47" t="str">
        <f>TRIM(IF(AND(Assumptions!$L$167&lt;&gt;"",D986&lt;Assumptions!$L$167),"View blocked / roof in front ("&amp;Assumptions!$M$167&amp;"); view premium still loading until L"&amp;Assumptions!$L$167&amp;". ","")&amp;IF(D986=Assumptions!$AH$167,"Mid-floor view premium fully loaded. ","")&amp;IF(D986=Assumptions!$P$167,"High-floor view premium fully loaded. ","")&amp;IF(Q986&lt;=K986,"At developer starting price.",""))</f>
        <v/>
      </c>
      <c r="T986" s="48" t="str">
        <f>Assumptions!$AJ$167</f>
        <v>ESE. Inner Island Pool + landed estate view (Island Club sits behind the pool)</v>
      </c>
    </row>
    <row r="987" spans="1:20" x14ac:dyDescent="0.2">
      <c r="A987" s="13" t="s">
        <v>1152</v>
      </c>
      <c r="B987" s="14">
        <v>9</v>
      </c>
      <c r="C987" s="40">
        <v>41</v>
      </c>
      <c r="D987" s="40">
        <v>7</v>
      </c>
      <c r="E987" s="9" t="s">
        <v>47</v>
      </c>
      <c r="F987" s="14" t="s">
        <v>1138</v>
      </c>
      <c r="G987" s="10">
        <v>1152</v>
      </c>
      <c r="H987" s="14" t="s">
        <v>62</v>
      </c>
      <c r="I987" s="41" t="str">
        <f>Assumptions!$I$167</f>
        <v>B</v>
      </c>
      <c r="J987" s="14" t="str">
        <f>IF(D987&lt;=Assumptions!$V$167,"Low",IF(D987&lt;=Assumptions!$W$167,"Mid","High"))</f>
        <v>Low</v>
      </c>
      <c r="K987" s="15">
        <f>Assumptions!$Q$167</f>
        <v>2650</v>
      </c>
      <c r="L987" s="42">
        <f>INDEX(Assumptions!$M$61:$M$90,D987)</f>
        <v>2762.8013888888891</v>
      </c>
      <c r="M987" s="43">
        <f>IF(D987&lt;=Assumptions!$G$167,Assumptions!$AK$167,IF(D987&lt;Assumptions!$AH$167,Assumptions!$AK$167+(Assumptions!$AL$167-Assumptions!$AK$167)*(D987-Assumptions!$G$167)/(Assumptions!$AH$167-Assumptions!$G$167),IF(D987&lt;Assumptions!$P$167,Assumptions!$AL$167+(Assumptions!$AM$167-Assumptions!$AL$167)*(D987-Assumptions!$AH$167)/(Assumptions!$P$167-Assumptions!$AH$167),Assumptions!$AM$167)))</f>
        <v>-21428.571428571435</v>
      </c>
      <c r="N987" s="44">
        <f t="shared" si="30"/>
        <v>-18.601190476190482</v>
      </c>
      <c r="O987" s="45">
        <f t="shared" si="31"/>
        <v>2744</v>
      </c>
      <c r="P987" s="14" t="str">
        <f>IF(D987&gt;=Assumptions!$P$167,"High",IF(D987&gt;=Assumptions!$AH$167,"Mid",IF(D987&lt;=Assumptions!$G$167,"Low","Loading")))</f>
        <v>Loading</v>
      </c>
      <c r="Q987" s="46">
        <f>MAX(K987,MIN(Assumptions!$S$167,O987),Q988)</f>
        <v>2744</v>
      </c>
      <c r="R987" s="12">
        <f>IF(AND(Q987&lt;=K987,INDEX(Assumptions!$C$26:$C$36,MATCH(G987,Assumptions!$A$26:$A$36,0))&lt;&gt;""),INDEX(Assumptions!$C$26:$C$36,MATCH(G987,Assumptions!$A$26:$A$36,0)),ROUND(G987*Q987,-2))</f>
        <v>3161100</v>
      </c>
      <c r="S987" s="47" t="str">
        <f>TRIM(IF(AND(Assumptions!$L$167&lt;&gt;"",D987&lt;Assumptions!$L$167),"View blocked / roof in front ("&amp;Assumptions!$M$167&amp;"); view premium still loading until L"&amp;Assumptions!$L$167&amp;". ","")&amp;IF(D987=Assumptions!$AH$167,"Mid-floor view premium fully loaded. ","")&amp;IF(D987=Assumptions!$P$167,"High-floor view premium fully loaded. ","")&amp;IF(Q987&lt;=K987,"At developer starting price.",""))</f>
        <v/>
      </c>
      <c r="T987" s="48" t="str">
        <f>Assumptions!$AJ$167</f>
        <v>ESE. Inner Island Pool + landed estate view (Island Club sits behind the pool)</v>
      </c>
    </row>
    <row r="988" spans="1:20" x14ac:dyDescent="0.2">
      <c r="A988" s="13" t="s">
        <v>1153</v>
      </c>
      <c r="B988" s="14">
        <v>9</v>
      </c>
      <c r="C988" s="40">
        <v>41</v>
      </c>
      <c r="D988" s="40">
        <v>6</v>
      </c>
      <c r="E988" s="9" t="s">
        <v>47</v>
      </c>
      <c r="F988" s="14" t="s">
        <v>1138</v>
      </c>
      <c r="G988" s="10">
        <v>1152</v>
      </c>
      <c r="H988" s="14" t="s">
        <v>62</v>
      </c>
      <c r="I988" s="41" t="str">
        <f>Assumptions!$I$167</f>
        <v>B</v>
      </c>
      <c r="J988" s="14" t="str">
        <f>IF(D988&lt;=Assumptions!$V$167,"Low",IF(D988&lt;=Assumptions!$W$167,"Mid","High"))</f>
        <v>Low</v>
      </c>
      <c r="K988" s="15">
        <f>Assumptions!$Q$167</f>
        <v>2650</v>
      </c>
      <c r="L988" s="42">
        <f>INDEX(Assumptions!$M$61:$M$90,D988)</f>
        <v>2748.9216666666666</v>
      </c>
      <c r="M988" s="43">
        <f>IF(D988&lt;=Assumptions!$G$167,Assumptions!$AK$167,IF(D988&lt;Assumptions!$AH$167,Assumptions!$AK$167+(Assumptions!$AL$167-Assumptions!$AK$167)*(D988-Assumptions!$G$167)/(Assumptions!$AH$167-Assumptions!$G$167),IF(D988&lt;Assumptions!$P$167,Assumptions!$AL$167+(Assumptions!$AM$167-Assumptions!$AL$167)*(D988-Assumptions!$AH$167)/(Assumptions!$P$167-Assumptions!$AH$167),Assumptions!$AM$167)))</f>
        <v>-7142.8571428571449</v>
      </c>
      <c r="N988" s="44">
        <f t="shared" si="30"/>
        <v>-6.2003968253968269</v>
      </c>
      <c r="O988" s="45">
        <f t="shared" si="31"/>
        <v>2743</v>
      </c>
      <c r="P988" s="14" t="str">
        <f>IF(D988&gt;=Assumptions!$P$167,"High",IF(D988&gt;=Assumptions!$AH$167,"Mid",IF(D988&lt;=Assumptions!$G$167,"Low","Loading")))</f>
        <v>Loading</v>
      </c>
      <c r="Q988" s="46">
        <f>MAX(K988,MIN(Assumptions!$S$167,O988),Q989)</f>
        <v>2743</v>
      </c>
      <c r="R988" s="12">
        <f>IF(AND(Q988&lt;=K988,INDEX(Assumptions!$C$26:$C$36,MATCH(G988,Assumptions!$A$26:$A$36,0))&lt;&gt;""),INDEX(Assumptions!$C$26:$C$36,MATCH(G988,Assumptions!$A$26:$A$36,0)),ROUND(G988*Q988,-2))</f>
        <v>3159900</v>
      </c>
      <c r="S988" s="47" t="str">
        <f>TRIM(IF(AND(Assumptions!$L$167&lt;&gt;"",D988&lt;Assumptions!$L$167),"View blocked / roof in front ("&amp;Assumptions!$M$167&amp;"); view premium still loading until L"&amp;Assumptions!$L$167&amp;". ","")&amp;IF(D988=Assumptions!$AH$167,"Mid-floor view premium fully loaded. ","")&amp;IF(D988=Assumptions!$P$167,"High-floor view premium fully loaded. ","")&amp;IF(Q988&lt;=K988,"At developer starting price.",""))</f>
        <v/>
      </c>
      <c r="T988" s="48" t="str">
        <f>Assumptions!$AJ$167</f>
        <v>ESE. Inner Island Pool + landed estate view (Island Club sits behind the pool)</v>
      </c>
    </row>
    <row r="989" spans="1:20" x14ac:dyDescent="0.2">
      <c r="A989" s="13" t="s">
        <v>1154</v>
      </c>
      <c r="B989" s="14">
        <v>9</v>
      </c>
      <c r="C989" s="40">
        <v>41</v>
      </c>
      <c r="D989" s="40">
        <v>5</v>
      </c>
      <c r="E989" s="9" t="s">
        <v>47</v>
      </c>
      <c r="F989" s="14" t="s">
        <v>1138</v>
      </c>
      <c r="G989" s="10">
        <v>1152</v>
      </c>
      <c r="H989" s="14" t="s">
        <v>62</v>
      </c>
      <c r="I989" s="41" t="str">
        <f>Assumptions!$I$167</f>
        <v>B</v>
      </c>
      <c r="J989" s="14" t="str">
        <f>IF(D989&lt;=Assumptions!$V$167,"Low",IF(D989&lt;=Assumptions!$W$167,"Mid","High"))</f>
        <v>Low</v>
      </c>
      <c r="K989" s="15">
        <f>Assumptions!$Q$167</f>
        <v>2650</v>
      </c>
      <c r="L989" s="42">
        <f>INDEX(Assumptions!$M$61:$M$90,D989)</f>
        <v>2735.0419444444442</v>
      </c>
      <c r="M989" s="43">
        <f>IF(D989&lt;=Assumptions!$G$167,Assumptions!$AK$167,IF(D989&lt;Assumptions!$AH$167,Assumptions!$AK$167+(Assumptions!$AL$167-Assumptions!$AK$167)*(D989-Assumptions!$G$167)/(Assumptions!$AH$167-Assumptions!$G$167),IF(D989&lt;Assumptions!$P$167,Assumptions!$AL$167+(Assumptions!$AM$167-Assumptions!$AL$167)*(D989-Assumptions!$AH$167)/(Assumptions!$P$167-Assumptions!$AH$167),Assumptions!$AM$167)))</f>
        <v>7142.8571428571449</v>
      </c>
      <c r="N989" s="44">
        <f t="shared" si="30"/>
        <v>6.2003968253968269</v>
      </c>
      <c r="O989" s="45">
        <f t="shared" si="31"/>
        <v>2741</v>
      </c>
      <c r="P989" s="14" t="str">
        <f>IF(D989&gt;=Assumptions!$P$167,"High",IF(D989&gt;=Assumptions!$AH$167,"Mid",IF(D989&lt;=Assumptions!$G$167,"Low","Loading")))</f>
        <v>Loading</v>
      </c>
      <c r="Q989" s="46">
        <f>MAX(K989,MIN(Assumptions!$S$167,O989),Q990)</f>
        <v>2741</v>
      </c>
      <c r="R989" s="12">
        <f>IF(AND(Q989&lt;=K989,INDEX(Assumptions!$C$26:$C$36,MATCH(G989,Assumptions!$A$26:$A$36,0))&lt;&gt;""),INDEX(Assumptions!$C$26:$C$36,MATCH(G989,Assumptions!$A$26:$A$36,0)),ROUND(G989*Q989,-2))</f>
        <v>3157600</v>
      </c>
      <c r="S989" s="47" t="str">
        <f>TRIM(IF(AND(Assumptions!$L$167&lt;&gt;"",D989&lt;Assumptions!$L$167),"View blocked / roof in front ("&amp;Assumptions!$M$167&amp;"); view premium still loading until L"&amp;Assumptions!$L$167&amp;". ","")&amp;IF(D989=Assumptions!$AH$167,"Mid-floor view premium fully loaded. ","")&amp;IF(D989=Assumptions!$P$167,"High-floor view premium fully loaded. ","")&amp;IF(Q989&lt;=K989,"At developer starting price.",""))</f>
        <v/>
      </c>
      <c r="T989" s="48" t="str">
        <f>Assumptions!$AJ$167</f>
        <v>ESE. Inner Island Pool + landed estate view (Island Club sits behind the pool)</v>
      </c>
    </row>
    <row r="990" spans="1:20" x14ac:dyDescent="0.2">
      <c r="A990" s="13" t="s">
        <v>1155</v>
      </c>
      <c r="B990" s="14">
        <v>9</v>
      </c>
      <c r="C990" s="40">
        <v>41</v>
      </c>
      <c r="D990" s="40">
        <v>4</v>
      </c>
      <c r="E990" s="9" t="s">
        <v>47</v>
      </c>
      <c r="F990" s="14" t="s">
        <v>1138</v>
      </c>
      <c r="G990" s="10">
        <v>1152</v>
      </c>
      <c r="H990" s="14" t="s">
        <v>62</v>
      </c>
      <c r="I990" s="41" t="str">
        <f>Assumptions!$I$167</f>
        <v>B</v>
      </c>
      <c r="J990" s="14" t="str">
        <f>IF(D990&lt;=Assumptions!$V$167,"Low",IF(D990&lt;=Assumptions!$W$167,"Mid","High"))</f>
        <v>Low</v>
      </c>
      <c r="K990" s="15">
        <f>Assumptions!$Q$167</f>
        <v>2650</v>
      </c>
      <c r="L990" s="42">
        <f>INDEX(Assumptions!$M$61:$M$90,D990)</f>
        <v>2721.1622222222222</v>
      </c>
      <c r="M990" s="43">
        <f>IF(D990&lt;=Assumptions!$G$167,Assumptions!$AK$167,IF(D990&lt;Assumptions!$AH$167,Assumptions!$AK$167+(Assumptions!$AL$167-Assumptions!$AK$167)*(D990-Assumptions!$G$167)/(Assumptions!$AH$167-Assumptions!$G$167),IF(D990&lt;Assumptions!$P$167,Assumptions!$AL$167+(Assumptions!$AM$167-Assumptions!$AL$167)*(D990-Assumptions!$AH$167)/(Assumptions!$P$167-Assumptions!$AH$167),Assumptions!$AM$167)))</f>
        <v>21428.571428571428</v>
      </c>
      <c r="N990" s="44">
        <f t="shared" si="30"/>
        <v>18.601190476190474</v>
      </c>
      <c r="O990" s="45">
        <f t="shared" si="31"/>
        <v>2740</v>
      </c>
      <c r="P990" s="14" t="str">
        <f>IF(D990&gt;=Assumptions!$P$167,"High",IF(D990&gt;=Assumptions!$AH$167,"Mid",IF(D990&lt;=Assumptions!$G$167,"Low","Loading")))</f>
        <v>Loading</v>
      </c>
      <c r="Q990" s="46">
        <f>MAX(K990,MIN(Assumptions!$S$167,O990),Q991)</f>
        <v>2740</v>
      </c>
      <c r="R990" s="12">
        <f>IF(AND(Q990&lt;=K990,INDEX(Assumptions!$C$26:$C$36,MATCH(G990,Assumptions!$A$26:$A$36,0))&lt;&gt;""),INDEX(Assumptions!$C$26:$C$36,MATCH(G990,Assumptions!$A$26:$A$36,0)),ROUND(G990*Q990,-2))</f>
        <v>3156500</v>
      </c>
      <c r="S990" s="47" t="str">
        <f>TRIM(IF(AND(Assumptions!$L$167&lt;&gt;"",D990&lt;Assumptions!$L$167),"View blocked / roof in front ("&amp;Assumptions!$M$167&amp;"); view premium still loading until L"&amp;Assumptions!$L$167&amp;". ","")&amp;IF(D990=Assumptions!$AH$167,"Mid-floor view premium fully loaded. ","")&amp;IF(D990=Assumptions!$P$167,"High-floor view premium fully loaded. ","")&amp;IF(Q990&lt;=K990,"At developer starting price.",""))</f>
        <v/>
      </c>
      <c r="T990" s="48" t="str">
        <f>Assumptions!$AJ$167</f>
        <v>ESE. Inner Island Pool + landed estate view (Island Club sits behind the pool)</v>
      </c>
    </row>
    <row r="991" spans="1:20" x14ac:dyDescent="0.2">
      <c r="A991" s="13" t="s">
        <v>1156</v>
      </c>
      <c r="B991" s="14">
        <v>9</v>
      </c>
      <c r="C991" s="40">
        <v>41</v>
      </c>
      <c r="D991" s="40">
        <v>3</v>
      </c>
      <c r="E991" s="9" t="s">
        <v>47</v>
      </c>
      <c r="F991" s="14" t="s">
        <v>1138</v>
      </c>
      <c r="G991" s="10">
        <v>1152</v>
      </c>
      <c r="H991" s="14" t="s">
        <v>62</v>
      </c>
      <c r="I991" s="41" t="str">
        <f>Assumptions!$I$167</f>
        <v>B</v>
      </c>
      <c r="J991" s="14" t="str">
        <f>IF(D991&lt;=Assumptions!$V$167,"Low",IF(D991&lt;=Assumptions!$W$167,"Mid","High"))</f>
        <v>Low</v>
      </c>
      <c r="K991" s="15">
        <f>Assumptions!$Q$167</f>
        <v>2650</v>
      </c>
      <c r="L991" s="42">
        <f>INDEX(Assumptions!$M$61:$M$90,D991)</f>
        <v>2707.2825000000003</v>
      </c>
      <c r="M991" s="43">
        <f>IF(D991&lt;=Assumptions!$G$167,Assumptions!$AK$167,IF(D991&lt;Assumptions!$AH$167,Assumptions!$AK$167+(Assumptions!$AL$167-Assumptions!$AK$167)*(D991-Assumptions!$G$167)/(Assumptions!$AH$167-Assumptions!$G$167),IF(D991&lt;Assumptions!$P$167,Assumptions!$AL$167+(Assumptions!$AM$167-Assumptions!$AL$167)*(D991-Assumptions!$AH$167)/(Assumptions!$P$167-Assumptions!$AH$167),Assumptions!$AM$167)))</f>
        <v>35714.28571428571</v>
      </c>
      <c r="N991" s="44">
        <f t="shared" si="30"/>
        <v>31.001984126984123</v>
      </c>
      <c r="O991" s="45">
        <f t="shared" si="31"/>
        <v>2738</v>
      </c>
      <c r="P991" s="14" t="str">
        <f>IF(D991&gt;=Assumptions!$P$167,"High",IF(D991&gt;=Assumptions!$AH$167,"Mid",IF(D991&lt;=Assumptions!$G$167,"Low","Loading")))</f>
        <v>Loading</v>
      </c>
      <c r="Q991" s="46">
        <f>MAX(K991,MIN(Assumptions!$S$167,O991),Q992)</f>
        <v>2738</v>
      </c>
      <c r="R991" s="12">
        <f>IF(AND(Q991&lt;=K991,INDEX(Assumptions!$C$26:$C$36,MATCH(G991,Assumptions!$A$26:$A$36,0))&lt;&gt;""),INDEX(Assumptions!$C$26:$C$36,MATCH(G991,Assumptions!$A$26:$A$36,0)),ROUND(G991*Q991,-2))</f>
        <v>3154200</v>
      </c>
      <c r="S991" s="47" t="str">
        <f>TRIM(IF(AND(Assumptions!$L$167&lt;&gt;"",D991&lt;Assumptions!$L$167),"View blocked / roof in front ("&amp;Assumptions!$M$167&amp;"); view premium still loading until L"&amp;Assumptions!$L$167&amp;". ","")&amp;IF(D991=Assumptions!$AH$167,"Mid-floor view premium fully loaded. ","")&amp;IF(D991=Assumptions!$P$167,"High-floor view premium fully loaded. ","")&amp;IF(Q991&lt;=K991,"At developer starting price.",""))</f>
        <v/>
      </c>
      <c r="T991" s="48" t="str">
        <f>Assumptions!$AJ$167</f>
        <v>ESE. Inner Island Pool + landed estate view (Island Club sits behind the pool)</v>
      </c>
    </row>
    <row r="992" spans="1:20" x14ac:dyDescent="0.2">
      <c r="A992" s="13" t="s">
        <v>1157</v>
      </c>
      <c r="B992" s="14">
        <v>9</v>
      </c>
      <c r="C992" s="40">
        <v>41</v>
      </c>
      <c r="D992" s="40">
        <v>2</v>
      </c>
      <c r="E992" s="9" t="s">
        <v>47</v>
      </c>
      <c r="F992" s="14" t="s">
        <v>1158</v>
      </c>
      <c r="G992" s="10">
        <v>1152</v>
      </c>
      <c r="H992" s="14" t="s">
        <v>62</v>
      </c>
      <c r="I992" s="41" t="str">
        <f>Assumptions!$I$167</f>
        <v>B</v>
      </c>
      <c r="J992" s="14" t="str">
        <f>IF(D992&lt;=Assumptions!$V$167,"Low",IF(D992&lt;=Assumptions!$W$167,"Mid","High"))</f>
        <v>Low</v>
      </c>
      <c r="K992" s="15">
        <f>Assumptions!$Q$167</f>
        <v>2650</v>
      </c>
      <c r="L992" s="42">
        <f>INDEX(Assumptions!$M$61:$M$90,D992)</f>
        <v>2693.4027777777778</v>
      </c>
      <c r="M992" s="43">
        <f>IF(D992&lt;=Assumptions!$G$167,Assumptions!$AK$167,IF(D992&lt;Assumptions!$AH$167,Assumptions!$AK$167+(Assumptions!$AL$167-Assumptions!$AK$167)*(D992-Assumptions!$G$167)/(Assumptions!$AH$167-Assumptions!$G$167),IF(D992&lt;Assumptions!$P$167,Assumptions!$AL$167+(Assumptions!$AM$167-Assumptions!$AL$167)*(D992-Assumptions!$AH$167)/(Assumptions!$P$167-Assumptions!$AH$167),Assumptions!$AM$167)))</f>
        <v>50000</v>
      </c>
      <c r="N992" s="44">
        <f t="shared" si="30"/>
        <v>43.402777777777779</v>
      </c>
      <c r="O992" s="45">
        <f t="shared" si="31"/>
        <v>2737</v>
      </c>
      <c r="P992" s="14" t="str">
        <f>IF(D992&gt;=Assumptions!$P$167,"High",IF(D992&gt;=Assumptions!$AH$167,"Mid",IF(D992&lt;=Assumptions!$G$167,"Low","Loading")))</f>
        <v>Low</v>
      </c>
      <c r="Q992" s="46">
        <f>MAX(K992,MIN(Assumptions!$S$167,O992))</f>
        <v>2737</v>
      </c>
      <c r="R992" s="12">
        <f>IF(AND(Q992&lt;=K992,INDEX(Assumptions!$C$26:$C$36,MATCH(G992,Assumptions!$A$26:$A$36,0))&lt;&gt;""),INDEX(Assumptions!$C$26:$C$36,MATCH(G992,Assumptions!$A$26:$A$36,0)),ROUND(G992*Q992,-2))</f>
        <v>3153000</v>
      </c>
      <c r="S992" s="47" t="str">
        <f>TRIM(IF(AND(Assumptions!$L$167&lt;&gt;"",D992&lt;Assumptions!$L$167),"View blocked / roof in front ("&amp;Assumptions!$M$167&amp;"); view premium still loading until L"&amp;Assumptions!$L$167&amp;". ","")&amp;IF(D992=Assumptions!$AH$167,"Mid-floor view premium fully loaded. ","")&amp;IF(D992=Assumptions!$P$167,"High-floor view premium fully loaded. ","")&amp;IF(Q992&lt;=K992,"At developer starting price.",""))</f>
        <v/>
      </c>
      <c r="T992" s="48" t="str">
        <f>Assumptions!$AJ$167</f>
        <v>ESE. Inner Island Pool + landed estate view (Island Club sits behind the pool)</v>
      </c>
    </row>
    <row r="993" spans="1:20" x14ac:dyDescent="0.2">
      <c r="A993" s="13" t="s">
        <v>1159</v>
      </c>
      <c r="B993" s="14">
        <v>9</v>
      </c>
      <c r="C993" s="40">
        <v>42</v>
      </c>
      <c r="D993" s="40">
        <v>21</v>
      </c>
      <c r="E993" s="9" t="s">
        <v>43</v>
      </c>
      <c r="F993" s="14" t="s">
        <v>1160</v>
      </c>
      <c r="G993" s="10">
        <v>678</v>
      </c>
      <c r="H993" s="14" t="s">
        <v>62</v>
      </c>
      <c r="I993" s="41" t="str">
        <f>Assumptions!$I$168</f>
        <v>B</v>
      </c>
      <c r="J993" s="14" t="str">
        <f>IF(D993&lt;=Assumptions!$V$168,"Low",IF(D993&lt;=Assumptions!$W$168,"Mid","High"))</f>
        <v>High</v>
      </c>
      <c r="K993" s="15">
        <f>Assumptions!$Q$168</f>
        <v>2613</v>
      </c>
      <c r="L993" s="42">
        <f>INDEX(Assumptions!$C$61:$C$90,D993)</f>
        <v>3050.8642857142859</v>
      </c>
      <c r="M993" s="43">
        <f>IF(D993&lt;=Assumptions!$G$168,Assumptions!$AK$168,IF(D993&lt;Assumptions!$AH$168,Assumptions!$AK$168+(Assumptions!$AL$168-Assumptions!$AK$168)*(D993-Assumptions!$G$168)/(Assumptions!$AH$168-Assumptions!$G$168),IF(D993&lt;Assumptions!$P$168,Assumptions!$AL$168+(Assumptions!$AM$168-Assumptions!$AL$168)*(D993-Assumptions!$AH$168)/(Assumptions!$P$168-Assumptions!$AH$168),Assumptions!$AM$168)))</f>
        <v>31250</v>
      </c>
      <c r="N993" s="44">
        <f t="shared" si="30"/>
        <v>46.091445427728615</v>
      </c>
      <c r="O993" s="45">
        <f t="shared" si="31"/>
        <v>3097</v>
      </c>
      <c r="P993" s="14" t="str">
        <f>IF(D993&gt;=Assumptions!$P$168,"High",IF(D993&gt;=Assumptions!$AH$168,"Mid",IF(D993&lt;=Assumptions!$G$168,"Low","Loading")))</f>
        <v>High</v>
      </c>
      <c r="Q993" s="46">
        <f>MAX(K993,MIN(Assumptions!$S$168,O993),Q994)</f>
        <v>3097</v>
      </c>
      <c r="R993" s="12">
        <f>IF(AND(Q993&lt;=K993,INDEX(Assumptions!$C$26:$C$36,MATCH(G993,Assumptions!$A$26:$A$36,0))&lt;&gt;""),INDEX(Assumptions!$C$26:$C$36,MATCH(G993,Assumptions!$A$26:$A$36,0)),ROUND(G993*Q993,-2))</f>
        <v>2099800</v>
      </c>
      <c r="S993" s="47" t="str">
        <f>TRIM(IF(AND(Assumptions!$L$168&lt;&gt;"",D993&lt;Assumptions!$L$168),"View blocked / roof in front ("&amp;Assumptions!$M$168&amp;"); view premium still loading until L"&amp;Assumptions!$L$168&amp;". ","")&amp;IF(D993=Assumptions!$AH$168,"Mid-floor view premium fully loaded. ","")&amp;IF(D993=Assumptions!$P$168,"High-floor view premium fully loaded. ","")&amp;IF(Q993&lt;=K993,"At developer starting price.",""))</f>
        <v/>
      </c>
      <c r="T993" s="48" t="str">
        <f>Assumptions!$AJ$168</f>
        <v>SSW. Infinity pool view; landed + nature reserve from mid floor</v>
      </c>
    </row>
    <row r="994" spans="1:20" x14ac:dyDescent="0.2">
      <c r="A994" s="13" t="s">
        <v>1161</v>
      </c>
      <c r="B994" s="14">
        <v>9</v>
      </c>
      <c r="C994" s="40">
        <v>42</v>
      </c>
      <c r="D994" s="40">
        <v>20</v>
      </c>
      <c r="E994" s="9" t="s">
        <v>43</v>
      </c>
      <c r="F994" s="14" t="s">
        <v>1160</v>
      </c>
      <c r="G994" s="10">
        <v>678</v>
      </c>
      <c r="H994" s="14" t="s">
        <v>62</v>
      </c>
      <c r="I994" s="41" t="str">
        <f>Assumptions!$I$168</f>
        <v>B</v>
      </c>
      <c r="J994" s="14" t="str">
        <f>IF(D994&lt;=Assumptions!$V$168,"Low",IF(D994&lt;=Assumptions!$W$168,"Mid","High"))</f>
        <v>High</v>
      </c>
      <c r="K994" s="15">
        <f>Assumptions!$Q$168</f>
        <v>2613</v>
      </c>
      <c r="L994" s="42">
        <f>INDEX(Assumptions!$C$61:$C$90,D994)</f>
        <v>3028.0785714285716</v>
      </c>
      <c r="M994" s="43">
        <f>IF(D994&lt;=Assumptions!$G$168,Assumptions!$AK$168,IF(D994&lt;Assumptions!$AH$168,Assumptions!$AK$168+(Assumptions!$AL$168-Assumptions!$AK$168)*(D994-Assumptions!$G$168)/(Assumptions!$AH$168-Assumptions!$G$168),IF(D994&lt;Assumptions!$P$168,Assumptions!$AL$168+(Assumptions!$AM$168-Assumptions!$AL$168)*(D994-Assumptions!$AH$168)/(Assumptions!$P$168-Assumptions!$AH$168),Assumptions!$AM$168)))</f>
        <v>31250</v>
      </c>
      <c r="N994" s="44">
        <f t="shared" si="30"/>
        <v>46.091445427728615</v>
      </c>
      <c r="O994" s="45">
        <f t="shared" si="31"/>
        <v>3074</v>
      </c>
      <c r="P994" s="14" t="str">
        <f>IF(D994&gt;=Assumptions!$P$168,"High",IF(D994&gt;=Assumptions!$AH$168,"Mid",IF(D994&lt;=Assumptions!$G$168,"Low","Loading")))</f>
        <v>High</v>
      </c>
      <c r="Q994" s="46">
        <f>MAX(K994,MIN(Assumptions!$S$168,O994),Q995)</f>
        <v>3074</v>
      </c>
      <c r="R994" s="12">
        <f>IF(AND(Q994&lt;=K994,INDEX(Assumptions!$C$26:$C$36,MATCH(G994,Assumptions!$A$26:$A$36,0))&lt;&gt;""),INDEX(Assumptions!$C$26:$C$36,MATCH(G994,Assumptions!$A$26:$A$36,0)),ROUND(G994*Q994,-2))</f>
        <v>2084200</v>
      </c>
      <c r="S994" s="47" t="str">
        <f>TRIM(IF(AND(Assumptions!$L$168&lt;&gt;"",D994&lt;Assumptions!$L$168),"View blocked / roof in front ("&amp;Assumptions!$M$168&amp;"); view premium still loading until L"&amp;Assumptions!$L$168&amp;". ","")&amp;IF(D994=Assumptions!$AH$168,"Mid-floor view premium fully loaded. ","")&amp;IF(D994=Assumptions!$P$168,"High-floor view premium fully loaded. ","")&amp;IF(Q994&lt;=K994,"At developer starting price.",""))</f>
        <v/>
      </c>
      <c r="T994" s="48" t="str">
        <f>Assumptions!$AJ$168</f>
        <v>SSW. Infinity pool view; landed + nature reserve from mid floor</v>
      </c>
    </row>
    <row r="995" spans="1:20" x14ac:dyDescent="0.2">
      <c r="A995" s="13" t="s">
        <v>1162</v>
      </c>
      <c r="B995" s="14">
        <v>9</v>
      </c>
      <c r="C995" s="40">
        <v>42</v>
      </c>
      <c r="D995" s="40">
        <v>19</v>
      </c>
      <c r="E995" s="9" t="s">
        <v>43</v>
      </c>
      <c r="F995" s="14" t="s">
        <v>1160</v>
      </c>
      <c r="G995" s="10">
        <v>678</v>
      </c>
      <c r="H995" s="14" t="s">
        <v>62</v>
      </c>
      <c r="I995" s="41" t="str">
        <f>Assumptions!$I$168</f>
        <v>B</v>
      </c>
      <c r="J995" s="14" t="str">
        <f>IF(D995&lt;=Assumptions!$V$168,"Low",IF(D995&lt;=Assumptions!$W$168,"Mid","High"))</f>
        <v>High</v>
      </c>
      <c r="K995" s="15">
        <f>Assumptions!$Q$168</f>
        <v>2613</v>
      </c>
      <c r="L995" s="42">
        <f>INDEX(Assumptions!$C$61:$C$90,D995)</f>
        <v>3005.2928571428574</v>
      </c>
      <c r="M995" s="43">
        <f>IF(D995&lt;=Assumptions!$G$168,Assumptions!$AK$168,IF(D995&lt;Assumptions!$AH$168,Assumptions!$AK$168+(Assumptions!$AL$168-Assumptions!$AK$168)*(D995-Assumptions!$G$168)/(Assumptions!$AH$168-Assumptions!$G$168),IF(D995&lt;Assumptions!$P$168,Assumptions!$AL$168+(Assumptions!$AM$168-Assumptions!$AL$168)*(D995-Assumptions!$AH$168)/(Assumptions!$P$168-Assumptions!$AH$168),Assumptions!$AM$168)))</f>
        <v>31250</v>
      </c>
      <c r="N995" s="44">
        <f t="shared" si="30"/>
        <v>46.091445427728615</v>
      </c>
      <c r="O995" s="45">
        <f t="shared" si="31"/>
        <v>3051</v>
      </c>
      <c r="P995" s="14" t="str">
        <f>IF(D995&gt;=Assumptions!$P$168,"High",IF(D995&gt;=Assumptions!$AH$168,"Mid",IF(D995&lt;=Assumptions!$G$168,"Low","Loading")))</f>
        <v>High</v>
      </c>
      <c r="Q995" s="46">
        <f>MAX(K995,MIN(Assumptions!$S$168,O995),Q996)</f>
        <v>3051</v>
      </c>
      <c r="R995" s="12">
        <f>IF(AND(Q995&lt;=K995,INDEX(Assumptions!$C$26:$C$36,MATCH(G995,Assumptions!$A$26:$A$36,0))&lt;&gt;""),INDEX(Assumptions!$C$26:$C$36,MATCH(G995,Assumptions!$A$26:$A$36,0)),ROUND(G995*Q995,-2))</f>
        <v>2068600</v>
      </c>
      <c r="S995" s="47" t="str">
        <f>TRIM(IF(AND(Assumptions!$L$168&lt;&gt;"",D995&lt;Assumptions!$L$168),"View blocked / roof in front ("&amp;Assumptions!$M$168&amp;"); view premium still loading until L"&amp;Assumptions!$L$168&amp;". ","")&amp;IF(D995=Assumptions!$AH$168,"Mid-floor view premium fully loaded. ","")&amp;IF(D995=Assumptions!$P$168,"High-floor view premium fully loaded. ","")&amp;IF(Q995&lt;=K995,"At developer starting price.",""))</f>
        <v/>
      </c>
      <c r="T995" s="48" t="str">
        <f>Assumptions!$AJ$168</f>
        <v>SSW. Infinity pool view; landed + nature reserve from mid floor</v>
      </c>
    </row>
    <row r="996" spans="1:20" x14ac:dyDescent="0.2">
      <c r="A996" s="13" t="s">
        <v>1163</v>
      </c>
      <c r="B996" s="14">
        <v>9</v>
      </c>
      <c r="C996" s="40">
        <v>42</v>
      </c>
      <c r="D996" s="40">
        <v>18</v>
      </c>
      <c r="E996" s="9" t="s">
        <v>43</v>
      </c>
      <c r="F996" s="14" t="s">
        <v>1160</v>
      </c>
      <c r="G996" s="10">
        <v>678</v>
      </c>
      <c r="H996" s="14" t="s">
        <v>62</v>
      </c>
      <c r="I996" s="41" t="str">
        <f>Assumptions!$I$168</f>
        <v>B</v>
      </c>
      <c r="J996" s="14" t="str">
        <f>IF(D996&lt;=Assumptions!$V$168,"Low",IF(D996&lt;=Assumptions!$W$168,"Mid","High"))</f>
        <v>High</v>
      </c>
      <c r="K996" s="15">
        <f>Assumptions!$Q$168</f>
        <v>2613</v>
      </c>
      <c r="L996" s="42">
        <f>INDEX(Assumptions!$C$61:$C$90,D996)</f>
        <v>2982.5071428571428</v>
      </c>
      <c r="M996" s="43">
        <f>IF(D996&lt;=Assumptions!$G$168,Assumptions!$AK$168,IF(D996&lt;Assumptions!$AH$168,Assumptions!$AK$168+(Assumptions!$AL$168-Assumptions!$AK$168)*(D996-Assumptions!$G$168)/(Assumptions!$AH$168-Assumptions!$G$168),IF(D996&lt;Assumptions!$P$168,Assumptions!$AL$168+(Assumptions!$AM$168-Assumptions!$AL$168)*(D996-Assumptions!$AH$168)/(Assumptions!$P$168-Assumptions!$AH$168),Assumptions!$AM$168)))</f>
        <v>31250</v>
      </c>
      <c r="N996" s="44">
        <f t="shared" si="30"/>
        <v>46.091445427728615</v>
      </c>
      <c r="O996" s="45">
        <f t="shared" si="31"/>
        <v>3029</v>
      </c>
      <c r="P996" s="14" t="str">
        <f>IF(D996&gt;=Assumptions!$P$168,"High",IF(D996&gt;=Assumptions!$AH$168,"Mid",IF(D996&lt;=Assumptions!$G$168,"Low","Loading")))</f>
        <v>High</v>
      </c>
      <c r="Q996" s="46">
        <f>MAX(K996,MIN(Assumptions!$S$168,O996),Q997)</f>
        <v>3029</v>
      </c>
      <c r="R996" s="12">
        <f>IF(AND(Q996&lt;=K996,INDEX(Assumptions!$C$26:$C$36,MATCH(G996,Assumptions!$A$26:$A$36,0))&lt;&gt;""),INDEX(Assumptions!$C$26:$C$36,MATCH(G996,Assumptions!$A$26:$A$36,0)),ROUND(G996*Q996,-2))</f>
        <v>2053700</v>
      </c>
      <c r="S996" s="47" t="str">
        <f>TRIM(IF(AND(Assumptions!$L$168&lt;&gt;"",D996&lt;Assumptions!$L$168),"View blocked / roof in front ("&amp;Assumptions!$M$168&amp;"); view premium still loading until L"&amp;Assumptions!$L$168&amp;". ","")&amp;IF(D996=Assumptions!$AH$168,"Mid-floor view premium fully loaded. ","")&amp;IF(D996=Assumptions!$P$168,"High-floor view premium fully loaded. ","")&amp;IF(Q996&lt;=K996,"At developer starting price.",""))</f>
        <v/>
      </c>
      <c r="T996" s="48" t="str">
        <f>Assumptions!$AJ$168</f>
        <v>SSW. Infinity pool view; landed + nature reserve from mid floor</v>
      </c>
    </row>
    <row r="997" spans="1:20" x14ac:dyDescent="0.2">
      <c r="A997" s="13" t="s">
        <v>1164</v>
      </c>
      <c r="B997" s="14">
        <v>9</v>
      </c>
      <c r="C997" s="40">
        <v>42</v>
      </c>
      <c r="D997" s="40">
        <v>17</v>
      </c>
      <c r="E997" s="9" t="s">
        <v>43</v>
      </c>
      <c r="F997" s="14" t="s">
        <v>1160</v>
      </c>
      <c r="G997" s="10">
        <v>678</v>
      </c>
      <c r="H997" s="14" t="s">
        <v>62</v>
      </c>
      <c r="I997" s="41" t="str">
        <f>Assumptions!$I$168</f>
        <v>B</v>
      </c>
      <c r="J997" s="14" t="str">
        <f>IF(D997&lt;=Assumptions!$V$168,"Low",IF(D997&lt;=Assumptions!$W$168,"Mid","High"))</f>
        <v>High</v>
      </c>
      <c r="K997" s="15">
        <f>Assumptions!$Q$168</f>
        <v>2613</v>
      </c>
      <c r="L997" s="42">
        <f>INDEX(Assumptions!$C$61:$C$90,D997)</f>
        <v>2959.7214285714285</v>
      </c>
      <c r="M997" s="43">
        <f>IF(D997&lt;=Assumptions!$G$168,Assumptions!$AK$168,IF(D997&lt;Assumptions!$AH$168,Assumptions!$AK$168+(Assumptions!$AL$168-Assumptions!$AK$168)*(D997-Assumptions!$G$168)/(Assumptions!$AH$168-Assumptions!$G$168),IF(D997&lt;Assumptions!$P$168,Assumptions!$AL$168+(Assumptions!$AM$168-Assumptions!$AL$168)*(D997-Assumptions!$AH$168)/(Assumptions!$P$168-Assumptions!$AH$168),Assumptions!$AM$168)))</f>
        <v>31250</v>
      </c>
      <c r="N997" s="44">
        <f t="shared" si="30"/>
        <v>46.091445427728615</v>
      </c>
      <c r="O997" s="45">
        <f t="shared" si="31"/>
        <v>3006</v>
      </c>
      <c r="P997" s="14" t="str">
        <f>IF(D997&gt;=Assumptions!$P$168,"High",IF(D997&gt;=Assumptions!$AH$168,"Mid",IF(D997&lt;=Assumptions!$G$168,"Low","Loading")))</f>
        <v>High</v>
      </c>
      <c r="Q997" s="46">
        <f>MAX(K997,MIN(Assumptions!$S$168,O997),Q998)</f>
        <v>3006</v>
      </c>
      <c r="R997" s="12">
        <f>IF(AND(Q997&lt;=K997,INDEX(Assumptions!$C$26:$C$36,MATCH(G997,Assumptions!$A$26:$A$36,0))&lt;&gt;""),INDEX(Assumptions!$C$26:$C$36,MATCH(G997,Assumptions!$A$26:$A$36,0)),ROUND(G997*Q997,-2))</f>
        <v>2038100</v>
      </c>
      <c r="S997" s="47" t="str">
        <f>TRIM(IF(AND(Assumptions!$L$168&lt;&gt;"",D997&lt;Assumptions!$L$168),"View blocked / roof in front ("&amp;Assumptions!$M$168&amp;"); view premium still loading until L"&amp;Assumptions!$L$168&amp;". ","")&amp;IF(D997=Assumptions!$AH$168,"Mid-floor view premium fully loaded. ","")&amp;IF(D997=Assumptions!$P$168,"High-floor view premium fully loaded. ","")&amp;IF(Q997&lt;=K997,"At developer starting price.",""))</f>
        <v/>
      </c>
      <c r="T997" s="48" t="str">
        <f>Assumptions!$AJ$168</f>
        <v>SSW. Infinity pool view; landed + nature reserve from mid floor</v>
      </c>
    </row>
    <row r="998" spans="1:20" x14ac:dyDescent="0.2">
      <c r="A998" s="13" t="s">
        <v>1165</v>
      </c>
      <c r="B998" s="14">
        <v>9</v>
      </c>
      <c r="C998" s="40">
        <v>42</v>
      </c>
      <c r="D998" s="40">
        <v>16</v>
      </c>
      <c r="E998" s="9" t="s">
        <v>43</v>
      </c>
      <c r="F998" s="14" t="s">
        <v>1160</v>
      </c>
      <c r="G998" s="10">
        <v>678</v>
      </c>
      <c r="H998" s="14" t="s">
        <v>62</v>
      </c>
      <c r="I998" s="41" t="str">
        <f>Assumptions!$I$168</f>
        <v>B</v>
      </c>
      <c r="J998" s="14" t="str">
        <f>IF(D998&lt;=Assumptions!$V$168,"Low",IF(D998&lt;=Assumptions!$W$168,"Mid","High"))</f>
        <v>High</v>
      </c>
      <c r="K998" s="15">
        <f>Assumptions!$Q$168</f>
        <v>2613</v>
      </c>
      <c r="L998" s="42">
        <f>INDEX(Assumptions!$C$61:$C$90,D998)</f>
        <v>2936.9357142857143</v>
      </c>
      <c r="M998" s="43">
        <f>IF(D998&lt;=Assumptions!$G$168,Assumptions!$AK$168,IF(D998&lt;Assumptions!$AH$168,Assumptions!$AK$168+(Assumptions!$AL$168-Assumptions!$AK$168)*(D998-Assumptions!$G$168)/(Assumptions!$AH$168-Assumptions!$G$168),IF(D998&lt;Assumptions!$P$168,Assumptions!$AL$168+(Assumptions!$AM$168-Assumptions!$AL$168)*(D998-Assumptions!$AH$168)/(Assumptions!$P$168-Assumptions!$AH$168),Assumptions!$AM$168)))</f>
        <v>31250</v>
      </c>
      <c r="N998" s="44">
        <f t="shared" si="30"/>
        <v>46.091445427728615</v>
      </c>
      <c r="O998" s="45">
        <f t="shared" si="31"/>
        <v>2983</v>
      </c>
      <c r="P998" s="14" t="str">
        <f>IF(D998&gt;=Assumptions!$P$168,"High",IF(D998&gt;=Assumptions!$AH$168,"Mid",IF(D998&lt;=Assumptions!$G$168,"Low","Loading")))</f>
        <v>High</v>
      </c>
      <c r="Q998" s="46">
        <f>MAX(K998,MIN(Assumptions!$S$168,O998),Q999)</f>
        <v>2983</v>
      </c>
      <c r="R998" s="12">
        <f>IF(AND(Q998&lt;=K998,INDEX(Assumptions!$C$26:$C$36,MATCH(G998,Assumptions!$A$26:$A$36,0))&lt;&gt;""),INDEX(Assumptions!$C$26:$C$36,MATCH(G998,Assumptions!$A$26:$A$36,0)),ROUND(G998*Q998,-2))</f>
        <v>2022500</v>
      </c>
      <c r="S998" s="47" t="str">
        <f>TRIM(IF(AND(Assumptions!$L$168&lt;&gt;"",D998&lt;Assumptions!$L$168),"View blocked / roof in front ("&amp;Assumptions!$M$168&amp;"); view premium still loading until L"&amp;Assumptions!$L$168&amp;". ","")&amp;IF(D998=Assumptions!$AH$168,"Mid-floor view premium fully loaded. ","")&amp;IF(D998=Assumptions!$P$168,"High-floor view premium fully loaded. ","")&amp;IF(Q998&lt;=K998,"At developer starting price.",""))</f>
        <v>High-floor view premium fully loaded.</v>
      </c>
      <c r="T998" s="48" t="str">
        <f>Assumptions!$AJ$168</f>
        <v>SSW. Infinity pool view; landed + nature reserve from mid floor</v>
      </c>
    </row>
    <row r="999" spans="1:20" x14ac:dyDescent="0.2">
      <c r="A999" s="13" t="s">
        <v>1166</v>
      </c>
      <c r="B999" s="14">
        <v>9</v>
      </c>
      <c r="C999" s="40">
        <v>42</v>
      </c>
      <c r="D999" s="40">
        <v>15</v>
      </c>
      <c r="E999" s="9" t="s">
        <v>43</v>
      </c>
      <c r="F999" s="14" t="s">
        <v>1160</v>
      </c>
      <c r="G999" s="10">
        <v>678</v>
      </c>
      <c r="H999" s="14" t="s">
        <v>62</v>
      </c>
      <c r="I999" s="41" t="str">
        <f>Assumptions!$I$168</f>
        <v>B</v>
      </c>
      <c r="J999" s="14" t="str">
        <f>IF(D999&lt;=Assumptions!$V$168,"Low",IF(D999&lt;=Assumptions!$W$168,"Mid","High"))</f>
        <v>Mid</v>
      </c>
      <c r="K999" s="15">
        <f>Assumptions!$Q$168</f>
        <v>2613</v>
      </c>
      <c r="L999" s="42">
        <f>INDEX(Assumptions!$C$61:$C$90,D999)</f>
        <v>2914.15</v>
      </c>
      <c r="M999" s="43">
        <f>IF(D999&lt;=Assumptions!$G$168,Assumptions!$AK$168,IF(D999&lt;Assumptions!$AH$168,Assumptions!$AK$168+(Assumptions!$AL$168-Assumptions!$AK$168)*(D999-Assumptions!$G$168)/(Assumptions!$AH$168-Assumptions!$G$168),IF(D999&lt;Assumptions!$P$168,Assumptions!$AL$168+(Assumptions!$AM$168-Assumptions!$AL$168)*(D999-Assumptions!$AH$168)/(Assumptions!$P$168-Assumptions!$AH$168),Assumptions!$AM$168)))</f>
        <v>32552.083333333336</v>
      </c>
      <c r="N999" s="44">
        <f t="shared" si="30"/>
        <v>48.011922320550646</v>
      </c>
      <c r="O999" s="45">
        <f t="shared" si="31"/>
        <v>2962</v>
      </c>
      <c r="P999" s="14" t="str">
        <f>IF(D999&gt;=Assumptions!$P$168,"High",IF(D999&gt;=Assumptions!$AH$168,"Mid",IF(D999&lt;=Assumptions!$G$168,"Low","Loading")))</f>
        <v>Mid</v>
      </c>
      <c r="Q999" s="46">
        <f>MAX(K999,MIN(Assumptions!$S$168,O999),Q1000)</f>
        <v>2962</v>
      </c>
      <c r="R999" s="12">
        <f>IF(AND(Q999&lt;=K999,INDEX(Assumptions!$C$26:$C$36,MATCH(G999,Assumptions!$A$26:$A$36,0))&lt;&gt;""),INDEX(Assumptions!$C$26:$C$36,MATCH(G999,Assumptions!$A$26:$A$36,0)),ROUND(G999*Q999,-2))</f>
        <v>2008200</v>
      </c>
      <c r="S999" s="47" t="str">
        <f>TRIM(IF(AND(Assumptions!$L$168&lt;&gt;"",D999&lt;Assumptions!$L$168),"View blocked / roof in front ("&amp;Assumptions!$M$168&amp;"); view premium still loading until L"&amp;Assumptions!$L$168&amp;". ","")&amp;IF(D999=Assumptions!$AH$168,"Mid-floor view premium fully loaded. ","")&amp;IF(D999=Assumptions!$P$168,"High-floor view premium fully loaded. ","")&amp;IF(Q999&lt;=K999,"At developer starting price.",""))</f>
        <v/>
      </c>
      <c r="T999" s="48" t="str">
        <f>Assumptions!$AJ$168</f>
        <v>SSW. Infinity pool view; landed + nature reserve from mid floor</v>
      </c>
    </row>
    <row r="1000" spans="1:20" x14ac:dyDescent="0.2">
      <c r="A1000" s="13" t="s">
        <v>1167</v>
      </c>
      <c r="B1000" s="14">
        <v>9</v>
      </c>
      <c r="C1000" s="40">
        <v>42</v>
      </c>
      <c r="D1000" s="40">
        <v>14</v>
      </c>
      <c r="E1000" s="9" t="s">
        <v>43</v>
      </c>
      <c r="F1000" s="14" t="s">
        <v>1160</v>
      </c>
      <c r="G1000" s="10">
        <v>678</v>
      </c>
      <c r="H1000" s="14" t="s">
        <v>62</v>
      </c>
      <c r="I1000" s="41" t="str">
        <f>Assumptions!$I$168</f>
        <v>B</v>
      </c>
      <c r="J1000" s="14" t="str">
        <f>IF(D1000&lt;=Assumptions!$V$168,"Low",IF(D1000&lt;=Assumptions!$W$168,"Mid","High"))</f>
        <v>Mid</v>
      </c>
      <c r="K1000" s="15">
        <f>Assumptions!$Q$168</f>
        <v>2613</v>
      </c>
      <c r="L1000" s="42">
        <f>INDEX(Assumptions!$C$61:$C$90,D1000)</f>
        <v>2891.3642857142859</v>
      </c>
      <c r="M1000" s="43">
        <f>IF(D1000&lt;=Assumptions!$G$168,Assumptions!$AK$168,IF(D1000&lt;Assumptions!$AH$168,Assumptions!$AK$168+(Assumptions!$AL$168-Assumptions!$AK$168)*(D1000-Assumptions!$G$168)/(Assumptions!$AH$168-Assumptions!$G$168),IF(D1000&lt;Assumptions!$P$168,Assumptions!$AL$168+(Assumptions!$AM$168-Assumptions!$AL$168)*(D1000-Assumptions!$AH$168)/(Assumptions!$P$168-Assumptions!$AH$168),Assumptions!$AM$168)))</f>
        <v>33854.166666666672</v>
      </c>
      <c r="N1000" s="44">
        <f t="shared" si="30"/>
        <v>49.932399213372669</v>
      </c>
      <c r="O1000" s="45">
        <f t="shared" si="31"/>
        <v>2941</v>
      </c>
      <c r="P1000" s="14" t="str">
        <f>IF(D1000&gt;=Assumptions!$P$168,"High",IF(D1000&gt;=Assumptions!$AH$168,"Mid",IF(D1000&lt;=Assumptions!$G$168,"Low","Loading")))</f>
        <v>Mid</v>
      </c>
      <c r="Q1000" s="46">
        <f>MAX(K1000,MIN(Assumptions!$S$168,O1000),Q1001)</f>
        <v>2941</v>
      </c>
      <c r="R1000" s="12">
        <f>IF(AND(Q1000&lt;=K1000,INDEX(Assumptions!$C$26:$C$36,MATCH(G1000,Assumptions!$A$26:$A$36,0))&lt;&gt;""),INDEX(Assumptions!$C$26:$C$36,MATCH(G1000,Assumptions!$A$26:$A$36,0)),ROUND(G1000*Q1000,-2))</f>
        <v>1994000</v>
      </c>
      <c r="S1000" s="47" t="str">
        <f>TRIM(IF(AND(Assumptions!$L$168&lt;&gt;"",D1000&lt;Assumptions!$L$168),"View blocked / roof in front ("&amp;Assumptions!$M$168&amp;"); view premium still loading until L"&amp;Assumptions!$L$168&amp;". ","")&amp;IF(D1000=Assumptions!$AH$168,"Mid-floor view premium fully loaded. ","")&amp;IF(D1000=Assumptions!$P$168,"High-floor view premium fully loaded. ","")&amp;IF(Q1000&lt;=K1000,"At developer starting price.",""))</f>
        <v/>
      </c>
      <c r="T1000" s="48" t="str">
        <f>Assumptions!$AJ$168</f>
        <v>SSW. Infinity pool view; landed + nature reserve from mid floor</v>
      </c>
    </row>
    <row r="1001" spans="1:20" x14ac:dyDescent="0.2">
      <c r="A1001" s="13" t="s">
        <v>1168</v>
      </c>
      <c r="B1001" s="14">
        <v>9</v>
      </c>
      <c r="C1001" s="40">
        <v>42</v>
      </c>
      <c r="D1001" s="40">
        <v>13</v>
      </c>
      <c r="E1001" s="9" t="s">
        <v>43</v>
      </c>
      <c r="F1001" s="14" t="s">
        <v>1160</v>
      </c>
      <c r="G1001" s="10">
        <v>678</v>
      </c>
      <c r="H1001" s="14" t="s">
        <v>62</v>
      </c>
      <c r="I1001" s="41" t="str">
        <f>Assumptions!$I$168</f>
        <v>B</v>
      </c>
      <c r="J1001" s="14" t="str">
        <f>IF(D1001&lt;=Assumptions!$V$168,"Low",IF(D1001&lt;=Assumptions!$W$168,"Mid","High"))</f>
        <v>Mid</v>
      </c>
      <c r="K1001" s="15">
        <f>Assumptions!$Q$168</f>
        <v>2613</v>
      </c>
      <c r="L1001" s="42">
        <f>INDEX(Assumptions!$C$61:$C$90,D1001)</f>
        <v>2868.5785714285716</v>
      </c>
      <c r="M1001" s="43">
        <f>IF(D1001&lt;=Assumptions!$G$168,Assumptions!$AK$168,IF(D1001&lt;Assumptions!$AH$168,Assumptions!$AK$168+(Assumptions!$AL$168-Assumptions!$AK$168)*(D1001-Assumptions!$G$168)/(Assumptions!$AH$168-Assumptions!$G$168),IF(D1001&lt;Assumptions!$P$168,Assumptions!$AL$168+(Assumptions!$AM$168-Assumptions!$AL$168)*(D1001-Assumptions!$AH$168)/(Assumptions!$P$168-Assumptions!$AH$168),Assumptions!$AM$168)))</f>
        <v>35156.25</v>
      </c>
      <c r="N1001" s="44">
        <f t="shared" si="30"/>
        <v>51.852876106194692</v>
      </c>
      <c r="O1001" s="45">
        <f t="shared" si="31"/>
        <v>2920</v>
      </c>
      <c r="P1001" s="14" t="str">
        <f>IF(D1001&gt;=Assumptions!$P$168,"High",IF(D1001&gt;=Assumptions!$AH$168,"Mid",IF(D1001&lt;=Assumptions!$G$168,"Low","Loading")))</f>
        <v>Mid</v>
      </c>
      <c r="Q1001" s="46">
        <f>MAX(K1001,MIN(Assumptions!$S$168,O1001),Q1002)</f>
        <v>2920</v>
      </c>
      <c r="R1001" s="12">
        <f>IF(AND(Q1001&lt;=K1001,INDEX(Assumptions!$C$26:$C$36,MATCH(G1001,Assumptions!$A$26:$A$36,0))&lt;&gt;""),INDEX(Assumptions!$C$26:$C$36,MATCH(G1001,Assumptions!$A$26:$A$36,0)),ROUND(G1001*Q1001,-2))</f>
        <v>1979800</v>
      </c>
      <c r="S1001" s="47" t="str">
        <f>TRIM(IF(AND(Assumptions!$L$168&lt;&gt;"",D1001&lt;Assumptions!$L$168),"View blocked / roof in front ("&amp;Assumptions!$M$168&amp;"); view premium still loading until L"&amp;Assumptions!$L$168&amp;". ","")&amp;IF(D1001=Assumptions!$AH$168,"Mid-floor view premium fully loaded. ","")&amp;IF(D1001=Assumptions!$P$168,"High-floor view premium fully loaded. ","")&amp;IF(Q1001&lt;=K1001,"At developer starting price.",""))</f>
        <v/>
      </c>
      <c r="T1001" s="48" t="str">
        <f>Assumptions!$AJ$168</f>
        <v>SSW. Infinity pool view; landed + nature reserve from mid floor</v>
      </c>
    </row>
    <row r="1002" spans="1:20" x14ac:dyDescent="0.2">
      <c r="A1002" s="13" t="s">
        <v>1169</v>
      </c>
      <c r="B1002" s="14">
        <v>9</v>
      </c>
      <c r="C1002" s="40">
        <v>42</v>
      </c>
      <c r="D1002" s="40">
        <v>12</v>
      </c>
      <c r="E1002" s="9" t="s">
        <v>43</v>
      </c>
      <c r="F1002" s="14" t="s">
        <v>1160</v>
      </c>
      <c r="G1002" s="10">
        <v>678</v>
      </c>
      <c r="H1002" s="14" t="s">
        <v>62</v>
      </c>
      <c r="I1002" s="41" t="str">
        <f>Assumptions!$I$168</f>
        <v>B</v>
      </c>
      <c r="J1002" s="14" t="str">
        <f>IF(D1002&lt;=Assumptions!$V$168,"Low",IF(D1002&lt;=Assumptions!$W$168,"Mid","High"))</f>
        <v>Mid</v>
      </c>
      <c r="K1002" s="15">
        <f>Assumptions!$Q$168</f>
        <v>2613</v>
      </c>
      <c r="L1002" s="42">
        <f>INDEX(Assumptions!$C$61:$C$90,D1002)</f>
        <v>2845.7928571428574</v>
      </c>
      <c r="M1002" s="43">
        <f>IF(D1002&lt;=Assumptions!$G$168,Assumptions!$AK$168,IF(D1002&lt;Assumptions!$AH$168,Assumptions!$AK$168+(Assumptions!$AL$168-Assumptions!$AK$168)*(D1002-Assumptions!$G$168)/(Assumptions!$AH$168-Assumptions!$G$168),IF(D1002&lt;Assumptions!$P$168,Assumptions!$AL$168+(Assumptions!$AM$168-Assumptions!$AL$168)*(D1002-Assumptions!$AH$168)/(Assumptions!$P$168-Assumptions!$AH$168),Assumptions!$AM$168)))</f>
        <v>36458.333333333336</v>
      </c>
      <c r="N1002" s="44">
        <f t="shared" si="30"/>
        <v>53.773352999016723</v>
      </c>
      <c r="O1002" s="45">
        <f t="shared" si="31"/>
        <v>2900</v>
      </c>
      <c r="P1002" s="14" t="str">
        <f>IF(D1002&gt;=Assumptions!$P$168,"High",IF(D1002&gt;=Assumptions!$AH$168,"Mid",IF(D1002&lt;=Assumptions!$G$168,"Low","Loading")))</f>
        <v>Mid</v>
      </c>
      <c r="Q1002" s="46">
        <f>MAX(K1002,MIN(Assumptions!$S$168,O1002),Q1003)</f>
        <v>2900</v>
      </c>
      <c r="R1002" s="12">
        <f>IF(AND(Q1002&lt;=K1002,INDEX(Assumptions!$C$26:$C$36,MATCH(G1002,Assumptions!$A$26:$A$36,0))&lt;&gt;""),INDEX(Assumptions!$C$26:$C$36,MATCH(G1002,Assumptions!$A$26:$A$36,0)),ROUND(G1002*Q1002,-2))</f>
        <v>1966200</v>
      </c>
      <c r="S1002" s="47" t="str">
        <f>TRIM(IF(AND(Assumptions!$L$168&lt;&gt;"",D1002&lt;Assumptions!$L$168),"View blocked / roof in front ("&amp;Assumptions!$M$168&amp;"); view premium still loading until L"&amp;Assumptions!$L$168&amp;". ","")&amp;IF(D1002=Assumptions!$AH$168,"Mid-floor view premium fully loaded. ","")&amp;IF(D1002=Assumptions!$P$168,"High-floor view premium fully loaded. ","")&amp;IF(Q1002&lt;=K1002,"At developer starting price.",""))</f>
        <v/>
      </c>
      <c r="T1002" s="48" t="str">
        <f>Assumptions!$AJ$168</f>
        <v>SSW. Infinity pool view; landed + nature reserve from mid floor</v>
      </c>
    </row>
    <row r="1003" spans="1:20" x14ac:dyDescent="0.2">
      <c r="A1003" s="13" t="s">
        <v>1170</v>
      </c>
      <c r="B1003" s="14">
        <v>9</v>
      </c>
      <c r="C1003" s="40">
        <v>42</v>
      </c>
      <c r="D1003" s="40">
        <v>11</v>
      </c>
      <c r="E1003" s="9" t="s">
        <v>43</v>
      </c>
      <c r="F1003" s="14" t="s">
        <v>1160</v>
      </c>
      <c r="G1003" s="10">
        <v>678</v>
      </c>
      <c r="H1003" s="14" t="s">
        <v>62</v>
      </c>
      <c r="I1003" s="41" t="str">
        <f>Assumptions!$I$168</f>
        <v>B</v>
      </c>
      <c r="J1003" s="14" t="str">
        <f>IF(D1003&lt;=Assumptions!$V$168,"Low",IF(D1003&lt;=Assumptions!$W$168,"Mid","High"))</f>
        <v>Mid</v>
      </c>
      <c r="K1003" s="15">
        <f>Assumptions!$Q$168</f>
        <v>2613</v>
      </c>
      <c r="L1003" s="42">
        <f>INDEX(Assumptions!$C$61:$C$90,D1003)</f>
        <v>2826.6287532991773</v>
      </c>
      <c r="M1003" s="43">
        <f>IF(D1003&lt;=Assumptions!$G$168,Assumptions!$AK$168,IF(D1003&lt;Assumptions!$AH$168,Assumptions!$AK$168+(Assumptions!$AL$168-Assumptions!$AK$168)*(D1003-Assumptions!$G$168)/(Assumptions!$AH$168-Assumptions!$G$168),IF(D1003&lt;Assumptions!$P$168,Assumptions!$AL$168+(Assumptions!$AM$168-Assumptions!$AL$168)*(D1003-Assumptions!$AH$168)/(Assumptions!$P$168-Assumptions!$AH$168),Assumptions!$AM$168)))</f>
        <v>37760.416666666672</v>
      </c>
      <c r="N1003" s="44">
        <f t="shared" si="30"/>
        <v>55.693829891838746</v>
      </c>
      <c r="O1003" s="45">
        <f t="shared" si="31"/>
        <v>2882</v>
      </c>
      <c r="P1003" s="14" t="str">
        <f>IF(D1003&gt;=Assumptions!$P$168,"High",IF(D1003&gt;=Assumptions!$AH$168,"Mid",IF(D1003&lt;=Assumptions!$G$168,"Low","Loading")))</f>
        <v>Mid</v>
      </c>
      <c r="Q1003" s="46">
        <f>MAX(K1003,MIN(Assumptions!$S$168,O1003),Q1004)</f>
        <v>2882</v>
      </c>
      <c r="R1003" s="12">
        <f>IF(AND(Q1003&lt;=K1003,INDEX(Assumptions!$C$26:$C$36,MATCH(G1003,Assumptions!$A$26:$A$36,0))&lt;&gt;""),INDEX(Assumptions!$C$26:$C$36,MATCH(G1003,Assumptions!$A$26:$A$36,0)),ROUND(G1003*Q1003,-2))</f>
        <v>1954000</v>
      </c>
      <c r="S1003" s="47" t="str">
        <f>TRIM(IF(AND(Assumptions!$L$168&lt;&gt;"",D1003&lt;Assumptions!$L$168),"View blocked / roof in front ("&amp;Assumptions!$M$168&amp;"); view premium still loading until L"&amp;Assumptions!$L$168&amp;". ","")&amp;IF(D1003=Assumptions!$AH$168,"Mid-floor view premium fully loaded. ","")&amp;IF(D1003=Assumptions!$P$168,"High-floor view premium fully loaded. ","")&amp;IF(Q1003&lt;=K1003,"At developer starting price.",""))</f>
        <v/>
      </c>
      <c r="T1003" s="48" t="str">
        <f>Assumptions!$AJ$168</f>
        <v>SSW. Infinity pool view; landed + nature reserve from mid floor</v>
      </c>
    </row>
    <row r="1004" spans="1:20" x14ac:dyDescent="0.2">
      <c r="A1004" s="13" t="s">
        <v>1171</v>
      </c>
      <c r="B1004" s="14">
        <v>9</v>
      </c>
      <c r="C1004" s="40">
        <v>42</v>
      </c>
      <c r="D1004" s="40">
        <v>10</v>
      </c>
      <c r="E1004" s="9" t="s">
        <v>43</v>
      </c>
      <c r="F1004" s="14" t="s">
        <v>1160</v>
      </c>
      <c r="G1004" s="10">
        <v>678</v>
      </c>
      <c r="H1004" s="14" t="s">
        <v>62</v>
      </c>
      <c r="I1004" s="41" t="str">
        <f>Assumptions!$I$168</f>
        <v>B</v>
      </c>
      <c r="J1004" s="14" t="str">
        <f>IF(D1004&lt;=Assumptions!$V$168,"Low",IF(D1004&lt;=Assumptions!$W$168,"Mid","High"))</f>
        <v>Mid</v>
      </c>
      <c r="K1004" s="15">
        <f>Assumptions!$Q$168</f>
        <v>2613</v>
      </c>
      <c r="L1004" s="42">
        <f>INDEX(Assumptions!$C$61:$C$90,D1004)</f>
        <v>2811.0862598975314</v>
      </c>
      <c r="M1004" s="43">
        <f>IF(D1004&lt;=Assumptions!$G$168,Assumptions!$AK$168,IF(D1004&lt;Assumptions!$AH$168,Assumptions!$AK$168+(Assumptions!$AL$168-Assumptions!$AK$168)*(D1004-Assumptions!$G$168)/(Assumptions!$AH$168-Assumptions!$G$168),IF(D1004&lt;Assumptions!$P$168,Assumptions!$AL$168+(Assumptions!$AM$168-Assumptions!$AL$168)*(D1004-Assumptions!$AH$168)/(Assumptions!$P$168-Assumptions!$AH$168),Assumptions!$AM$168)))</f>
        <v>39062.5</v>
      </c>
      <c r="N1004" s="44">
        <f t="shared" si="30"/>
        <v>57.614306784660769</v>
      </c>
      <c r="O1004" s="45">
        <f t="shared" si="31"/>
        <v>2869</v>
      </c>
      <c r="P1004" s="14" t="str">
        <f>IF(D1004&gt;=Assumptions!$P$168,"High",IF(D1004&gt;=Assumptions!$AH$168,"Mid",IF(D1004&lt;=Assumptions!$G$168,"Low","Loading")))</f>
        <v>Mid</v>
      </c>
      <c r="Q1004" s="46">
        <f>MAX(K1004,MIN(Assumptions!$S$168,O1004),Q1005)</f>
        <v>2869</v>
      </c>
      <c r="R1004" s="12">
        <f>IF(AND(Q1004&lt;=K1004,INDEX(Assumptions!$C$26:$C$36,MATCH(G1004,Assumptions!$A$26:$A$36,0))&lt;&gt;""),INDEX(Assumptions!$C$26:$C$36,MATCH(G1004,Assumptions!$A$26:$A$36,0)),ROUND(G1004*Q1004,-2))</f>
        <v>1945200</v>
      </c>
      <c r="S1004" s="47" t="str">
        <f>TRIM(IF(AND(Assumptions!$L$168&lt;&gt;"",D1004&lt;Assumptions!$L$168),"View blocked / roof in front ("&amp;Assumptions!$M$168&amp;"); view premium still loading until L"&amp;Assumptions!$L$168&amp;". ","")&amp;IF(D1004=Assumptions!$AH$168,"Mid-floor view premium fully loaded. ","")&amp;IF(D1004=Assumptions!$P$168,"High-floor view premium fully loaded. ","")&amp;IF(Q1004&lt;=K1004,"At developer starting price.",""))</f>
        <v/>
      </c>
      <c r="T1004" s="48" t="str">
        <f>Assumptions!$AJ$168</f>
        <v>SSW. Infinity pool view; landed + nature reserve from mid floor</v>
      </c>
    </row>
    <row r="1005" spans="1:20" x14ac:dyDescent="0.2">
      <c r="A1005" s="13" t="s">
        <v>1172</v>
      </c>
      <c r="B1005" s="14">
        <v>9</v>
      </c>
      <c r="C1005" s="40">
        <v>42</v>
      </c>
      <c r="D1005" s="40">
        <v>9</v>
      </c>
      <c r="E1005" s="9" t="s">
        <v>43</v>
      </c>
      <c r="F1005" s="14" t="s">
        <v>1160</v>
      </c>
      <c r="G1005" s="10">
        <v>678</v>
      </c>
      <c r="H1005" s="14" t="s">
        <v>62</v>
      </c>
      <c r="I1005" s="41" t="str">
        <f>Assumptions!$I$168</f>
        <v>B</v>
      </c>
      <c r="J1005" s="14" t="str">
        <f>IF(D1005&lt;=Assumptions!$V$168,"Low",IF(D1005&lt;=Assumptions!$W$168,"Mid","High"))</f>
        <v>Mid</v>
      </c>
      <c r="K1005" s="15">
        <f>Assumptions!$Q$168</f>
        <v>2613</v>
      </c>
      <c r="L1005" s="42">
        <f>INDEX(Assumptions!$C$61:$C$90,D1005)</f>
        <v>2795.5437664958858</v>
      </c>
      <c r="M1005" s="43">
        <f>IF(D1005&lt;=Assumptions!$G$168,Assumptions!$AK$168,IF(D1005&lt;Assumptions!$AH$168,Assumptions!$AK$168+(Assumptions!$AL$168-Assumptions!$AK$168)*(D1005-Assumptions!$G$168)/(Assumptions!$AH$168-Assumptions!$G$168),IF(D1005&lt;Assumptions!$P$168,Assumptions!$AL$168+(Assumptions!$AM$168-Assumptions!$AL$168)*(D1005-Assumptions!$AH$168)/(Assumptions!$P$168-Assumptions!$AH$168),Assumptions!$AM$168)))</f>
        <v>40364.583333333336</v>
      </c>
      <c r="N1005" s="44">
        <f t="shared" si="30"/>
        <v>59.5347836774828</v>
      </c>
      <c r="O1005" s="45">
        <f t="shared" si="31"/>
        <v>2855</v>
      </c>
      <c r="P1005" s="14" t="str">
        <f>IF(D1005&gt;=Assumptions!$P$168,"High",IF(D1005&gt;=Assumptions!$AH$168,"Mid",IF(D1005&lt;=Assumptions!$G$168,"Low","Loading")))</f>
        <v>Mid</v>
      </c>
      <c r="Q1005" s="46">
        <f>MAX(K1005,MIN(Assumptions!$S$168,O1005),Q1006)</f>
        <v>2855</v>
      </c>
      <c r="R1005" s="12">
        <f>IF(AND(Q1005&lt;=K1005,INDEX(Assumptions!$C$26:$C$36,MATCH(G1005,Assumptions!$A$26:$A$36,0))&lt;&gt;""),INDEX(Assumptions!$C$26:$C$36,MATCH(G1005,Assumptions!$A$26:$A$36,0)),ROUND(G1005*Q1005,-2))</f>
        <v>1935700</v>
      </c>
      <c r="S1005" s="47" t="str">
        <f>TRIM(IF(AND(Assumptions!$L$168&lt;&gt;"",D1005&lt;Assumptions!$L$168),"View blocked / roof in front ("&amp;Assumptions!$M$168&amp;"); view premium still loading until L"&amp;Assumptions!$L$168&amp;". ","")&amp;IF(D1005=Assumptions!$AH$168,"Mid-floor view premium fully loaded. ","")&amp;IF(D1005=Assumptions!$P$168,"High-floor view premium fully loaded. ","")&amp;IF(Q1005&lt;=K1005,"At developer starting price.",""))</f>
        <v/>
      </c>
      <c r="T1005" s="48" t="str">
        <f>Assumptions!$AJ$168</f>
        <v>SSW. Infinity pool view; landed + nature reserve from mid floor</v>
      </c>
    </row>
    <row r="1006" spans="1:20" x14ac:dyDescent="0.2">
      <c r="A1006" s="13" t="s">
        <v>1173</v>
      </c>
      <c r="B1006" s="14">
        <v>9</v>
      </c>
      <c r="C1006" s="40">
        <v>42</v>
      </c>
      <c r="D1006" s="40">
        <v>8</v>
      </c>
      <c r="E1006" s="9" t="s">
        <v>43</v>
      </c>
      <c r="F1006" s="14" t="s">
        <v>1160</v>
      </c>
      <c r="G1006" s="10">
        <v>678</v>
      </c>
      <c r="H1006" s="14" t="s">
        <v>62</v>
      </c>
      <c r="I1006" s="41" t="str">
        <f>Assumptions!$I$168</f>
        <v>B</v>
      </c>
      <c r="J1006" s="14" t="str">
        <f>IF(D1006&lt;=Assumptions!$V$168,"Low",IF(D1006&lt;=Assumptions!$W$168,"Mid","High"))</f>
        <v>Mid</v>
      </c>
      <c r="K1006" s="15">
        <f>Assumptions!$Q$168</f>
        <v>2613</v>
      </c>
      <c r="L1006" s="42">
        <f>INDEX(Assumptions!$C$61:$C$90,D1006)</f>
        <v>2780.0012730942403</v>
      </c>
      <c r="M1006" s="43">
        <f>IF(D1006&lt;=Assumptions!$G$168,Assumptions!$AK$168,IF(D1006&lt;Assumptions!$AH$168,Assumptions!$AK$168+(Assumptions!$AL$168-Assumptions!$AK$168)*(D1006-Assumptions!$G$168)/(Assumptions!$AH$168-Assumptions!$G$168),IF(D1006&lt;Assumptions!$P$168,Assumptions!$AL$168+(Assumptions!$AM$168-Assumptions!$AL$168)*(D1006-Assumptions!$AH$168)/(Assumptions!$P$168-Assumptions!$AH$168),Assumptions!$AM$168)))</f>
        <v>41666.666666666672</v>
      </c>
      <c r="N1006" s="44">
        <f t="shared" si="30"/>
        <v>61.455260570304823</v>
      </c>
      <c r="O1006" s="45">
        <f t="shared" si="31"/>
        <v>2841</v>
      </c>
      <c r="P1006" s="14" t="str">
        <f>IF(D1006&gt;=Assumptions!$P$168,"High",IF(D1006&gt;=Assumptions!$AH$168,"Mid",IF(D1006&lt;=Assumptions!$G$168,"Low","Loading")))</f>
        <v>Mid</v>
      </c>
      <c r="Q1006" s="46">
        <f>MAX(K1006,MIN(Assumptions!$S$168,O1006),Q1007)</f>
        <v>2841</v>
      </c>
      <c r="R1006" s="12">
        <f>IF(AND(Q1006&lt;=K1006,INDEX(Assumptions!$C$26:$C$36,MATCH(G1006,Assumptions!$A$26:$A$36,0))&lt;&gt;""),INDEX(Assumptions!$C$26:$C$36,MATCH(G1006,Assumptions!$A$26:$A$36,0)),ROUND(G1006*Q1006,-2))</f>
        <v>1926200</v>
      </c>
      <c r="S1006" s="47" t="str">
        <f>TRIM(IF(AND(Assumptions!$L$168&lt;&gt;"",D1006&lt;Assumptions!$L$168),"View blocked / roof in front ("&amp;Assumptions!$M$168&amp;"); view premium still loading until L"&amp;Assumptions!$L$168&amp;". ","")&amp;IF(D1006=Assumptions!$AH$168,"Mid-floor view premium fully loaded. ","")&amp;IF(D1006=Assumptions!$P$168,"High-floor view premium fully loaded. ","")&amp;IF(Q1006&lt;=K1006,"At developer starting price.",""))</f>
        <v>Mid-floor view premium fully loaded.</v>
      </c>
      <c r="T1006" s="48" t="str">
        <f>Assumptions!$AJ$168</f>
        <v>SSW. Infinity pool view; landed + nature reserve from mid floor</v>
      </c>
    </row>
    <row r="1007" spans="1:20" x14ac:dyDescent="0.2">
      <c r="A1007" s="13" t="s">
        <v>1174</v>
      </c>
      <c r="B1007" s="14">
        <v>9</v>
      </c>
      <c r="C1007" s="40">
        <v>42</v>
      </c>
      <c r="D1007" s="40">
        <v>7</v>
      </c>
      <c r="E1007" s="9" t="s">
        <v>43</v>
      </c>
      <c r="F1007" s="14" t="s">
        <v>1160</v>
      </c>
      <c r="G1007" s="10">
        <v>678</v>
      </c>
      <c r="H1007" s="14" t="s">
        <v>62</v>
      </c>
      <c r="I1007" s="41" t="str">
        <f>Assumptions!$I$168</f>
        <v>B</v>
      </c>
      <c r="J1007" s="14" t="str">
        <f>IF(D1007&lt;=Assumptions!$V$168,"Low",IF(D1007&lt;=Assumptions!$W$168,"Mid","High"))</f>
        <v>Low</v>
      </c>
      <c r="K1007" s="15">
        <f>Assumptions!$Q$168</f>
        <v>2613</v>
      </c>
      <c r="L1007" s="42">
        <f>INDEX(Assumptions!$C$61:$C$90,D1007)</f>
        <v>2764.4587796925944</v>
      </c>
      <c r="M1007" s="43">
        <f>IF(D1007&lt;=Assumptions!$G$168,Assumptions!$AK$168,IF(D1007&lt;Assumptions!$AH$168,Assumptions!$AK$168+(Assumptions!$AL$168-Assumptions!$AK$168)*(D1007-Assumptions!$G$168)/(Assumptions!$AH$168-Assumptions!$G$168),IF(D1007&lt;Assumptions!$P$168,Assumptions!$AL$168+(Assumptions!$AM$168-Assumptions!$AL$168)*(D1007-Assumptions!$AH$168)/(Assumptions!$P$168-Assumptions!$AH$168),Assumptions!$AM$168)))</f>
        <v>43055.555555555562</v>
      </c>
      <c r="N1007" s="44">
        <f t="shared" si="30"/>
        <v>63.503769255981652</v>
      </c>
      <c r="O1007" s="45">
        <f t="shared" si="31"/>
        <v>2828</v>
      </c>
      <c r="P1007" s="14" t="str">
        <f>IF(D1007&gt;=Assumptions!$P$168,"High",IF(D1007&gt;=Assumptions!$AH$168,"Mid",IF(D1007&lt;=Assumptions!$G$168,"Low","Loading")))</f>
        <v>Loading</v>
      </c>
      <c r="Q1007" s="46">
        <f>MAX(K1007,MIN(Assumptions!$S$168,O1007),Q1008)</f>
        <v>2828</v>
      </c>
      <c r="R1007" s="12">
        <f>IF(AND(Q1007&lt;=K1007,INDEX(Assumptions!$C$26:$C$36,MATCH(G1007,Assumptions!$A$26:$A$36,0))&lt;&gt;""),INDEX(Assumptions!$C$26:$C$36,MATCH(G1007,Assumptions!$A$26:$A$36,0)),ROUND(G1007*Q1007,-2))</f>
        <v>1917400</v>
      </c>
      <c r="S1007" s="47" t="str">
        <f>TRIM(IF(AND(Assumptions!$L$168&lt;&gt;"",D1007&lt;Assumptions!$L$168),"View blocked / roof in front ("&amp;Assumptions!$M$168&amp;"); view premium still loading until L"&amp;Assumptions!$L$168&amp;". ","")&amp;IF(D1007=Assumptions!$AH$168,"Mid-floor view premium fully loaded. ","")&amp;IF(D1007=Assumptions!$P$168,"High-floor view premium fully loaded. ","")&amp;IF(Q1007&lt;=K1007,"At developer starting price.",""))</f>
        <v/>
      </c>
      <c r="T1007" s="48" t="str">
        <f>Assumptions!$AJ$168</f>
        <v>SSW. Infinity pool view; landed + nature reserve from mid floor</v>
      </c>
    </row>
    <row r="1008" spans="1:20" x14ac:dyDescent="0.2">
      <c r="A1008" s="13" t="s">
        <v>1175</v>
      </c>
      <c r="B1008" s="14">
        <v>9</v>
      </c>
      <c r="C1008" s="40">
        <v>42</v>
      </c>
      <c r="D1008" s="40">
        <v>6</v>
      </c>
      <c r="E1008" s="9" t="s">
        <v>43</v>
      </c>
      <c r="F1008" s="14" t="s">
        <v>1160</v>
      </c>
      <c r="G1008" s="10">
        <v>678</v>
      </c>
      <c r="H1008" s="14" t="s">
        <v>62</v>
      </c>
      <c r="I1008" s="41" t="str">
        <f>Assumptions!$I$168</f>
        <v>B</v>
      </c>
      <c r="J1008" s="14" t="str">
        <f>IF(D1008&lt;=Assumptions!$V$168,"Low",IF(D1008&lt;=Assumptions!$W$168,"Mid","High"))</f>
        <v>Low</v>
      </c>
      <c r="K1008" s="15">
        <f>Assumptions!$Q$168</f>
        <v>2613</v>
      </c>
      <c r="L1008" s="42">
        <f>INDEX(Assumptions!$C$61:$C$90,D1008)</f>
        <v>2748.9162862909488</v>
      </c>
      <c r="M1008" s="43">
        <f>IF(D1008&lt;=Assumptions!$G$168,Assumptions!$AK$168,IF(D1008&lt;Assumptions!$AH$168,Assumptions!$AK$168+(Assumptions!$AL$168-Assumptions!$AK$168)*(D1008-Assumptions!$G$168)/(Assumptions!$AH$168-Assumptions!$G$168),IF(D1008&lt;Assumptions!$P$168,Assumptions!$AL$168+(Assumptions!$AM$168-Assumptions!$AL$168)*(D1008-Assumptions!$AH$168)/(Assumptions!$P$168-Assumptions!$AH$168),Assumptions!$AM$168)))</f>
        <v>44444.444444444445</v>
      </c>
      <c r="N1008" s="44">
        <f t="shared" si="30"/>
        <v>65.552277941658474</v>
      </c>
      <c r="O1008" s="45">
        <f t="shared" si="31"/>
        <v>2814</v>
      </c>
      <c r="P1008" s="14" t="str">
        <f>IF(D1008&gt;=Assumptions!$P$168,"High",IF(D1008&gt;=Assumptions!$AH$168,"Mid",IF(D1008&lt;=Assumptions!$G$168,"Low","Loading")))</f>
        <v>Loading</v>
      </c>
      <c r="Q1008" s="46">
        <f>MAX(K1008,MIN(Assumptions!$S$168,O1008),Q1009)</f>
        <v>2814</v>
      </c>
      <c r="R1008" s="12">
        <f>IF(AND(Q1008&lt;=K1008,INDEX(Assumptions!$C$26:$C$36,MATCH(G1008,Assumptions!$A$26:$A$36,0))&lt;&gt;""),INDEX(Assumptions!$C$26:$C$36,MATCH(G1008,Assumptions!$A$26:$A$36,0)),ROUND(G1008*Q1008,-2))</f>
        <v>1907900</v>
      </c>
      <c r="S1008" s="47" t="str">
        <f>TRIM(IF(AND(Assumptions!$L$168&lt;&gt;"",D1008&lt;Assumptions!$L$168),"View blocked / roof in front ("&amp;Assumptions!$M$168&amp;"); view premium still loading until L"&amp;Assumptions!$L$168&amp;". ","")&amp;IF(D1008=Assumptions!$AH$168,"Mid-floor view premium fully loaded. ","")&amp;IF(D1008=Assumptions!$P$168,"High-floor view premium fully loaded. ","")&amp;IF(Q1008&lt;=K1008,"At developer starting price.",""))</f>
        <v/>
      </c>
      <c r="T1008" s="48" t="str">
        <f>Assumptions!$AJ$168</f>
        <v>SSW. Infinity pool view; landed + nature reserve from mid floor</v>
      </c>
    </row>
    <row r="1009" spans="1:20" x14ac:dyDescent="0.2">
      <c r="A1009" s="13" t="s">
        <v>1176</v>
      </c>
      <c r="B1009" s="14">
        <v>9</v>
      </c>
      <c r="C1009" s="40">
        <v>42</v>
      </c>
      <c r="D1009" s="40">
        <v>5</v>
      </c>
      <c r="E1009" s="9" t="s">
        <v>43</v>
      </c>
      <c r="F1009" s="14" t="s">
        <v>1160</v>
      </c>
      <c r="G1009" s="10">
        <v>678</v>
      </c>
      <c r="H1009" s="14" t="s">
        <v>62</v>
      </c>
      <c r="I1009" s="41" t="str">
        <f>Assumptions!$I$168</f>
        <v>B</v>
      </c>
      <c r="J1009" s="14" t="str">
        <f>IF(D1009&lt;=Assumptions!$V$168,"Low",IF(D1009&lt;=Assumptions!$W$168,"Mid","High"))</f>
        <v>Low</v>
      </c>
      <c r="K1009" s="15">
        <f>Assumptions!$Q$168</f>
        <v>2613</v>
      </c>
      <c r="L1009" s="42">
        <f>INDEX(Assumptions!$C$61:$C$90,D1009)</f>
        <v>2733.3737928893029</v>
      </c>
      <c r="M1009" s="43">
        <f>IF(D1009&lt;=Assumptions!$G$168,Assumptions!$AK$168,IF(D1009&lt;Assumptions!$AH$168,Assumptions!$AK$168+(Assumptions!$AL$168-Assumptions!$AK$168)*(D1009-Assumptions!$G$168)/(Assumptions!$AH$168-Assumptions!$G$168),IF(D1009&lt;Assumptions!$P$168,Assumptions!$AL$168+(Assumptions!$AM$168-Assumptions!$AL$168)*(D1009-Assumptions!$AH$168)/(Assumptions!$P$168-Assumptions!$AH$168),Assumptions!$AM$168)))</f>
        <v>45833.333333333336</v>
      </c>
      <c r="N1009" s="44">
        <f t="shared" si="30"/>
        <v>67.60078662733531</v>
      </c>
      <c r="O1009" s="45">
        <f t="shared" si="31"/>
        <v>2801</v>
      </c>
      <c r="P1009" s="14" t="str">
        <f>IF(D1009&gt;=Assumptions!$P$168,"High",IF(D1009&gt;=Assumptions!$AH$168,"Mid",IF(D1009&lt;=Assumptions!$G$168,"Low","Loading")))</f>
        <v>Loading</v>
      </c>
      <c r="Q1009" s="46">
        <f>MAX(K1009,MIN(Assumptions!$S$168,O1009),Q1010)</f>
        <v>2801</v>
      </c>
      <c r="R1009" s="12">
        <f>IF(AND(Q1009&lt;=K1009,INDEX(Assumptions!$C$26:$C$36,MATCH(G1009,Assumptions!$A$26:$A$36,0))&lt;&gt;""),INDEX(Assumptions!$C$26:$C$36,MATCH(G1009,Assumptions!$A$26:$A$36,0)),ROUND(G1009*Q1009,-2))</f>
        <v>1899100</v>
      </c>
      <c r="S1009" s="47" t="str">
        <f>TRIM(IF(AND(Assumptions!$L$168&lt;&gt;"",D1009&lt;Assumptions!$L$168),"View blocked / roof in front ("&amp;Assumptions!$M$168&amp;"); view premium still loading until L"&amp;Assumptions!$L$168&amp;". ","")&amp;IF(D1009=Assumptions!$AH$168,"Mid-floor view premium fully loaded. ","")&amp;IF(D1009=Assumptions!$P$168,"High-floor view premium fully loaded. ","")&amp;IF(Q1009&lt;=K1009,"At developer starting price.",""))</f>
        <v/>
      </c>
      <c r="T1009" s="48" t="str">
        <f>Assumptions!$AJ$168</f>
        <v>SSW. Infinity pool view; landed + nature reserve from mid floor</v>
      </c>
    </row>
    <row r="1010" spans="1:20" x14ac:dyDescent="0.2">
      <c r="A1010" s="13" t="s">
        <v>1177</v>
      </c>
      <c r="B1010" s="14">
        <v>9</v>
      </c>
      <c r="C1010" s="40">
        <v>42</v>
      </c>
      <c r="D1010" s="40">
        <v>4</v>
      </c>
      <c r="E1010" s="9" t="s">
        <v>43</v>
      </c>
      <c r="F1010" s="14" t="s">
        <v>1160</v>
      </c>
      <c r="G1010" s="10">
        <v>678</v>
      </c>
      <c r="H1010" s="14" t="s">
        <v>62</v>
      </c>
      <c r="I1010" s="41" t="str">
        <f>Assumptions!$I$168</f>
        <v>B</v>
      </c>
      <c r="J1010" s="14" t="str">
        <f>IF(D1010&lt;=Assumptions!$V$168,"Low",IF(D1010&lt;=Assumptions!$W$168,"Mid","High"))</f>
        <v>Low</v>
      </c>
      <c r="K1010" s="15">
        <f>Assumptions!$Q$168</f>
        <v>2613</v>
      </c>
      <c r="L1010" s="42">
        <f>INDEX(Assumptions!$C$61:$C$90,D1010)</f>
        <v>2717.8312994876574</v>
      </c>
      <c r="M1010" s="43">
        <f>IF(D1010&lt;=Assumptions!$G$168,Assumptions!$AK$168,IF(D1010&lt;Assumptions!$AH$168,Assumptions!$AK$168+(Assumptions!$AL$168-Assumptions!$AK$168)*(D1010-Assumptions!$G$168)/(Assumptions!$AH$168-Assumptions!$G$168),IF(D1010&lt;Assumptions!$P$168,Assumptions!$AL$168+(Assumptions!$AM$168-Assumptions!$AL$168)*(D1010-Assumptions!$AH$168)/(Assumptions!$P$168-Assumptions!$AH$168),Assumptions!$AM$168)))</f>
        <v>47222.222222222226</v>
      </c>
      <c r="N1010" s="44">
        <f t="shared" si="30"/>
        <v>69.649295313012132</v>
      </c>
      <c r="O1010" s="45">
        <f t="shared" si="31"/>
        <v>2787</v>
      </c>
      <c r="P1010" s="14" t="str">
        <f>IF(D1010&gt;=Assumptions!$P$168,"High",IF(D1010&gt;=Assumptions!$AH$168,"Mid",IF(D1010&lt;=Assumptions!$G$168,"Low","Loading")))</f>
        <v>Loading</v>
      </c>
      <c r="Q1010" s="46">
        <f>MAX(K1010,MIN(Assumptions!$S$168,O1010),Q1011)</f>
        <v>2787</v>
      </c>
      <c r="R1010" s="12">
        <f>IF(AND(Q1010&lt;=K1010,INDEX(Assumptions!$C$26:$C$36,MATCH(G1010,Assumptions!$A$26:$A$36,0))&lt;&gt;""),INDEX(Assumptions!$C$26:$C$36,MATCH(G1010,Assumptions!$A$26:$A$36,0)),ROUND(G1010*Q1010,-2))</f>
        <v>1889600</v>
      </c>
      <c r="S1010" s="47" t="str">
        <f>TRIM(IF(AND(Assumptions!$L$168&lt;&gt;"",D1010&lt;Assumptions!$L$168),"View blocked / roof in front ("&amp;Assumptions!$M$168&amp;"); view premium still loading until L"&amp;Assumptions!$L$168&amp;". ","")&amp;IF(D1010=Assumptions!$AH$168,"Mid-floor view premium fully loaded. ","")&amp;IF(D1010=Assumptions!$P$168,"High-floor view premium fully loaded. ","")&amp;IF(Q1010&lt;=K1010,"At developer starting price.",""))</f>
        <v/>
      </c>
      <c r="T1010" s="48" t="str">
        <f>Assumptions!$AJ$168</f>
        <v>SSW. Infinity pool view; landed + nature reserve from mid floor</v>
      </c>
    </row>
    <row r="1011" spans="1:20" x14ac:dyDescent="0.2">
      <c r="A1011" s="13" t="s">
        <v>1178</v>
      </c>
      <c r="B1011" s="14">
        <v>9</v>
      </c>
      <c r="C1011" s="40">
        <v>42</v>
      </c>
      <c r="D1011" s="40">
        <v>3</v>
      </c>
      <c r="E1011" s="9" t="s">
        <v>43</v>
      </c>
      <c r="F1011" s="14" t="s">
        <v>1160</v>
      </c>
      <c r="G1011" s="10">
        <v>678</v>
      </c>
      <c r="H1011" s="14" t="s">
        <v>62</v>
      </c>
      <c r="I1011" s="41" t="str">
        <f>Assumptions!$I$168</f>
        <v>B</v>
      </c>
      <c r="J1011" s="14" t="str">
        <f>IF(D1011&lt;=Assumptions!$V$168,"Low",IF(D1011&lt;=Assumptions!$W$168,"Mid","High"))</f>
        <v>Low</v>
      </c>
      <c r="K1011" s="15">
        <f>Assumptions!$Q$168</f>
        <v>2613</v>
      </c>
      <c r="L1011" s="42">
        <f>INDEX(Assumptions!$C$61:$C$90,D1011)</f>
        <v>2702.2888060860114</v>
      </c>
      <c r="M1011" s="43">
        <f>IF(D1011&lt;=Assumptions!$G$168,Assumptions!$AK$168,IF(D1011&lt;Assumptions!$AH$168,Assumptions!$AK$168+(Assumptions!$AL$168-Assumptions!$AK$168)*(D1011-Assumptions!$G$168)/(Assumptions!$AH$168-Assumptions!$G$168),IF(D1011&lt;Assumptions!$P$168,Assumptions!$AL$168+(Assumptions!$AM$168-Assumptions!$AL$168)*(D1011-Assumptions!$AH$168)/(Assumptions!$P$168-Assumptions!$AH$168),Assumptions!$AM$168)))</f>
        <v>48611.111111111109</v>
      </c>
      <c r="N1011" s="44">
        <f t="shared" si="30"/>
        <v>71.697803998688954</v>
      </c>
      <c r="O1011" s="45">
        <f t="shared" si="31"/>
        <v>2774</v>
      </c>
      <c r="P1011" s="14" t="str">
        <f>IF(D1011&gt;=Assumptions!$P$168,"High",IF(D1011&gt;=Assumptions!$AH$168,"Mid",IF(D1011&lt;=Assumptions!$G$168,"Low","Loading")))</f>
        <v>Loading</v>
      </c>
      <c r="Q1011" s="46">
        <f>MAX(K1011,MIN(Assumptions!$S$168,O1011),Q1012)</f>
        <v>2774</v>
      </c>
      <c r="R1011" s="12">
        <f>IF(AND(Q1011&lt;=K1011,INDEX(Assumptions!$C$26:$C$36,MATCH(G1011,Assumptions!$A$26:$A$36,0))&lt;&gt;""),INDEX(Assumptions!$C$26:$C$36,MATCH(G1011,Assumptions!$A$26:$A$36,0)),ROUND(G1011*Q1011,-2))</f>
        <v>1880800</v>
      </c>
      <c r="S1011" s="47" t="str">
        <f>TRIM(IF(AND(Assumptions!$L$168&lt;&gt;"",D1011&lt;Assumptions!$L$168),"View blocked / roof in front ("&amp;Assumptions!$M$168&amp;"); view premium still loading until L"&amp;Assumptions!$L$168&amp;". ","")&amp;IF(D1011=Assumptions!$AH$168,"Mid-floor view premium fully loaded. ","")&amp;IF(D1011=Assumptions!$P$168,"High-floor view premium fully loaded. ","")&amp;IF(Q1011&lt;=K1011,"At developer starting price.",""))</f>
        <v/>
      </c>
      <c r="T1011" s="48" t="str">
        <f>Assumptions!$AJ$168</f>
        <v>SSW. Infinity pool view; landed + nature reserve from mid floor</v>
      </c>
    </row>
    <row r="1012" spans="1:20" x14ac:dyDescent="0.2">
      <c r="A1012" s="13" t="s">
        <v>1179</v>
      </c>
      <c r="B1012" s="14">
        <v>9</v>
      </c>
      <c r="C1012" s="40">
        <v>42</v>
      </c>
      <c r="D1012" s="40">
        <v>2</v>
      </c>
      <c r="E1012" s="9" t="s">
        <v>43</v>
      </c>
      <c r="F1012" s="14" t="s">
        <v>1180</v>
      </c>
      <c r="G1012" s="10">
        <v>678</v>
      </c>
      <c r="H1012" s="14" t="s">
        <v>62</v>
      </c>
      <c r="I1012" s="41" t="str">
        <f>Assumptions!$I$168</f>
        <v>B</v>
      </c>
      <c r="J1012" s="14" t="str">
        <f>IF(D1012&lt;=Assumptions!$V$168,"Low",IF(D1012&lt;=Assumptions!$W$168,"Mid","High"))</f>
        <v>Low</v>
      </c>
      <c r="K1012" s="15">
        <f>Assumptions!$Q$168</f>
        <v>2613</v>
      </c>
      <c r="L1012" s="42">
        <f>INDEX(Assumptions!$C$61:$C$90,D1012)</f>
        <v>2686.7463126843659</v>
      </c>
      <c r="M1012" s="43">
        <f>IF(D1012&lt;=Assumptions!$G$168,Assumptions!$AK$168,IF(D1012&lt;Assumptions!$AH$168,Assumptions!$AK$168+(Assumptions!$AL$168-Assumptions!$AK$168)*(D1012-Assumptions!$G$168)/(Assumptions!$AH$168-Assumptions!$G$168),IF(D1012&lt;Assumptions!$P$168,Assumptions!$AL$168+(Assumptions!$AM$168-Assumptions!$AL$168)*(D1012-Assumptions!$AH$168)/(Assumptions!$P$168-Assumptions!$AH$168),Assumptions!$AM$168)))</f>
        <v>50000</v>
      </c>
      <c r="N1012" s="44">
        <f t="shared" si="30"/>
        <v>73.746312684365776</v>
      </c>
      <c r="O1012" s="45">
        <f t="shared" si="31"/>
        <v>2760</v>
      </c>
      <c r="P1012" s="14" t="str">
        <f>IF(D1012&gt;=Assumptions!$P$168,"High",IF(D1012&gt;=Assumptions!$AH$168,"Mid",IF(D1012&lt;=Assumptions!$G$168,"Low","Loading")))</f>
        <v>Low</v>
      </c>
      <c r="Q1012" s="46">
        <f>MAX(K1012,MIN(Assumptions!$S$168,O1012))</f>
        <v>2760</v>
      </c>
      <c r="R1012" s="12">
        <f>IF(AND(Q1012&lt;=K1012,INDEX(Assumptions!$C$26:$C$36,MATCH(G1012,Assumptions!$A$26:$A$36,0))&lt;&gt;""),INDEX(Assumptions!$C$26:$C$36,MATCH(G1012,Assumptions!$A$26:$A$36,0)),ROUND(G1012*Q1012,-2))</f>
        <v>1871300</v>
      </c>
      <c r="S1012" s="47" t="str">
        <f>TRIM(IF(AND(Assumptions!$L$168&lt;&gt;"",D1012&lt;Assumptions!$L$168),"View blocked / roof in front ("&amp;Assumptions!$M$168&amp;"); view premium still loading until L"&amp;Assumptions!$L$168&amp;". ","")&amp;IF(D1012=Assumptions!$AH$168,"Mid-floor view premium fully loaded. ","")&amp;IF(D1012=Assumptions!$P$168,"High-floor view premium fully loaded. ","")&amp;IF(Q1012&lt;=K1012,"At developer starting price.",""))</f>
        <v/>
      </c>
      <c r="T1012" s="48" t="str">
        <f>Assumptions!$AJ$168</f>
        <v>SSW. Infinity pool view; landed + nature reserve from mid floor</v>
      </c>
    </row>
    <row r="1013" spans="1:20" x14ac:dyDescent="0.2">
      <c r="A1013" s="13" t="s">
        <v>1181</v>
      </c>
      <c r="B1013" s="14">
        <v>9</v>
      </c>
      <c r="C1013" s="40">
        <v>43</v>
      </c>
      <c r="D1013" s="40">
        <v>21</v>
      </c>
      <c r="E1013" s="9" t="s">
        <v>43</v>
      </c>
      <c r="F1013" s="14" t="s">
        <v>1182</v>
      </c>
      <c r="G1013" s="10">
        <v>678</v>
      </c>
      <c r="H1013" s="14" t="s">
        <v>62</v>
      </c>
      <c r="I1013" s="41" t="str">
        <f>Assumptions!$I$169</f>
        <v>B</v>
      </c>
      <c r="J1013" s="14" t="str">
        <f>IF(D1013&lt;=Assumptions!$V$169,"Low",IF(D1013&lt;=Assumptions!$W$169,"Mid","High"))</f>
        <v>High</v>
      </c>
      <c r="K1013" s="15">
        <f>Assumptions!$Q$169</f>
        <v>2613</v>
      </c>
      <c r="L1013" s="42">
        <f>INDEX(Assumptions!$C$61:$C$90,D1013)</f>
        <v>3050.8642857142859</v>
      </c>
      <c r="M1013" s="43">
        <f>IF(D1013&lt;=Assumptions!$G$169,Assumptions!$AK$169,IF(D1013&lt;Assumptions!$AH$169,Assumptions!$AK$169+(Assumptions!$AL$169-Assumptions!$AK$169)*(D1013-Assumptions!$G$169)/(Assumptions!$AH$169-Assumptions!$G$169),IF(D1013&lt;Assumptions!$P$169,Assumptions!$AL$169+(Assumptions!$AM$169-Assumptions!$AL$169)*(D1013-Assumptions!$AH$169)/(Assumptions!$P$169-Assumptions!$AH$169),Assumptions!$AM$169)))</f>
        <v>31250</v>
      </c>
      <c r="N1013" s="44">
        <f t="shared" si="30"/>
        <v>46.091445427728615</v>
      </c>
      <c r="O1013" s="45">
        <f t="shared" si="31"/>
        <v>3097</v>
      </c>
      <c r="P1013" s="14" t="str">
        <f>IF(D1013&gt;=Assumptions!$P$169,"High",IF(D1013&gt;=Assumptions!$AH$169,"Mid",IF(D1013&lt;=Assumptions!$G$169,"Low","Loading")))</f>
        <v>High</v>
      </c>
      <c r="Q1013" s="46">
        <f>MAX(K1013,MIN(Assumptions!$S$169,O1013),Q1014)</f>
        <v>3097</v>
      </c>
      <c r="R1013" s="12">
        <f>IF(AND(Q1013&lt;=K1013,INDEX(Assumptions!$C$26:$C$36,MATCH(G1013,Assumptions!$A$26:$A$36,0))&lt;&gt;""),INDEX(Assumptions!$C$26:$C$36,MATCH(G1013,Assumptions!$A$26:$A$36,0)),ROUND(G1013*Q1013,-2))</f>
        <v>2099800</v>
      </c>
      <c r="S1013" s="47" t="str">
        <f>TRIM(IF(AND(Assumptions!$L$169&lt;&gt;"",D1013&lt;Assumptions!$L$169),"View blocked / roof in front ("&amp;Assumptions!$M$169&amp;"); view premium still loading until L"&amp;Assumptions!$L$169&amp;". ","")&amp;IF(D1013=Assumptions!$AH$169,"Mid-floor view premium fully loaded. ","")&amp;IF(D1013=Assumptions!$P$169,"High-floor view premium fully loaded. ","")&amp;IF(Q1013&lt;=K1013,"At developer starting price.",""))</f>
        <v/>
      </c>
      <c r="T1013" s="48" t="str">
        <f>Assumptions!$AJ$169</f>
        <v>SSW. Infinity pool view; landed + nature reserve from mid floor</v>
      </c>
    </row>
    <row r="1014" spans="1:20" x14ac:dyDescent="0.2">
      <c r="A1014" s="13" t="s">
        <v>1183</v>
      </c>
      <c r="B1014" s="14">
        <v>9</v>
      </c>
      <c r="C1014" s="40">
        <v>43</v>
      </c>
      <c r="D1014" s="40">
        <v>20</v>
      </c>
      <c r="E1014" s="9" t="s">
        <v>43</v>
      </c>
      <c r="F1014" s="14" t="s">
        <v>1182</v>
      </c>
      <c r="G1014" s="10">
        <v>678</v>
      </c>
      <c r="H1014" s="14" t="s">
        <v>62</v>
      </c>
      <c r="I1014" s="41" t="str">
        <f>Assumptions!$I$169</f>
        <v>B</v>
      </c>
      <c r="J1014" s="14" t="str">
        <f>IF(D1014&lt;=Assumptions!$V$169,"Low",IF(D1014&lt;=Assumptions!$W$169,"Mid","High"))</f>
        <v>High</v>
      </c>
      <c r="K1014" s="15">
        <f>Assumptions!$Q$169</f>
        <v>2613</v>
      </c>
      <c r="L1014" s="42">
        <f>INDEX(Assumptions!$C$61:$C$90,D1014)</f>
        <v>3028.0785714285716</v>
      </c>
      <c r="M1014" s="43">
        <f>IF(D1014&lt;=Assumptions!$G$169,Assumptions!$AK$169,IF(D1014&lt;Assumptions!$AH$169,Assumptions!$AK$169+(Assumptions!$AL$169-Assumptions!$AK$169)*(D1014-Assumptions!$G$169)/(Assumptions!$AH$169-Assumptions!$G$169),IF(D1014&lt;Assumptions!$P$169,Assumptions!$AL$169+(Assumptions!$AM$169-Assumptions!$AL$169)*(D1014-Assumptions!$AH$169)/(Assumptions!$P$169-Assumptions!$AH$169),Assumptions!$AM$169)))</f>
        <v>31250</v>
      </c>
      <c r="N1014" s="44">
        <f t="shared" si="30"/>
        <v>46.091445427728615</v>
      </c>
      <c r="O1014" s="45">
        <f t="shared" si="31"/>
        <v>3074</v>
      </c>
      <c r="P1014" s="14" t="str">
        <f>IF(D1014&gt;=Assumptions!$P$169,"High",IF(D1014&gt;=Assumptions!$AH$169,"Mid",IF(D1014&lt;=Assumptions!$G$169,"Low","Loading")))</f>
        <v>High</v>
      </c>
      <c r="Q1014" s="46">
        <f>MAX(K1014,MIN(Assumptions!$S$169,O1014),Q1015)</f>
        <v>3074</v>
      </c>
      <c r="R1014" s="12">
        <f>IF(AND(Q1014&lt;=K1014,INDEX(Assumptions!$C$26:$C$36,MATCH(G1014,Assumptions!$A$26:$A$36,0))&lt;&gt;""),INDEX(Assumptions!$C$26:$C$36,MATCH(G1014,Assumptions!$A$26:$A$36,0)),ROUND(G1014*Q1014,-2))</f>
        <v>2084200</v>
      </c>
      <c r="S1014" s="47" t="str">
        <f>TRIM(IF(AND(Assumptions!$L$169&lt;&gt;"",D1014&lt;Assumptions!$L$169),"View blocked / roof in front ("&amp;Assumptions!$M$169&amp;"); view premium still loading until L"&amp;Assumptions!$L$169&amp;". ","")&amp;IF(D1014=Assumptions!$AH$169,"Mid-floor view premium fully loaded. ","")&amp;IF(D1014=Assumptions!$P$169,"High-floor view premium fully loaded. ","")&amp;IF(Q1014&lt;=K1014,"At developer starting price.",""))</f>
        <v/>
      </c>
      <c r="T1014" s="48" t="str">
        <f>Assumptions!$AJ$169</f>
        <v>SSW. Infinity pool view; landed + nature reserve from mid floor</v>
      </c>
    </row>
    <row r="1015" spans="1:20" x14ac:dyDescent="0.2">
      <c r="A1015" s="13" t="s">
        <v>1184</v>
      </c>
      <c r="B1015" s="14">
        <v>9</v>
      </c>
      <c r="C1015" s="40">
        <v>43</v>
      </c>
      <c r="D1015" s="40">
        <v>19</v>
      </c>
      <c r="E1015" s="9" t="s">
        <v>43</v>
      </c>
      <c r="F1015" s="14" t="s">
        <v>1182</v>
      </c>
      <c r="G1015" s="10">
        <v>678</v>
      </c>
      <c r="H1015" s="14" t="s">
        <v>62</v>
      </c>
      <c r="I1015" s="41" t="str">
        <f>Assumptions!$I$169</f>
        <v>B</v>
      </c>
      <c r="J1015" s="14" t="str">
        <f>IF(D1015&lt;=Assumptions!$V$169,"Low",IF(D1015&lt;=Assumptions!$W$169,"Mid","High"))</f>
        <v>High</v>
      </c>
      <c r="K1015" s="15">
        <f>Assumptions!$Q$169</f>
        <v>2613</v>
      </c>
      <c r="L1015" s="42">
        <f>INDEX(Assumptions!$C$61:$C$90,D1015)</f>
        <v>3005.2928571428574</v>
      </c>
      <c r="M1015" s="43">
        <f>IF(D1015&lt;=Assumptions!$G$169,Assumptions!$AK$169,IF(D1015&lt;Assumptions!$AH$169,Assumptions!$AK$169+(Assumptions!$AL$169-Assumptions!$AK$169)*(D1015-Assumptions!$G$169)/(Assumptions!$AH$169-Assumptions!$G$169),IF(D1015&lt;Assumptions!$P$169,Assumptions!$AL$169+(Assumptions!$AM$169-Assumptions!$AL$169)*(D1015-Assumptions!$AH$169)/(Assumptions!$P$169-Assumptions!$AH$169),Assumptions!$AM$169)))</f>
        <v>31250</v>
      </c>
      <c r="N1015" s="44">
        <f t="shared" si="30"/>
        <v>46.091445427728615</v>
      </c>
      <c r="O1015" s="45">
        <f t="shared" si="31"/>
        <v>3051</v>
      </c>
      <c r="P1015" s="14" t="str">
        <f>IF(D1015&gt;=Assumptions!$P$169,"High",IF(D1015&gt;=Assumptions!$AH$169,"Mid",IF(D1015&lt;=Assumptions!$G$169,"Low","Loading")))</f>
        <v>High</v>
      </c>
      <c r="Q1015" s="46">
        <f>MAX(K1015,MIN(Assumptions!$S$169,O1015),Q1016)</f>
        <v>3051</v>
      </c>
      <c r="R1015" s="12">
        <f>IF(AND(Q1015&lt;=K1015,INDEX(Assumptions!$C$26:$C$36,MATCH(G1015,Assumptions!$A$26:$A$36,0))&lt;&gt;""),INDEX(Assumptions!$C$26:$C$36,MATCH(G1015,Assumptions!$A$26:$A$36,0)),ROUND(G1015*Q1015,-2))</f>
        <v>2068600</v>
      </c>
      <c r="S1015" s="47" t="str">
        <f>TRIM(IF(AND(Assumptions!$L$169&lt;&gt;"",D1015&lt;Assumptions!$L$169),"View blocked / roof in front ("&amp;Assumptions!$M$169&amp;"); view premium still loading until L"&amp;Assumptions!$L$169&amp;". ","")&amp;IF(D1015=Assumptions!$AH$169,"Mid-floor view premium fully loaded. ","")&amp;IF(D1015=Assumptions!$P$169,"High-floor view premium fully loaded. ","")&amp;IF(Q1015&lt;=K1015,"At developer starting price.",""))</f>
        <v/>
      </c>
      <c r="T1015" s="48" t="str">
        <f>Assumptions!$AJ$169</f>
        <v>SSW. Infinity pool view; landed + nature reserve from mid floor</v>
      </c>
    </row>
    <row r="1016" spans="1:20" x14ac:dyDescent="0.2">
      <c r="A1016" s="13" t="s">
        <v>1185</v>
      </c>
      <c r="B1016" s="14">
        <v>9</v>
      </c>
      <c r="C1016" s="40">
        <v>43</v>
      </c>
      <c r="D1016" s="40">
        <v>18</v>
      </c>
      <c r="E1016" s="9" t="s">
        <v>43</v>
      </c>
      <c r="F1016" s="14" t="s">
        <v>1182</v>
      </c>
      <c r="G1016" s="10">
        <v>678</v>
      </c>
      <c r="H1016" s="14" t="s">
        <v>62</v>
      </c>
      <c r="I1016" s="41" t="str">
        <f>Assumptions!$I$169</f>
        <v>B</v>
      </c>
      <c r="J1016" s="14" t="str">
        <f>IF(D1016&lt;=Assumptions!$V$169,"Low",IF(D1016&lt;=Assumptions!$W$169,"Mid","High"))</f>
        <v>High</v>
      </c>
      <c r="K1016" s="15">
        <f>Assumptions!$Q$169</f>
        <v>2613</v>
      </c>
      <c r="L1016" s="42">
        <f>INDEX(Assumptions!$C$61:$C$90,D1016)</f>
        <v>2982.5071428571428</v>
      </c>
      <c r="M1016" s="43">
        <f>IF(D1016&lt;=Assumptions!$G$169,Assumptions!$AK$169,IF(D1016&lt;Assumptions!$AH$169,Assumptions!$AK$169+(Assumptions!$AL$169-Assumptions!$AK$169)*(D1016-Assumptions!$G$169)/(Assumptions!$AH$169-Assumptions!$G$169),IF(D1016&lt;Assumptions!$P$169,Assumptions!$AL$169+(Assumptions!$AM$169-Assumptions!$AL$169)*(D1016-Assumptions!$AH$169)/(Assumptions!$P$169-Assumptions!$AH$169),Assumptions!$AM$169)))</f>
        <v>31250</v>
      </c>
      <c r="N1016" s="44">
        <f t="shared" si="30"/>
        <v>46.091445427728615</v>
      </c>
      <c r="O1016" s="45">
        <f t="shared" si="31"/>
        <v>3029</v>
      </c>
      <c r="P1016" s="14" t="str">
        <f>IF(D1016&gt;=Assumptions!$P$169,"High",IF(D1016&gt;=Assumptions!$AH$169,"Mid",IF(D1016&lt;=Assumptions!$G$169,"Low","Loading")))</f>
        <v>High</v>
      </c>
      <c r="Q1016" s="46">
        <f>MAX(K1016,MIN(Assumptions!$S$169,O1016),Q1017)</f>
        <v>3029</v>
      </c>
      <c r="R1016" s="12">
        <f>IF(AND(Q1016&lt;=K1016,INDEX(Assumptions!$C$26:$C$36,MATCH(G1016,Assumptions!$A$26:$A$36,0))&lt;&gt;""),INDEX(Assumptions!$C$26:$C$36,MATCH(G1016,Assumptions!$A$26:$A$36,0)),ROUND(G1016*Q1016,-2))</f>
        <v>2053700</v>
      </c>
      <c r="S1016" s="47" t="str">
        <f>TRIM(IF(AND(Assumptions!$L$169&lt;&gt;"",D1016&lt;Assumptions!$L$169),"View blocked / roof in front ("&amp;Assumptions!$M$169&amp;"); view premium still loading until L"&amp;Assumptions!$L$169&amp;". ","")&amp;IF(D1016=Assumptions!$AH$169,"Mid-floor view premium fully loaded. ","")&amp;IF(D1016=Assumptions!$P$169,"High-floor view premium fully loaded. ","")&amp;IF(Q1016&lt;=K1016,"At developer starting price.",""))</f>
        <v/>
      </c>
      <c r="T1016" s="48" t="str">
        <f>Assumptions!$AJ$169</f>
        <v>SSW. Infinity pool view; landed + nature reserve from mid floor</v>
      </c>
    </row>
    <row r="1017" spans="1:20" x14ac:dyDescent="0.2">
      <c r="A1017" s="13" t="s">
        <v>1186</v>
      </c>
      <c r="B1017" s="14">
        <v>9</v>
      </c>
      <c r="C1017" s="40">
        <v>43</v>
      </c>
      <c r="D1017" s="40">
        <v>17</v>
      </c>
      <c r="E1017" s="9" t="s">
        <v>43</v>
      </c>
      <c r="F1017" s="14" t="s">
        <v>1182</v>
      </c>
      <c r="G1017" s="10">
        <v>678</v>
      </c>
      <c r="H1017" s="14" t="s">
        <v>62</v>
      </c>
      <c r="I1017" s="41" t="str">
        <f>Assumptions!$I$169</f>
        <v>B</v>
      </c>
      <c r="J1017" s="14" t="str">
        <f>IF(D1017&lt;=Assumptions!$V$169,"Low",IF(D1017&lt;=Assumptions!$W$169,"Mid","High"))</f>
        <v>High</v>
      </c>
      <c r="K1017" s="15">
        <f>Assumptions!$Q$169</f>
        <v>2613</v>
      </c>
      <c r="L1017" s="42">
        <f>INDEX(Assumptions!$C$61:$C$90,D1017)</f>
        <v>2959.7214285714285</v>
      </c>
      <c r="M1017" s="43">
        <f>IF(D1017&lt;=Assumptions!$G$169,Assumptions!$AK$169,IF(D1017&lt;Assumptions!$AH$169,Assumptions!$AK$169+(Assumptions!$AL$169-Assumptions!$AK$169)*(D1017-Assumptions!$G$169)/(Assumptions!$AH$169-Assumptions!$G$169),IF(D1017&lt;Assumptions!$P$169,Assumptions!$AL$169+(Assumptions!$AM$169-Assumptions!$AL$169)*(D1017-Assumptions!$AH$169)/(Assumptions!$P$169-Assumptions!$AH$169),Assumptions!$AM$169)))</f>
        <v>31250</v>
      </c>
      <c r="N1017" s="44">
        <f t="shared" si="30"/>
        <v>46.091445427728615</v>
      </c>
      <c r="O1017" s="45">
        <f t="shared" si="31"/>
        <v>3006</v>
      </c>
      <c r="P1017" s="14" t="str">
        <f>IF(D1017&gt;=Assumptions!$P$169,"High",IF(D1017&gt;=Assumptions!$AH$169,"Mid",IF(D1017&lt;=Assumptions!$G$169,"Low","Loading")))</f>
        <v>High</v>
      </c>
      <c r="Q1017" s="46">
        <f>MAX(K1017,MIN(Assumptions!$S$169,O1017),Q1018)</f>
        <v>3006</v>
      </c>
      <c r="R1017" s="12">
        <f>IF(AND(Q1017&lt;=K1017,INDEX(Assumptions!$C$26:$C$36,MATCH(G1017,Assumptions!$A$26:$A$36,0))&lt;&gt;""),INDEX(Assumptions!$C$26:$C$36,MATCH(G1017,Assumptions!$A$26:$A$36,0)),ROUND(G1017*Q1017,-2))</f>
        <v>2038100</v>
      </c>
      <c r="S1017" s="47" t="str">
        <f>TRIM(IF(AND(Assumptions!$L$169&lt;&gt;"",D1017&lt;Assumptions!$L$169),"View blocked / roof in front ("&amp;Assumptions!$M$169&amp;"); view premium still loading until L"&amp;Assumptions!$L$169&amp;". ","")&amp;IF(D1017=Assumptions!$AH$169,"Mid-floor view premium fully loaded. ","")&amp;IF(D1017=Assumptions!$P$169,"High-floor view premium fully loaded. ","")&amp;IF(Q1017&lt;=K1017,"At developer starting price.",""))</f>
        <v/>
      </c>
      <c r="T1017" s="48" t="str">
        <f>Assumptions!$AJ$169</f>
        <v>SSW. Infinity pool view; landed + nature reserve from mid floor</v>
      </c>
    </row>
    <row r="1018" spans="1:20" x14ac:dyDescent="0.2">
      <c r="A1018" s="13" t="s">
        <v>1187</v>
      </c>
      <c r="B1018" s="14">
        <v>9</v>
      </c>
      <c r="C1018" s="40">
        <v>43</v>
      </c>
      <c r="D1018" s="40">
        <v>16</v>
      </c>
      <c r="E1018" s="9" t="s">
        <v>43</v>
      </c>
      <c r="F1018" s="14" t="s">
        <v>1182</v>
      </c>
      <c r="G1018" s="10">
        <v>678</v>
      </c>
      <c r="H1018" s="14" t="s">
        <v>62</v>
      </c>
      <c r="I1018" s="41" t="str">
        <f>Assumptions!$I$169</f>
        <v>B</v>
      </c>
      <c r="J1018" s="14" t="str">
        <f>IF(D1018&lt;=Assumptions!$V$169,"Low",IF(D1018&lt;=Assumptions!$W$169,"Mid","High"))</f>
        <v>High</v>
      </c>
      <c r="K1018" s="15">
        <f>Assumptions!$Q$169</f>
        <v>2613</v>
      </c>
      <c r="L1018" s="42">
        <f>INDEX(Assumptions!$C$61:$C$90,D1018)</f>
        <v>2936.9357142857143</v>
      </c>
      <c r="M1018" s="43">
        <f>IF(D1018&lt;=Assumptions!$G$169,Assumptions!$AK$169,IF(D1018&lt;Assumptions!$AH$169,Assumptions!$AK$169+(Assumptions!$AL$169-Assumptions!$AK$169)*(D1018-Assumptions!$G$169)/(Assumptions!$AH$169-Assumptions!$G$169),IF(D1018&lt;Assumptions!$P$169,Assumptions!$AL$169+(Assumptions!$AM$169-Assumptions!$AL$169)*(D1018-Assumptions!$AH$169)/(Assumptions!$P$169-Assumptions!$AH$169),Assumptions!$AM$169)))</f>
        <v>31250</v>
      </c>
      <c r="N1018" s="44">
        <f t="shared" si="30"/>
        <v>46.091445427728615</v>
      </c>
      <c r="O1018" s="45">
        <f t="shared" si="31"/>
        <v>2983</v>
      </c>
      <c r="P1018" s="14" t="str">
        <f>IF(D1018&gt;=Assumptions!$P$169,"High",IF(D1018&gt;=Assumptions!$AH$169,"Mid",IF(D1018&lt;=Assumptions!$G$169,"Low","Loading")))</f>
        <v>High</v>
      </c>
      <c r="Q1018" s="46">
        <f>MAX(K1018,MIN(Assumptions!$S$169,O1018),Q1019)</f>
        <v>2983</v>
      </c>
      <c r="R1018" s="12">
        <f>IF(AND(Q1018&lt;=K1018,INDEX(Assumptions!$C$26:$C$36,MATCH(G1018,Assumptions!$A$26:$A$36,0))&lt;&gt;""),INDEX(Assumptions!$C$26:$C$36,MATCH(G1018,Assumptions!$A$26:$A$36,0)),ROUND(G1018*Q1018,-2))</f>
        <v>2022500</v>
      </c>
      <c r="S1018" s="47" t="str">
        <f>TRIM(IF(AND(Assumptions!$L$169&lt;&gt;"",D1018&lt;Assumptions!$L$169),"View blocked / roof in front ("&amp;Assumptions!$M$169&amp;"); view premium still loading until L"&amp;Assumptions!$L$169&amp;". ","")&amp;IF(D1018=Assumptions!$AH$169,"Mid-floor view premium fully loaded. ","")&amp;IF(D1018=Assumptions!$P$169,"High-floor view premium fully loaded. ","")&amp;IF(Q1018&lt;=K1018,"At developer starting price.",""))</f>
        <v>High-floor view premium fully loaded.</v>
      </c>
      <c r="T1018" s="48" t="str">
        <f>Assumptions!$AJ$169</f>
        <v>SSW. Infinity pool view; landed + nature reserve from mid floor</v>
      </c>
    </row>
    <row r="1019" spans="1:20" x14ac:dyDescent="0.2">
      <c r="A1019" s="13" t="s">
        <v>1188</v>
      </c>
      <c r="B1019" s="14">
        <v>9</v>
      </c>
      <c r="C1019" s="40">
        <v>43</v>
      </c>
      <c r="D1019" s="40">
        <v>15</v>
      </c>
      <c r="E1019" s="9" t="s">
        <v>43</v>
      </c>
      <c r="F1019" s="14" t="s">
        <v>1182</v>
      </c>
      <c r="G1019" s="10">
        <v>678</v>
      </c>
      <c r="H1019" s="14" t="s">
        <v>62</v>
      </c>
      <c r="I1019" s="41" t="str">
        <f>Assumptions!$I$169</f>
        <v>B</v>
      </c>
      <c r="J1019" s="14" t="str">
        <f>IF(D1019&lt;=Assumptions!$V$169,"Low",IF(D1019&lt;=Assumptions!$W$169,"Mid","High"))</f>
        <v>Mid</v>
      </c>
      <c r="K1019" s="15">
        <f>Assumptions!$Q$169</f>
        <v>2613</v>
      </c>
      <c r="L1019" s="42">
        <f>INDEX(Assumptions!$C$61:$C$90,D1019)</f>
        <v>2914.15</v>
      </c>
      <c r="M1019" s="43">
        <f>IF(D1019&lt;=Assumptions!$G$169,Assumptions!$AK$169,IF(D1019&lt;Assumptions!$AH$169,Assumptions!$AK$169+(Assumptions!$AL$169-Assumptions!$AK$169)*(D1019-Assumptions!$G$169)/(Assumptions!$AH$169-Assumptions!$G$169),IF(D1019&lt;Assumptions!$P$169,Assumptions!$AL$169+(Assumptions!$AM$169-Assumptions!$AL$169)*(D1019-Assumptions!$AH$169)/(Assumptions!$P$169-Assumptions!$AH$169),Assumptions!$AM$169)))</f>
        <v>32552.083333333336</v>
      </c>
      <c r="N1019" s="44">
        <f t="shared" si="30"/>
        <v>48.011922320550646</v>
      </c>
      <c r="O1019" s="45">
        <f t="shared" si="31"/>
        <v>2962</v>
      </c>
      <c r="P1019" s="14" t="str">
        <f>IF(D1019&gt;=Assumptions!$P$169,"High",IF(D1019&gt;=Assumptions!$AH$169,"Mid",IF(D1019&lt;=Assumptions!$G$169,"Low","Loading")))</f>
        <v>Mid</v>
      </c>
      <c r="Q1019" s="46">
        <f>MAX(K1019,MIN(Assumptions!$S$169,O1019),Q1020)</f>
        <v>2962</v>
      </c>
      <c r="R1019" s="12">
        <f>IF(AND(Q1019&lt;=K1019,INDEX(Assumptions!$C$26:$C$36,MATCH(G1019,Assumptions!$A$26:$A$36,0))&lt;&gt;""),INDEX(Assumptions!$C$26:$C$36,MATCH(G1019,Assumptions!$A$26:$A$36,0)),ROUND(G1019*Q1019,-2))</f>
        <v>2008200</v>
      </c>
      <c r="S1019" s="47" t="str">
        <f>TRIM(IF(AND(Assumptions!$L$169&lt;&gt;"",D1019&lt;Assumptions!$L$169),"View blocked / roof in front ("&amp;Assumptions!$M$169&amp;"); view premium still loading until L"&amp;Assumptions!$L$169&amp;". ","")&amp;IF(D1019=Assumptions!$AH$169,"Mid-floor view premium fully loaded. ","")&amp;IF(D1019=Assumptions!$P$169,"High-floor view premium fully loaded. ","")&amp;IF(Q1019&lt;=K1019,"At developer starting price.",""))</f>
        <v/>
      </c>
      <c r="T1019" s="48" t="str">
        <f>Assumptions!$AJ$169</f>
        <v>SSW. Infinity pool view; landed + nature reserve from mid floor</v>
      </c>
    </row>
    <row r="1020" spans="1:20" x14ac:dyDescent="0.2">
      <c r="A1020" s="13" t="s">
        <v>1189</v>
      </c>
      <c r="B1020" s="14">
        <v>9</v>
      </c>
      <c r="C1020" s="40">
        <v>43</v>
      </c>
      <c r="D1020" s="40">
        <v>14</v>
      </c>
      <c r="E1020" s="9" t="s">
        <v>43</v>
      </c>
      <c r="F1020" s="14" t="s">
        <v>1182</v>
      </c>
      <c r="G1020" s="10">
        <v>678</v>
      </c>
      <c r="H1020" s="14" t="s">
        <v>62</v>
      </c>
      <c r="I1020" s="41" t="str">
        <f>Assumptions!$I$169</f>
        <v>B</v>
      </c>
      <c r="J1020" s="14" t="str">
        <f>IF(D1020&lt;=Assumptions!$V$169,"Low",IF(D1020&lt;=Assumptions!$W$169,"Mid","High"))</f>
        <v>Mid</v>
      </c>
      <c r="K1020" s="15">
        <f>Assumptions!$Q$169</f>
        <v>2613</v>
      </c>
      <c r="L1020" s="42">
        <f>INDEX(Assumptions!$C$61:$C$90,D1020)</f>
        <v>2891.3642857142859</v>
      </c>
      <c r="M1020" s="43">
        <f>IF(D1020&lt;=Assumptions!$G$169,Assumptions!$AK$169,IF(D1020&lt;Assumptions!$AH$169,Assumptions!$AK$169+(Assumptions!$AL$169-Assumptions!$AK$169)*(D1020-Assumptions!$G$169)/(Assumptions!$AH$169-Assumptions!$G$169),IF(D1020&lt;Assumptions!$P$169,Assumptions!$AL$169+(Assumptions!$AM$169-Assumptions!$AL$169)*(D1020-Assumptions!$AH$169)/(Assumptions!$P$169-Assumptions!$AH$169),Assumptions!$AM$169)))</f>
        <v>33854.166666666672</v>
      </c>
      <c r="N1020" s="44">
        <f t="shared" si="30"/>
        <v>49.932399213372669</v>
      </c>
      <c r="O1020" s="45">
        <f t="shared" si="31"/>
        <v>2941</v>
      </c>
      <c r="P1020" s="14" t="str">
        <f>IF(D1020&gt;=Assumptions!$P$169,"High",IF(D1020&gt;=Assumptions!$AH$169,"Mid",IF(D1020&lt;=Assumptions!$G$169,"Low","Loading")))</f>
        <v>Mid</v>
      </c>
      <c r="Q1020" s="46">
        <f>MAX(K1020,MIN(Assumptions!$S$169,O1020),Q1021)</f>
        <v>2941</v>
      </c>
      <c r="R1020" s="12">
        <f>IF(AND(Q1020&lt;=K1020,INDEX(Assumptions!$C$26:$C$36,MATCH(G1020,Assumptions!$A$26:$A$36,0))&lt;&gt;""),INDEX(Assumptions!$C$26:$C$36,MATCH(G1020,Assumptions!$A$26:$A$36,0)),ROUND(G1020*Q1020,-2))</f>
        <v>1994000</v>
      </c>
      <c r="S1020" s="47" t="str">
        <f>TRIM(IF(AND(Assumptions!$L$169&lt;&gt;"",D1020&lt;Assumptions!$L$169),"View blocked / roof in front ("&amp;Assumptions!$M$169&amp;"); view premium still loading until L"&amp;Assumptions!$L$169&amp;". ","")&amp;IF(D1020=Assumptions!$AH$169,"Mid-floor view premium fully loaded. ","")&amp;IF(D1020=Assumptions!$P$169,"High-floor view premium fully loaded. ","")&amp;IF(Q1020&lt;=K1020,"At developer starting price.",""))</f>
        <v/>
      </c>
      <c r="T1020" s="48" t="str">
        <f>Assumptions!$AJ$169</f>
        <v>SSW. Infinity pool view; landed + nature reserve from mid floor</v>
      </c>
    </row>
    <row r="1021" spans="1:20" x14ac:dyDescent="0.2">
      <c r="A1021" s="13" t="s">
        <v>1190</v>
      </c>
      <c r="B1021" s="14">
        <v>9</v>
      </c>
      <c r="C1021" s="40">
        <v>43</v>
      </c>
      <c r="D1021" s="40">
        <v>13</v>
      </c>
      <c r="E1021" s="9" t="s">
        <v>43</v>
      </c>
      <c r="F1021" s="14" t="s">
        <v>1182</v>
      </c>
      <c r="G1021" s="10">
        <v>678</v>
      </c>
      <c r="H1021" s="14" t="s">
        <v>62</v>
      </c>
      <c r="I1021" s="41" t="str">
        <f>Assumptions!$I$169</f>
        <v>B</v>
      </c>
      <c r="J1021" s="14" t="str">
        <f>IF(D1021&lt;=Assumptions!$V$169,"Low",IF(D1021&lt;=Assumptions!$W$169,"Mid","High"))</f>
        <v>Mid</v>
      </c>
      <c r="K1021" s="15">
        <f>Assumptions!$Q$169</f>
        <v>2613</v>
      </c>
      <c r="L1021" s="42">
        <f>INDEX(Assumptions!$C$61:$C$90,D1021)</f>
        <v>2868.5785714285716</v>
      </c>
      <c r="M1021" s="43">
        <f>IF(D1021&lt;=Assumptions!$G$169,Assumptions!$AK$169,IF(D1021&lt;Assumptions!$AH$169,Assumptions!$AK$169+(Assumptions!$AL$169-Assumptions!$AK$169)*(D1021-Assumptions!$G$169)/(Assumptions!$AH$169-Assumptions!$G$169),IF(D1021&lt;Assumptions!$P$169,Assumptions!$AL$169+(Assumptions!$AM$169-Assumptions!$AL$169)*(D1021-Assumptions!$AH$169)/(Assumptions!$P$169-Assumptions!$AH$169),Assumptions!$AM$169)))</f>
        <v>35156.25</v>
      </c>
      <c r="N1021" s="44">
        <f t="shared" si="30"/>
        <v>51.852876106194692</v>
      </c>
      <c r="O1021" s="45">
        <f t="shared" si="31"/>
        <v>2920</v>
      </c>
      <c r="P1021" s="14" t="str">
        <f>IF(D1021&gt;=Assumptions!$P$169,"High",IF(D1021&gt;=Assumptions!$AH$169,"Mid",IF(D1021&lt;=Assumptions!$G$169,"Low","Loading")))</f>
        <v>Mid</v>
      </c>
      <c r="Q1021" s="46">
        <f>MAX(K1021,MIN(Assumptions!$S$169,O1021),Q1022)</f>
        <v>2920</v>
      </c>
      <c r="R1021" s="12">
        <f>IF(AND(Q1021&lt;=K1021,INDEX(Assumptions!$C$26:$C$36,MATCH(G1021,Assumptions!$A$26:$A$36,0))&lt;&gt;""),INDEX(Assumptions!$C$26:$C$36,MATCH(G1021,Assumptions!$A$26:$A$36,0)),ROUND(G1021*Q1021,-2))</f>
        <v>1979800</v>
      </c>
      <c r="S1021" s="47" t="str">
        <f>TRIM(IF(AND(Assumptions!$L$169&lt;&gt;"",D1021&lt;Assumptions!$L$169),"View blocked / roof in front ("&amp;Assumptions!$M$169&amp;"); view premium still loading until L"&amp;Assumptions!$L$169&amp;". ","")&amp;IF(D1021=Assumptions!$AH$169,"Mid-floor view premium fully loaded. ","")&amp;IF(D1021=Assumptions!$P$169,"High-floor view premium fully loaded. ","")&amp;IF(Q1021&lt;=K1021,"At developer starting price.",""))</f>
        <v/>
      </c>
      <c r="T1021" s="48" t="str">
        <f>Assumptions!$AJ$169</f>
        <v>SSW. Infinity pool view; landed + nature reserve from mid floor</v>
      </c>
    </row>
    <row r="1022" spans="1:20" x14ac:dyDescent="0.2">
      <c r="A1022" s="13" t="s">
        <v>1191</v>
      </c>
      <c r="B1022" s="14">
        <v>9</v>
      </c>
      <c r="C1022" s="40">
        <v>43</v>
      </c>
      <c r="D1022" s="40">
        <v>12</v>
      </c>
      <c r="E1022" s="9" t="s">
        <v>43</v>
      </c>
      <c r="F1022" s="14" t="s">
        <v>1182</v>
      </c>
      <c r="G1022" s="10">
        <v>678</v>
      </c>
      <c r="H1022" s="14" t="s">
        <v>62</v>
      </c>
      <c r="I1022" s="41" t="str">
        <f>Assumptions!$I$169</f>
        <v>B</v>
      </c>
      <c r="J1022" s="14" t="str">
        <f>IF(D1022&lt;=Assumptions!$V$169,"Low",IF(D1022&lt;=Assumptions!$W$169,"Mid","High"))</f>
        <v>Mid</v>
      </c>
      <c r="K1022" s="15">
        <f>Assumptions!$Q$169</f>
        <v>2613</v>
      </c>
      <c r="L1022" s="42">
        <f>INDEX(Assumptions!$C$61:$C$90,D1022)</f>
        <v>2845.7928571428574</v>
      </c>
      <c r="M1022" s="43">
        <f>IF(D1022&lt;=Assumptions!$G$169,Assumptions!$AK$169,IF(D1022&lt;Assumptions!$AH$169,Assumptions!$AK$169+(Assumptions!$AL$169-Assumptions!$AK$169)*(D1022-Assumptions!$G$169)/(Assumptions!$AH$169-Assumptions!$G$169),IF(D1022&lt;Assumptions!$P$169,Assumptions!$AL$169+(Assumptions!$AM$169-Assumptions!$AL$169)*(D1022-Assumptions!$AH$169)/(Assumptions!$P$169-Assumptions!$AH$169),Assumptions!$AM$169)))</f>
        <v>36458.333333333336</v>
      </c>
      <c r="N1022" s="44">
        <f t="shared" si="30"/>
        <v>53.773352999016723</v>
      </c>
      <c r="O1022" s="45">
        <f t="shared" si="31"/>
        <v>2900</v>
      </c>
      <c r="P1022" s="14" t="str">
        <f>IF(D1022&gt;=Assumptions!$P$169,"High",IF(D1022&gt;=Assumptions!$AH$169,"Mid",IF(D1022&lt;=Assumptions!$G$169,"Low","Loading")))</f>
        <v>Mid</v>
      </c>
      <c r="Q1022" s="46">
        <f>MAX(K1022,MIN(Assumptions!$S$169,O1022),Q1023)</f>
        <v>2900</v>
      </c>
      <c r="R1022" s="12">
        <f>IF(AND(Q1022&lt;=K1022,INDEX(Assumptions!$C$26:$C$36,MATCH(G1022,Assumptions!$A$26:$A$36,0))&lt;&gt;""),INDEX(Assumptions!$C$26:$C$36,MATCH(G1022,Assumptions!$A$26:$A$36,0)),ROUND(G1022*Q1022,-2))</f>
        <v>1966200</v>
      </c>
      <c r="S1022" s="47" t="str">
        <f>TRIM(IF(AND(Assumptions!$L$169&lt;&gt;"",D1022&lt;Assumptions!$L$169),"View blocked / roof in front ("&amp;Assumptions!$M$169&amp;"); view premium still loading until L"&amp;Assumptions!$L$169&amp;". ","")&amp;IF(D1022=Assumptions!$AH$169,"Mid-floor view premium fully loaded. ","")&amp;IF(D1022=Assumptions!$P$169,"High-floor view premium fully loaded. ","")&amp;IF(Q1022&lt;=K1022,"At developer starting price.",""))</f>
        <v/>
      </c>
      <c r="T1022" s="48" t="str">
        <f>Assumptions!$AJ$169</f>
        <v>SSW. Infinity pool view; landed + nature reserve from mid floor</v>
      </c>
    </row>
    <row r="1023" spans="1:20" x14ac:dyDescent="0.2">
      <c r="A1023" s="13" t="s">
        <v>1192</v>
      </c>
      <c r="B1023" s="14">
        <v>9</v>
      </c>
      <c r="C1023" s="40">
        <v>43</v>
      </c>
      <c r="D1023" s="40">
        <v>11</v>
      </c>
      <c r="E1023" s="9" t="s">
        <v>43</v>
      </c>
      <c r="F1023" s="14" t="s">
        <v>1182</v>
      </c>
      <c r="G1023" s="10">
        <v>678</v>
      </c>
      <c r="H1023" s="14" t="s">
        <v>62</v>
      </c>
      <c r="I1023" s="41" t="str">
        <f>Assumptions!$I$169</f>
        <v>B</v>
      </c>
      <c r="J1023" s="14" t="str">
        <f>IF(D1023&lt;=Assumptions!$V$169,"Low",IF(D1023&lt;=Assumptions!$W$169,"Mid","High"))</f>
        <v>Mid</v>
      </c>
      <c r="K1023" s="15">
        <f>Assumptions!$Q$169</f>
        <v>2613</v>
      </c>
      <c r="L1023" s="42">
        <f>INDEX(Assumptions!$C$61:$C$90,D1023)</f>
        <v>2826.6287532991773</v>
      </c>
      <c r="M1023" s="43">
        <f>IF(D1023&lt;=Assumptions!$G$169,Assumptions!$AK$169,IF(D1023&lt;Assumptions!$AH$169,Assumptions!$AK$169+(Assumptions!$AL$169-Assumptions!$AK$169)*(D1023-Assumptions!$G$169)/(Assumptions!$AH$169-Assumptions!$G$169),IF(D1023&lt;Assumptions!$P$169,Assumptions!$AL$169+(Assumptions!$AM$169-Assumptions!$AL$169)*(D1023-Assumptions!$AH$169)/(Assumptions!$P$169-Assumptions!$AH$169),Assumptions!$AM$169)))</f>
        <v>37760.416666666672</v>
      </c>
      <c r="N1023" s="44">
        <f t="shared" si="30"/>
        <v>55.693829891838746</v>
      </c>
      <c r="O1023" s="45">
        <f t="shared" si="31"/>
        <v>2882</v>
      </c>
      <c r="P1023" s="14" t="str">
        <f>IF(D1023&gt;=Assumptions!$P$169,"High",IF(D1023&gt;=Assumptions!$AH$169,"Mid",IF(D1023&lt;=Assumptions!$G$169,"Low","Loading")))</f>
        <v>Mid</v>
      </c>
      <c r="Q1023" s="46">
        <f>MAX(K1023,MIN(Assumptions!$S$169,O1023),Q1024)</f>
        <v>2882</v>
      </c>
      <c r="R1023" s="12">
        <f>IF(AND(Q1023&lt;=K1023,INDEX(Assumptions!$C$26:$C$36,MATCH(G1023,Assumptions!$A$26:$A$36,0))&lt;&gt;""),INDEX(Assumptions!$C$26:$C$36,MATCH(G1023,Assumptions!$A$26:$A$36,0)),ROUND(G1023*Q1023,-2))</f>
        <v>1954000</v>
      </c>
      <c r="S1023" s="47" t="str">
        <f>TRIM(IF(AND(Assumptions!$L$169&lt;&gt;"",D1023&lt;Assumptions!$L$169),"View blocked / roof in front ("&amp;Assumptions!$M$169&amp;"); view premium still loading until L"&amp;Assumptions!$L$169&amp;". ","")&amp;IF(D1023=Assumptions!$AH$169,"Mid-floor view premium fully loaded. ","")&amp;IF(D1023=Assumptions!$P$169,"High-floor view premium fully loaded. ","")&amp;IF(Q1023&lt;=K1023,"At developer starting price.",""))</f>
        <v/>
      </c>
      <c r="T1023" s="48" t="str">
        <f>Assumptions!$AJ$169</f>
        <v>SSW. Infinity pool view; landed + nature reserve from mid floor</v>
      </c>
    </row>
    <row r="1024" spans="1:20" x14ac:dyDescent="0.2">
      <c r="A1024" s="13" t="s">
        <v>1193</v>
      </c>
      <c r="B1024" s="14">
        <v>9</v>
      </c>
      <c r="C1024" s="40">
        <v>43</v>
      </c>
      <c r="D1024" s="40">
        <v>10</v>
      </c>
      <c r="E1024" s="9" t="s">
        <v>43</v>
      </c>
      <c r="F1024" s="14" t="s">
        <v>1182</v>
      </c>
      <c r="G1024" s="10">
        <v>678</v>
      </c>
      <c r="H1024" s="14" t="s">
        <v>62</v>
      </c>
      <c r="I1024" s="41" t="str">
        <f>Assumptions!$I$169</f>
        <v>B</v>
      </c>
      <c r="J1024" s="14" t="str">
        <f>IF(D1024&lt;=Assumptions!$V$169,"Low",IF(D1024&lt;=Assumptions!$W$169,"Mid","High"))</f>
        <v>Mid</v>
      </c>
      <c r="K1024" s="15">
        <f>Assumptions!$Q$169</f>
        <v>2613</v>
      </c>
      <c r="L1024" s="42">
        <f>INDEX(Assumptions!$C$61:$C$90,D1024)</f>
        <v>2811.0862598975314</v>
      </c>
      <c r="M1024" s="43">
        <f>IF(D1024&lt;=Assumptions!$G$169,Assumptions!$AK$169,IF(D1024&lt;Assumptions!$AH$169,Assumptions!$AK$169+(Assumptions!$AL$169-Assumptions!$AK$169)*(D1024-Assumptions!$G$169)/(Assumptions!$AH$169-Assumptions!$G$169),IF(D1024&lt;Assumptions!$P$169,Assumptions!$AL$169+(Assumptions!$AM$169-Assumptions!$AL$169)*(D1024-Assumptions!$AH$169)/(Assumptions!$P$169-Assumptions!$AH$169),Assumptions!$AM$169)))</f>
        <v>39062.5</v>
      </c>
      <c r="N1024" s="44">
        <f t="shared" si="30"/>
        <v>57.614306784660769</v>
      </c>
      <c r="O1024" s="45">
        <f t="shared" si="31"/>
        <v>2869</v>
      </c>
      <c r="P1024" s="14" t="str">
        <f>IF(D1024&gt;=Assumptions!$P$169,"High",IF(D1024&gt;=Assumptions!$AH$169,"Mid",IF(D1024&lt;=Assumptions!$G$169,"Low","Loading")))</f>
        <v>Mid</v>
      </c>
      <c r="Q1024" s="46">
        <f>MAX(K1024,MIN(Assumptions!$S$169,O1024),Q1025)</f>
        <v>2869</v>
      </c>
      <c r="R1024" s="12">
        <f>IF(AND(Q1024&lt;=K1024,INDEX(Assumptions!$C$26:$C$36,MATCH(G1024,Assumptions!$A$26:$A$36,0))&lt;&gt;""),INDEX(Assumptions!$C$26:$C$36,MATCH(G1024,Assumptions!$A$26:$A$36,0)),ROUND(G1024*Q1024,-2))</f>
        <v>1945200</v>
      </c>
      <c r="S1024" s="47" t="str">
        <f>TRIM(IF(AND(Assumptions!$L$169&lt;&gt;"",D1024&lt;Assumptions!$L$169),"View blocked / roof in front ("&amp;Assumptions!$M$169&amp;"); view premium still loading until L"&amp;Assumptions!$L$169&amp;". ","")&amp;IF(D1024=Assumptions!$AH$169,"Mid-floor view premium fully loaded. ","")&amp;IF(D1024=Assumptions!$P$169,"High-floor view premium fully loaded. ","")&amp;IF(Q1024&lt;=K1024,"At developer starting price.",""))</f>
        <v/>
      </c>
      <c r="T1024" s="48" t="str">
        <f>Assumptions!$AJ$169</f>
        <v>SSW. Infinity pool view; landed + nature reserve from mid floor</v>
      </c>
    </row>
    <row r="1025" spans="1:20" x14ac:dyDescent="0.2">
      <c r="A1025" s="13" t="s">
        <v>1194</v>
      </c>
      <c r="B1025" s="14">
        <v>9</v>
      </c>
      <c r="C1025" s="40">
        <v>43</v>
      </c>
      <c r="D1025" s="40">
        <v>9</v>
      </c>
      <c r="E1025" s="9" t="s">
        <v>43</v>
      </c>
      <c r="F1025" s="14" t="s">
        <v>1182</v>
      </c>
      <c r="G1025" s="10">
        <v>678</v>
      </c>
      <c r="H1025" s="14" t="s">
        <v>62</v>
      </c>
      <c r="I1025" s="41" t="str">
        <f>Assumptions!$I$169</f>
        <v>B</v>
      </c>
      <c r="J1025" s="14" t="str">
        <f>IF(D1025&lt;=Assumptions!$V$169,"Low",IF(D1025&lt;=Assumptions!$W$169,"Mid","High"))</f>
        <v>Mid</v>
      </c>
      <c r="K1025" s="15">
        <f>Assumptions!$Q$169</f>
        <v>2613</v>
      </c>
      <c r="L1025" s="42">
        <f>INDEX(Assumptions!$C$61:$C$90,D1025)</f>
        <v>2795.5437664958858</v>
      </c>
      <c r="M1025" s="43">
        <f>IF(D1025&lt;=Assumptions!$G$169,Assumptions!$AK$169,IF(D1025&lt;Assumptions!$AH$169,Assumptions!$AK$169+(Assumptions!$AL$169-Assumptions!$AK$169)*(D1025-Assumptions!$G$169)/(Assumptions!$AH$169-Assumptions!$G$169),IF(D1025&lt;Assumptions!$P$169,Assumptions!$AL$169+(Assumptions!$AM$169-Assumptions!$AL$169)*(D1025-Assumptions!$AH$169)/(Assumptions!$P$169-Assumptions!$AH$169),Assumptions!$AM$169)))</f>
        <v>40364.583333333336</v>
      </c>
      <c r="N1025" s="44">
        <f t="shared" si="30"/>
        <v>59.5347836774828</v>
      </c>
      <c r="O1025" s="45">
        <f t="shared" si="31"/>
        <v>2855</v>
      </c>
      <c r="P1025" s="14" t="str">
        <f>IF(D1025&gt;=Assumptions!$P$169,"High",IF(D1025&gt;=Assumptions!$AH$169,"Mid",IF(D1025&lt;=Assumptions!$G$169,"Low","Loading")))</f>
        <v>Mid</v>
      </c>
      <c r="Q1025" s="46">
        <f>MAX(K1025,MIN(Assumptions!$S$169,O1025),Q1026)</f>
        <v>2855</v>
      </c>
      <c r="R1025" s="12">
        <f>IF(AND(Q1025&lt;=K1025,INDEX(Assumptions!$C$26:$C$36,MATCH(G1025,Assumptions!$A$26:$A$36,0))&lt;&gt;""),INDEX(Assumptions!$C$26:$C$36,MATCH(G1025,Assumptions!$A$26:$A$36,0)),ROUND(G1025*Q1025,-2))</f>
        <v>1935700</v>
      </c>
      <c r="S1025" s="47" t="str">
        <f>TRIM(IF(AND(Assumptions!$L$169&lt;&gt;"",D1025&lt;Assumptions!$L$169),"View blocked / roof in front ("&amp;Assumptions!$M$169&amp;"); view premium still loading until L"&amp;Assumptions!$L$169&amp;". ","")&amp;IF(D1025=Assumptions!$AH$169,"Mid-floor view premium fully loaded. ","")&amp;IF(D1025=Assumptions!$P$169,"High-floor view premium fully loaded. ","")&amp;IF(Q1025&lt;=K1025,"At developer starting price.",""))</f>
        <v/>
      </c>
      <c r="T1025" s="48" t="str">
        <f>Assumptions!$AJ$169</f>
        <v>SSW. Infinity pool view; landed + nature reserve from mid floor</v>
      </c>
    </row>
    <row r="1026" spans="1:20" x14ac:dyDescent="0.2">
      <c r="A1026" s="13" t="s">
        <v>1195</v>
      </c>
      <c r="B1026" s="14">
        <v>9</v>
      </c>
      <c r="C1026" s="40">
        <v>43</v>
      </c>
      <c r="D1026" s="40">
        <v>8</v>
      </c>
      <c r="E1026" s="9" t="s">
        <v>43</v>
      </c>
      <c r="F1026" s="14" t="s">
        <v>1182</v>
      </c>
      <c r="G1026" s="10">
        <v>678</v>
      </c>
      <c r="H1026" s="14" t="s">
        <v>62</v>
      </c>
      <c r="I1026" s="41" t="str">
        <f>Assumptions!$I$169</f>
        <v>B</v>
      </c>
      <c r="J1026" s="14" t="str">
        <f>IF(D1026&lt;=Assumptions!$V$169,"Low",IF(D1026&lt;=Assumptions!$W$169,"Mid","High"))</f>
        <v>Mid</v>
      </c>
      <c r="K1026" s="15">
        <f>Assumptions!$Q$169</f>
        <v>2613</v>
      </c>
      <c r="L1026" s="42">
        <f>INDEX(Assumptions!$C$61:$C$90,D1026)</f>
        <v>2780.0012730942403</v>
      </c>
      <c r="M1026" s="43">
        <f>IF(D1026&lt;=Assumptions!$G$169,Assumptions!$AK$169,IF(D1026&lt;Assumptions!$AH$169,Assumptions!$AK$169+(Assumptions!$AL$169-Assumptions!$AK$169)*(D1026-Assumptions!$G$169)/(Assumptions!$AH$169-Assumptions!$G$169),IF(D1026&lt;Assumptions!$P$169,Assumptions!$AL$169+(Assumptions!$AM$169-Assumptions!$AL$169)*(D1026-Assumptions!$AH$169)/(Assumptions!$P$169-Assumptions!$AH$169),Assumptions!$AM$169)))</f>
        <v>41666.666666666672</v>
      </c>
      <c r="N1026" s="44">
        <f t="shared" si="30"/>
        <v>61.455260570304823</v>
      </c>
      <c r="O1026" s="45">
        <f t="shared" si="31"/>
        <v>2841</v>
      </c>
      <c r="P1026" s="14" t="str">
        <f>IF(D1026&gt;=Assumptions!$P$169,"High",IF(D1026&gt;=Assumptions!$AH$169,"Mid",IF(D1026&lt;=Assumptions!$G$169,"Low","Loading")))</f>
        <v>Mid</v>
      </c>
      <c r="Q1026" s="46">
        <f>MAX(K1026,MIN(Assumptions!$S$169,O1026),Q1027)</f>
        <v>2841</v>
      </c>
      <c r="R1026" s="12">
        <f>IF(AND(Q1026&lt;=K1026,INDEX(Assumptions!$C$26:$C$36,MATCH(G1026,Assumptions!$A$26:$A$36,0))&lt;&gt;""),INDEX(Assumptions!$C$26:$C$36,MATCH(G1026,Assumptions!$A$26:$A$36,0)),ROUND(G1026*Q1026,-2))</f>
        <v>1926200</v>
      </c>
      <c r="S1026" s="47" t="str">
        <f>TRIM(IF(AND(Assumptions!$L$169&lt;&gt;"",D1026&lt;Assumptions!$L$169),"View blocked / roof in front ("&amp;Assumptions!$M$169&amp;"); view premium still loading until L"&amp;Assumptions!$L$169&amp;". ","")&amp;IF(D1026=Assumptions!$AH$169,"Mid-floor view premium fully loaded. ","")&amp;IF(D1026=Assumptions!$P$169,"High-floor view premium fully loaded. ","")&amp;IF(Q1026&lt;=K1026,"At developer starting price.",""))</f>
        <v>Mid-floor view premium fully loaded.</v>
      </c>
      <c r="T1026" s="48" t="str">
        <f>Assumptions!$AJ$169</f>
        <v>SSW. Infinity pool view; landed + nature reserve from mid floor</v>
      </c>
    </row>
    <row r="1027" spans="1:20" x14ac:dyDescent="0.2">
      <c r="A1027" s="13" t="s">
        <v>1196</v>
      </c>
      <c r="B1027" s="14">
        <v>9</v>
      </c>
      <c r="C1027" s="40">
        <v>43</v>
      </c>
      <c r="D1027" s="40">
        <v>7</v>
      </c>
      <c r="E1027" s="9" t="s">
        <v>43</v>
      </c>
      <c r="F1027" s="14" t="s">
        <v>1182</v>
      </c>
      <c r="G1027" s="10">
        <v>678</v>
      </c>
      <c r="H1027" s="14" t="s">
        <v>62</v>
      </c>
      <c r="I1027" s="41" t="str">
        <f>Assumptions!$I$169</f>
        <v>B</v>
      </c>
      <c r="J1027" s="14" t="str">
        <f>IF(D1027&lt;=Assumptions!$V$169,"Low",IF(D1027&lt;=Assumptions!$W$169,"Mid","High"))</f>
        <v>Low</v>
      </c>
      <c r="K1027" s="15">
        <f>Assumptions!$Q$169</f>
        <v>2613</v>
      </c>
      <c r="L1027" s="42">
        <f>INDEX(Assumptions!$C$61:$C$90,D1027)</f>
        <v>2764.4587796925944</v>
      </c>
      <c r="M1027" s="43">
        <f>IF(D1027&lt;=Assumptions!$G$169,Assumptions!$AK$169,IF(D1027&lt;Assumptions!$AH$169,Assumptions!$AK$169+(Assumptions!$AL$169-Assumptions!$AK$169)*(D1027-Assumptions!$G$169)/(Assumptions!$AH$169-Assumptions!$G$169),IF(D1027&lt;Assumptions!$P$169,Assumptions!$AL$169+(Assumptions!$AM$169-Assumptions!$AL$169)*(D1027-Assumptions!$AH$169)/(Assumptions!$P$169-Assumptions!$AH$169),Assumptions!$AM$169)))</f>
        <v>43055.555555555562</v>
      </c>
      <c r="N1027" s="44">
        <f t="shared" si="30"/>
        <v>63.503769255981652</v>
      </c>
      <c r="O1027" s="45">
        <f t="shared" si="31"/>
        <v>2828</v>
      </c>
      <c r="P1027" s="14" t="str">
        <f>IF(D1027&gt;=Assumptions!$P$169,"High",IF(D1027&gt;=Assumptions!$AH$169,"Mid",IF(D1027&lt;=Assumptions!$G$169,"Low","Loading")))</f>
        <v>Loading</v>
      </c>
      <c r="Q1027" s="46">
        <f>MAX(K1027,MIN(Assumptions!$S$169,O1027),Q1028)</f>
        <v>2828</v>
      </c>
      <c r="R1027" s="12">
        <f>IF(AND(Q1027&lt;=K1027,INDEX(Assumptions!$C$26:$C$36,MATCH(G1027,Assumptions!$A$26:$A$36,0))&lt;&gt;""),INDEX(Assumptions!$C$26:$C$36,MATCH(G1027,Assumptions!$A$26:$A$36,0)),ROUND(G1027*Q1027,-2))</f>
        <v>1917400</v>
      </c>
      <c r="S1027" s="47" t="str">
        <f>TRIM(IF(AND(Assumptions!$L$169&lt;&gt;"",D1027&lt;Assumptions!$L$169),"View blocked / roof in front ("&amp;Assumptions!$M$169&amp;"); view premium still loading until L"&amp;Assumptions!$L$169&amp;". ","")&amp;IF(D1027=Assumptions!$AH$169,"Mid-floor view premium fully loaded. ","")&amp;IF(D1027=Assumptions!$P$169,"High-floor view premium fully loaded. ","")&amp;IF(Q1027&lt;=K1027,"At developer starting price.",""))</f>
        <v/>
      </c>
      <c r="T1027" s="48" t="str">
        <f>Assumptions!$AJ$169</f>
        <v>SSW. Infinity pool view; landed + nature reserve from mid floor</v>
      </c>
    </row>
    <row r="1028" spans="1:20" x14ac:dyDescent="0.2">
      <c r="A1028" s="13" t="s">
        <v>1197</v>
      </c>
      <c r="B1028" s="14">
        <v>9</v>
      </c>
      <c r="C1028" s="40">
        <v>43</v>
      </c>
      <c r="D1028" s="40">
        <v>6</v>
      </c>
      <c r="E1028" s="9" t="s">
        <v>43</v>
      </c>
      <c r="F1028" s="14" t="s">
        <v>1182</v>
      </c>
      <c r="G1028" s="10">
        <v>678</v>
      </c>
      <c r="H1028" s="14" t="s">
        <v>62</v>
      </c>
      <c r="I1028" s="41" t="str">
        <f>Assumptions!$I$169</f>
        <v>B</v>
      </c>
      <c r="J1028" s="14" t="str">
        <f>IF(D1028&lt;=Assumptions!$V$169,"Low",IF(D1028&lt;=Assumptions!$W$169,"Mid","High"))</f>
        <v>Low</v>
      </c>
      <c r="K1028" s="15">
        <f>Assumptions!$Q$169</f>
        <v>2613</v>
      </c>
      <c r="L1028" s="42">
        <f>INDEX(Assumptions!$C$61:$C$90,D1028)</f>
        <v>2748.9162862909488</v>
      </c>
      <c r="M1028" s="43">
        <f>IF(D1028&lt;=Assumptions!$G$169,Assumptions!$AK$169,IF(D1028&lt;Assumptions!$AH$169,Assumptions!$AK$169+(Assumptions!$AL$169-Assumptions!$AK$169)*(D1028-Assumptions!$G$169)/(Assumptions!$AH$169-Assumptions!$G$169),IF(D1028&lt;Assumptions!$P$169,Assumptions!$AL$169+(Assumptions!$AM$169-Assumptions!$AL$169)*(D1028-Assumptions!$AH$169)/(Assumptions!$P$169-Assumptions!$AH$169),Assumptions!$AM$169)))</f>
        <v>44444.444444444445</v>
      </c>
      <c r="N1028" s="44">
        <f t="shared" si="30"/>
        <v>65.552277941658474</v>
      </c>
      <c r="O1028" s="45">
        <f t="shared" si="31"/>
        <v>2814</v>
      </c>
      <c r="P1028" s="14" t="str">
        <f>IF(D1028&gt;=Assumptions!$P$169,"High",IF(D1028&gt;=Assumptions!$AH$169,"Mid",IF(D1028&lt;=Assumptions!$G$169,"Low","Loading")))</f>
        <v>Loading</v>
      </c>
      <c r="Q1028" s="46">
        <f>MAX(K1028,MIN(Assumptions!$S$169,O1028),Q1029)</f>
        <v>2814</v>
      </c>
      <c r="R1028" s="12">
        <f>IF(AND(Q1028&lt;=K1028,INDEX(Assumptions!$C$26:$C$36,MATCH(G1028,Assumptions!$A$26:$A$36,0))&lt;&gt;""),INDEX(Assumptions!$C$26:$C$36,MATCH(G1028,Assumptions!$A$26:$A$36,0)),ROUND(G1028*Q1028,-2))</f>
        <v>1907900</v>
      </c>
      <c r="S1028" s="47" t="str">
        <f>TRIM(IF(AND(Assumptions!$L$169&lt;&gt;"",D1028&lt;Assumptions!$L$169),"View blocked / roof in front ("&amp;Assumptions!$M$169&amp;"); view premium still loading until L"&amp;Assumptions!$L$169&amp;". ","")&amp;IF(D1028=Assumptions!$AH$169,"Mid-floor view premium fully loaded. ","")&amp;IF(D1028=Assumptions!$P$169,"High-floor view premium fully loaded. ","")&amp;IF(Q1028&lt;=K1028,"At developer starting price.",""))</f>
        <v/>
      </c>
      <c r="T1028" s="48" t="str">
        <f>Assumptions!$AJ$169</f>
        <v>SSW. Infinity pool view; landed + nature reserve from mid floor</v>
      </c>
    </row>
    <row r="1029" spans="1:20" x14ac:dyDescent="0.2">
      <c r="A1029" s="13" t="s">
        <v>1198</v>
      </c>
      <c r="B1029" s="14">
        <v>9</v>
      </c>
      <c r="C1029" s="40">
        <v>43</v>
      </c>
      <c r="D1029" s="40">
        <v>5</v>
      </c>
      <c r="E1029" s="9" t="s">
        <v>43</v>
      </c>
      <c r="F1029" s="14" t="s">
        <v>1182</v>
      </c>
      <c r="G1029" s="10">
        <v>678</v>
      </c>
      <c r="H1029" s="14" t="s">
        <v>62</v>
      </c>
      <c r="I1029" s="41" t="str">
        <f>Assumptions!$I$169</f>
        <v>B</v>
      </c>
      <c r="J1029" s="14" t="str">
        <f>IF(D1029&lt;=Assumptions!$V$169,"Low",IF(D1029&lt;=Assumptions!$W$169,"Mid","High"))</f>
        <v>Low</v>
      </c>
      <c r="K1029" s="15">
        <f>Assumptions!$Q$169</f>
        <v>2613</v>
      </c>
      <c r="L1029" s="42">
        <f>INDEX(Assumptions!$C$61:$C$90,D1029)</f>
        <v>2733.3737928893029</v>
      </c>
      <c r="M1029" s="43">
        <f>IF(D1029&lt;=Assumptions!$G$169,Assumptions!$AK$169,IF(D1029&lt;Assumptions!$AH$169,Assumptions!$AK$169+(Assumptions!$AL$169-Assumptions!$AK$169)*(D1029-Assumptions!$G$169)/(Assumptions!$AH$169-Assumptions!$G$169),IF(D1029&lt;Assumptions!$P$169,Assumptions!$AL$169+(Assumptions!$AM$169-Assumptions!$AL$169)*(D1029-Assumptions!$AH$169)/(Assumptions!$P$169-Assumptions!$AH$169),Assumptions!$AM$169)))</f>
        <v>45833.333333333336</v>
      </c>
      <c r="N1029" s="44">
        <f t="shared" ref="N1029:N1092" si="32">M1029/G1029</f>
        <v>67.60078662733531</v>
      </c>
      <c r="O1029" s="45">
        <f t="shared" ref="O1029:O1092" si="33">ROUND(L1029+N1029,0)</f>
        <v>2801</v>
      </c>
      <c r="P1029" s="14" t="str">
        <f>IF(D1029&gt;=Assumptions!$P$169,"High",IF(D1029&gt;=Assumptions!$AH$169,"Mid",IF(D1029&lt;=Assumptions!$G$169,"Low","Loading")))</f>
        <v>Loading</v>
      </c>
      <c r="Q1029" s="46">
        <f>MAX(K1029,MIN(Assumptions!$S$169,O1029),Q1030)</f>
        <v>2801</v>
      </c>
      <c r="R1029" s="12">
        <f>IF(AND(Q1029&lt;=K1029,INDEX(Assumptions!$C$26:$C$36,MATCH(G1029,Assumptions!$A$26:$A$36,0))&lt;&gt;""),INDEX(Assumptions!$C$26:$C$36,MATCH(G1029,Assumptions!$A$26:$A$36,0)),ROUND(G1029*Q1029,-2))</f>
        <v>1899100</v>
      </c>
      <c r="S1029" s="47" t="str">
        <f>TRIM(IF(AND(Assumptions!$L$169&lt;&gt;"",D1029&lt;Assumptions!$L$169),"View blocked / roof in front ("&amp;Assumptions!$M$169&amp;"); view premium still loading until L"&amp;Assumptions!$L$169&amp;". ","")&amp;IF(D1029=Assumptions!$AH$169,"Mid-floor view premium fully loaded. ","")&amp;IF(D1029=Assumptions!$P$169,"High-floor view premium fully loaded. ","")&amp;IF(Q1029&lt;=K1029,"At developer starting price.",""))</f>
        <v/>
      </c>
      <c r="T1029" s="48" t="str">
        <f>Assumptions!$AJ$169</f>
        <v>SSW. Infinity pool view; landed + nature reserve from mid floor</v>
      </c>
    </row>
    <row r="1030" spans="1:20" x14ac:dyDescent="0.2">
      <c r="A1030" s="13" t="s">
        <v>1199</v>
      </c>
      <c r="B1030" s="14">
        <v>9</v>
      </c>
      <c r="C1030" s="40">
        <v>43</v>
      </c>
      <c r="D1030" s="40">
        <v>4</v>
      </c>
      <c r="E1030" s="9" t="s">
        <v>43</v>
      </c>
      <c r="F1030" s="14" t="s">
        <v>1182</v>
      </c>
      <c r="G1030" s="10">
        <v>678</v>
      </c>
      <c r="H1030" s="14" t="s">
        <v>62</v>
      </c>
      <c r="I1030" s="41" t="str">
        <f>Assumptions!$I$169</f>
        <v>B</v>
      </c>
      <c r="J1030" s="14" t="str">
        <f>IF(D1030&lt;=Assumptions!$V$169,"Low",IF(D1030&lt;=Assumptions!$W$169,"Mid","High"))</f>
        <v>Low</v>
      </c>
      <c r="K1030" s="15">
        <f>Assumptions!$Q$169</f>
        <v>2613</v>
      </c>
      <c r="L1030" s="42">
        <f>INDEX(Assumptions!$C$61:$C$90,D1030)</f>
        <v>2717.8312994876574</v>
      </c>
      <c r="M1030" s="43">
        <f>IF(D1030&lt;=Assumptions!$G$169,Assumptions!$AK$169,IF(D1030&lt;Assumptions!$AH$169,Assumptions!$AK$169+(Assumptions!$AL$169-Assumptions!$AK$169)*(D1030-Assumptions!$G$169)/(Assumptions!$AH$169-Assumptions!$G$169),IF(D1030&lt;Assumptions!$P$169,Assumptions!$AL$169+(Assumptions!$AM$169-Assumptions!$AL$169)*(D1030-Assumptions!$AH$169)/(Assumptions!$P$169-Assumptions!$AH$169),Assumptions!$AM$169)))</f>
        <v>47222.222222222226</v>
      </c>
      <c r="N1030" s="44">
        <f t="shared" si="32"/>
        <v>69.649295313012132</v>
      </c>
      <c r="O1030" s="45">
        <f t="shared" si="33"/>
        <v>2787</v>
      </c>
      <c r="P1030" s="14" t="str">
        <f>IF(D1030&gt;=Assumptions!$P$169,"High",IF(D1030&gt;=Assumptions!$AH$169,"Mid",IF(D1030&lt;=Assumptions!$G$169,"Low","Loading")))</f>
        <v>Loading</v>
      </c>
      <c r="Q1030" s="46">
        <f>MAX(K1030,MIN(Assumptions!$S$169,O1030),Q1031)</f>
        <v>2787</v>
      </c>
      <c r="R1030" s="12">
        <f>IF(AND(Q1030&lt;=K1030,INDEX(Assumptions!$C$26:$C$36,MATCH(G1030,Assumptions!$A$26:$A$36,0))&lt;&gt;""),INDEX(Assumptions!$C$26:$C$36,MATCH(G1030,Assumptions!$A$26:$A$36,0)),ROUND(G1030*Q1030,-2))</f>
        <v>1889600</v>
      </c>
      <c r="S1030" s="47" t="str">
        <f>TRIM(IF(AND(Assumptions!$L$169&lt;&gt;"",D1030&lt;Assumptions!$L$169),"View blocked / roof in front ("&amp;Assumptions!$M$169&amp;"); view premium still loading until L"&amp;Assumptions!$L$169&amp;". ","")&amp;IF(D1030=Assumptions!$AH$169,"Mid-floor view premium fully loaded. ","")&amp;IF(D1030=Assumptions!$P$169,"High-floor view premium fully loaded. ","")&amp;IF(Q1030&lt;=K1030,"At developer starting price.",""))</f>
        <v/>
      </c>
      <c r="T1030" s="48" t="str">
        <f>Assumptions!$AJ$169</f>
        <v>SSW. Infinity pool view; landed + nature reserve from mid floor</v>
      </c>
    </row>
    <row r="1031" spans="1:20" x14ac:dyDescent="0.2">
      <c r="A1031" s="13" t="s">
        <v>1200</v>
      </c>
      <c r="B1031" s="14">
        <v>9</v>
      </c>
      <c r="C1031" s="40">
        <v>43</v>
      </c>
      <c r="D1031" s="40">
        <v>3</v>
      </c>
      <c r="E1031" s="9" t="s">
        <v>43</v>
      </c>
      <c r="F1031" s="14" t="s">
        <v>1182</v>
      </c>
      <c r="G1031" s="10">
        <v>678</v>
      </c>
      <c r="H1031" s="14" t="s">
        <v>62</v>
      </c>
      <c r="I1031" s="41" t="str">
        <f>Assumptions!$I$169</f>
        <v>B</v>
      </c>
      <c r="J1031" s="14" t="str">
        <f>IF(D1031&lt;=Assumptions!$V$169,"Low",IF(D1031&lt;=Assumptions!$W$169,"Mid","High"))</f>
        <v>Low</v>
      </c>
      <c r="K1031" s="15">
        <f>Assumptions!$Q$169</f>
        <v>2613</v>
      </c>
      <c r="L1031" s="42">
        <f>INDEX(Assumptions!$C$61:$C$90,D1031)</f>
        <v>2702.2888060860114</v>
      </c>
      <c r="M1031" s="43">
        <f>IF(D1031&lt;=Assumptions!$G$169,Assumptions!$AK$169,IF(D1031&lt;Assumptions!$AH$169,Assumptions!$AK$169+(Assumptions!$AL$169-Assumptions!$AK$169)*(D1031-Assumptions!$G$169)/(Assumptions!$AH$169-Assumptions!$G$169),IF(D1031&lt;Assumptions!$P$169,Assumptions!$AL$169+(Assumptions!$AM$169-Assumptions!$AL$169)*(D1031-Assumptions!$AH$169)/(Assumptions!$P$169-Assumptions!$AH$169),Assumptions!$AM$169)))</f>
        <v>48611.111111111109</v>
      </c>
      <c r="N1031" s="44">
        <f t="shared" si="32"/>
        <v>71.697803998688954</v>
      </c>
      <c r="O1031" s="45">
        <f t="shared" si="33"/>
        <v>2774</v>
      </c>
      <c r="P1031" s="14" t="str">
        <f>IF(D1031&gt;=Assumptions!$P$169,"High",IF(D1031&gt;=Assumptions!$AH$169,"Mid",IF(D1031&lt;=Assumptions!$G$169,"Low","Loading")))</f>
        <v>Loading</v>
      </c>
      <c r="Q1031" s="46">
        <f>MAX(K1031,MIN(Assumptions!$S$169,O1031),Q1032)</f>
        <v>2774</v>
      </c>
      <c r="R1031" s="12">
        <f>IF(AND(Q1031&lt;=K1031,INDEX(Assumptions!$C$26:$C$36,MATCH(G1031,Assumptions!$A$26:$A$36,0))&lt;&gt;""),INDEX(Assumptions!$C$26:$C$36,MATCH(G1031,Assumptions!$A$26:$A$36,0)),ROUND(G1031*Q1031,-2))</f>
        <v>1880800</v>
      </c>
      <c r="S1031" s="47" t="str">
        <f>TRIM(IF(AND(Assumptions!$L$169&lt;&gt;"",D1031&lt;Assumptions!$L$169),"View blocked / roof in front ("&amp;Assumptions!$M$169&amp;"); view premium still loading until L"&amp;Assumptions!$L$169&amp;". ","")&amp;IF(D1031=Assumptions!$AH$169,"Mid-floor view premium fully loaded. ","")&amp;IF(D1031=Assumptions!$P$169,"High-floor view premium fully loaded. ","")&amp;IF(Q1031&lt;=K1031,"At developer starting price.",""))</f>
        <v/>
      </c>
      <c r="T1031" s="48" t="str">
        <f>Assumptions!$AJ$169</f>
        <v>SSW. Infinity pool view; landed + nature reserve from mid floor</v>
      </c>
    </row>
    <row r="1032" spans="1:20" x14ac:dyDescent="0.2">
      <c r="A1032" s="13" t="s">
        <v>1201</v>
      </c>
      <c r="B1032" s="14">
        <v>9</v>
      </c>
      <c r="C1032" s="40">
        <v>43</v>
      </c>
      <c r="D1032" s="40">
        <v>2</v>
      </c>
      <c r="E1032" s="9" t="s">
        <v>43</v>
      </c>
      <c r="F1032" s="14" t="s">
        <v>1202</v>
      </c>
      <c r="G1032" s="10">
        <v>678</v>
      </c>
      <c r="H1032" s="14" t="s">
        <v>62</v>
      </c>
      <c r="I1032" s="41" t="str">
        <f>Assumptions!$I$169</f>
        <v>B</v>
      </c>
      <c r="J1032" s="14" t="str">
        <f>IF(D1032&lt;=Assumptions!$V$169,"Low",IF(D1032&lt;=Assumptions!$W$169,"Mid","High"))</f>
        <v>Low</v>
      </c>
      <c r="K1032" s="15">
        <f>Assumptions!$Q$169</f>
        <v>2613</v>
      </c>
      <c r="L1032" s="42">
        <f>INDEX(Assumptions!$C$61:$C$90,D1032)</f>
        <v>2686.7463126843659</v>
      </c>
      <c r="M1032" s="43">
        <f>IF(D1032&lt;=Assumptions!$G$169,Assumptions!$AK$169,IF(D1032&lt;Assumptions!$AH$169,Assumptions!$AK$169+(Assumptions!$AL$169-Assumptions!$AK$169)*(D1032-Assumptions!$G$169)/(Assumptions!$AH$169-Assumptions!$G$169),IF(D1032&lt;Assumptions!$P$169,Assumptions!$AL$169+(Assumptions!$AM$169-Assumptions!$AL$169)*(D1032-Assumptions!$AH$169)/(Assumptions!$P$169-Assumptions!$AH$169),Assumptions!$AM$169)))</f>
        <v>50000</v>
      </c>
      <c r="N1032" s="44">
        <f t="shared" si="32"/>
        <v>73.746312684365776</v>
      </c>
      <c r="O1032" s="45">
        <f t="shared" si="33"/>
        <v>2760</v>
      </c>
      <c r="P1032" s="14" t="str">
        <f>IF(D1032&gt;=Assumptions!$P$169,"High",IF(D1032&gt;=Assumptions!$AH$169,"Mid",IF(D1032&lt;=Assumptions!$G$169,"Low","Loading")))</f>
        <v>Low</v>
      </c>
      <c r="Q1032" s="46">
        <f>MAX(K1032,MIN(Assumptions!$S$169,O1032))</f>
        <v>2760</v>
      </c>
      <c r="R1032" s="12">
        <f>IF(AND(Q1032&lt;=K1032,INDEX(Assumptions!$C$26:$C$36,MATCH(G1032,Assumptions!$A$26:$A$36,0))&lt;&gt;""),INDEX(Assumptions!$C$26:$C$36,MATCH(G1032,Assumptions!$A$26:$A$36,0)),ROUND(G1032*Q1032,-2))</f>
        <v>1871300</v>
      </c>
      <c r="S1032" s="47" t="str">
        <f>TRIM(IF(AND(Assumptions!$L$169&lt;&gt;"",D1032&lt;Assumptions!$L$169),"View blocked / roof in front ("&amp;Assumptions!$M$169&amp;"); view premium still loading until L"&amp;Assumptions!$L$169&amp;". ","")&amp;IF(D1032=Assumptions!$AH$169,"Mid-floor view premium fully loaded. ","")&amp;IF(D1032=Assumptions!$P$169,"High-floor view premium fully loaded. ","")&amp;IF(Q1032&lt;=K1032,"At developer starting price.",""))</f>
        <v/>
      </c>
      <c r="T1032" s="48" t="str">
        <f>Assumptions!$AJ$169</f>
        <v>SSW. Infinity pool view; landed + nature reserve from mid floor</v>
      </c>
    </row>
    <row r="1033" spans="1:20" x14ac:dyDescent="0.2">
      <c r="A1033" s="13" t="s">
        <v>1203</v>
      </c>
      <c r="B1033" s="14">
        <v>9</v>
      </c>
      <c r="C1033" s="40">
        <v>44</v>
      </c>
      <c r="D1033" s="40">
        <v>21</v>
      </c>
      <c r="E1033" s="9" t="s">
        <v>44</v>
      </c>
      <c r="F1033" s="14" t="s">
        <v>1204</v>
      </c>
      <c r="G1033" s="10">
        <v>775</v>
      </c>
      <c r="H1033" s="14" t="s">
        <v>62</v>
      </c>
      <c r="I1033" s="41" t="str">
        <f>Assumptions!$I$170</f>
        <v>C</v>
      </c>
      <c r="J1033" s="14" t="str">
        <f>IF(D1033&lt;=Assumptions!$V$170,"Low",IF(D1033&lt;=Assumptions!$W$170,"Mid","High"))</f>
        <v>High</v>
      </c>
      <c r="K1033" s="15">
        <f>Assumptions!$Q$170</f>
        <v>2650</v>
      </c>
      <c r="L1033" s="42">
        <f>INDEX(Assumptions!$G$61:$G$90,D1033)</f>
        <v>3053.6428571428569</v>
      </c>
      <c r="M1033" s="43">
        <f>IF(D1033&lt;=Assumptions!$G$170,Assumptions!$AK$170,IF(D1033&lt;Assumptions!$AH$170,Assumptions!$AK$170+(Assumptions!$AL$170-Assumptions!$AK$170)*(D1033-Assumptions!$G$170)/(Assumptions!$AH$170-Assumptions!$G$170),IF(D1033&lt;Assumptions!$P$170,Assumptions!$AL$170+(Assumptions!$AM$170-Assumptions!$AL$170)*(D1033-Assumptions!$AH$170)/(Assumptions!$P$170-Assumptions!$AH$170),Assumptions!$AM$170)))</f>
        <v>0</v>
      </c>
      <c r="N1033" s="44">
        <f t="shared" si="32"/>
        <v>0</v>
      </c>
      <c r="O1033" s="45">
        <f t="shared" si="33"/>
        <v>3054</v>
      </c>
      <c r="P1033" s="14" t="str">
        <f>IF(D1033&gt;=Assumptions!$P$170,"High",IF(D1033&gt;=Assumptions!$AH$170,"Mid",IF(D1033&lt;=Assumptions!$G$170,"Low","Loading")))</f>
        <v>High</v>
      </c>
      <c r="Q1033" s="46">
        <f>MAX(K1033,MIN(Assumptions!$S$170,O1033),Q1034)</f>
        <v>3054</v>
      </c>
      <c r="R1033" s="12">
        <f>IF(AND(Q1033&lt;=K1033,INDEX(Assumptions!$C$26:$C$36,MATCH(G1033,Assumptions!$A$26:$A$36,0))&lt;&gt;""),INDEX(Assumptions!$C$26:$C$36,MATCH(G1033,Assumptions!$A$26:$A$36,0)),ROUND(G1033*Q1033,-2))</f>
        <v>2366900</v>
      </c>
      <c r="S1033" s="47" t="str">
        <f>TRIM(IF(AND(Assumptions!$L$170&lt;&gt;"",D1033&lt;Assumptions!$L$170),"View blocked / roof in front ("&amp;Assumptions!$M$170&amp;"); view premium still loading until L"&amp;Assumptions!$L$170&amp;". ","")&amp;IF(D1033=Assumptions!$AH$170,"Mid-floor view premium fully loaded. ","")&amp;IF(D1033=Assumptions!$P$170,"High-floor view premium fully loaded. ","")&amp;IF(Q1033&lt;=K1033,"At developer starting price.",""))</f>
        <v/>
      </c>
      <c r="T1033" s="48" t="str">
        <f>Assumptions!$AJ$170</f>
        <v>SSW. 60m setback to Upper Thomson Rd; landscaping &amp; landed; nature reserve from mid floor</v>
      </c>
    </row>
    <row r="1034" spans="1:20" x14ac:dyDescent="0.2">
      <c r="A1034" s="13" t="s">
        <v>1205</v>
      </c>
      <c r="B1034" s="14">
        <v>9</v>
      </c>
      <c r="C1034" s="40">
        <v>44</v>
      </c>
      <c r="D1034" s="40">
        <v>20</v>
      </c>
      <c r="E1034" s="9" t="s">
        <v>44</v>
      </c>
      <c r="F1034" s="14" t="s">
        <v>1204</v>
      </c>
      <c r="G1034" s="10">
        <v>775</v>
      </c>
      <c r="H1034" s="14" t="s">
        <v>62</v>
      </c>
      <c r="I1034" s="41" t="str">
        <f>Assumptions!$I$170</f>
        <v>C</v>
      </c>
      <c r="J1034" s="14" t="str">
        <f>IF(D1034&lt;=Assumptions!$V$170,"Low",IF(D1034&lt;=Assumptions!$W$170,"Mid","High"))</f>
        <v>High</v>
      </c>
      <c r="K1034" s="15">
        <f>Assumptions!$Q$170</f>
        <v>2650</v>
      </c>
      <c r="L1034" s="42">
        <f>INDEX(Assumptions!$G$61:$G$90,D1034)</f>
        <v>3032.1857142857143</v>
      </c>
      <c r="M1034" s="43">
        <f>IF(D1034&lt;=Assumptions!$G$170,Assumptions!$AK$170,IF(D1034&lt;Assumptions!$AH$170,Assumptions!$AK$170+(Assumptions!$AL$170-Assumptions!$AK$170)*(D1034-Assumptions!$G$170)/(Assumptions!$AH$170-Assumptions!$G$170),IF(D1034&lt;Assumptions!$P$170,Assumptions!$AL$170+(Assumptions!$AM$170-Assumptions!$AL$170)*(D1034-Assumptions!$AH$170)/(Assumptions!$P$170-Assumptions!$AH$170),Assumptions!$AM$170)))</f>
        <v>0</v>
      </c>
      <c r="N1034" s="44">
        <f t="shared" si="32"/>
        <v>0</v>
      </c>
      <c r="O1034" s="45">
        <f t="shared" si="33"/>
        <v>3032</v>
      </c>
      <c r="P1034" s="14" t="str">
        <f>IF(D1034&gt;=Assumptions!$P$170,"High",IF(D1034&gt;=Assumptions!$AH$170,"Mid",IF(D1034&lt;=Assumptions!$G$170,"Low","Loading")))</f>
        <v>High</v>
      </c>
      <c r="Q1034" s="46">
        <f>MAX(K1034,MIN(Assumptions!$S$170,O1034),Q1035)</f>
        <v>3032</v>
      </c>
      <c r="R1034" s="12">
        <f>IF(AND(Q1034&lt;=K1034,INDEX(Assumptions!$C$26:$C$36,MATCH(G1034,Assumptions!$A$26:$A$36,0))&lt;&gt;""),INDEX(Assumptions!$C$26:$C$36,MATCH(G1034,Assumptions!$A$26:$A$36,0)),ROUND(G1034*Q1034,-2))</f>
        <v>2349800</v>
      </c>
      <c r="S1034" s="47" t="str">
        <f>TRIM(IF(AND(Assumptions!$L$170&lt;&gt;"",D1034&lt;Assumptions!$L$170),"View blocked / roof in front ("&amp;Assumptions!$M$170&amp;"); view premium still loading until L"&amp;Assumptions!$L$170&amp;". ","")&amp;IF(D1034=Assumptions!$AH$170,"Mid-floor view premium fully loaded. ","")&amp;IF(D1034=Assumptions!$P$170,"High-floor view premium fully loaded. ","")&amp;IF(Q1034&lt;=K1034,"At developer starting price.",""))</f>
        <v/>
      </c>
      <c r="T1034" s="48" t="str">
        <f>Assumptions!$AJ$170</f>
        <v>SSW. 60m setback to Upper Thomson Rd; landscaping &amp; landed; nature reserve from mid floor</v>
      </c>
    </row>
    <row r="1035" spans="1:20" x14ac:dyDescent="0.2">
      <c r="A1035" s="13" t="s">
        <v>1206</v>
      </c>
      <c r="B1035" s="14">
        <v>9</v>
      </c>
      <c r="C1035" s="40">
        <v>44</v>
      </c>
      <c r="D1035" s="40">
        <v>19</v>
      </c>
      <c r="E1035" s="9" t="s">
        <v>44</v>
      </c>
      <c r="F1035" s="14" t="s">
        <v>1204</v>
      </c>
      <c r="G1035" s="10">
        <v>775</v>
      </c>
      <c r="H1035" s="14" t="s">
        <v>62</v>
      </c>
      <c r="I1035" s="41" t="str">
        <f>Assumptions!$I$170</f>
        <v>C</v>
      </c>
      <c r="J1035" s="14" t="str">
        <f>IF(D1035&lt;=Assumptions!$V$170,"Low",IF(D1035&lt;=Assumptions!$W$170,"Mid","High"))</f>
        <v>High</v>
      </c>
      <c r="K1035" s="15">
        <f>Assumptions!$Q$170</f>
        <v>2650</v>
      </c>
      <c r="L1035" s="42">
        <f>INDEX(Assumptions!$G$61:$G$90,D1035)</f>
        <v>3010.7285714285713</v>
      </c>
      <c r="M1035" s="43">
        <f>IF(D1035&lt;=Assumptions!$G$170,Assumptions!$AK$170,IF(D1035&lt;Assumptions!$AH$170,Assumptions!$AK$170+(Assumptions!$AL$170-Assumptions!$AK$170)*(D1035-Assumptions!$G$170)/(Assumptions!$AH$170-Assumptions!$G$170),IF(D1035&lt;Assumptions!$P$170,Assumptions!$AL$170+(Assumptions!$AM$170-Assumptions!$AL$170)*(D1035-Assumptions!$AH$170)/(Assumptions!$P$170-Assumptions!$AH$170),Assumptions!$AM$170)))</f>
        <v>0</v>
      </c>
      <c r="N1035" s="44">
        <f t="shared" si="32"/>
        <v>0</v>
      </c>
      <c r="O1035" s="45">
        <f t="shared" si="33"/>
        <v>3011</v>
      </c>
      <c r="P1035" s="14" t="str">
        <f>IF(D1035&gt;=Assumptions!$P$170,"High",IF(D1035&gt;=Assumptions!$AH$170,"Mid",IF(D1035&lt;=Assumptions!$G$170,"Low","Loading")))</f>
        <v>High</v>
      </c>
      <c r="Q1035" s="46">
        <f>MAX(K1035,MIN(Assumptions!$S$170,O1035),Q1036)</f>
        <v>3011</v>
      </c>
      <c r="R1035" s="12">
        <f>IF(AND(Q1035&lt;=K1035,INDEX(Assumptions!$C$26:$C$36,MATCH(G1035,Assumptions!$A$26:$A$36,0))&lt;&gt;""),INDEX(Assumptions!$C$26:$C$36,MATCH(G1035,Assumptions!$A$26:$A$36,0)),ROUND(G1035*Q1035,-2))</f>
        <v>2333500</v>
      </c>
      <c r="S1035" s="47" t="str">
        <f>TRIM(IF(AND(Assumptions!$L$170&lt;&gt;"",D1035&lt;Assumptions!$L$170),"View blocked / roof in front ("&amp;Assumptions!$M$170&amp;"); view premium still loading until L"&amp;Assumptions!$L$170&amp;". ","")&amp;IF(D1035=Assumptions!$AH$170,"Mid-floor view premium fully loaded. ","")&amp;IF(D1035=Assumptions!$P$170,"High-floor view premium fully loaded. ","")&amp;IF(Q1035&lt;=K1035,"At developer starting price.",""))</f>
        <v/>
      </c>
      <c r="T1035" s="48" t="str">
        <f>Assumptions!$AJ$170</f>
        <v>SSW. 60m setback to Upper Thomson Rd; landscaping &amp; landed; nature reserve from mid floor</v>
      </c>
    </row>
    <row r="1036" spans="1:20" x14ac:dyDescent="0.2">
      <c r="A1036" s="13" t="s">
        <v>1207</v>
      </c>
      <c r="B1036" s="14">
        <v>9</v>
      </c>
      <c r="C1036" s="40">
        <v>44</v>
      </c>
      <c r="D1036" s="40">
        <v>18</v>
      </c>
      <c r="E1036" s="9" t="s">
        <v>44</v>
      </c>
      <c r="F1036" s="14" t="s">
        <v>1204</v>
      </c>
      <c r="G1036" s="10">
        <v>775</v>
      </c>
      <c r="H1036" s="14" t="s">
        <v>62</v>
      </c>
      <c r="I1036" s="41" t="str">
        <f>Assumptions!$I$170</f>
        <v>C</v>
      </c>
      <c r="J1036" s="14" t="str">
        <f>IF(D1036&lt;=Assumptions!$V$170,"Low",IF(D1036&lt;=Assumptions!$W$170,"Mid","High"))</f>
        <v>High</v>
      </c>
      <c r="K1036" s="15">
        <f>Assumptions!$Q$170</f>
        <v>2650</v>
      </c>
      <c r="L1036" s="42">
        <f>INDEX(Assumptions!$G$61:$G$90,D1036)</f>
        <v>2989.2714285714287</v>
      </c>
      <c r="M1036" s="43">
        <f>IF(D1036&lt;=Assumptions!$G$170,Assumptions!$AK$170,IF(D1036&lt;Assumptions!$AH$170,Assumptions!$AK$170+(Assumptions!$AL$170-Assumptions!$AK$170)*(D1036-Assumptions!$G$170)/(Assumptions!$AH$170-Assumptions!$G$170),IF(D1036&lt;Assumptions!$P$170,Assumptions!$AL$170+(Assumptions!$AM$170-Assumptions!$AL$170)*(D1036-Assumptions!$AH$170)/(Assumptions!$P$170-Assumptions!$AH$170),Assumptions!$AM$170)))</f>
        <v>0</v>
      </c>
      <c r="N1036" s="44">
        <f t="shared" si="32"/>
        <v>0</v>
      </c>
      <c r="O1036" s="45">
        <f t="shared" si="33"/>
        <v>2989</v>
      </c>
      <c r="P1036" s="14" t="str">
        <f>IF(D1036&gt;=Assumptions!$P$170,"High",IF(D1036&gt;=Assumptions!$AH$170,"Mid",IF(D1036&lt;=Assumptions!$G$170,"Low","Loading")))</f>
        <v>High</v>
      </c>
      <c r="Q1036" s="46">
        <f>MAX(K1036,MIN(Assumptions!$S$170,O1036),Q1037)</f>
        <v>2989</v>
      </c>
      <c r="R1036" s="12">
        <f>IF(AND(Q1036&lt;=K1036,INDEX(Assumptions!$C$26:$C$36,MATCH(G1036,Assumptions!$A$26:$A$36,0))&lt;&gt;""),INDEX(Assumptions!$C$26:$C$36,MATCH(G1036,Assumptions!$A$26:$A$36,0)),ROUND(G1036*Q1036,-2))</f>
        <v>2316500</v>
      </c>
      <c r="S1036" s="47" t="str">
        <f>TRIM(IF(AND(Assumptions!$L$170&lt;&gt;"",D1036&lt;Assumptions!$L$170),"View blocked / roof in front ("&amp;Assumptions!$M$170&amp;"); view premium still loading until L"&amp;Assumptions!$L$170&amp;". ","")&amp;IF(D1036=Assumptions!$AH$170,"Mid-floor view premium fully loaded. ","")&amp;IF(D1036=Assumptions!$P$170,"High-floor view premium fully loaded. ","")&amp;IF(Q1036&lt;=K1036,"At developer starting price.",""))</f>
        <v/>
      </c>
      <c r="T1036" s="48" t="str">
        <f>Assumptions!$AJ$170</f>
        <v>SSW. 60m setback to Upper Thomson Rd; landscaping &amp; landed; nature reserve from mid floor</v>
      </c>
    </row>
    <row r="1037" spans="1:20" x14ac:dyDescent="0.2">
      <c r="A1037" s="13" t="s">
        <v>1208</v>
      </c>
      <c r="B1037" s="14">
        <v>9</v>
      </c>
      <c r="C1037" s="40">
        <v>44</v>
      </c>
      <c r="D1037" s="40">
        <v>17</v>
      </c>
      <c r="E1037" s="9" t="s">
        <v>44</v>
      </c>
      <c r="F1037" s="14" t="s">
        <v>1204</v>
      </c>
      <c r="G1037" s="10">
        <v>775</v>
      </c>
      <c r="H1037" s="14" t="s">
        <v>62</v>
      </c>
      <c r="I1037" s="41" t="str">
        <f>Assumptions!$I$170</f>
        <v>C</v>
      </c>
      <c r="J1037" s="14" t="str">
        <f>IF(D1037&lt;=Assumptions!$V$170,"Low",IF(D1037&lt;=Assumptions!$W$170,"Mid","High"))</f>
        <v>High</v>
      </c>
      <c r="K1037" s="15">
        <f>Assumptions!$Q$170</f>
        <v>2650</v>
      </c>
      <c r="L1037" s="42">
        <f>INDEX(Assumptions!$G$61:$G$90,D1037)</f>
        <v>2967.8142857142857</v>
      </c>
      <c r="M1037" s="43">
        <f>IF(D1037&lt;=Assumptions!$G$170,Assumptions!$AK$170,IF(D1037&lt;Assumptions!$AH$170,Assumptions!$AK$170+(Assumptions!$AL$170-Assumptions!$AK$170)*(D1037-Assumptions!$G$170)/(Assumptions!$AH$170-Assumptions!$G$170),IF(D1037&lt;Assumptions!$P$170,Assumptions!$AL$170+(Assumptions!$AM$170-Assumptions!$AL$170)*(D1037-Assumptions!$AH$170)/(Assumptions!$P$170-Assumptions!$AH$170),Assumptions!$AM$170)))</f>
        <v>0</v>
      </c>
      <c r="N1037" s="44">
        <f t="shared" si="32"/>
        <v>0</v>
      </c>
      <c r="O1037" s="45">
        <f t="shared" si="33"/>
        <v>2968</v>
      </c>
      <c r="P1037" s="14" t="str">
        <f>IF(D1037&gt;=Assumptions!$P$170,"High",IF(D1037&gt;=Assumptions!$AH$170,"Mid",IF(D1037&lt;=Assumptions!$G$170,"Low","Loading")))</f>
        <v>High</v>
      </c>
      <c r="Q1037" s="46">
        <f>MAX(K1037,MIN(Assumptions!$S$170,O1037),Q1038)</f>
        <v>2968</v>
      </c>
      <c r="R1037" s="12">
        <f>IF(AND(Q1037&lt;=K1037,INDEX(Assumptions!$C$26:$C$36,MATCH(G1037,Assumptions!$A$26:$A$36,0))&lt;&gt;""),INDEX(Assumptions!$C$26:$C$36,MATCH(G1037,Assumptions!$A$26:$A$36,0)),ROUND(G1037*Q1037,-2))</f>
        <v>2300200</v>
      </c>
      <c r="S1037" s="47" t="str">
        <f>TRIM(IF(AND(Assumptions!$L$170&lt;&gt;"",D1037&lt;Assumptions!$L$170),"View blocked / roof in front ("&amp;Assumptions!$M$170&amp;"); view premium still loading until L"&amp;Assumptions!$L$170&amp;". ","")&amp;IF(D1037=Assumptions!$AH$170,"Mid-floor view premium fully loaded. ","")&amp;IF(D1037=Assumptions!$P$170,"High-floor view premium fully loaded. ","")&amp;IF(Q1037&lt;=K1037,"At developer starting price.",""))</f>
        <v/>
      </c>
      <c r="T1037" s="48" t="str">
        <f>Assumptions!$AJ$170</f>
        <v>SSW. 60m setback to Upper Thomson Rd; landscaping &amp; landed; nature reserve from mid floor</v>
      </c>
    </row>
    <row r="1038" spans="1:20" x14ac:dyDescent="0.2">
      <c r="A1038" s="13" t="s">
        <v>1209</v>
      </c>
      <c r="B1038" s="14">
        <v>9</v>
      </c>
      <c r="C1038" s="40">
        <v>44</v>
      </c>
      <c r="D1038" s="40">
        <v>16</v>
      </c>
      <c r="E1038" s="9" t="s">
        <v>44</v>
      </c>
      <c r="F1038" s="14" t="s">
        <v>1204</v>
      </c>
      <c r="G1038" s="10">
        <v>775</v>
      </c>
      <c r="H1038" s="14" t="s">
        <v>62</v>
      </c>
      <c r="I1038" s="41" t="str">
        <f>Assumptions!$I$170</f>
        <v>C</v>
      </c>
      <c r="J1038" s="14" t="str">
        <f>IF(D1038&lt;=Assumptions!$V$170,"Low",IF(D1038&lt;=Assumptions!$W$170,"Mid","High"))</f>
        <v>High</v>
      </c>
      <c r="K1038" s="15">
        <f>Assumptions!$Q$170</f>
        <v>2650</v>
      </c>
      <c r="L1038" s="42">
        <f>INDEX(Assumptions!$G$61:$G$90,D1038)</f>
        <v>2946.3571428571431</v>
      </c>
      <c r="M1038" s="43">
        <f>IF(D1038&lt;=Assumptions!$G$170,Assumptions!$AK$170,IF(D1038&lt;Assumptions!$AH$170,Assumptions!$AK$170+(Assumptions!$AL$170-Assumptions!$AK$170)*(D1038-Assumptions!$G$170)/(Assumptions!$AH$170-Assumptions!$G$170),IF(D1038&lt;Assumptions!$P$170,Assumptions!$AL$170+(Assumptions!$AM$170-Assumptions!$AL$170)*(D1038-Assumptions!$AH$170)/(Assumptions!$P$170-Assumptions!$AH$170),Assumptions!$AM$170)))</f>
        <v>0</v>
      </c>
      <c r="N1038" s="44">
        <f t="shared" si="32"/>
        <v>0</v>
      </c>
      <c r="O1038" s="45">
        <f t="shared" si="33"/>
        <v>2946</v>
      </c>
      <c r="P1038" s="14" t="str">
        <f>IF(D1038&gt;=Assumptions!$P$170,"High",IF(D1038&gt;=Assumptions!$AH$170,"Mid",IF(D1038&lt;=Assumptions!$G$170,"Low","Loading")))</f>
        <v>High</v>
      </c>
      <c r="Q1038" s="46">
        <f>MAX(K1038,MIN(Assumptions!$S$170,O1038),Q1039)</f>
        <v>2946</v>
      </c>
      <c r="R1038" s="12">
        <f>IF(AND(Q1038&lt;=K1038,INDEX(Assumptions!$C$26:$C$36,MATCH(G1038,Assumptions!$A$26:$A$36,0))&lt;&gt;""),INDEX(Assumptions!$C$26:$C$36,MATCH(G1038,Assumptions!$A$26:$A$36,0)),ROUND(G1038*Q1038,-2))</f>
        <v>2283200</v>
      </c>
      <c r="S1038" s="47" t="str">
        <f>TRIM(IF(AND(Assumptions!$L$170&lt;&gt;"",D1038&lt;Assumptions!$L$170),"View blocked / roof in front ("&amp;Assumptions!$M$170&amp;"); view premium still loading until L"&amp;Assumptions!$L$170&amp;". ","")&amp;IF(D1038=Assumptions!$AH$170,"Mid-floor view premium fully loaded. ","")&amp;IF(D1038=Assumptions!$P$170,"High-floor view premium fully loaded. ","")&amp;IF(Q1038&lt;=K1038,"At developer starting price.",""))</f>
        <v>High-floor view premium fully loaded.</v>
      </c>
      <c r="T1038" s="48" t="str">
        <f>Assumptions!$AJ$170</f>
        <v>SSW. 60m setback to Upper Thomson Rd; landscaping &amp; landed; nature reserve from mid floor</v>
      </c>
    </row>
    <row r="1039" spans="1:20" x14ac:dyDescent="0.2">
      <c r="A1039" s="13" t="s">
        <v>1210</v>
      </c>
      <c r="B1039" s="14">
        <v>9</v>
      </c>
      <c r="C1039" s="40">
        <v>44</v>
      </c>
      <c r="D1039" s="40">
        <v>15</v>
      </c>
      <c r="E1039" s="9" t="s">
        <v>44</v>
      </c>
      <c r="F1039" s="14" t="s">
        <v>1204</v>
      </c>
      <c r="G1039" s="10">
        <v>775</v>
      </c>
      <c r="H1039" s="14" t="s">
        <v>62</v>
      </c>
      <c r="I1039" s="41" t="str">
        <f>Assumptions!$I$170</f>
        <v>C</v>
      </c>
      <c r="J1039" s="14" t="str">
        <f>IF(D1039&lt;=Assumptions!$V$170,"Low",IF(D1039&lt;=Assumptions!$W$170,"Mid","High"))</f>
        <v>Mid</v>
      </c>
      <c r="K1039" s="15">
        <f>Assumptions!$Q$170</f>
        <v>2650</v>
      </c>
      <c r="L1039" s="42">
        <f>INDEX(Assumptions!$G$61:$G$90,D1039)</f>
        <v>2924.9</v>
      </c>
      <c r="M1039" s="43">
        <f>IF(D1039&lt;=Assumptions!$G$170,Assumptions!$AK$170,IF(D1039&lt;Assumptions!$AH$170,Assumptions!$AK$170+(Assumptions!$AL$170-Assumptions!$AK$170)*(D1039-Assumptions!$G$170)/(Assumptions!$AH$170-Assumptions!$G$170),IF(D1039&lt;Assumptions!$P$170,Assumptions!$AL$170+(Assumptions!$AM$170-Assumptions!$AL$170)*(D1039-Assumptions!$AH$170)/(Assumptions!$P$170-Assumptions!$AH$170),Assumptions!$AM$170)))</f>
        <v>0</v>
      </c>
      <c r="N1039" s="44">
        <f t="shared" si="32"/>
        <v>0</v>
      </c>
      <c r="O1039" s="45">
        <f t="shared" si="33"/>
        <v>2925</v>
      </c>
      <c r="P1039" s="14" t="str">
        <f>IF(D1039&gt;=Assumptions!$P$170,"High",IF(D1039&gt;=Assumptions!$AH$170,"Mid",IF(D1039&lt;=Assumptions!$G$170,"Low","Loading")))</f>
        <v>Mid</v>
      </c>
      <c r="Q1039" s="46">
        <f>MAX(K1039,MIN(Assumptions!$S$170,O1039),Q1040)</f>
        <v>2925</v>
      </c>
      <c r="R1039" s="12">
        <f>IF(AND(Q1039&lt;=K1039,INDEX(Assumptions!$C$26:$C$36,MATCH(G1039,Assumptions!$A$26:$A$36,0))&lt;&gt;""),INDEX(Assumptions!$C$26:$C$36,MATCH(G1039,Assumptions!$A$26:$A$36,0)),ROUND(G1039*Q1039,-2))</f>
        <v>2266900</v>
      </c>
      <c r="S1039" s="47" t="str">
        <f>TRIM(IF(AND(Assumptions!$L$170&lt;&gt;"",D1039&lt;Assumptions!$L$170),"View blocked / roof in front ("&amp;Assumptions!$M$170&amp;"); view premium still loading until L"&amp;Assumptions!$L$170&amp;". ","")&amp;IF(D1039=Assumptions!$AH$170,"Mid-floor view premium fully loaded. ","")&amp;IF(D1039=Assumptions!$P$170,"High-floor view premium fully loaded. ","")&amp;IF(Q1039&lt;=K1039,"At developer starting price.",""))</f>
        <v/>
      </c>
      <c r="T1039" s="48" t="str">
        <f>Assumptions!$AJ$170</f>
        <v>SSW. 60m setback to Upper Thomson Rd; landscaping &amp; landed; nature reserve from mid floor</v>
      </c>
    </row>
    <row r="1040" spans="1:20" x14ac:dyDescent="0.2">
      <c r="A1040" s="13" t="s">
        <v>1211</v>
      </c>
      <c r="B1040" s="14">
        <v>9</v>
      </c>
      <c r="C1040" s="40">
        <v>44</v>
      </c>
      <c r="D1040" s="40">
        <v>14</v>
      </c>
      <c r="E1040" s="9" t="s">
        <v>44</v>
      </c>
      <c r="F1040" s="14" t="s">
        <v>1204</v>
      </c>
      <c r="G1040" s="10">
        <v>775</v>
      </c>
      <c r="H1040" s="14" t="s">
        <v>62</v>
      </c>
      <c r="I1040" s="41" t="str">
        <f>Assumptions!$I$170</f>
        <v>C</v>
      </c>
      <c r="J1040" s="14" t="str">
        <f>IF(D1040&lt;=Assumptions!$V$170,"Low",IF(D1040&lt;=Assumptions!$W$170,"Mid","High"))</f>
        <v>Mid</v>
      </c>
      <c r="K1040" s="15">
        <f>Assumptions!$Q$170</f>
        <v>2650</v>
      </c>
      <c r="L1040" s="42">
        <f>INDEX(Assumptions!$G$61:$G$90,D1040)</f>
        <v>2903.4428571428571</v>
      </c>
      <c r="M1040" s="43">
        <f>IF(D1040&lt;=Assumptions!$G$170,Assumptions!$AK$170,IF(D1040&lt;Assumptions!$AH$170,Assumptions!$AK$170+(Assumptions!$AL$170-Assumptions!$AK$170)*(D1040-Assumptions!$G$170)/(Assumptions!$AH$170-Assumptions!$G$170),IF(D1040&lt;Assumptions!$P$170,Assumptions!$AL$170+(Assumptions!$AM$170-Assumptions!$AL$170)*(D1040-Assumptions!$AH$170)/(Assumptions!$P$170-Assumptions!$AH$170),Assumptions!$AM$170)))</f>
        <v>0</v>
      </c>
      <c r="N1040" s="44">
        <f t="shared" si="32"/>
        <v>0</v>
      </c>
      <c r="O1040" s="45">
        <f t="shared" si="33"/>
        <v>2903</v>
      </c>
      <c r="P1040" s="14" t="str">
        <f>IF(D1040&gt;=Assumptions!$P$170,"High",IF(D1040&gt;=Assumptions!$AH$170,"Mid",IF(D1040&lt;=Assumptions!$G$170,"Low","Loading")))</f>
        <v>Mid</v>
      </c>
      <c r="Q1040" s="46">
        <f>MAX(K1040,MIN(Assumptions!$S$170,O1040),Q1041)</f>
        <v>2903</v>
      </c>
      <c r="R1040" s="12">
        <f>IF(AND(Q1040&lt;=K1040,INDEX(Assumptions!$C$26:$C$36,MATCH(G1040,Assumptions!$A$26:$A$36,0))&lt;&gt;""),INDEX(Assumptions!$C$26:$C$36,MATCH(G1040,Assumptions!$A$26:$A$36,0)),ROUND(G1040*Q1040,-2))</f>
        <v>2249800</v>
      </c>
      <c r="S1040" s="47" t="str">
        <f>TRIM(IF(AND(Assumptions!$L$170&lt;&gt;"",D1040&lt;Assumptions!$L$170),"View blocked / roof in front ("&amp;Assumptions!$M$170&amp;"); view premium still loading until L"&amp;Assumptions!$L$170&amp;". ","")&amp;IF(D1040=Assumptions!$AH$170,"Mid-floor view premium fully loaded. ","")&amp;IF(D1040=Assumptions!$P$170,"High-floor view premium fully loaded. ","")&amp;IF(Q1040&lt;=K1040,"At developer starting price.",""))</f>
        <v/>
      </c>
      <c r="T1040" s="48" t="str">
        <f>Assumptions!$AJ$170</f>
        <v>SSW. 60m setback to Upper Thomson Rd; landscaping &amp; landed; nature reserve from mid floor</v>
      </c>
    </row>
    <row r="1041" spans="1:20" x14ac:dyDescent="0.2">
      <c r="A1041" s="13" t="s">
        <v>1212</v>
      </c>
      <c r="B1041" s="14">
        <v>9</v>
      </c>
      <c r="C1041" s="40">
        <v>44</v>
      </c>
      <c r="D1041" s="40">
        <v>13</v>
      </c>
      <c r="E1041" s="9" t="s">
        <v>44</v>
      </c>
      <c r="F1041" s="14" t="s">
        <v>1204</v>
      </c>
      <c r="G1041" s="10">
        <v>775</v>
      </c>
      <c r="H1041" s="14" t="s">
        <v>62</v>
      </c>
      <c r="I1041" s="41" t="str">
        <f>Assumptions!$I$170</f>
        <v>C</v>
      </c>
      <c r="J1041" s="14" t="str">
        <f>IF(D1041&lt;=Assumptions!$V$170,"Low",IF(D1041&lt;=Assumptions!$W$170,"Mid","High"))</f>
        <v>Mid</v>
      </c>
      <c r="K1041" s="15">
        <f>Assumptions!$Q$170</f>
        <v>2650</v>
      </c>
      <c r="L1041" s="42">
        <f>INDEX(Assumptions!$G$61:$G$90,D1041)</f>
        <v>2881.9857142857145</v>
      </c>
      <c r="M1041" s="43">
        <f>IF(D1041&lt;=Assumptions!$G$170,Assumptions!$AK$170,IF(D1041&lt;Assumptions!$AH$170,Assumptions!$AK$170+(Assumptions!$AL$170-Assumptions!$AK$170)*(D1041-Assumptions!$G$170)/(Assumptions!$AH$170-Assumptions!$G$170),IF(D1041&lt;Assumptions!$P$170,Assumptions!$AL$170+(Assumptions!$AM$170-Assumptions!$AL$170)*(D1041-Assumptions!$AH$170)/(Assumptions!$P$170-Assumptions!$AH$170),Assumptions!$AM$170)))</f>
        <v>0</v>
      </c>
      <c r="N1041" s="44">
        <f t="shared" si="32"/>
        <v>0</v>
      </c>
      <c r="O1041" s="45">
        <f t="shared" si="33"/>
        <v>2882</v>
      </c>
      <c r="P1041" s="14" t="str">
        <f>IF(D1041&gt;=Assumptions!$P$170,"High",IF(D1041&gt;=Assumptions!$AH$170,"Mid",IF(D1041&lt;=Assumptions!$G$170,"Low","Loading")))</f>
        <v>Mid</v>
      </c>
      <c r="Q1041" s="46">
        <f>MAX(K1041,MIN(Assumptions!$S$170,O1041),Q1042)</f>
        <v>2882</v>
      </c>
      <c r="R1041" s="12">
        <f>IF(AND(Q1041&lt;=K1041,INDEX(Assumptions!$C$26:$C$36,MATCH(G1041,Assumptions!$A$26:$A$36,0))&lt;&gt;""),INDEX(Assumptions!$C$26:$C$36,MATCH(G1041,Assumptions!$A$26:$A$36,0)),ROUND(G1041*Q1041,-2))</f>
        <v>2233600</v>
      </c>
      <c r="S1041" s="47" t="str">
        <f>TRIM(IF(AND(Assumptions!$L$170&lt;&gt;"",D1041&lt;Assumptions!$L$170),"View blocked / roof in front ("&amp;Assumptions!$M$170&amp;"); view premium still loading until L"&amp;Assumptions!$L$170&amp;". ","")&amp;IF(D1041=Assumptions!$AH$170,"Mid-floor view premium fully loaded. ","")&amp;IF(D1041=Assumptions!$P$170,"High-floor view premium fully loaded. ","")&amp;IF(Q1041&lt;=K1041,"At developer starting price.",""))</f>
        <v/>
      </c>
      <c r="T1041" s="48" t="str">
        <f>Assumptions!$AJ$170</f>
        <v>SSW. 60m setback to Upper Thomson Rd; landscaping &amp; landed; nature reserve from mid floor</v>
      </c>
    </row>
    <row r="1042" spans="1:20" x14ac:dyDescent="0.2">
      <c r="A1042" s="13" t="s">
        <v>1213</v>
      </c>
      <c r="B1042" s="14">
        <v>9</v>
      </c>
      <c r="C1042" s="40">
        <v>44</v>
      </c>
      <c r="D1042" s="40">
        <v>12</v>
      </c>
      <c r="E1042" s="9" t="s">
        <v>44</v>
      </c>
      <c r="F1042" s="14" t="s">
        <v>1204</v>
      </c>
      <c r="G1042" s="10">
        <v>775</v>
      </c>
      <c r="H1042" s="14" t="s">
        <v>62</v>
      </c>
      <c r="I1042" s="41" t="str">
        <f>Assumptions!$I$170</f>
        <v>C</v>
      </c>
      <c r="J1042" s="14" t="str">
        <f>IF(D1042&lt;=Assumptions!$V$170,"Low",IF(D1042&lt;=Assumptions!$W$170,"Mid","High"))</f>
        <v>Mid</v>
      </c>
      <c r="K1042" s="15">
        <f>Assumptions!$Q$170</f>
        <v>2650</v>
      </c>
      <c r="L1042" s="42">
        <f>INDEX(Assumptions!$G$61:$G$90,D1042)</f>
        <v>2860.5285714285715</v>
      </c>
      <c r="M1042" s="43">
        <f>IF(D1042&lt;=Assumptions!$G$170,Assumptions!$AK$170,IF(D1042&lt;Assumptions!$AH$170,Assumptions!$AK$170+(Assumptions!$AL$170-Assumptions!$AK$170)*(D1042-Assumptions!$G$170)/(Assumptions!$AH$170-Assumptions!$G$170),IF(D1042&lt;Assumptions!$P$170,Assumptions!$AL$170+(Assumptions!$AM$170-Assumptions!$AL$170)*(D1042-Assumptions!$AH$170)/(Assumptions!$P$170-Assumptions!$AH$170),Assumptions!$AM$170)))</f>
        <v>0</v>
      </c>
      <c r="N1042" s="44">
        <f t="shared" si="32"/>
        <v>0</v>
      </c>
      <c r="O1042" s="45">
        <f t="shared" si="33"/>
        <v>2861</v>
      </c>
      <c r="P1042" s="14" t="str">
        <f>IF(D1042&gt;=Assumptions!$P$170,"High",IF(D1042&gt;=Assumptions!$AH$170,"Mid",IF(D1042&lt;=Assumptions!$G$170,"Low","Loading")))</f>
        <v>Mid</v>
      </c>
      <c r="Q1042" s="46">
        <f>MAX(K1042,MIN(Assumptions!$S$170,O1042),Q1043)</f>
        <v>2861</v>
      </c>
      <c r="R1042" s="12">
        <f>IF(AND(Q1042&lt;=K1042,INDEX(Assumptions!$C$26:$C$36,MATCH(G1042,Assumptions!$A$26:$A$36,0))&lt;&gt;""),INDEX(Assumptions!$C$26:$C$36,MATCH(G1042,Assumptions!$A$26:$A$36,0)),ROUND(G1042*Q1042,-2))</f>
        <v>2217300</v>
      </c>
      <c r="S1042" s="47" t="str">
        <f>TRIM(IF(AND(Assumptions!$L$170&lt;&gt;"",D1042&lt;Assumptions!$L$170),"View blocked / roof in front ("&amp;Assumptions!$M$170&amp;"); view premium still loading until L"&amp;Assumptions!$L$170&amp;". ","")&amp;IF(D1042=Assumptions!$AH$170,"Mid-floor view premium fully loaded. ","")&amp;IF(D1042=Assumptions!$P$170,"High-floor view premium fully loaded. ","")&amp;IF(Q1042&lt;=K1042,"At developer starting price.",""))</f>
        <v/>
      </c>
      <c r="T1042" s="48" t="str">
        <f>Assumptions!$AJ$170</f>
        <v>SSW. 60m setback to Upper Thomson Rd; landscaping &amp; landed; nature reserve from mid floor</v>
      </c>
    </row>
    <row r="1043" spans="1:20" x14ac:dyDescent="0.2">
      <c r="A1043" s="13" t="s">
        <v>1214</v>
      </c>
      <c r="B1043" s="14">
        <v>9</v>
      </c>
      <c r="C1043" s="40">
        <v>44</v>
      </c>
      <c r="D1043" s="40">
        <v>11</v>
      </c>
      <c r="E1043" s="9" t="s">
        <v>44</v>
      </c>
      <c r="F1043" s="14" t="s">
        <v>1204</v>
      </c>
      <c r="G1043" s="10">
        <v>775</v>
      </c>
      <c r="H1043" s="14" t="s">
        <v>62</v>
      </c>
      <c r="I1043" s="41" t="str">
        <f>Assumptions!$I$170</f>
        <v>C</v>
      </c>
      <c r="J1043" s="14" t="str">
        <f>IF(D1043&lt;=Assumptions!$V$170,"Low",IF(D1043&lt;=Assumptions!$W$170,"Mid","High"))</f>
        <v>Mid</v>
      </c>
      <c r="K1043" s="15">
        <f>Assumptions!$Q$170</f>
        <v>2650</v>
      </c>
      <c r="L1043" s="42">
        <f>INDEX(Assumptions!$G$61:$G$90,D1043)</f>
        <v>2839.2842105263162</v>
      </c>
      <c r="M1043" s="43">
        <f>IF(D1043&lt;=Assumptions!$G$170,Assumptions!$AK$170,IF(D1043&lt;Assumptions!$AH$170,Assumptions!$AK$170+(Assumptions!$AL$170-Assumptions!$AK$170)*(D1043-Assumptions!$G$170)/(Assumptions!$AH$170-Assumptions!$G$170),IF(D1043&lt;Assumptions!$P$170,Assumptions!$AL$170+(Assumptions!$AM$170-Assumptions!$AL$170)*(D1043-Assumptions!$AH$170)/(Assumptions!$P$170-Assumptions!$AH$170),Assumptions!$AM$170)))</f>
        <v>0</v>
      </c>
      <c r="N1043" s="44">
        <f t="shared" si="32"/>
        <v>0</v>
      </c>
      <c r="O1043" s="45">
        <f t="shared" si="33"/>
        <v>2839</v>
      </c>
      <c r="P1043" s="14" t="str">
        <f>IF(D1043&gt;=Assumptions!$P$170,"High",IF(D1043&gt;=Assumptions!$AH$170,"Mid",IF(D1043&lt;=Assumptions!$G$170,"Low","Loading")))</f>
        <v>Mid</v>
      </c>
      <c r="Q1043" s="46">
        <f>MAX(K1043,MIN(Assumptions!$S$170,O1043),Q1044)</f>
        <v>2839</v>
      </c>
      <c r="R1043" s="12">
        <f>IF(AND(Q1043&lt;=K1043,INDEX(Assumptions!$C$26:$C$36,MATCH(G1043,Assumptions!$A$26:$A$36,0))&lt;&gt;""),INDEX(Assumptions!$C$26:$C$36,MATCH(G1043,Assumptions!$A$26:$A$36,0)),ROUND(G1043*Q1043,-2))</f>
        <v>2200200</v>
      </c>
      <c r="S1043" s="47" t="str">
        <f>TRIM(IF(AND(Assumptions!$L$170&lt;&gt;"",D1043&lt;Assumptions!$L$170),"View blocked / roof in front ("&amp;Assumptions!$M$170&amp;"); view premium still loading until L"&amp;Assumptions!$L$170&amp;". ","")&amp;IF(D1043=Assumptions!$AH$170,"Mid-floor view premium fully loaded. ","")&amp;IF(D1043=Assumptions!$P$170,"High-floor view premium fully loaded. ","")&amp;IF(Q1043&lt;=K1043,"At developer starting price.",""))</f>
        <v/>
      </c>
      <c r="T1043" s="48" t="str">
        <f>Assumptions!$AJ$170</f>
        <v>SSW. 60m setback to Upper Thomson Rd; landscaping &amp; landed; nature reserve from mid floor</v>
      </c>
    </row>
    <row r="1044" spans="1:20" x14ac:dyDescent="0.2">
      <c r="A1044" s="13" t="s">
        <v>1215</v>
      </c>
      <c r="B1044" s="14">
        <v>9</v>
      </c>
      <c r="C1044" s="40">
        <v>44</v>
      </c>
      <c r="D1044" s="40">
        <v>10</v>
      </c>
      <c r="E1044" s="9" t="s">
        <v>44</v>
      </c>
      <c r="F1044" s="14" t="s">
        <v>1204</v>
      </c>
      <c r="G1044" s="10">
        <v>775</v>
      </c>
      <c r="H1044" s="14" t="s">
        <v>62</v>
      </c>
      <c r="I1044" s="41" t="str">
        <f>Assumptions!$I$170</f>
        <v>C</v>
      </c>
      <c r="J1044" s="14" t="str">
        <f>IF(D1044&lt;=Assumptions!$V$170,"Low",IF(D1044&lt;=Assumptions!$W$170,"Mid","High"))</f>
        <v>Mid</v>
      </c>
      <c r="K1044" s="15">
        <f>Assumptions!$Q$170</f>
        <v>2650</v>
      </c>
      <c r="L1044" s="42">
        <f>INDEX(Assumptions!$G$61:$G$90,D1044)</f>
        <v>2818.2526315789473</v>
      </c>
      <c r="M1044" s="43">
        <f>IF(D1044&lt;=Assumptions!$G$170,Assumptions!$AK$170,IF(D1044&lt;Assumptions!$AH$170,Assumptions!$AK$170+(Assumptions!$AL$170-Assumptions!$AK$170)*(D1044-Assumptions!$G$170)/(Assumptions!$AH$170-Assumptions!$G$170),IF(D1044&lt;Assumptions!$P$170,Assumptions!$AL$170+(Assumptions!$AM$170-Assumptions!$AL$170)*(D1044-Assumptions!$AH$170)/(Assumptions!$P$170-Assumptions!$AH$170),Assumptions!$AM$170)))</f>
        <v>0</v>
      </c>
      <c r="N1044" s="44">
        <f t="shared" si="32"/>
        <v>0</v>
      </c>
      <c r="O1044" s="45">
        <f t="shared" si="33"/>
        <v>2818</v>
      </c>
      <c r="P1044" s="14" t="str">
        <f>IF(D1044&gt;=Assumptions!$P$170,"High",IF(D1044&gt;=Assumptions!$AH$170,"Mid",IF(D1044&lt;=Assumptions!$G$170,"Low","Loading")))</f>
        <v>Mid</v>
      </c>
      <c r="Q1044" s="46">
        <f>MAX(K1044,MIN(Assumptions!$S$170,O1044),Q1045)</f>
        <v>2818</v>
      </c>
      <c r="R1044" s="12">
        <f>IF(AND(Q1044&lt;=K1044,INDEX(Assumptions!$C$26:$C$36,MATCH(G1044,Assumptions!$A$26:$A$36,0))&lt;&gt;""),INDEX(Assumptions!$C$26:$C$36,MATCH(G1044,Assumptions!$A$26:$A$36,0)),ROUND(G1044*Q1044,-2))</f>
        <v>2184000</v>
      </c>
      <c r="S1044" s="47" t="str">
        <f>TRIM(IF(AND(Assumptions!$L$170&lt;&gt;"",D1044&lt;Assumptions!$L$170),"View blocked / roof in front ("&amp;Assumptions!$M$170&amp;"); view premium still loading until L"&amp;Assumptions!$L$170&amp;". ","")&amp;IF(D1044=Assumptions!$AH$170,"Mid-floor view premium fully loaded. ","")&amp;IF(D1044=Assumptions!$P$170,"High-floor view premium fully loaded. ","")&amp;IF(Q1044&lt;=K1044,"At developer starting price.",""))</f>
        <v/>
      </c>
      <c r="T1044" s="48" t="str">
        <f>Assumptions!$AJ$170</f>
        <v>SSW. 60m setback to Upper Thomson Rd; landscaping &amp; landed; nature reserve from mid floor</v>
      </c>
    </row>
    <row r="1045" spans="1:20" x14ac:dyDescent="0.2">
      <c r="A1045" s="13" t="s">
        <v>1216</v>
      </c>
      <c r="B1045" s="14">
        <v>9</v>
      </c>
      <c r="C1045" s="40">
        <v>44</v>
      </c>
      <c r="D1045" s="40">
        <v>9</v>
      </c>
      <c r="E1045" s="9" t="s">
        <v>44</v>
      </c>
      <c r="F1045" s="14" t="s">
        <v>1204</v>
      </c>
      <c r="G1045" s="10">
        <v>775</v>
      </c>
      <c r="H1045" s="14" t="s">
        <v>62</v>
      </c>
      <c r="I1045" s="41" t="str">
        <f>Assumptions!$I$170</f>
        <v>C</v>
      </c>
      <c r="J1045" s="14" t="str">
        <f>IF(D1045&lt;=Assumptions!$V$170,"Low",IF(D1045&lt;=Assumptions!$W$170,"Mid","High"))</f>
        <v>Mid</v>
      </c>
      <c r="K1045" s="15">
        <f>Assumptions!$Q$170</f>
        <v>2650</v>
      </c>
      <c r="L1045" s="42">
        <f>INDEX(Assumptions!$G$61:$G$90,D1045)</f>
        <v>2797.2210526315789</v>
      </c>
      <c r="M1045" s="43">
        <f>IF(D1045&lt;=Assumptions!$G$170,Assumptions!$AK$170,IF(D1045&lt;Assumptions!$AH$170,Assumptions!$AK$170+(Assumptions!$AL$170-Assumptions!$AK$170)*(D1045-Assumptions!$G$170)/(Assumptions!$AH$170-Assumptions!$G$170),IF(D1045&lt;Assumptions!$P$170,Assumptions!$AL$170+(Assumptions!$AM$170-Assumptions!$AL$170)*(D1045-Assumptions!$AH$170)/(Assumptions!$P$170-Assumptions!$AH$170),Assumptions!$AM$170)))</f>
        <v>0</v>
      </c>
      <c r="N1045" s="44">
        <f t="shared" si="32"/>
        <v>0</v>
      </c>
      <c r="O1045" s="45">
        <f t="shared" si="33"/>
        <v>2797</v>
      </c>
      <c r="P1045" s="14" t="str">
        <f>IF(D1045&gt;=Assumptions!$P$170,"High",IF(D1045&gt;=Assumptions!$AH$170,"Mid",IF(D1045&lt;=Assumptions!$G$170,"Low","Loading")))</f>
        <v>Mid</v>
      </c>
      <c r="Q1045" s="46">
        <f>MAX(K1045,MIN(Assumptions!$S$170,O1045),Q1046)</f>
        <v>2797</v>
      </c>
      <c r="R1045" s="12">
        <f>IF(AND(Q1045&lt;=K1045,INDEX(Assumptions!$C$26:$C$36,MATCH(G1045,Assumptions!$A$26:$A$36,0))&lt;&gt;""),INDEX(Assumptions!$C$26:$C$36,MATCH(G1045,Assumptions!$A$26:$A$36,0)),ROUND(G1045*Q1045,-2))</f>
        <v>2167700</v>
      </c>
      <c r="S1045" s="47" t="str">
        <f>TRIM(IF(AND(Assumptions!$L$170&lt;&gt;"",D1045&lt;Assumptions!$L$170),"View blocked / roof in front ("&amp;Assumptions!$M$170&amp;"); view premium still loading until L"&amp;Assumptions!$L$170&amp;". ","")&amp;IF(D1045=Assumptions!$AH$170,"Mid-floor view premium fully loaded. ","")&amp;IF(D1045=Assumptions!$P$170,"High-floor view premium fully loaded. ","")&amp;IF(Q1045&lt;=K1045,"At developer starting price.",""))</f>
        <v/>
      </c>
      <c r="T1045" s="48" t="str">
        <f>Assumptions!$AJ$170</f>
        <v>SSW. 60m setback to Upper Thomson Rd; landscaping &amp; landed; nature reserve from mid floor</v>
      </c>
    </row>
    <row r="1046" spans="1:20" x14ac:dyDescent="0.2">
      <c r="A1046" s="13" t="s">
        <v>1217</v>
      </c>
      <c r="B1046" s="14">
        <v>9</v>
      </c>
      <c r="C1046" s="40">
        <v>44</v>
      </c>
      <c r="D1046" s="40">
        <v>8</v>
      </c>
      <c r="E1046" s="9" t="s">
        <v>44</v>
      </c>
      <c r="F1046" s="14" t="s">
        <v>1204</v>
      </c>
      <c r="G1046" s="10">
        <v>775</v>
      </c>
      <c r="H1046" s="14" t="s">
        <v>62</v>
      </c>
      <c r="I1046" s="41" t="str">
        <f>Assumptions!$I$170</f>
        <v>C</v>
      </c>
      <c r="J1046" s="14" t="str">
        <f>IF(D1046&lt;=Assumptions!$V$170,"Low",IF(D1046&lt;=Assumptions!$W$170,"Mid","High"))</f>
        <v>Mid</v>
      </c>
      <c r="K1046" s="15">
        <f>Assumptions!$Q$170</f>
        <v>2650</v>
      </c>
      <c r="L1046" s="42">
        <f>INDEX(Assumptions!$G$61:$G$90,D1046)</f>
        <v>2776.1894736842105</v>
      </c>
      <c r="M1046" s="43">
        <f>IF(D1046&lt;=Assumptions!$G$170,Assumptions!$AK$170,IF(D1046&lt;Assumptions!$AH$170,Assumptions!$AK$170+(Assumptions!$AL$170-Assumptions!$AK$170)*(D1046-Assumptions!$G$170)/(Assumptions!$AH$170-Assumptions!$G$170),IF(D1046&lt;Assumptions!$P$170,Assumptions!$AL$170+(Assumptions!$AM$170-Assumptions!$AL$170)*(D1046-Assumptions!$AH$170)/(Assumptions!$P$170-Assumptions!$AH$170),Assumptions!$AM$170)))</f>
        <v>0</v>
      </c>
      <c r="N1046" s="44">
        <f t="shared" si="32"/>
        <v>0</v>
      </c>
      <c r="O1046" s="45">
        <f t="shared" si="33"/>
        <v>2776</v>
      </c>
      <c r="P1046" s="14" t="str">
        <f>IF(D1046&gt;=Assumptions!$P$170,"High",IF(D1046&gt;=Assumptions!$AH$170,"Mid",IF(D1046&lt;=Assumptions!$G$170,"Low","Loading")))</f>
        <v>Mid</v>
      </c>
      <c r="Q1046" s="46">
        <f>MAX(K1046,MIN(Assumptions!$S$170,O1046),Q1047)</f>
        <v>2776</v>
      </c>
      <c r="R1046" s="12">
        <f>IF(AND(Q1046&lt;=K1046,INDEX(Assumptions!$C$26:$C$36,MATCH(G1046,Assumptions!$A$26:$A$36,0))&lt;&gt;""),INDEX(Assumptions!$C$26:$C$36,MATCH(G1046,Assumptions!$A$26:$A$36,0)),ROUND(G1046*Q1046,-2))</f>
        <v>2151400</v>
      </c>
      <c r="S1046" s="47" t="str">
        <f>TRIM(IF(AND(Assumptions!$L$170&lt;&gt;"",D1046&lt;Assumptions!$L$170),"View blocked / roof in front ("&amp;Assumptions!$M$170&amp;"); view premium still loading until L"&amp;Assumptions!$L$170&amp;". ","")&amp;IF(D1046=Assumptions!$AH$170,"Mid-floor view premium fully loaded. ","")&amp;IF(D1046=Assumptions!$P$170,"High-floor view premium fully loaded. ","")&amp;IF(Q1046&lt;=K1046,"At developer starting price.",""))</f>
        <v>Mid-floor view premium fully loaded.</v>
      </c>
      <c r="T1046" s="48" t="str">
        <f>Assumptions!$AJ$170</f>
        <v>SSW. 60m setback to Upper Thomson Rd; landscaping &amp; landed; nature reserve from mid floor</v>
      </c>
    </row>
    <row r="1047" spans="1:20" x14ac:dyDescent="0.2">
      <c r="A1047" s="13" t="s">
        <v>1218</v>
      </c>
      <c r="B1047" s="14">
        <v>9</v>
      </c>
      <c r="C1047" s="40">
        <v>44</v>
      </c>
      <c r="D1047" s="40">
        <v>7</v>
      </c>
      <c r="E1047" s="9" t="s">
        <v>44</v>
      </c>
      <c r="F1047" s="14" t="s">
        <v>1204</v>
      </c>
      <c r="G1047" s="10">
        <v>775</v>
      </c>
      <c r="H1047" s="14" t="s">
        <v>62</v>
      </c>
      <c r="I1047" s="41" t="str">
        <f>Assumptions!$I$170</f>
        <v>C</v>
      </c>
      <c r="J1047" s="14" t="str">
        <f>IF(D1047&lt;=Assumptions!$V$170,"Low",IF(D1047&lt;=Assumptions!$W$170,"Mid","High"))</f>
        <v>Low</v>
      </c>
      <c r="K1047" s="15">
        <f>Assumptions!$Q$170</f>
        <v>2650</v>
      </c>
      <c r="L1047" s="42">
        <f>INDEX(Assumptions!$G$61:$G$90,D1047)</f>
        <v>2755.1578947368421</v>
      </c>
      <c r="M1047" s="43">
        <f>IF(D1047&lt;=Assumptions!$G$170,Assumptions!$AK$170,IF(D1047&lt;Assumptions!$AH$170,Assumptions!$AK$170+(Assumptions!$AL$170-Assumptions!$AK$170)*(D1047-Assumptions!$G$170)/(Assumptions!$AH$170-Assumptions!$G$170),IF(D1047&lt;Assumptions!$P$170,Assumptions!$AL$170+(Assumptions!$AM$170-Assumptions!$AL$170)*(D1047-Assumptions!$AH$170)/(Assumptions!$P$170-Assumptions!$AH$170),Assumptions!$AM$170)))</f>
        <v>0</v>
      </c>
      <c r="N1047" s="44">
        <f t="shared" si="32"/>
        <v>0</v>
      </c>
      <c r="O1047" s="45">
        <f t="shared" si="33"/>
        <v>2755</v>
      </c>
      <c r="P1047" s="14" t="str">
        <f>IF(D1047&gt;=Assumptions!$P$170,"High",IF(D1047&gt;=Assumptions!$AH$170,"Mid",IF(D1047&lt;=Assumptions!$G$170,"Low","Loading")))</f>
        <v>Loading</v>
      </c>
      <c r="Q1047" s="46">
        <f>MAX(K1047,MIN(Assumptions!$S$170,O1047),Q1048)</f>
        <v>2755</v>
      </c>
      <c r="R1047" s="12">
        <f>IF(AND(Q1047&lt;=K1047,INDEX(Assumptions!$C$26:$C$36,MATCH(G1047,Assumptions!$A$26:$A$36,0))&lt;&gt;""),INDEX(Assumptions!$C$26:$C$36,MATCH(G1047,Assumptions!$A$26:$A$36,0)),ROUND(G1047*Q1047,-2))</f>
        <v>2135100</v>
      </c>
      <c r="S1047" s="47" t="str">
        <f>TRIM(IF(AND(Assumptions!$L$170&lt;&gt;"",D1047&lt;Assumptions!$L$170),"View blocked / roof in front ("&amp;Assumptions!$M$170&amp;"); view premium still loading until L"&amp;Assumptions!$L$170&amp;". ","")&amp;IF(D1047=Assumptions!$AH$170,"Mid-floor view premium fully loaded. ","")&amp;IF(D1047=Assumptions!$P$170,"High-floor view premium fully loaded. ","")&amp;IF(Q1047&lt;=K1047,"At developer starting price.",""))</f>
        <v/>
      </c>
      <c r="T1047" s="48" t="str">
        <f>Assumptions!$AJ$170</f>
        <v>SSW. 60m setback to Upper Thomson Rd; landscaping &amp; landed; nature reserve from mid floor</v>
      </c>
    </row>
    <row r="1048" spans="1:20" x14ac:dyDescent="0.2">
      <c r="A1048" s="13" t="s">
        <v>1219</v>
      </c>
      <c r="B1048" s="14">
        <v>9</v>
      </c>
      <c r="C1048" s="40">
        <v>44</v>
      </c>
      <c r="D1048" s="40">
        <v>6</v>
      </c>
      <c r="E1048" s="9" t="s">
        <v>44</v>
      </c>
      <c r="F1048" s="14" t="s">
        <v>1204</v>
      </c>
      <c r="G1048" s="10">
        <v>775</v>
      </c>
      <c r="H1048" s="14" t="s">
        <v>62</v>
      </c>
      <c r="I1048" s="41" t="str">
        <f>Assumptions!$I$170</f>
        <v>C</v>
      </c>
      <c r="J1048" s="14" t="str">
        <f>IF(D1048&lt;=Assumptions!$V$170,"Low",IF(D1048&lt;=Assumptions!$W$170,"Mid","High"))</f>
        <v>Low</v>
      </c>
      <c r="K1048" s="15">
        <f>Assumptions!$Q$170</f>
        <v>2650</v>
      </c>
      <c r="L1048" s="42">
        <f>INDEX(Assumptions!$G$61:$G$90,D1048)</f>
        <v>2734.1263157894737</v>
      </c>
      <c r="M1048" s="43">
        <f>IF(D1048&lt;=Assumptions!$G$170,Assumptions!$AK$170,IF(D1048&lt;Assumptions!$AH$170,Assumptions!$AK$170+(Assumptions!$AL$170-Assumptions!$AK$170)*(D1048-Assumptions!$G$170)/(Assumptions!$AH$170-Assumptions!$G$170),IF(D1048&lt;Assumptions!$P$170,Assumptions!$AL$170+(Assumptions!$AM$170-Assumptions!$AL$170)*(D1048-Assumptions!$AH$170)/(Assumptions!$P$170-Assumptions!$AH$170),Assumptions!$AM$170)))</f>
        <v>0</v>
      </c>
      <c r="N1048" s="44">
        <f t="shared" si="32"/>
        <v>0</v>
      </c>
      <c r="O1048" s="45">
        <f t="shared" si="33"/>
        <v>2734</v>
      </c>
      <c r="P1048" s="14" t="str">
        <f>IF(D1048&gt;=Assumptions!$P$170,"High",IF(D1048&gt;=Assumptions!$AH$170,"Mid",IF(D1048&lt;=Assumptions!$G$170,"Low","Loading")))</f>
        <v>Loading</v>
      </c>
      <c r="Q1048" s="46">
        <f>MAX(K1048,MIN(Assumptions!$S$170,O1048),Q1049)</f>
        <v>2734</v>
      </c>
      <c r="R1048" s="12">
        <f>IF(AND(Q1048&lt;=K1048,INDEX(Assumptions!$C$26:$C$36,MATCH(G1048,Assumptions!$A$26:$A$36,0))&lt;&gt;""),INDEX(Assumptions!$C$26:$C$36,MATCH(G1048,Assumptions!$A$26:$A$36,0)),ROUND(G1048*Q1048,-2))</f>
        <v>2118900</v>
      </c>
      <c r="S1048" s="47" t="str">
        <f>TRIM(IF(AND(Assumptions!$L$170&lt;&gt;"",D1048&lt;Assumptions!$L$170),"View blocked / roof in front ("&amp;Assumptions!$M$170&amp;"); view premium still loading until L"&amp;Assumptions!$L$170&amp;". ","")&amp;IF(D1048=Assumptions!$AH$170,"Mid-floor view premium fully loaded. ","")&amp;IF(D1048=Assumptions!$P$170,"High-floor view premium fully loaded. ","")&amp;IF(Q1048&lt;=K1048,"At developer starting price.",""))</f>
        <v/>
      </c>
      <c r="T1048" s="48" t="str">
        <f>Assumptions!$AJ$170</f>
        <v>SSW. 60m setback to Upper Thomson Rd; landscaping &amp; landed; nature reserve from mid floor</v>
      </c>
    </row>
    <row r="1049" spans="1:20" x14ac:dyDescent="0.2">
      <c r="A1049" s="13" t="s">
        <v>1220</v>
      </c>
      <c r="B1049" s="14">
        <v>9</v>
      </c>
      <c r="C1049" s="40">
        <v>44</v>
      </c>
      <c r="D1049" s="40">
        <v>5</v>
      </c>
      <c r="E1049" s="9" t="s">
        <v>44</v>
      </c>
      <c r="F1049" s="14" t="s">
        <v>1204</v>
      </c>
      <c r="G1049" s="10">
        <v>775</v>
      </c>
      <c r="H1049" s="14" t="s">
        <v>62</v>
      </c>
      <c r="I1049" s="41" t="str">
        <f>Assumptions!$I$170</f>
        <v>C</v>
      </c>
      <c r="J1049" s="14" t="str">
        <f>IF(D1049&lt;=Assumptions!$V$170,"Low",IF(D1049&lt;=Assumptions!$W$170,"Mid","High"))</f>
        <v>Low</v>
      </c>
      <c r="K1049" s="15">
        <f>Assumptions!$Q$170</f>
        <v>2650</v>
      </c>
      <c r="L1049" s="42">
        <f>INDEX(Assumptions!$G$61:$G$90,D1049)</f>
        <v>2713.0947368421052</v>
      </c>
      <c r="M1049" s="43">
        <f>IF(D1049&lt;=Assumptions!$G$170,Assumptions!$AK$170,IF(D1049&lt;Assumptions!$AH$170,Assumptions!$AK$170+(Assumptions!$AL$170-Assumptions!$AK$170)*(D1049-Assumptions!$G$170)/(Assumptions!$AH$170-Assumptions!$G$170),IF(D1049&lt;Assumptions!$P$170,Assumptions!$AL$170+(Assumptions!$AM$170-Assumptions!$AL$170)*(D1049-Assumptions!$AH$170)/(Assumptions!$P$170-Assumptions!$AH$170),Assumptions!$AM$170)))</f>
        <v>0</v>
      </c>
      <c r="N1049" s="44">
        <f t="shared" si="32"/>
        <v>0</v>
      </c>
      <c r="O1049" s="45">
        <f t="shared" si="33"/>
        <v>2713</v>
      </c>
      <c r="P1049" s="14" t="str">
        <f>IF(D1049&gt;=Assumptions!$P$170,"High",IF(D1049&gt;=Assumptions!$AH$170,"Mid",IF(D1049&lt;=Assumptions!$G$170,"Low","Loading")))</f>
        <v>Loading</v>
      </c>
      <c r="Q1049" s="46">
        <f>MAX(K1049,MIN(Assumptions!$S$170,O1049),Q1050)</f>
        <v>2713</v>
      </c>
      <c r="R1049" s="12">
        <f>IF(AND(Q1049&lt;=K1049,INDEX(Assumptions!$C$26:$C$36,MATCH(G1049,Assumptions!$A$26:$A$36,0))&lt;&gt;""),INDEX(Assumptions!$C$26:$C$36,MATCH(G1049,Assumptions!$A$26:$A$36,0)),ROUND(G1049*Q1049,-2))</f>
        <v>2102600</v>
      </c>
      <c r="S1049" s="47" t="str">
        <f>TRIM(IF(AND(Assumptions!$L$170&lt;&gt;"",D1049&lt;Assumptions!$L$170),"View blocked / roof in front ("&amp;Assumptions!$M$170&amp;"); view premium still loading until L"&amp;Assumptions!$L$170&amp;". ","")&amp;IF(D1049=Assumptions!$AH$170,"Mid-floor view premium fully loaded. ","")&amp;IF(D1049=Assumptions!$P$170,"High-floor view premium fully loaded. ","")&amp;IF(Q1049&lt;=K1049,"At developer starting price.",""))</f>
        <v/>
      </c>
      <c r="T1049" s="48" t="str">
        <f>Assumptions!$AJ$170</f>
        <v>SSW. 60m setback to Upper Thomson Rd; landscaping &amp; landed; nature reserve from mid floor</v>
      </c>
    </row>
    <row r="1050" spans="1:20" x14ac:dyDescent="0.2">
      <c r="A1050" s="13" t="s">
        <v>1221</v>
      </c>
      <c r="B1050" s="14">
        <v>9</v>
      </c>
      <c r="C1050" s="40">
        <v>44</v>
      </c>
      <c r="D1050" s="40">
        <v>4</v>
      </c>
      <c r="E1050" s="9" t="s">
        <v>44</v>
      </c>
      <c r="F1050" s="14" t="s">
        <v>1204</v>
      </c>
      <c r="G1050" s="10">
        <v>775</v>
      </c>
      <c r="H1050" s="14" t="s">
        <v>62</v>
      </c>
      <c r="I1050" s="41" t="str">
        <f>Assumptions!$I$170</f>
        <v>C</v>
      </c>
      <c r="J1050" s="14" t="str">
        <f>IF(D1050&lt;=Assumptions!$V$170,"Low",IF(D1050&lt;=Assumptions!$W$170,"Mid","High"))</f>
        <v>Low</v>
      </c>
      <c r="K1050" s="15">
        <f>Assumptions!$Q$170</f>
        <v>2650</v>
      </c>
      <c r="L1050" s="42">
        <f>INDEX(Assumptions!$G$61:$G$90,D1050)</f>
        <v>2692.0631578947368</v>
      </c>
      <c r="M1050" s="43">
        <f>IF(D1050&lt;=Assumptions!$G$170,Assumptions!$AK$170,IF(D1050&lt;Assumptions!$AH$170,Assumptions!$AK$170+(Assumptions!$AL$170-Assumptions!$AK$170)*(D1050-Assumptions!$G$170)/(Assumptions!$AH$170-Assumptions!$G$170),IF(D1050&lt;Assumptions!$P$170,Assumptions!$AL$170+(Assumptions!$AM$170-Assumptions!$AL$170)*(D1050-Assumptions!$AH$170)/(Assumptions!$P$170-Assumptions!$AH$170),Assumptions!$AM$170)))</f>
        <v>0</v>
      </c>
      <c r="N1050" s="44">
        <f t="shared" si="32"/>
        <v>0</v>
      </c>
      <c r="O1050" s="45">
        <f t="shared" si="33"/>
        <v>2692</v>
      </c>
      <c r="P1050" s="14" t="str">
        <f>IF(D1050&gt;=Assumptions!$P$170,"High",IF(D1050&gt;=Assumptions!$AH$170,"Mid",IF(D1050&lt;=Assumptions!$G$170,"Low","Loading")))</f>
        <v>Loading</v>
      </c>
      <c r="Q1050" s="46">
        <f>MAX(K1050,MIN(Assumptions!$S$170,O1050),Q1051)</f>
        <v>2692</v>
      </c>
      <c r="R1050" s="12">
        <f>IF(AND(Q1050&lt;=K1050,INDEX(Assumptions!$C$26:$C$36,MATCH(G1050,Assumptions!$A$26:$A$36,0))&lt;&gt;""),INDEX(Assumptions!$C$26:$C$36,MATCH(G1050,Assumptions!$A$26:$A$36,0)),ROUND(G1050*Q1050,-2))</f>
        <v>2086300</v>
      </c>
      <c r="S1050" s="47" t="str">
        <f>TRIM(IF(AND(Assumptions!$L$170&lt;&gt;"",D1050&lt;Assumptions!$L$170),"View blocked / roof in front ("&amp;Assumptions!$M$170&amp;"); view premium still loading until L"&amp;Assumptions!$L$170&amp;". ","")&amp;IF(D1050=Assumptions!$AH$170,"Mid-floor view premium fully loaded. ","")&amp;IF(D1050=Assumptions!$P$170,"High-floor view premium fully loaded. ","")&amp;IF(Q1050&lt;=K1050,"At developer starting price.",""))</f>
        <v/>
      </c>
      <c r="T1050" s="48" t="str">
        <f>Assumptions!$AJ$170</f>
        <v>SSW. 60m setback to Upper Thomson Rd; landscaping &amp; landed; nature reserve from mid floor</v>
      </c>
    </row>
    <row r="1051" spans="1:20" x14ac:dyDescent="0.2">
      <c r="A1051" s="13" t="s">
        <v>1222</v>
      </c>
      <c r="B1051" s="14">
        <v>9</v>
      </c>
      <c r="C1051" s="40">
        <v>44</v>
      </c>
      <c r="D1051" s="40">
        <v>3</v>
      </c>
      <c r="E1051" s="9" t="s">
        <v>44</v>
      </c>
      <c r="F1051" s="14" t="s">
        <v>1204</v>
      </c>
      <c r="G1051" s="10">
        <v>775</v>
      </c>
      <c r="H1051" s="14" t="s">
        <v>62</v>
      </c>
      <c r="I1051" s="41" t="str">
        <f>Assumptions!$I$170</f>
        <v>C</v>
      </c>
      <c r="J1051" s="14" t="str">
        <f>IF(D1051&lt;=Assumptions!$V$170,"Low",IF(D1051&lt;=Assumptions!$W$170,"Mid","High"))</f>
        <v>Low</v>
      </c>
      <c r="K1051" s="15">
        <f>Assumptions!$Q$170</f>
        <v>2650</v>
      </c>
      <c r="L1051" s="42">
        <f>INDEX(Assumptions!$G$61:$G$90,D1051)</f>
        <v>2671.0315789473684</v>
      </c>
      <c r="M1051" s="43">
        <f>IF(D1051&lt;=Assumptions!$G$170,Assumptions!$AK$170,IF(D1051&lt;Assumptions!$AH$170,Assumptions!$AK$170+(Assumptions!$AL$170-Assumptions!$AK$170)*(D1051-Assumptions!$G$170)/(Assumptions!$AH$170-Assumptions!$G$170),IF(D1051&lt;Assumptions!$P$170,Assumptions!$AL$170+(Assumptions!$AM$170-Assumptions!$AL$170)*(D1051-Assumptions!$AH$170)/(Assumptions!$P$170-Assumptions!$AH$170),Assumptions!$AM$170)))</f>
        <v>0</v>
      </c>
      <c r="N1051" s="44">
        <f t="shared" si="32"/>
        <v>0</v>
      </c>
      <c r="O1051" s="45">
        <f t="shared" si="33"/>
        <v>2671</v>
      </c>
      <c r="P1051" s="14" t="str">
        <f>IF(D1051&gt;=Assumptions!$P$170,"High",IF(D1051&gt;=Assumptions!$AH$170,"Mid",IF(D1051&lt;=Assumptions!$G$170,"Low","Loading")))</f>
        <v>Loading</v>
      </c>
      <c r="Q1051" s="46">
        <f>MAX(K1051,MIN(Assumptions!$S$170,O1051),Q1052)</f>
        <v>2671</v>
      </c>
      <c r="R1051" s="12">
        <f>IF(AND(Q1051&lt;=K1051,INDEX(Assumptions!$C$26:$C$36,MATCH(G1051,Assumptions!$A$26:$A$36,0))&lt;&gt;""),INDEX(Assumptions!$C$26:$C$36,MATCH(G1051,Assumptions!$A$26:$A$36,0)),ROUND(G1051*Q1051,-2))</f>
        <v>2070000</v>
      </c>
      <c r="S1051" s="47" t="str">
        <f>TRIM(IF(AND(Assumptions!$L$170&lt;&gt;"",D1051&lt;Assumptions!$L$170),"View blocked / roof in front ("&amp;Assumptions!$M$170&amp;"); view premium still loading until L"&amp;Assumptions!$L$170&amp;". ","")&amp;IF(D1051=Assumptions!$AH$170,"Mid-floor view premium fully loaded. ","")&amp;IF(D1051=Assumptions!$P$170,"High-floor view premium fully loaded. ","")&amp;IF(Q1051&lt;=K1051,"At developer starting price.",""))</f>
        <v/>
      </c>
      <c r="T1051" s="48" t="str">
        <f>Assumptions!$AJ$170</f>
        <v>SSW. 60m setback to Upper Thomson Rd; landscaping &amp; landed; nature reserve from mid floor</v>
      </c>
    </row>
    <row r="1052" spans="1:20" x14ac:dyDescent="0.2">
      <c r="A1052" s="13" t="s">
        <v>1223</v>
      </c>
      <c r="B1052" s="14">
        <v>9</v>
      </c>
      <c r="C1052" s="40">
        <v>44</v>
      </c>
      <c r="D1052" s="40">
        <v>2</v>
      </c>
      <c r="E1052" s="9" t="s">
        <v>44</v>
      </c>
      <c r="F1052" s="14" t="s">
        <v>1224</v>
      </c>
      <c r="G1052" s="10">
        <v>775</v>
      </c>
      <c r="H1052" s="14" t="s">
        <v>62</v>
      </c>
      <c r="I1052" s="41" t="str">
        <f>Assumptions!$I$170</f>
        <v>C</v>
      </c>
      <c r="J1052" s="14" t="str">
        <f>IF(D1052&lt;=Assumptions!$V$170,"Low",IF(D1052&lt;=Assumptions!$W$170,"Mid","High"))</f>
        <v>Low</v>
      </c>
      <c r="K1052" s="15">
        <f>Assumptions!$Q$170</f>
        <v>2650</v>
      </c>
      <c r="L1052" s="42">
        <f>INDEX(Assumptions!$G$61:$G$90,D1052)</f>
        <v>2650</v>
      </c>
      <c r="M1052" s="43">
        <f>IF(D1052&lt;=Assumptions!$G$170,Assumptions!$AK$170,IF(D1052&lt;Assumptions!$AH$170,Assumptions!$AK$170+(Assumptions!$AL$170-Assumptions!$AK$170)*(D1052-Assumptions!$G$170)/(Assumptions!$AH$170-Assumptions!$G$170),IF(D1052&lt;Assumptions!$P$170,Assumptions!$AL$170+(Assumptions!$AM$170-Assumptions!$AL$170)*(D1052-Assumptions!$AH$170)/(Assumptions!$P$170-Assumptions!$AH$170),Assumptions!$AM$170)))</f>
        <v>0</v>
      </c>
      <c r="N1052" s="44">
        <f t="shared" si="32"/>
        <v>0</v>
      </c>
      <c r="O1052" s="45">
        <f t="shared" si="33"/>
        <v>2650</v>
      </c>
      <c r="P1052" s="14" t="str">
        <f>IF(D1052&gt;=Assumptions!$P$170,"High",IF(D1052&gt;=Assumptions!$AH$170,"Mid",IF(D1052&lt;=Assumptions!$G$170,"Low","Loading")))</f>
        <v>Low</v>
      </c>
      <c r="Q1052" s="46">
        <f>MAX(K1052,MIN(Assumptions!$S$170,O1052))</f>
        <v>2650</v>
      </c>
      <c r="R1052" s="12">
        <f>IF(AND(Q1052&lt;=K1052,INDEX(Assumptions!$C$26:$C$36,MATCH(G1052,Assumptions!$A$26:$A$36,0))&lt;&gt;""),INDEX(Assumptions!$C$26:$C$36,MATCH(G1052,Assumptions!$A$26:$A$36,0)),ROUND(G1052*Q1052,-2))</f>
        <v>2053800</v>
      </c>
      <c r="S1052" s="47" t="str">
        <f>TRIM(IF(AND(Assumptions!$L$170&lt;&gt;"",D1052&lt;Assumptions!$L$170),"View blocked / roof in front ("&amp;Assumptions!$M$170&amp;"); view premium still loading until L"&amp;Assumptions!$L$170&amp;". ","")&amp;IF(D1052=Assumptions!$AH$170,"Mid-floor view premium fully loaded. ","")&amp;IF(D1052=Assumptions!$P$170,"High-floor view premium fully loaded. ","")&amp;IF(Q1052&lt;=K1052,"At developer starting price.",""))</f>
        <v>At developer starting price.</v>
      </c>
      <c r="T1052" s="48" t="str">
        <f>Assumptions!$AJ$170</f>
        <v>SSW. 60m setback to Upper Thomson Rd; landscaping &amp; landed; nature reserve from mid floor</v>
      </c>
    </row>
    <row r="1053" spans="1:20" x14ac:dyDescent="0.2">
      <c r="A1053" s="13" t="s">
        <v>1225</v>
      </c>
      <c r="B1053" s="14">
        <v>9</v>
      </c>
      <c r="C1053" s="40">
        <v>45</v>
      </c>
      <c r="D1053" s="40">
        <v>21</v>
      </c>
      <c r="E1053" s="9" t="s">
        <v>48</v>
      </c>
      <c r="F1053" s="14" t="s">
        <v>1226</v>
      </c>
      <c r="G1053" s="10">
        <v>1238</v>
      </c>
      <c r="H1053" s="14" t="s">
        <v>62</v>
      </c>
      <c r="I1053" s="41" t="str">
        <f>Assumptions!$I$171</f>
        <v>B</v>
      </c>
      <c r="J1053" s="14" t="str">
        <f>IF(D1053&lt;=Assumptions!$V$171,"Low",IF(D1053&lt;=Assumptions!$W$171,"Mid","High"))</f>
        <v>High</v>
      </c>
      <c r="K1053" s="15">
        <f>Assumptions!$Q$171</f>
        <v>2737</v>
      </c>
      <c r="L1053" s="42">
        <f>INDEX(Assumptions!$N$61:$N$90,D1053)</f>
        <v>3072.8285714285716</v>
      </c>
      <c r="M1053" s="43">
        <f>IF(D1053&lt;=Assumptions!$G$171,Assumptions!$AK$171,IF(D1053&lt;Assumptions!$AH$171,Assumptions!$AK$171+(Assumptions!$AL$171-Assumptions!$AK$171)*(D1053-Assumptions!$G$171)/(Assumptions!$AH$171-Assumptions!$G$171),IF(D1053&lt;Assumptions!$P$171,Assumptions!$AL$171+(Assumptions!$AM$171-Assumptions!$AL$171)*(D1053-Assumptions!$AH$171)/(Assumptions!$P$171-Assumptions!$AH$171),Assumptions!$AM$171)))</f>
        <v>50000</v>
      </c>
      <c r="N1053" s="44">
        <f t="shared" si="32"/>
        <v>40.38772213247173</v>
      </c>
      <c r="O1053" s="45">
        <f t="shared" si="33"/>
        <v>3113</v>
      </c>
      <c r="P1053" s="14" t="str">
        <f>IF(D1053&gt;=Assumptions!$P$171,"High",IF(D1053&gt;=Assumptions!$AH$171,"Mid",IF(D1053&lt;=Assumptions!$G$171,"Low","Loading")))</f>
        <v>High</v>
      </c>
      <c r="Q1053" s="46">
        <f>MAX(K1053,MIN(Assumptions!$S$171,O1053),Q1054)</f>
        <v>3113</v>
      </c>
      <c r="R1053" s="12">
        <f>IF(AND(Q1053&lt;=K1053,INDEX(Assumptions!$C$26:$C$36,MATCH(G1053,Assumptions!$A$26:$A$36,0))&lt;&gt;""),INDEX(Assumptions!$C$26:$C$36,MATCH(G1053,Assumptions!$A$26:$A$36,0)),ROUND(G1053*Q1053,-2))</f>
        <v>3853900</v>
      </c>
      <c r="S1053" s="47" t="str">
        <f>TRIM(IF(AND(Assumptions!$L$171&lt;&gt;"",D1053&lt;Assumptions!$L$171),"View blocked / roof in front ("&amp;Assumptions!$M$171&amp;"); view premium still loading until L"&amp;Assumptions!$L$171&amp;". ","")&amp;IF(D1053=Assumptions!$AH$171,"Mid-floor view premium fully loaded. ","")&amp;IF(D1053=Assumptions!$P$171,"High-floor view premium fully loaded. ","")&amp;IF(Q1053&lt;=K1053,"At developer starting price.",""))</f>
        <v/>
      </c>
      <c r="T1053" s="48" t="str">
        <f>Assumptions!$AJ$171</f>
        <v>SSW. Unblocked pool view on low floors; unblocked nature reserve from mid floor</v>
      </c>
    </row>
    <row r="1054" spans="1:20" x14ac:dyDescent="0.2">
      <c r="A1054" s="13" t="s">
        <v>1227</v>
      </c>
      <c r="B1054" s="14">
        <v>9</v>
      </c>
      <c r="C1054" s="40">
        <v>45</v>
      </c>
      <c r="D1054" s="40">
        <v>20</v>
      </c>
      <c r="E1054" s="9" t="s">
        <v>48</v>
      </c>
      <c r="F1054" s="14" t="s">
        <v>1226</v>
      </c>
      <c r="G1054" s="10">
        <v>1238</v>
      </c>
      <c r="H1054" s="14" t="s">
        <v>62</v>
      </c>
      <c r="I1054" s="41" t="str">
        <f>Assumptions!$I$171</f>
        <v>B</v>
      </c>
      <c r="J1054" s="14" t="str">
        <f>IF(D1054&lt;=Assumptions!$V$171,"Low",IF(D1054&lt;=Assumptions!$W$171,"Mid","High"))</f>
        <v>High</v>
      </c>
      <c r="K1054" s="15">
        <f>Assumptions!$Q$171</f>
        <v>2737</v>
      </c>
      <c r="L1054" s="42">
        <f>INDEX(Assumptions!$N$61:$N$90,D1054)</f>
        <v>3049.0571428571429</v>
      </c>
      <c r="M1054" s="43">
        <f>IF(D1054&lt;=Assumptions!$G$171,Assumptions!$AK$171,IF(D1054&lt;Assumptions!$AH$171,Assumptions!$AK$171+(Assumptions!$AL$171-Assumptions!$AK$171)*(D1054-Assumptions!$G$171)/(Assumptions!$AH$171-Assumptions!$G$171),IF(D1054&lt;Assumptions!$P$171,Assumptions!$AL$171+(Assumptions!$AM$171-Assumptions!$AL$171)*(D1054-Assumptions!$AH$171)/(Assumptions!$P$171-Assumptions!$AH$171),Assumptions!$AM$171)))</f>
        <v>50000</v>
      </c>
      <c r="N1054" s="44">
        <f t="shared" si="32"/>
        <v>40.38772213247173</v>
      </c>
      <c r="O1054" s="45">
        <f t="shared" si="33"/>
        <v>3089</v>
      </c>
      <c r="P1054" s="14" t="str">
        <f>IF(D1054&gt;=Assumptions!$P$171,"High",IF(D1054&gt;=Assumptions!$AH$171,"Mid",IF(D1054&lt;=Assumptions!$G$171,"Low","Loading")))</f>
        <v>High</v>
      </c>
      <c r="Q1054" s="46">
        <f>MAX(K1054,MIN(Assumptions!$S$171,O1054),Q1055)</f>
        <v>3089</v>
      </c>
      <c r="R1054" s="12">
        <f>IF(AND(Q1054&lt;=K1054,INDEX(Assumptions!$C$26:$C$36,MATCH(G1054,Assumptions!$A$26:$A$36,0))&lt;&gt;""),INDEX(Assumptions!$C$26:$C$36,MATCH(G1054,Assumptions!$A$26:$A$36,0)),ROUND(G1054*Q1054,-2))</f>
        <v>3824200</v>
      </c>
      <c r="S1054" s="47" t="str">
        <f>TRIM(IF(AND(Assumptions!$L$171&lt;&gt;"",D1054&lt;Assumptions!$L$171),"View blocked / roof in front ("&amp;Assumptions!$M$171&amp;"); view premium still loading until L"&amp;Assumptions!$L$171&amp;". ","")&amp;IF(D1054=Assumptions!$AH$171,"Mid-floor view premium fully loaded. ","")&amp;IF(D1054=Assumptions!$P$171,"High-floor view premium fully loaded. ","")&amp;IF(Q1054&lt;=K1054,"At developer starting price.",""))</f>
        <v/>
      </c>
      <c r="T1054" s="48" t="str">
        <f>Assumptions!$AJ$171</f>
        <v>SSW. Unblocked pool view on low floors; unblocked nature reserve from mid floor</v>
      </c>
    </row>
    <row r="1055" spans="1:20" x14ac:dyDescent="0.2">
      <c r="A1055" s="13" t="s">
        <v>1228</v>
      </c>
      <c r="B1055" s="14">
        <v>9</v>
      </c>
      <c r="C1055" s="40">
        <v>45</v>
      </c>
      <c r="D1055" s="40">
        <v>19</v>
      </c>
      <c r="E1055" s="9" t="s">
        <v>48</v>
      </c>
      <c r="F1055" s="14" t="s">
        <v>1226</v>
      </c>
      <c r="G1055" s="10">
        <v>1238</v>
      </c>
      <c r="H1055" s="14" t="s">
        <v>62</v>
      </c>
      <c r="I1055" s="41" t="str">
        <f>Assumptions!$I$171</f>
        <v>B</v>
      </c>
      <c r="J1055" s="14" t="str">
        <f>IF(D1055&lt;=Assumptions!$V$171,"Low",IF(D1055&lt;=Assumptions!$W$171,"Mid","High"))</f>
        <v>High</v>
      </c>
      <c r="K1055" s="15">
        <f>Assumptions!$Q$171</f>
        <v>2737</v>
      </c>
      <c r="L1055" s="42">
        <f>INDEX(Assumptions!$N$61:$N$90,D1055)</f>
        <v>3025.2857142857142</v>
      </c>
      <c r="M1055" s="43">
        <f>IF(D1055&lt;=Assumptions!$G$171,Assumptions!$AK$171,IF(D1055&lt;Assumptions!$AH$171,Assumptions!$AK$171+(Assumptions!$AL$171-Assumptions!$AK$171)*(D1055-Assumptions!$G$171)/(Assumptions!$AH$171-Assumptions!$G$171),IF(D1055&lt;Assumptions!$P$171,Assumptions!$AL$171+(Assumptions!$AM$171-Assumptions!$AL$171)*(D1055-Assumptions!$AH$171)/(Assumptions!$P$171-Assumptions!$AH$171),Assumptions!$AM$171)))</f>
        <v>50000</v>
      </c>
      <c r="N1055" s="44">
        <f t="shared" si="32"/>
        <v>40.38772213247173</v>
      </c>
      <c r="O1055" s="45">
        <f t="shared" si="33"/>
        <v>3066</v>
      </c>
      <c r="P1055" s="14" t="str">
        <f>IF(D1055&gt;=Assumptions!$P$171,"High",IF(D1055&gt;=Assumptions!$AH$171,"Mid",IF(D1055&lt;=Assumptions!$G$171,"Low","Loading")))</f>
        <v>High</v>
      </c>
      <c r="Q1055" s="46">
        <f>MAX(K1055,MIN(Assumptions!$S$171,O1055),Q1056)</f>
        <v>3066</v>
      </c>
      <c r="R1055" s="12">
        <f>IF(AND(Q1055&lt;=K1055,INDEX(Assumptions!$C$26:$C$36,MATCH(G1055,Assumptions!$A$26:$A$36,0))&lt;&gt;""),INDEX(Assumptions!$C$26:$C$36,MATCH(G1055,Assumptions!$A$26:$A$36,0)),ROUND(G1055*Q1055,-2))</f>
        <v>3795700</v>
      </c>
      <c r="S1055" s="47" t="str">
        <f>TRIM(IF(AND(Assumptions!$L$171&lt;&gt;"",D1055&lt;Assumptions!$L$171),"View blocked / roof in front ("&amp;Assumptions!$M$171&amp;"); view premium still loading until L"&amp;Assumptions!$L$171&amp;". ","")&amp;IF(D1055=Assumptions!$AH$171,"Mid-floor view premium fully loaded. ","")&amp;IF(D1055=Assumptions!$P$171,"High-floor view premium fully loaded. ","")&amp;IF(Q1055&lt;=K1055,"At developer starting price.",""))</f>
        <v/>
      </c>
      <c r="T1055" s="48" t="str">
        <f>Assumptions!$AJ$171</f>
        <v>SSW. Unblocked pool view on low floors; unblocked nature reserve from mid floor</v>
      </c>
    </row>
    <row r="1056" spans="1:20" x14ac:dyDescent="0.2">
      <c r="A1056" s="13" t="s">
        <v>1229</v>
      </c>
      <c r="B1056" s="14">
        <v>9</v>
      </c>
      <c r="C1056" s="40">
        <v>45</v>
      </c>
      <c r="D1056" s="40">
        <v>18</v>
      </c>
      <c r="E1056" s="9" t="s">
        <v>48</v>
      </c>
      <c r="F1056" s="14" t="s">
        <v>1226</v>
      </c>
      <c r="G1056" s="10">
        <v>1238</v>
      </c>
      <c r="H1056" s="14" t="s">
        <v>62</v>
      </c>
      <c r="I1056" s="41" t="str">
        <f>Assumptions!$I$171</f>
        <v>B</v>
      </c>
      <c r="J1056" s="14" t="str">
        <f>IF(D1056&lt;=Assumptions!$V$171,"Low",IF(D1056&lt;=Assumptions!$W$171,"Mid","High"))</f>
        <v>High</v>
      </c>
      <c r="K1056" s="15">
        <f>Assumptions!$Q$171</f>
        <v>2737</v>
      </c>
      <c r="L1056" s="42">
        <f>INDEX(Assumptions!$N$61:$N$90,D1056)</f>
        <v>3001.514285714286</v>
      </c>
      <c r="M1056" s="43">
        <f>IF(D1056&lt;=Assumptions!$G$171,Assumptions!$AK$171,IF(D1056&lt;Assumptions!$AH$171,Assumptions!$AK$171+(Assumptions!$AL$171-Assumptions!$AK$171)*(D1056-Assumptions!$G$171)/(Assumptions!$AH$171-Assumptions!$G$171),IF(D1056&lt;Assumptions!$P$171,Assumptions!$AL$171+(Assumptions!$AM$171-Assumptions!$AL$171)*(D1056-Assumptions!$AH$171)/(Assumptions!$P$171-Assumptions!$AH$171),Assumptions!$AM$171)))</f>
        <v>50000</v>
      </c>
      <c r="N1056" s="44">
        <f t="shared" si="32"/>
        <v>40.38772213247173</v>
      </c>
      <c r="O1056" s="45">
        <f t="shared" si="33"/>
        <v>3042</v>
      </c>
      <c r="P1056" s="14" t="str">
        <f>IF(D1056&gt;=Assumptions!$P$171,"High",IF(D1056&gt;=Assumptions!$AH$171,"Mid",IF(D1056&lt;=Assumptions!$G$171,"Low","Loading")))</f>
        <v>High</v>
      </c>
      <c r="Q1056" s="46">
        <f>MAX(K1056,MIN(Assumptions!$S$171,O1056),Q1057)</f>
        <v>3042</v>
      </c>
      <c r="R1056" s="12">
        <f>IF(AND(Q1056&lt;=K1056,INDEX(Assumptions!$C$26:$C$36,MATCH(G1056,Assumptions!$A$26:$A$36,0))&lt;&gt;""),INDEX(Assumptions!$C$26:$C$36,MATCH(G1056,Assumptions!$A$26:$A$36,0)),ROUND(G1056*Q1056,-2))</f>
        <v>3766000</v>
      </c>
      <c r="S1056" s="47" t="str">
        <f>TRIM(IF(AND(Assumptions!$L$171&lt;&gt;"",D1056&lt;Assumptions!$L$171),"View blocked / roof in front ("&amp;Assumptions!$M$171&amp;"); view premium still loading until L"&amp;Assumptions!$L$171&amp;". ","")&amp;IF(D1056=Assumptions!$AH$171,"Mid-floor view premium fully loaded. ","")&amp;IF(D1056=Assumptions!$P$171,"High-floor view premium fully loaded. ","")&amp;IF(Q1056&lt;=K1056,"At developer starting price.",""))</f>
        <v/>
      </c>
      <c r="T1056" s="48" t="str">
        <f>Assumptions!$AJ$171</f>
        <v>SSW. Unblocked pool view on low floors; unblocked nature reserve from mid floor</v>
      </c>
    </row>
    <row r="1057" spans="1:20" x14ac:dyDescent="0.2">
      <c r="A1057" s="13" t="s">
        <v>1230</v>
      </c>
      <c r="B1057" s="14">
        <v>9</v>
      </c>
      <c r="C1057" s="40">
        <v>45</v>
      </c>
      <c r="D1057" s="40">
        <v>17</v>
      </c>
      <c r="E1057" s="9" t="s">
        <v>48</v>
      </c>
      <c r="F1057" s="14" t="s">
        <v>1226</v>
      </c>
      <c r="G1057" s="10">
        <v>1238</v>
      </c>
      <c r="H1057" s="14" t="s">
        <v>62</v>
      </c>
      <c r="I1057" s="41" t="str">
        <f>Assumptions!$I$171</f>
        <v>B</v>
      </c>
      <c r="J1057" s="14" t="str">
        <f>IF(D1057&lt;=Assumptions!$V$171,"Low",IF(D1057&lt;=Assumptions!$W$171,"Mid","High"))</f>
        <v>High</v>
      </c>
      <c r="K1057" s="15">
        <f>Assumptions!$Q$171</f>
        <v>2737</v>
      </c>
      <c r="L1057" s="42">
        <f>INDEX(Assumptions!$N$61:$N$90,D1057)</f>
        <v>2977.7428571428572</v>
      </c>
      <c r="M1057" s="43">
        <f>IF(D1057&lt;=Assumptions!$G$171,Assumptions!$AK$171,IF(D1057&lt;Assumptions!$AH$171,Assumptions!$AK$171+(Assumptions!$AL$171-Assumptions!$AK$171)*(D1057-Assumptions!$G$171)/(Assumptions!$AH$171-Assumptions!$G$171),IF(D1057&lt;Assumptions!$P$171,Assumptions!$AL$171+(Assumptions!$AM$171-Assumptions!$AL$171)*(D1057-Assumptions!$AH$171)/(Assumptions!$P$171-Assumptions!$AH$171),Assumptions!$AM$171)))</f>
        <v>50000</v>
      </c>
      <c r="N1057" s="44">
        <f t="shared" si="32"/>
        <v>40.38772213247173</v>
      </c>
      <c r="O1057" s="45">
        <f t="shared" si="33"/>
        <v>3018</v>
      </c>
      <c r="P1057" s="14" t="str">
        <f>IF(D1057&gt;=Assumptions!$P$171,"High",IF(D1057&gt;=Assumptions!$AH$171,"Mid",IF(D1057&lt;=Assumptions!$G$171,"Low","Loading")))</f>
        <v>High</v>
      </c>
      <c r="Q1057" s="46">
        <f>MAX(K1057,MIN(Assumptions!$S$171,O1057),Q1058)</f>
        <v>3018</v>
      </c>
      <c r="R1057" s="12">
        <f>IF(AND(Q1057&lt;=K1057,INDEX(Assumptions!$C$26:$C$36,MATCH(G1057,Assumptions!$A$26:$A$36,0))&lt;&gt;""),INDEX(Assumptions!$C$26:$C$36,MATCH(G1057,Assumptions!$A$26:$A$36,0)),ROUND(G1057*Q1057,-2))</f>
        <v>3736300</v>
      </c>
      <c r="S1057" s="47" t="str">
        <f>TRIM(IF(AND(Assumptions!$L$171&lt;&gt;"",D1057&lt;Assumptions!$L$171),"View blocked / roof in front ("&amp;Assumptions!$M$171&amp;"); view premium still loading until L"&amp;Assumptions!$L$171&amp;". ","")&amp;IF(D1057=Assumptions!$AH$171,"Mid-floor view premium fully loaded. ","")&amp;IF(D1057=Assumptions!$P$171,"High-floor view premium fully loaded. ","")&amp;IF(Q1057&lt;=K1057,"At developer starting price.",""))</f>
        <v/>
      </c>
      <c r="T1057" s="48" t="str">
        <f>Assumptions!$AJ$171</f>
        <v>SSW. Unblocked pool view on low floors; unblocked nature reserve from mid floor</v>
      </c>
    </row>
    <row r="1058" spans="1:20" x14ac:dyDescent="0.2">
      <c r="A1058" s="13" t="s">
        <v>1231</v>
      </c>
      <c r="B1058" s="14">
        <v>9</v>
      </c>
      <c r="C1058" s="40">
        <v>45</v>
      </c>
      <c r="D1058" s="40">
        <v>16</v>
      </c>
      <c r="E1058" s="9" t="s">
        <v>48</v>
      </c>
      <c r="F1058" s="14" t="s">
        <v>1226</v>
      </c>
      <c r="G1058" s="10">
        <v>1238</v>
      </c>
      <c r="H1058" s="14" t="s">
        <v>62</v>
      </c>
      <c r="I1058" s="41" t="str">
        <f>Assumptions!$I$171</f>
        <v>B</v>
      </c>
      <c r="J1058" s="14" t="str">
        <f>IF(D1058&lt;=Assumptions!$V$171,"Low",IF(D1058&lt;=Assumptions!$W$171,"Mid","High"))</f>
        <v>High</v>
      </c>
      <c r="K1058" s="15">
        <f>Assumptions!$Q$171</f>
        <v>2737</v>
      </c>
      <c r="L1058" s="42">
        <f>INDEX(Assumptions!$N$61:$N$90,D1058)</f>
        <v>2953.9714285714285</v>
      </c>
      <c r="M1058" s="43">
        <f>IF(D1058&lt;=Assumptions!$G$171,Assumptions!$AK$171,IF(D1058&lt;Assumptions!$AH$171,Assumptions!$AK$171+(Assumptions!$AL$171-Assumptions!$AK$171)*(D1058-Assumptions!$G$171)/(Assumptions!$AH$171-Assumptions!$G$171),IF(D1058&lt;Assumptions!$P$171,Assumptions!$AL$171+(Assumptions!$AM$171-Assumptions!$AL$171)*(D1058-Assumptions!$AH$171)/(Assumptions!$P$171-Assumptions!$AH$171),Assumptions!$AM$171)))</f>
        <v>50000</v>
      </c>
      <c r="N1058" s="44">
        <f t="shared" si="32"/>
        <v>40.38772213247173</v>
      </c>
      <c r="O1058" s="45">
        <f t="shared" si="33"/>
        <v>2994</v>
      </c>
      <c r="P1058" s="14" t="str">
        <f>IF(D1058&gt;=Assumptions!$P$171,"High",IF(D1058&gt;=Assumptions!$AH$171,"Mid",IF(D1058&lt;=Assumptions!$G$171,"Low","Loading")))</f>
        <v>High</v>
      </c>
      <c r="Q1058" s="46">
        <f>MAX(K1058,MIN(Assumptions!$S$171,O1058),Q1059)</f>
        <v>2994</v>
      </c>
      <c r="R1058" s="12">
        <f>IF(AND(Q1058&lt;=K1058,INDEX(Assumptions!$C$26:$C$36,MATCH(G1058,Assumptions!$A$26:$A$36,0))&lt;&gt;""),INDEX(Assumptions!$C$26:$C$36,MATCH(G1058,Assumptions!$A$26:$A$36,0)),ROUND(G1058*Q1058,-2))</f>
        <v>3706600</v>
      </c>
      <c r="S1058" s="47" t="str">
        <f>TRIM(IF(AND(Assumptions!$L$171&lt;&gt;"",D1058&lt;Assumptions!$L$171),"View blocked / roof in front ("&amp;Assumptions!$M$171&amp;"); view premium still loading until L"&amp;Assumptions!$L$171&amp;". ","")&amp;IF(D1058=Assumptions!$AH$171,"Mid-floor view premium fully loaded. ","")&amp;IF(D1058=Assumptions!$P$171,"High-floor view premium fully loaded. ","")&amp;IF(Q1058&lt;=K1058,"At developer starting price.",""))</f>
        <v>High-floor view premium fully loaded.</v>
      </c>
      <c r="T1058" s="48" t="str">
        <f>Assumptions!$AJ$171</f>
        <v>SSW. Unblocked pool view on low floors; unblocked nature reserve from mid floor</v>
      </c>
    </row>
    <row r="1059" spans="1:20" x14ac:dyDescent="0.2">
      <c r="A1059" s="13" t="s">
        <v>1232</v>
      </c>
      <c r="B1059" s="14">
        <v>9</v>
      </c>
      <c r="C1059" s="40">
        <v>45</v>
      </c>
      <c r="D1059" s="40">
        <v>15</v>
      </c>
      <c r="E1059" s="9" t="s">
        <v>48</v>
      </c>
      <c r="F1059" s="14" t="s">
        <v>1226</v>
      </c>
      <c r="G1059" s="10">
        <v>1238</v>
      </c>
      <c r="H1059" s="14" t="s">
        <v>62</v>
      </c>
      <c r="I1059" s="41" t="str">
        <f>Assumptions!$I$171</f>
        <v>B</v>
      </c>
      <c r="J1059" s="14" t="str">
        <f>IF(D1059&lt;=Assumptions!$V$171,"Low",IF(D1059&lt;=Assumptions!$W$171,"Mid","High"))</f>
        <v>Mid</v>
      </c>
      <c r="K1059" s="15">
        <f>Assumptions!$Q$171</f>
        <v>2737</v>
      </c>
      <c r="L1059" s="42">
        <f>INDEX(Assumptions!$N$61:$N$90,D1059)</f>
        <v>2930.2</v>
      </c>
      <c r="M1059" s="43">
        <f>IF(D1059&lt;=Assumptions!$G$171,Assumptions!$AK$171,IF(D1059&lt;Assumptions!$AH$171,Assumptions!$AK$171+(Assumptions!$AL$171-Assumptions!$AK$171)*(D1059-Assumptions!$G$171)/(Assumptions!$AH$171-Assumptions!$G$171),IF(D1059&lt;Assumptions!$P$171,Assumptions!$AL$171+(Assumptions!$AM$171-Assumptions!$AL$171)*(D1059-Assumptions!$AH$171)/(Assumptions!$P$171-Assumptions!$AH$171),Assumptions!$AM$171)))</f>
        <v>50000</v>
      </c>
      <c r="N1059" s="44">
        <f t="shared" si="32"/>
        <v>40.38772213247173</v>
      </c>
      <c r="O1059" s="45">
        <f t="shared" si="33"/>
        <v>2971</v>
      </c>
      <c r="P1059" s="14" t="str">
        <f>IF(D1059&gt;=Assumptions!$P$171,"High",IF(D1059&gt;=Assumptions!$AH$171,"Mid",IF(D1059&lt;=Assumptions!$G$171,"Low","Loading")))</f>
        <v>Mid</v>
      </c>
      <c r="Q1059" s="46">
        <f>MAX(K1059,MIN(Assumptions!$S$171,O1059),Q1060)</f>
        <v>2971</v>
      </c>
      <c r="R1059" s="12">
        <f>IF(AND(Q1059&lt;=K1059,INDEX(Assumptions!$C$26:$C$36,MATCH(G1059,Assumptions!$A$26:$A$36,0))&lt;&gt;""),INDEX(Assumptions!$C$26:$C$36,MATCH(G1059,Assumptions!$A$26:$A$36,0)),ROUND(G1059*Q1059,-2))</f>
        <v>3678100</v>
      </c>
      <c r="S1059" s="47" t="str">
        <f>TRIM(IF(AND(Assumptions!$L$171&lt;&gt;"",D1059&lt;Assumptions!$L$171),"View blocked / roof in front ("&amp;Assumptions!$M$171&amp;"); view premium still loading until L"&amp;Assumptions!$L$171&amp;". ","")&amp;IF(D1059=Assumptions!$AH$171,"Mid-floor view premium fully loaded. ","")&amp;IF(D1059=Assumptions!$P$171,"High-floor view premium fully loaded. ","")&amp;IF(Q1059&lt;=K1059,"At developer starting price.",""))</f>
        <v/>
      </c>
      <c r="T1059" s="48" t="str">
        <f>Assumptions!$AJ$171</f>
        <v>SSW. Unblocked pool view on low floors; unblocked nature reserve from mid floor</v>
      </c>
    </row>
    <row r="1060" spans="1:20" x14ac:dyDescent="0.2">
      <c r="A1060" s="13" t="s">
        <v>1233</v>
      </c>
      <c r="B1060" s="14">
        <v>9</v>
      </c>
      <c r="C1060" s="40">
        <v>45</v>
      </c>
      <c r="D1060" s="40">
        <v>14</v>
      </c>
      <c r="E1060" s="9" t="s">
        <v>48</v>
      </c>
      <c r="F1060" s="14" t="s">
        <v>1226</v>
      </c>
      <c r="G1060" s="10">
        <v>1238</v>
      </c>
      <c r="H1060" s="14" t="s">
        <v>62</v>
      </c>
      <c r="I1060" s="41" t="str">
        <f>Assumptions!$I$171</f>
        <v>B</v>
      </c>
      <c r="J1060" s="14" t="str">
        <f>IF(D1060&lt;=Assumptions!$V$171,"Low",IF(D1060&lt;=Assumptions!$W$171,"Mid","High"))</f>
        <v>Mid</v>
      </c>
      <c r="K1060" s="15">
        <f>Assumptions!$Q$171</f>
        <v>2737</v>
      </c>
      <c r="L1060" s="42">
        <f>INDEX(Assumptions!$N$61:$N$90,D1060)</f>
        <v>2906.4285714285716</v>
      </c>
      <c r="M1060" s="43">
        <f>IF(D1060&lt;=Assumptions!$G$171,Assumptions!$AK$171,IF(D1060&lt;Assumptions!$AH$171,Assumptions!$AK$171+(Assumptions!$AL$171-Assumptions!$AK$171)*(D1060-Assumptions!$G$171)/(Assumptions!$AH$171-Assumptions!$G$171),IF(D1060&lt;Assumptions!$P$171,Assumptions!$AL$171+(Assumptions!$AM$171-Assumptions!$AL$171)*(D1060-Assumptions!$AH$171)/(Assumptions!$P$171-Assumptions!$AH$171),Assumptions!$AM$171)))</f>
        <v>50000</v>
      </c>
      <c r="N1060" s="44">
        <f t="shared" si="32"/>
        <v>40.38772213247173</v>
      </c>
      <c r="O1060" s="45">
        <f t="shared" si="33"/>
        <v>2947</v>
      </c>
      <c r="P1060" s="14" t="str">
        <f>IF(D1060&gt;=Assumptions!$P$171,"High",IF(D1060&gt;=Assumptions!$AH$171,"Mid",IF(D1060&lt;=Assumptions!$G$171,"Low","Loading")))</f>
        <v>Mid</v>
      </c>
      <c r="Q1060" s="46">
        <f>MAX(K1060,MIN(Assumptions!$S$171,O1060),Q1061)</f>
        <v>2947</v>
      </c>
      <c r="R1060" s="12">
        <f>IF(AND(Q1060&lt;=K1060,INDEX(Assumptions!$C$26:$C$36,MATCH(G1060,Assumptions!$A$26:$A$36,0))&lt;&gt;""),INDEX(Assumptions!$C$26:$C$36,MATCH(G1060,Assumptions!$A$26:$A$36,0)),ROUND(G1060*Q1060,-2))</f>
        <v>3648400</v>
      </c>
      <c r="S1060" s="47" t="str">
        <f>TRIM(IF(AND(Assumptions!$L$171&lt;&gt;"",D1060&lt;Assumptions!$L$171),"View blocked / roof in front ("&amp;Assumptions!$M$171&amp;"); view premium still loading until L"&amp;Assumptions!$L$171&amp;". ","")&amp;IF(D1060=Assumptions!$AH$171,"Mid-floor view premium fully loaded. ","")&amp;IF(D1060=Assumptions!$P$171,"High-floor view premium fully loaded. ","")&amp;IF(Q1060&lt;=K1060,"At developer starting price.",""))</f>
        <v/>
      </c>
      <c r="T1060" s="48" t="str">
        <f>Assumptions!$AJ$171</f>
        <v>SSW. Unblocked pool view on low floors; unblocked nature reserve from mid floor</v>
      </c>
    </row>
    <row r="1061" spans="1:20" x14ac:dyDescent="0.2">
      <c r="A1061" s="13" t="s">
        <v>1234</v>
      </c>
      <c r="B1061" s="14">
        <v>9</v>
      </c>
      <c r="C1061" s="40">
        <v>45</v>
      </c>
      <c r="D1061" s="40">
        <v>13</v>
      </c>
      <c r="E1061" s="9" t="s">
        <v>48</v>
      </c>
      <c r="F1061" s="14" t="s">
        <v>1226</v>
      </c>
      <c r="G1061" s="10">
        <v>1238</v>
      </c>
      <c r="H1061" s="14" t="s">
        <v>62</v>
      </c>
      <c r="I1061" s="41" t="str">
        <f>Assumptions!$I$171</f>
        <v>B</v>
      </c>
      <c r="J1061" s="14" t="str">
        <f>IF(D1061&lt;=Assumptions!$V$171,"Low",IF(D1061&lt;=Assumptions!$W$171,"Mid","High"))</f>
        <v>Mid</v>
      </c>
      <c r="K1061" s="15">
        <f>Assumptions!$Q$171</f>
        <v>2737</v>
      </c>
      <c r="L1061" s="42">
        <f>INDEX(Assumptions!$N$61:$N$90,D1061)</f>
        <v>2882.6571428571428</v>
      </c>
      <c r="M1061" s="43">
        <f>IF(D1061&lt;=Assumptions!$G$171,Assumptions!$AK$171,IF(D1061&lt;Assumptions!$AH$171,Assumptions!$AK$171+(Assumptions!$AL$171-Assumptions!$AK$171)*(D1061-Assumptions!$G$171)/(Assumptions!$AH$171-Assumptions!$G$171),IF(D1061&lt;Assumptions!$P$171,Assumptions!$AL$171+(Assumptions!$AM$171-Assumptions!$AL$171)*(D1061-Assumptions!$AH$171)/(Assumptions!$P$171-Assumptions!$AH$171),Assumptions!$AM$171)))</f>
        <v>50000</v>
      </c>
      <c r="N1061" s="44">
        <f t="shared" si="32"/>
        <v>40.38772213247173</v>
      </c>
      <c r="O1061" s="45">
        <f t="shared" si="33"/>
        <v>2923</v>
      </c>
      <c r="P1061" s="14" t="str">
        <f>IF(D1061&gt;=Assumptions!$P$171,"High",IF(D1061&gt;=Assumptions!$AH$171,"Mid",IF(D1061&lt;=Assumptions!$G$171,"Low","Loading")))</f>
        <v>Mid</v>
      </c>
      <c r="Q1061" s="46">
        <f>MAX(K1061,MIN(Assumptions!$S$171,O1061),Q1062)</f>
        <v>2923</v>
      </c>
      <c r="R1061" s="12">
        <f>IF(AND(Q1061&lt;=K1061,INDEX(Assumptions!$C$26:$C$36,MATCH(G1061,Assumptions!$A$26:$A$36,0))&lt;&gt;""),INDEX(Assumptions!$C$26:$C$36,MATCH(G1061,Assumptions!$A$26:$A$36,0)),ROUND(G1061*Q1061,-2))</f>
        <v>3618700</v>
      </c>
      <c r="S1061" s="47" t="str">
        <f>TRIM(IF(AND(Assumptions!$L$171&lt;&gt;"",D1061&lt;Assumptions!$L$171),"View blocked / roof in front ("&amp;Assumptions!$M$171&amp;"); view premium still loading until L"&amp;Assumptions!$L$171&amp;". ","")&amp;IF(D1061=Assumptions!$AH$171,"Mid-floor view premium fully loaded. ","")&amp;IF(D1061=Assumptions!$P$171,"High-floor view premium fully loaded. ","")&amp;IF(Q1061&lt;=K1061,"At developer starting price.",""))</f>
        <v/>
      </c>
      <c r="T1061" s="48" t="str">
        <f>Assumptions!$AJ$171</f>
        <v>SSW. Unblocked pool view on low floors; unblocked nature reserve from mid floor</v>
      </c>
    </row>
    <row r="1062" spans="1:20" x14ac:dyDescent="0.2">
      <c r="A1062" s="13" t="s">
        <v>1235</v>
      </c>
      <c r="B1062" s="14">
        <v>9</v>
      </c>
      <c r="C1062" s="40">
        <v>45</v>
      </c>
      <c r="D1062" s="40">
        <v>12</v>
      </c>
      <c r="E1062" s="9" t="s">
        <v>48</v>
      </c>
      <c r="F1062" s="14" t="s">
        <v>1226</v>
      </c>
      <c r="G1062" s="10">
        <v>1238</v>
      </c>
      <c r="H1062" s="14" t="s">
        <v>62</v>
      </c>
      <c r="I1062" s="41" t="str">
        <f>Assumptions!$I$171</f>
        <v>B</v>
      </c>
      <c r="J1062" s="14" t="str">
        <f>IF(D1062&lt;=Assumptions!$V$171,"Low",IF(D1062&lt;=Assumptions!$W$171,"Mid","High"))</f>
        <v>Mid</v>
      </c>
      <c r="K1062" s="15">
        <f>Assumptions!$Q$171</f>
        <v>2737</v>
      </c>
      <c r="L1062" s="42">
        <f>INDEX(Assumptions!$N$61:$N$90,D1062)</f>
        <v>2858.8857142857141</v>
      </c>
      <c r="M1062" s="43">
        <f>IF(D1062&lt;=Assumptions!$G$171,Assumptions!$AK$171,IF(D1062&lt;Assumptions!$AH$171,Assumptions!$AK$171+(Assumptions!$AL$171-Assumptions!$AK$171)*(D1062-Assumptions!$G$171)/(Assumptions!$AH$171-Assumptions!$G$171),IF(D1062&lt;Assumptions!$P$171,Assumptions!$AL$171+(Assumptions!$AM$171-Assumptions!$AL$171)*(D1062-Assumptions!$AH$171)/(Assumptions!$P$171-Assumptions!$AH$171),Assumptions!$AM$171)))</f>
        <v>50000</v>
      </c>
      <c r="N1062" s="44">
        <f t="shared" si="32"/>
        <v>40.38772213247173</v>
      </c>
      <c r="O1062" s="45">
        <f t="shared" si="33"/>
        <v>2899</v>
      </c>
      <c r="P1062" s="14" t="str">
        <f>IF(D1062&gt;=Assumptions!$P$171,"High",IF(D1062&gt;=Assumptions!$AH$171,"Mid",IF(D1062&lt;=Assumptions!$G$171,"Low","Loading")))</f>
        <v>Mid</v>
      </c>
      <c r="Q1062" s="46">
        <f>MAX(K1062,MIN(Assumptions!$S$171,O1062),Q1063)</f>
        <v>2899</v>
      </c>
      <c r="R1062" s="12">
        <f>IF(AND(Q1062&lt;=K1062,INDEX(Assumptions!$C$26:$C$36,MATCH(G1062,Assumptions!$A$26:$A$36,0))&lt;&gt;""),INDEX(Assumptions!$C$26:$C$36,MATCH(G1062,Assumptions!$A$26:$A$36,0)),ROUND(G1062*Q1062,-2))</f>
        <v>3589000</v>
      </c>
      <c r="S1062" s="47" t="str">
        <f>TRIM(IF(AND(Assumptions!$L$171&lt;&gt;"",D1062&lt;Assumptions!$L$171),"View blocked / roof in front ("&amp;Assumptions!$M$171&amp;"); view premium still loading until L"&amp;Assumptions!$L$171&amp;". ","")&amp;IF(D1062=Assumptions!$AH$171,"Mid-floor view premium fully loaded. ","")&amp;IF(D1062=Assumptions!$P$171,"High-floor view premium fully loaded. ","")&amp;IF(Q1062&lt;=K1062,"At developer starting price.",""))</f>
        <v/>
      </c>
      <c r="T1062" s="48" t="str">
        <f>Assumptions!$AJ$171</f>
        <v>SSW. Unblocked pool view on low floors; unblocked nature reserve from mid floor</v>
      </c>
    </row>
    <row r="1063" spans="1:20" x14ac:dyDescent="0.2">
      <c r="A1063" s="13" t="s">
        <v>1236</v>
      </c>
      <c r="B1063" s="14">
        <v>9</v>
      </c>
      <c r="C1063" s="40">
        <v>45</v>
      </c>
      <c r="D1063" s="40">
        <v>11</v>
      </c>
      <c r="E1063" s="9" t="s">
        <v>48</v>
      </c>
      <c r="F1063" s="14" t="s">
        <v>1226</v>
      </c>
      <c r="G1063" s="10">
        <v>1238</v>
      </c>
      <c r="H1063" s="14" t="s">
        <v>62</v>
      </c>
      <c r="I1063" s="41" t="str">
        <f>Assumptions!$I$171</f>
        <v>B</v>
      </c>
      <c r="J1063" s="14" t="str">
        <f>IF(D1063&lt;=Assumptions!$V$171,"Low",IF(D1063&lt;=Assumptions!$W$171,"Mid","High"))</f>
        <v>Mid</v>
      </c>
      <c r="K1063" s="15">
        <f>Assumptions!$Q$171</f>
        <v>2737</v>
      </c>
      <c r="L1063" s="42">
        <f>INDEX(Assumptions!$N$61:$N$90,D1063)</f>
        <v>2843.3361959017088</v>
      </c>
      <c r="M1063" s="43">
        <f>IF(D1063&lt;=Assumptions!$G$171,Assumptions!$AK$171,IF(D1063&lt;Assumptions!$AH$171,Assumptions!$AK$171+(Assumptions!$AL$171-Assumptions!$AK$171)*(D1063-Assumptions!$G$171)/(Assumptions!$AH$171-Assumptions!$G$171),IF(D1063&lt;Assumptions!$P$171,Assumptions!$AL$171+(Assumptions!$AM$171-Assumptions!$AL$171)*(D1063-Assumptions!$AH$171)/(Assumptions!$P$171-Assumptions!$AH$171),Assumptions!$AM$171)))</f>
        <v>50000</v>
      </c>
      <c r="N1063" s="44">
        <f t="shared" si="32"/>
        <v>40.38772213247173</v>
      </c>
      <c r="O1063" s="45">
        <f t="shared" si="33"/>
        <v>2884</v>
      </c>
      <c r="P1063" s="14" t="str">
        <f>IF(D1063&gt;=Assumptions!$P$171,"High",IF(D1063&gt;=Assumptions!$AH$171,"Mid",IF(D1063&lt;=Assumptions!$G$171,"Low","Loading")))</f>
        <v>Mid</v>
      </c>
      <c r="Q1063" s="46">
        <f>MAX(K1063,MIN(Assumptions!$S$171,O1063),Q1064)</f>
        <v>2884</v>
      </c>
      <c r="R1063" s="12">
        <f>IF(AND(Q1063&lt;=K1063,INDEX(Assumptions!$C$26:$C$36,MATCH(G1063,Assumptions!$A$26:$A$36,0))&lt;&gt;""),INDEX(Assumptions!$C$26:$C$36,MATCH(G1063,Assumptions!$A$26:$A$36,0)),ROUND(G1063*Q1063,-2))</f>
        <v>3570400</v>
      </c>
      <c r="S1063" s="47" t="str">
        <f>TRIM(IF(AND(Assumptions!$L$171&lt;&gt;"",D1063&lt;Assumptions!$L$171),"View blocked / roof in front ("&amp;Assumptions!$M$171&amp;"); view premium still loading until L"&amp;Assumptions!$L$171&amp;". ","")&amp;IF(D1063=Assumptions!$AH$171,"Mid-floor view premium fully loaded. ","")&amp;IF(D1063=Assumptions!$P$171,"High-floor view premium fully loaded. ","")&amp;IF(Q1063&lt;=K1063,"At developer starting price.",""))</f>
        <v/>
      </c>
      <c r="T1063" s="48" t="str">
        <f>Assumptions!$AJ$171</f>
        <v>SSW. Unblocked pool view on low floors; unblocked nature reserve from mid floor</v>
      </c>
    </row>
    <row r="1064" spans="1:20" x14ac:dyDescent="0.2">
      <c r="A1064" s="13" t="s">
        <v>1237</v>
      </c>
      <c r="B1064" s="14">
        <v>9</v>
      </c>
      <c r="C1064" s="40">
        <v>45</v>
      </c>
      <c r="D1064" s="40">
        <v>10</v>
      </c>
      <c r="E1064" s="9" t="s">
        <v>48</v>
      </c>
      <c r="F1064" s="14" t="s">
        <v>1226</v>
      </c>
      <c r="G1064" s="10">
        <v>1238</v>
      </c>
      <c r="H1064" s="14" t="s">
        <v>62</v>
      </c>
      <c r="I1064" s="41" t="str">
        <f>Assumptions!$I$171</f>
        <v>B</v>
      </c>
      <c r="J1064" s="14" t="str">
        <f>IF(D1064&lt;=Assumptions!$V$171,"Low",IF(D1064&lt;=Assumptions!$W$171,"Mid","High"))</f>
        <v>Mid</v>
      </c>
      <c r="K1064" s="15">
        <f>Assumptions!$Q$171</f>
        <v>2737</v>
      </c>
      <c r="L1064" s="42">
        <f>INDEX(Assumptions!$N$61:$N$90,D1064)</f>
        <v>2836.008587705127</v>
      </c>
      <c r="M1064" s="43">
        <f>IF(D1064&lt;=Assumptions!$G$171,Assumptions!$AK$171,IF(D1064&lt;Assumptions!$AH$171,Assumptions!$AK$171+(Assumptions!$AL$171-Assumptions!$AK$171)*(D1064-Assumptions!$G$171)/(Assumptions!$AH$171-Assumptions!$G$171),IF(D1064&lt;Assumptions!$P$171,Assumptions!$AL$171+(Assumptions!$AM$171-Assumptions!$AL$171)*(D1064-Assumptions!$AH$171)/(Assumptions!$P$171-Assumptions!$AH$171),Assumptions!$AM$171)))</f>
        <v>50000</v>
      </c>
      <c r="N1064" s="44">
        <f t="shared" si="32"/>
        <v>40.38772213247173</v>
      </c>
      <c r="O1064" s="45">
        <f t="shared" si="33"/>
        <v>2876</v>
      </c>
      <c r="P1064" s="14" t="str">
        <f>IF(D1064&gt;=Assumptions!$P$171,"High",IF(D1064&gt;=Assumptions!$AH$171,"Mid",IF(D1064&lt;=Assumptions!$G$171,"Low","Loading")))</f>
        <v>Mid</v>
      </c>
      <c r="Q1064" s="46">
        <f>MAX(K1064,MIN(Assumptions!$S$171,O1064),Q1065)</f>
        <v>2876</v>
      </c>
      <c r="R1064" s="12">
        <f>IF(AND(Q1064&lt;=K1064,INDEX(Assumptions!$C$26:$C$36,MATCH(G1064,Assumptions!$A$26:$A$36,0))&lt;&gt;""),INDEX(Assumptions!$C$26:$C$36,MATCH(G1064,Assumptions!$A$26:$A$36,0)),ROUND(G1064*Q1064,-2))</f>
        <v>3560500</v>
      </c>
      <c r="S1064" s="47" t="str">
        <f>TRIM(IF(AND(Assumptions!$L$171&lt;&gt;"",D1064&lt;Assumptions!$L$171),"View blocked / roof in front ("&amp;Assumptions!$M$171&amp;"); view premium still loading until L"&amp;Assumptions!$L$171&amp;". ","")&amp;IF(D1064=Assumptions!$AH$171,"Mid-floor view premium fully loaded. ","")&amp;IF(D1064=Assumptions!$P$171,"High-floor view premium fully loaded. ","")&amp;IF(Q1064&lt;=K1064,"At developer starting price.",""))</f>
        <v/>
      </c>
      <c r="T1064" s="48" t="str">
        <f>Assumptions!$AJ$171</f>
        <v>SSW. Unblocked pool view on low floors; unblocked nature reserve from mid floor</v>
      </c>
    </row>
    <row r="1065" spans="1:20" x14ac:dyDescent="0.2">
      <c r="A1065" s="13" t="s">
        <v>1238</v>
      </c>
      <c r="B1065" s="14">
        <v>9</v>
      </c>
      <c r="C1065" s="40">
        <v>45</v>
      </c>
      <c r="D1065" s="40">
        <v>9</v>
      </c>
      <c r="E1065" s="9" t="s">
        <v>48</v>
      </c>
      <c r="F1065" s="14" t="s">
        <v>1226</v>
      </c>
      <c r="G1065" s="10">
        <v>1238</v>
      </c>
      <c r="H1065" s="14" t="s">
        <v>62</v>
      </c>
      <c r="I1065" s="41" t="str">
        <f>Assumptions!$I$171</f>
        <v>B</v>
      </c>
      <c r="J1065" s="14" t="str">
        <f>IF(D1065&lt;=Assumptions!$V$171,"Low",IF(D1065&lt;=Assumptions!$W$171,"Mid","High"))</f>
        <v>Mid</v>
      </c>
      <c r="K1065" s="15">
        <f>Assumptions!$Q$171</f>
        <v>2737</v>
      </c>
      <c r="L1065" s="42">
        <f>INDEX(Assumptions!$N$61:$N$90,D1065)</f>
        <v>2828.6809795085451</v>
      </c>
      <c r="M1065" s="43">
        <f>IF(D1065&lt;=Assumptions!$G$171,Assumptions!$AK$171,IF(D1065&lt;Assumptions!$AH$171,Assumptions!$AK$171+(Assumptions!$AL$171-Assumptions!$AK$171)*(D1065-Assumptions!$G$171)/(Assumptions!$AH$171-Assumptions!$G$171),IF(D1065&lt;Assumptions!$P$171,Assumptions!$AL$171+(Assumptions!$AM$171-Assumptions!$AL$171)*(D1065-Assumptions!$AH$171)/(Assumptions!$P$171-Assumptions!$AH$171),Assumptions!$AM$171)))</f>
        <v>50000</v>
      </c>
      <c r="N1065" s="44">
        <f t="shared" si="32"/>
        <v>40.38772213247173</v>
      </c>
      <c r="O1065" s="45">
        <f t="shared" si="33"/>
        <v>2869</v>
      </c>
      <c r="P1065" s="14" t="str">
        <f>IF(D1065&gt;=Assumptions!$P$171,"High",IF(D1065&gt;=Assumptions!$AH$171,"Mid",IF(D1065&lt;=Assumptions!$G$171,"Low","Loading")))</f>
        <v>Mid</v>
      </c>
      <c r="Q1065" s="46">
        <f>MAX(K1065,MIN(Assumptions!$S$171,O1065),Q1066)</f>
        <v>2869</v>
      </c>
      <c r="R1065" s="12">
        <f>IF(AND(Q1065&lt;=K1065,INDEX(Assumptions!$C$26:$C$36,MATCH(G1065,Assumptions!$A$26:$A$36,0))&lt;&gt;""),INDEX(Assumptions!$C$26:$C$36,MATCH(G1065,Assumptions!$A$26:$A$36,0)),ROUND(G1065*Q1065,-2))</f>
        <v>3551800</v>
      </c>
      <c r="S1065" s="47" t="str">
        <f>TRIM(IF(AND(Assumptions!$L$171&lt;&gt;"",D1065&lt;Assumptions!$L$171),"View blocked / roof in front ("&amp;Assumptions!$M$171&amp;"); view premium still loading until L"&amp;Assumptions!$L$171&amp;". ","")&amp;IF(D1065=Assumptions!$AH$171,"Mid-floor view premium fully loaded. ","")&amp;IF(D1065=Assumptions!$P$171,"High-floor view premium fully loaded. ","")&amp;IF(Q1065&lt;=K1065,"At developer starting price.",""))</f>
        <v/>
      </c>
      <c r="T1065" s="48" t="str">
        <f>Assumptions!$AJ$171</f>
        <v>SSW. Unblocked pool view on low floors; unblocked nature reserve from mid floor</v>
      </c>
    </row>
    <row r="1066" spans="1:20" x14ac:dyDescent="0.2">
      <c r="A1066" s="13" t="s">
        <v>1239</v>
      </c>
      <c r="B1066" s="14">
        <v>9</v>
      </c>
      <c r="C1066" s="40">
        <v>45</v>
      </c>
      <c r="D1066" s="40">
        <v>8</v>
      </c>
      <c r="E1066" s="9" t="s">
        <v>48</v>
      </c>
      <c r="F1066" s="14" t="s">
        <v>1226</v>
      </c>
      <c r="G1066" s="10">
        <v>1238</v>
      </c>
      <c r="H1066" s="14" t="s">
        <v>62</v>
      </c>
      <c r="I1066" s="41" t="str">
        <f>Assumptions!$I$171</f>
        <v>B</v>
      </c>
      <c r="J1066" s="14" t="str">
        <f>IF(D1066&lt;=Assumptions!$V$171,"Low",IF(D1066&lt;=Assumptions!$W$171,"Mid","High"))</f>
        <v>Mid</v>
      </c>
      <c r="K1066" s="15">
        <f>Assumptions!$Q$171</f>
        <v>2737</v>
      </c>
      <c r="L1066" s="42">
        <f>INDEX(Assumptions!$N$61:$N$90,D1066)</f>
        <v>2821.3533713119632</v>
      </c>
      <c r="M1066" s="43">
        <f>IF(D1066&lt;=Assumptions!$G$171,Assumptions!$AK$171,IF(D1066&lt;Assumptions!$AH$171,Assumptions!$AK$171+(Assumptions!$AL$171-Assumptions!$AK$171)*(D1066-Assumptions!$G$171)/(Assumptions!$AH$171-Assumptions!$G$171),IF(D1066&lt;Assumptions!$P$171,Assumptions!$AL$171+(Assumptions!$AM$171-Assumptions!$AL$171)*(D1066-Assumptions!$AH$171)/(Assumptions!$P$171-Assumptions!$AH$171),Assumptions!$AM$171)))</f>
        <v>50000</v>
      </c>
      <c r="N1066" s="44">
        <f t="shared" si="32"/>
        <v>40.38772213247173</v>
      </c>
      <c r="O1066" s="45">
        <f t="shared" si="33"/>
        <v>2862</v>
      </c>
      <c r="P1066" s="14" t="str">
        <f>IF(D1066&gt;=Assumptions!$P$171,"High",IF(D1066&gt;=Assumptions!$AH$171,"Mid",IF(D1066&lt;=Assumptions!$G$171,"Low","Loading")))</f>
        <v>Mid</v>
      </c>
      <c r="Q1066" s="46">
        <f>MAX(K1066,MIN(Assumptions!$S$171,O1066),Q1067)</f>
        <v>2862</v>
      </c>
      <c r="R1066" s="12">
        <f>IF(AND(Q1066&lt;=K1066,INDEX(Assumptions!$C$26:$C$36,MATCH(G1066,Assumptions!$A$26:$A$36,0))&lt;&gt;""),INDEX(Assumptions!$C$26:$C$36,MATCH(G1066,Assumptions!$A$26:$A$36,0)),ROUND(G1066*Q1066,-2))</f>
        <v>3543200</v>
      </c>
      <c r="S1066" s="47" t="str">
        <f>TRIM(IF(AND(Assumptions!$L$171&lt;&gt;"",D1066&lt;Assumptions!$L$171),"View blocked / roof in front ("&amp;Assumptions!$M$171&amp;"); view premium still loading until L"&amp;Assumptions!$L$171&amp;". ","")&amp;IF(D1066=Assumptions!$AH$171,"Mid-floor view premium fully loaded. ","")&amp;IF(D1066=Assumptions!$P$171,"High-floor view premium fully loaded. ","")&amp;IF(Q1066&lt;=K1066,"At developer starting price.",""))</f>
        <v>Mid-floor view premium fully loaded.</v>
      </c>
      <c r="T1066" s="48" t="str">
        <f>Assumptions!$AJ$171</f>
        <v>SSW. Unblocked pool view on low floors; unblocked nature reserve from mid floor</v>
      </c>
    </row>
    <row r="1067" spans="1:20" x14ac:dyDescent="0.2">
      <c r="A1067" s="13" t="s">
        <v>1240</v>
      </c>
      <c r="B1067" s="14">
        <v>9</v>
      </c>
      <c r="C1067" s="40">
        <v>45</v>
      </c>
      <c r="D1067" s="40">
        <v>7</v>
      </c>
      <c r="E1067" s="9" t="s">
        <v>48</v>
      </c>
      <c r="F1067" s="14" t="s">
        <v>1226</v>
      </c>
      <c r="G1067" s="10">
        <v>1238</v>
      </c>
      <c r="H1067" s="14" t="s">
        <v>62</v>
      </c>
      <c r="I1067" s="41" t="str">
        <f>Assumptions!$I$171</f>
        <v>B</v>
      </c>
      <c r="J1067" s="14" t="str">
        <f>IF(D1067&lt;=Assumptions!$V$171,"Low",IF(D1067&lt;=Assumptions!$W$171,"Mid","High"))</f>
        <v>Low</v>
      </c>
      <c r="K1067" s="15">
        <f>Assumptions!$Q$171</f>
        <v>2737</v>
      </c>
      <c r="L1067" s="42">
        <f>INDEX(Assumptions!$N$61:$N$90,D1067)</f>
        <v>2814.0257631153813</v>
      </c>
      <c r="M1067" s="43">
        <f>IF(D1067&lt;=Assumptions!$G$171,Assumptions!$AK$171,IF(D1067&lt;Assumptions!$AH$171,Assumptions!$AK$171+(Assumptions!$AL$171-Assumptions!$AK$171)*(D1067-Assumptions!$G$171)/(Assumptions!$AH$171-Assumptions!$G$171),IF(D1067&lt;Assumptions!$P$171,Assumptions!$AL$171+(Assumptions!$AM$171-Assumptions!$AL$171)*(D1067-Assumptions!$AH$171)/(Assumptions!$P$171-Assumptions!$AH$171),Assumptions!$AM$171)))</f>
        <v>50000</v>
      </c>
      <c r="N1067" s="44">
        <f t="shared" si="32"/>
        <v>40.38772213247173</v>
      </c>
      <c r="O1067" s="45">
        <f t="shared" si="33"/>
        <v>2854</v>
      </c>
      <c r="P1067" s="14" t="str">
        <f>IF(D1067&gt;=Assumptions!$P$171,"High",IF(D1067&gt;=Assumptions!$AH$171,"Mid",IF(D1067&lt;=Assumptions!$G$171,"Low","Loading")))</f>
        <v>Loading</v>
      </c>
      <c r="Q1067" s="46">
        <f>MAX(K1067,MIN(Assumptions!$S$171,O1067),Q1068)</f>
        <v>2854</v>
      </c>
      <c r="R1067" s="12">
        <f>IF(AND(Q1067&lt;=K1067,INDEX(Assumptions!$C$26:$C$36,MATCH(G1067,Assumptions!$A$26:$A$36,0))&lt;&gt;""),INDEX(Assumptions!$C$26:$C$36,MATCH(G1067,Assumptions!$A$26:$A$36,0)),ROUND(G1067*Q1067,-2))</f>
        <v>3533300</v>
      </c>
      <c r="S1067" s="47" t="str">
        <f>TRIM(IF(AND(Assumptions!$L$171&lt;&gt;"",D1067&lt;Assumptions!$L$171),"View blocked / roof in front ("&amp;Assumptions!$M$171&amp;"); view premium still loading until L"&amp;Assumptions!$L$171&amp;". ","")&amp;IF(D1067=Assumptions!$AH$171,"Mid-floor view premium fully loaded. ","")&amp;IF(D1067=Assumptions!$P$171,"High-floor view premium fully loaded. ","")&amp;IF(Q1067&lt;=K1067,"At developer starting price.",""))</f>
        <v/>
      </c>
      <c r="T1067" s="48" t="str">
        <f>Assumptions!$AJ$171</f>
        <v>SSW. Unblocked pool view on low floors; unblocked nature reserve from mid floor</v>
      </c>
    </row>
    <row r="1068" spans="1:20" x14ac:dyDescent="0.2">
      <c r="A1068" s="13" t="s">
        <v>1241</v>
      </c>
      <c r="B1068" s="14">
        <v>9</v>
      </c>
      <c r="C1068" s="40">
        <v>45</v>
      </c>
      <c r="D1068" s="40">
        <v>6</v>
      </c>
      <c r="E1068" s="9" t="s">
        <v>48</v>
      </c>
      <c r="F1068" s="14" t="s">
        <v>1226</v>
      </c>
      <c r="G1068" s="10">
        <v>1238</v>
      </c>
      <c r="H1068" s="14" t="s">
        <v>62</v>
      </c>
      <c r="I1068" s="41" t="str">
        <f>Assumptions!$I$171</f>
        <v>B</v>
      </c>
      <c r="J1068" s="14" t="str">
        <f>IF(D1068&lt;=Assumptions!$V$171,"Low",IF(D1068&lt;=Assumptions!$W$171,"Mid","High"))</f>
        <v>Low</v>
      </c>
      <c r="K1068" s="15">
        <f>Assumptions!$Q$171</f>
        <v>2737</v>
      </c>
      <c r="L1068" s="42">
        <f>INDEX(Assumptions!$N$61:$N$90,D1068)</f>
        <v>2806.6981549187994</v>
      </c>
      <c r="M1068" s="43">
        <f>IF(D1068&lt;=Assumptions!$G$171,Assumptions!$AK$171,IF(D1068&lt;Assumptions!$AH$171,Assumptions!$AK$171+(Assumptions!$AL$171-Assumptions!$AK$171)*(D1068-Assumptions!$G$171)/(Assumptions!$AH$171-Assumptions!$G$171),IF(D1068&lt;Assumptions!$P$171,Assumptions!$AL$171+(Assumptions!$AM$171-Assumptions!$AL$171)*(D1068-Assumptions!$AH$171)/(Assumptions!$P$171-Assumptions!$AH$171),Assumptions!$AM$171)))</f>
        <v>50000</v>
      </c>
      <c r="N1068" s="44">
        <f t="shared" si="32"/>
        <v>40.38772213247173</v>
      </c>
      <c r="O1068" s="45">
        <f t="shared" si="33"/>
        <v>2847</v>
      </c>
      <c r="P1068" s="14" t="str">
        <f>IF(D1068&gt;=Assumptions!$P$171,"High",IF(D1068&gt;=Assumptions!$AH$171,"Mid",IF(D1068&lt;=Assumptions!$G$171,"Low","Loading")))</f>
        <v>Loading</v>
      </c>
      <c r="Q1068" s="46">
        <f>MAX(K1068,MIN(Assumptions!$S$171,O1068),Q1069)</f>
        <v>2847</v>
      </c>
      <c r="R1068" s="12">
        <f>IF(AND(Q1068&lt;=K1068,INDEX(Assumptions!$C$26:$C$36,MATCH(G1068,Assumptions!$A$26:$A$36,0))&lt;&gt;""),INDEX(Assumptions!$C$26:$C$36,MATCH(G1068,Assumptions!$A$26:$A$36,0)),ROUND(G1068*Q1068,-2))</f>
        <v>3524600</v>
      </c>
      <c r="S1068" s="47" t="str">
        <f>TRIM(IF(AND(Assumptions!$L$171&lt;&gt;"",D1068&lt;Assumptions!$L$171),"View blocked / roof in front ("&amp;Assumptions!$M$171&amp;"); view premium still loading until L"&amp;Assumptions!$L$171&amp;". ","")&amp;IF(D1068=Assumptions!$AH$171,"Mid-floor view premium fully loaded. ","")&amp;IF(D1068=Assumptions!$P$171,"High-floor view premium fully loaded. ","")&amp;IF(Q1068&lt;=K1068,"At developer starting price.",""))</f>
        <v/>
      </c>
      <c r="T1068" s="48" t="str">
        <f>Assumptions!$AJ$171</f>
        <v>SSW. Unblocked pool view on low floors; unblocked nature reserve from mid floor</v>
      </c>
    </row>
    <row r="1069" spans="1:20" x14ac:dyDescent="0.2">
      <c r="A1069" s="13" t="s">
        <v>1242</v>
      </c>
      <c r="B1069" s="14">
        <v>9</v>
      </c>
      <c r="C1069" s="40">
        <v>45</v>
      </c>
      <c r="D1069" s="40">
        <v>5</v>
      </c>
      <c r="E1069" s="9" t="s">
        <v>48</v>
      </c>
      <c r="F1069" s="14" t="s">
        <v>1226</v>
      </c>
      <c r="G1069" s="10">
        <v>1238</v>
      </c>
      <c r="H1069" s="14" t="s">
        <v>62</v>
      </c>
      <c r="I1069" s="41" t="str">
        <f>Assumptions!$I$171</f>
        <v>B</v>
      </c>
      <c r="J1069" s="14" t="str">
        <f>IF(D1069&lt;=Assumptions!$V$171,"Low",IF(D1069&lt;=Assumptions!$W$171,"Mid","High"))</f>
        <v>Low</v>
      </c>
      <c r="K1069" s="15">
        <f>Assumptions!$Q$171</f>
        <v>2737</v>
      </c>
      <c r="L1069" s="42">
        <f>INDEX(Assumptions!$N$61:$N$90,D1069)</f>
        <v>2799.3705467222176</v>
      </c>
      <c r="M1069" s="43">
        <f>IF(D1069&lt;=Assumptions!$G$171,Assumptions!$AK$171,IF(D1069&lt;Assumptions!$AH$171,Assumptions!$AK$171+(Assumptions!$AL$171-Assumptions!$AK$171)*(D1069-Assumptions!$G$171)/(Assumptions!$AH$171-Assumptions!$G$171),IF(D1069&lt;Assumptions!$P$171,Assumptions!$AL$171+(Assumptions!$AM$171-Assumptions!$AL$171)*(D1069-Assumptions!$AH$171)/(Assumptions!$P$171-Assumptions!$AH$171),Assumptions!$AM$171)))</f>
        <v>50000</v>
      </c>
      <c r="N1069" s="44">
        <f t="shared" si="32"/>
        <v>40.38772213247173</v>
      </c>
      <c r="O1069" s="45">
        <f t="shared" si="33"/>
        <v>2840</v>
      </c>
      <c r="P1069" s="14" t="str">
        <f>IF(D1069&gt;=Assumptions!$P$171,"High",IF(D1069&gt;=Assumptions!$AH$171,"Mid",IF(D1069&lt;=Assumptions!$G$171,"Low","Loading")))</f>
        <v>Loading</v>
      </c>
      <c r="Q1069" s="46">
        <f>MAX(K1069,MIN(Assumptions!$S$171,O1069),Q1070)</f>
        <v>2840</v>
      </c>
      <c r="R1069" s="12">
        <f>IF(AND(Q1069&lt;=K1069,INDEX(Assumptions!$C$26:$C$36,MATCH(G1069,Assumptions!$A$26:$A$36,0))&lt;&gt;""),INDEX(Assumptions!$C$26:$C$36,MATCH(G1069,Assumptions!$A$26:$A$36,0)),ROUND(G1069*Q1069,-2))</f>
        <v>3515900</v>
      </c>
      <c r="S1069" s="47" t="str">
        <f>TRIM(IF(AND(Assumptions!$L$171&lt;&gt;"",D1069&lt;Assumptions!$L$171),"View blocked / roof in front ("&amp;Assumptions!$M$171&amp;"); view premium still loading until L"&amp;Assumptions!$L$171&amp;". ","")&amp;IF(D1069=Assumptions!$AH$171,"Mid-floor view premium fully loaded. ","")&amp;IF(D1069=Assumptions!$P$171,"High-floor view premium fully loaded. ","")&amp;IF(Q1069&lt;=K1069,"At developer starting price.",""))</f>
        <v/>
      </c>
      <c r="T1069" s="48" t="str">
        <f>Assumptions!$AJ$171</f>
        <v>SSW. Unblocked pool view on low floors; unblocked nature reserve from mid floor</v>
      </c>
    </row>
    <row r="1070" spans="1:20" x14ac:dyDescent="0.2">
      <c r="A1070" s="13" t="s">
        <v>1243</v>
      </c>
      <c r="B1070" s="14">
        <v>9</v>
      </c>
      <c r="C1070" s="40">
        <v>45</v>
      </c>
      <c r="D1070" s="40">
        <v>4</v>
      </c>
      <c r="E1070" s="9" t="s">
        <v>48</v>
      </c>
      <c r="F1070" s="14" t="s">
        <v>1226</v>
      </c>
      <c r="G1070" s="10">
        <v>1238</v>
      </c>
      <c r="H1070" s="14" t="s">
        <v>62</v>
      </c>
      <c r="I1070" s="41" t="str">
        <f>Assumptions!$I$171</f>
        <v>B</v>
      </c>
      <c r="J1070" s="14" t="str">
        <f>IF(D1070&lt;=Assumptions!$V$171,"Low",IF(D1070&lt;=Assumptions!$W$171,"Mid","High"))</f>
        <v>Low</v>
      </c>
      <c r="K1070" s="15">
        <f>Assumptions!$Q$171</f>
        <v>2737</v>
      </c>
      <c r="L1070" s="42">
        <f>INDEX(Assumptions!$N$61:$N$90,D1070)</f>
        <v>2792.0429385256357</v>
      </c>
      <c r="M1070" s="43">
        <f>IF(D1070&lt;=Assumptions!$G$171,Assumptions!$AK$171,IF(D1070&lt;Assumptions!$AH$171,Assumptions!$AK$171+(Assumptions!$AL$171-Assumptions!$AK$171)*(D1070-Assumptions!$G$171)/(Assumptions!$AH$171-Assumptions!$G$171),IF(D1070&lt;Assumptions!$P$171,Assumptions!$AL$171+(Assumptions!$AM$171-Assumptions!$AL$171)*(D1070-Assumptions!$AH$171)/(Assumptions!$P$171-Assumptions!$AH$171),Assumptions!$AM$171)))</f>
        <v>50000</v>
      </c>
      <c r="N1070" s="44">
        <f t="shared" si="32"/>
        <v>40.38772213247173</v>
      </c>
      <c r="O1070" s="45">
        <f t="shared" si="33"/>
        <v>2832</v>
      </c>
      <c r="P1070" s="14" t="str">
        <f>IF(D1070&gt;=Assumptions!$P$171,"High",IF(D1070&gt;=Assumptions!$AH$171,"Mid",IF(D1070&lt;=Assumptions!$G$171,"Low","Loading")))</f>
        <v>Loading</v>
      </c>
      <c r="Q1070" s="46">
        <f>MAX(K1070,MIN(Assumptions!$S$171,O1070),Q1071)</f>
        <v>2832</v>
      </c>
      <c r="R1070" s="12">
        <f>IF(AND(Q1070&lt;=K1070,INDEX(Assumptions!$C$26:$C$36,MATCH(G1070,Assumptions!$A$26:$A$36,0))&lt;&gt;""),INDEX(Assumptions!$C$26:$C$36,MATCH(G1070,Assumptions!$A$26:$A$36,0)),ROUND(G1070*Q1070,-2))</f>
        <v>3506000</v>
      </c>
      <c r="S1070" s="47" t="str">
        <f>TRIM(IF(AND(Assumptions!$L$171&lt;&gt;"",D1070&lt;Assumptions!$L$171),"View blocked / roof in front ("&amp;Assumptions!$M$171&amp;"); view premium still loading until L"&amp;Assumptions!$L$171&amp;". ","")&amp;IF(D1070=Assumptions!$AH$171,"Mid-floor view premium fully loaded. ","")&amp;IF(D1070=Assumptions!$P$171,"High-floor view premium fully loaded. ","")&amp;IF(Q1070&lt;=K1070,"At developer starting price.",""))</f>
        <v/>
      </c>
      <c r="T1070" s="48" t="str">
        <f>Assumptions!$AJ$171</f>
        <v>SSW. Unblocked pool view on low floors; unblocked nature reserve from mid floor</v>
      </c>
    </row>
    <row r="1071" spans="1:20" x14ac:dyDescent="0.2">
      <c r="A1071" s="13" t="s">
        <v>1244</v>
      </c>
      <c r="B1071" s="14">
        <v>9</v>
      </c>
      <c r="C1071" s="40">
        <v>45</v>
      </c>
      <c r="D1071" s="40">
        <v>3</v>
      </c>
      <c r="E1071" s="9" t="s">
        <v>48</v>
      </c>
      <c r="F1071" s="14" t="s">
        <v>1226</v>
      </c>
      <c r="G1071" s="10">
        <v>1238</v>
      </c>
      <c r="H1071" s="14" t="s">
        <v>62</v>
      </c>
      <c r="I1071" s="41" t="str">
        <f>Assumptions!$I$171</f>
        <v>B</v>
      </c>
      <c r="J1071" s="14" t="str">
        <f>IF(D1071&lt;=Assumptions!$V$171,"Low",IF(D1071&lt;=Assumptions!$W$171,"Mid","High"))</f>
        <v>Low</v>
      </c>
      <c r="K1071" s="15">
        <f>Assumptions!$Q$171</f>
        <v>2737</v>
      </c>
      <c r="L1071" s="42">
        <f>INDEX(Assumptions!$N$61:$N$90,D1071)</f>
        <v>2784.7153303290538</v>
      </c>
      <c r="M1071" s="43">
        <f>IF(D1071&lt;=Assumptions!$G$171,Assumptions!$AK$171,IF(D1071&lt;Assumptions!$AH$171,Assumptions!$AK$171+(Assumptions!$AL$171-Assumptions!$AK$171)*(D1071-Assumptions!$G$171)/(Assumptions!$AH$171-Assumptions!$G$171),IF(D1071&lt;Assumptions!$P$171,Assumptions!$AL$171+(Assumptions!$AM$171-Assumptions!$AL$171)*(D1071-Assumptions!$AH$171)/(Assumptions!$P$171-Assumptions!$AH$171),Assumptions!$AM$171)))</f>
        <v>50000</v>
      </c>
      <c r="N1071" s="44">
        <f t="shared" si="32"/>
        <v>40.38772213247173</v>
      </c>
      <c r="O1071" s="45">
        <f t="shared" si="33"/>
        <v>2825</v>
      </c>
      <c r="P1071" s="14" t="str">
        <f>IF(D1071&gt;=Assumptions!$P$171,"High",IF(D1071&gt;=Assumptions!$AH$171,"Mid",IF(D1071&lt;=Assumptions!$G$171,"Low","Loading")))</f>
        <v>Loading</v>
      </c>
      <c r="Q1071" s="46">
        <f>MAX(K1071,MIN(Assumptions!$S$171,O1071),Q1072)</f>
        <v>2825</v>
      </c>
      <c r="R1071" s="12">
        <f>IF(AND(Q1071&lt;=K1071,INDEX(Assumptions!$C$26:$C$36,MATCH(G1071,Assumptions!$A$26:$A$36,0))&lt;&gt;""),INDEX(Assumptions!$C$26:$C$36,MATCH(G1071,Assumptions!$A$26:$A$36,0)),ROUND(G1071*Q1071,-2))</f>
        <v>3497400</v>
      </c>
      <c r="S1071" s="47" t="str">
        <f>TRIM(IF(AND(Assumptions!$L$171&lt;&gt;"",D1071&lt;Assumptions!$L$171),"View blocked / roof in front ("&amp;Assumptions!$M$171&amp;"); view premium still loading until L"&amp;Assumptions!$L$171&amp;". ","")&amp;IF(D1071=Assumptions!$AH$171,"Mid-floor view premium fully loaded. ","")&amp;IF(D1071=Assumptions!$P$171,"High-floor view premium fully loaded. ","")&amp;IF(Q1071&lt;=K1071,"At developer starting price.",""))</f>
        <v/>
      </c>
      <c r="T1071" s="48" t="str">
        <f>Assumptions!$AJ$171</f>
        <v>SSW. Unblocked pool view on low floors; unblocked nature reserve from mid floor</v>
      </c>
    </row>
    <row r="1072" spans="1:20" x14ac:dyDescent="0.2">
      <c r="A1072" s="13" t="s">
        <v>1245</v>
      </c>
      <c r="B1072" s="14">
        <v>9</v>
      </c>
      <c r="C1072" s="40">
        <v>45</v>
      </c>
      <c r="D1072" s="40">
        <v>2</v>
      </c>
      <c r="E1072" s="9" t="s">
        <v>48</v>
      </c>
      <c r="F1072" s="14" t="s">
        <v>1246</v>
      </c>
      <c r="G1072" s="10">
        <v>1238</v>
      </c>
      <c r="H1072" s="14" t="s">
        <v>62</v>
      </c>
      <c r="I1072" s="41" t="str">
        <f>Assumptions!$I$171</f>
        <v>B</v>
      </c>
      <c r="J1072" s="14" t="str">
        <f>IF(D1072&lt;=Assumptions!$V$171,"Low",IF(D1072&lt;=Assumptions!$W$171,"Mid","High"))</f>
        <v>Low</v>
      </c>
      <c r="K1072" s="15">
        <f>Assumptions!$Q$171</f>
        <v>2737</v>
      </c>
      <c r="L1072" s="42">
        <f>INDEX(Assumptions!$N$61:$N$90,D1072)</f>
        <v>2777.3877221324719</v>
      </c>
      <c r="M1072" s="43">
        <f>IF(D1072&lt;=Assumptions!$G$171,Assumptions!$AK$171,IF(D1072&lt;Assumptions!$AH$171,Assumptions!$AK$171+(Assumptions!$AL$171-Assumptions!$AK$171)*(D1072-Assumptions!$G$171)/(Assumptions!$AH$171-Assumptions!$G$171),IF(D1072&lt;Assumptions!$P$171,Assumptions!$AL$171+(Assumptions!$AM$171-Assumptions!$AL$171)*(D1072-Assumptions!$AH$171)/(Assumptions!$P$171-Assumptions!$AH$171),Assumptions!$AM$171)))</f>
        <v>50000</v>
      </c>
      <c r="N1072" s="44">
        <f t="shared" si="32"/>
        <v>40.38772213247173</v>
      </c>
      <c r="O1072" s="45">
        <f t="shared" si="33"/>
        <v>2818</v>
      </c>
      <c r="P1072" s="14" t="str">
        <f>IF(D1072&gt;=Assumptions!$P$171,"High",IF(D1072&gt;=Assumptions!$AH$171,"Mid",IF(D1072&lt;=Assumptions!$G$171,"Low","Loading")))</f>
        <v>Low</v>
      </c>
      <c r="Q1072" s="46">
        <f>MAX(K1072,MIN(Assumptions!$S$171,O1072))</f>
        <v>2818</v>
      </c>
      <c r="R1072" s="12">
        <f>IF(AND(Q1072&lt;=K1072,INDEX(Assumptions!$C$26:$C$36,MATCH(G1072,Assumptions!$A$26:$A$36,0))&lt;&gt;""),INDEX(Assumptions!$C$26:$C$36,MATCH(G1072,Assumptions!$A$26:$A$36,0)),ROUND(G1072*Q1072,-2))</f>
        <v>3488700</v>
      </c>
      <c r="S1072" s="47" t="str">
        <f>TRIM(IF(AND(Assumptions!$L$171&lt;&gt;"",D1072&lt;Assumptions!$L$171),"View blocked / roof in front ("&amp;Assumptions!$M$171&amp;"); view premium still loading until L"&amp;Assumptions!$L$171&amp;". ","")&amp;IF(D1072=Assumptions!$AH$171,"Mid-floor view premium fully loaded. ","")&amp;IF(D1072=Assumptions!$P$171,"High-floor view premium fully loaded. ","")&amp;IF(Q1072&lt;=K1072,"At developer starting price.",""))</f>
        <v/>
      </c>
      <c r="T1072" s="48" t="str">
        <f>Assumptions!$AJ$171</f>
        <v>SSW. Unblocked pool view on low floors; unblocked nature reserve from mid floor</v>
      </c>
    </row>
    <row r="1073" spans="1:20" x14ac:dyDescent="0.2">
      <c r="A1073" s="13" t="s">
        <v>1247</v>
      </c>
      <c r="B1073" s="14">
        <v>11</v>
      </c>
      <c r="C1073" s="40">
        <v>46</v>
      </c>
      <c r="D1073" s="40">
        <v>21</v>
      </c>
      <c r="E1073" s="9" t="s">
        <v>46</v>
      </c>
      <c r="F1073" s="14" t="s">
        <v>1248</v>
      </c>
      <c r="G1073" s="10">
        <v>1055</v>
      </c>
      <c r="H1073" s="14" t="s">
        <v>62</v>
      </c>
      <c r="I1073" s="41" t="str">
        <f>Assumptions!$I$172</f>
        <v>E</v>
      </c>
      <c r="J1073" s="14" t="str">
        <f>IF(D1073&lt;=Assumptions!$V$172,"Low",IF(D1073&lt;=Assumptions!$W$172,"Mid","High"))</f>
        <v>High</v>
      </c>
      <c r="K1073" s="15">
        <f>Assumptions!$Q$172</f>
        <v>2633</v>
      </c>
      <c r="L1073" s="42">
        <f>INDEX(Assumptions!$K$61:$K$90,D1073)</f>
        <v>3042.1538461538462</v>
      </c>
      <c r="M1073" s="43">
        <f>IF(D1073&lt;=Assumptions!$G$172,Assumptions!$AK$172,IF(D1073&lt;Assumptions!$AH$172,Assumptions!$AK$172+(Assumptions!$AL$172-Assumptions!$AK$172)*(D1073-Assumptions!$G$172)/(Assumptions!$AH$172-Assumptions!$G$172),IF(D1073&lt;Assumptions!$P$172,Assumptions!$AL$172+(Assumptions!$AM$172-Assumptions!$AL$172)*(D1073-Assumptions!$AH$172)/(Assumptions!$P$172-Assumptions!$AH$172),Assumptions!$AM$172)))</f>
        <v>-50000</v>
      </c>
      <c r="N1073" s="44">
        <f t="shared" si="32"/>
        <v>-47.393364928909953</v>
      </c>
      <c r="O1073" s="45">
        <f t="shared" si="33"/>
        <v>2995</v>
      </c>
      <c r="P1073" s="14" t="str">
        <f>IF(D1073&gt;=Assumptions!$P$172,"High",IF(D1073&gt;=Assumptions!$AH$172,"Mid",IF(D1073&lt;=Assumptions!$G$172,"Low","Loading")))</f>
        <v>High</v>
      </c>
      <c r="Q1073" s="46">
        <f>MAX(K1073,MIN(Assumptions!$S$172,O1073),Q1074)</f>
        <v>2995</v>
      </c>
      <c r="R1073" s="12">
        <f>IF(AND(Q1073&lt;=K1073,INDEX(Assumptions!$C$26:$C$36,MATCH(G1073,Assumptions!$A$26:$A$36,0))&lt;&gt;""),INDEX(Assumptions!$C$26:$C$36,MATCH(G1073,Assumptions!$A$26:$A$36,0)),ROUND(G1073*Q1073,-2))</f>
        <v>3159700</v>
      </c>
      <c r="S1073" s="47" t="str">
        <f>TRIM(IF(AND(Assumptions!$L$172&lt;&gt;"",D1073&lt;Assumptions!$L$172),"View blocked / roof in front ("&amp;Assumptions!$M$172&amp;"); view premium still loading until L"&amp;Assumptions!$L$172&amp;". ","")&amp;IF(D1073=Assumptions!$AH$172,"Mid-floor view premium fully loaded. ","")&amp;IF(D1073=Assumptions!$P$172,"High-floor view premium fully loaded. ","")&amp;IF(Q1073&lt;=K1073,"At developer starting price.",""))</f>
        <v/>
      </c>
      <c r="T1073" s="48" t="str">
        <f>Assumptions!$AJ$172</f>
        <v>NE. Facing HDB, landed &amp; mid-view city</v>
      </c>
    </row>
    <row r="1074" spans="1:20" x14ac:dyDescent="0.2">
      <c r="A1074" s="13" t="s">
        <v>1249</v>
      </c>
      <c r="B1074" s="14">
        <v>11</v>
      </c>
      <c r="C1074" s="40">
        <v>46</v>
      </c>
      <c r="D1074" s="40">
        <v>20</v>
      </c>
      <c r="E1074" s="9" t="s">
        <v>46</v>
      </c>
      <c r="F1074" s="14" t="s">
        <v>1248</v>
      </c>
      <c r="G1074" s="10">
        <v>1055</v>
      </c>
      <c r="H1074" s="14" t="s">
        <v>62</v>
      </c>
      <c r="I1074" s="41" t="str">
        <f>Assumptions!$I$172</f>
        <v>E</v>
      </c>
      <c r="J1074" s="14" t="str">
        <f>IF(D1074&lt;=Assumptions!$V$172,"Low",IF(D1074&lt;=Assumptions!$W$172,"Mid","High"))</f>
        <v>High</v>
      </c>
      <c r="K1074" s="15">
        <f>Assumptions!$Q$172</f>
        <v>2633</v>
      </c>
      <c r="L1074" s="42">
        <f>INDEX(Assumptions!$K$61:$K$90,D1074)</f>
        <v>3015.876923076923</v>
      </c>
      <c r="M1074" s="43">
        <f>IF(D1074&lt;=Assumptions!$G$172,Assumptions!$AK$172,IF(D1074&lt;Assumptions!$AH$172,Assumptions!$AK$172+(Assumptions!$AL$172-Assumptions!$AK$172)*(D1074-Assumptions!$G$172)/(Assumptions!$AH$172-Assumptions!$G$172),IF(D1074&lt;Assumptions!$P$172,Assumptions!$AL$172+(Assumptions!$AM$172-Assumptions!$AL$172)*(D1074-Assumptions!$AH$172)/(Assumptions!$P$172-Assumptions!$AH$172),Assumptions!$AM$172)))</f>
        <v>-50000</v>
      </c>
      <c r="N1074" s="44">
        <f t="shared" si="32"/>
        <v>-47.393364928909953</v>
      </c>
      <c r="O1074" s="45">
        <f t="shared" si="33"/>
        <v>2968</v>
      </c>
      <c r="P1074" s="14" t="str">
        <f>IF(D1074&gt;=Assumptions!$P$172,"High",IF(D1074&gt;=Assumptions!$AH$172,"Mid",IF(D1074&lt;=Assumptions!$G$172,"Low","Loading")))</f>
        <v>High</v>
      </c>
      <c r="Q1074" s="46">
        <f>MAX(K1074,MIN(Assumptions!$S$172,O1074),Q1075)</f>
        <v>2968</v>
      </c>
      <c r="R1074" s="12">
        <f>IF(AND(Q1074&lt;=K1074,INDEX(Assumptions!$C$26:$C$36,MATCH(G1074,Assumptions!$A$26:$A$36,0))&lt;&gt;""),INDEX(Assumptions!$C$26:$C$36,MATCH(G1074,Assumptions!$A$26:$A$36,0)),ROUND(G1074*Q1074,-2))</f>
        <v>3131200</v>
      </c>
      <c r="S1074" s="47" t="str">
        <f>TRIM(IF(AND(Assumptions!$L$172&lt;&gt;"",D1074&lt;Assumptions!$L$172),"View blocked / roof in front ("&amp;Assumptions!$M$172&amp;"); view premium still loading until L"&amp;Assumptions!$L$172&amp;". ","")&amp;IF(D1074=Assumptions!$AH$172,"Mid-floor view premium fully loaded. ","")&amp;IF(D1074=Assumptions!$P$172,"High-floor view premium fully loaded. ","")&amp;IF(Q1074&lt;=K1074,"At developer starting price.",""))</f>
        <v/>
      </c>
      <c r="T1074" s="48" t="str">
        <f>Assumptions!$AJ$172</f>
        <v>NE. Facing HDB, landed &amp; mid-view city</v>
      </c>
    </row>
    <row r="1075" spans="1:20" x14ac:dyDescent="0.2">
      <c r="A1075" s="13" t="s">
        <v>1250</v>
      </c>
      <c r="B1075" s="14">
        <v>11</v>
      </c>
      <c r="C1075" s="40">
        <v>46</v>
      </c>
      <c r="D1075" s="40">
        <v>19</v>
      </c>
      <c r="E1075" s="9" t="s">
        <v>46</v>
      </c>
      <c r="F1075" s="14" t="s">
        <v>1248</v>
      </c>
      <c r="G1075" s="10">
        <v>1055</v>
      </c>
      <c r="H1075" s="14" t="s">
        <v>62</v>
      </c>
      <c r="I1075" s="41" t="str">
        <f>Assumptions!$I$172</f>
        <v>E</v>
      </c>
      <c r="J1075" s="14" t="str">
        <f>IF(D1075&lt;=Assumptions!$V$172,"Low",IF(D1075&lt;=Assumptions!$W$172,"Mid","High"))</f>
        <v>High</v>
      </c>
      <c r="K1075" s="15">
        <f>Assumptions!$Q$172</f>
        <v>2633</v>
      </c>
      <c r="L1075" s="42">
        <f>INDEX(Assumptions!$K$61:$K$90,D1075)</f>
        <v>2989.6</v>
      </c>
      <c r="M1075" s="43">
        <f>IF(D1075&lt;=Assumptions!$G$172,Assumptions!$AK$172,IF(D1075&lt;Assumptions!$AH$172,Assumptions!$AK$172+(Assumptions!$AL$172-Assumptions!$AK$172)*(D1075-Assumptions!$G$172)/(Assumptions!$AH$172-Assumptions!$G$172),IF(D1075&lt;Assumptions!$P$172,Assumptions!$AL$172+(Assumptions!$AM$172-Assumptions!$AL$172)*(D1075-Assumptions!$AH$172)/(Assumptions!$P$172-Assumptions!$AH$172),Assumptions!$AM$172)))</f>
        <v>-50000</v>
      </c>
      <c r="N1075" s="44">
        <f t="shared" si="32"/>
        <v>-47.393364928909953</v>
      </c>
      <c r="O1075" s="45">
        <f t="shared" si="33"/>
        <v>2942</v>
      </c>
      <c r="P1075" s="14" t="str">
        <f>IF(D1075&gt;=Assumptions!$P$172,"High",IF(D1075&gt;=Assumptions!$AH$172,"Mid",IF(D1075&lt;=Assumptions!$G$172,"Low","Loading")))</f>
        <v>High</v>
      </c>
      <c r="Q1075" s="46">
        <f>MAX(K1075,MIN(Assumptions!$S$172,O1075),Q1076)</f>
        <v>2942</v>
      </c>
      <c r="R1075" s="12">
        <f>IF(AND(Q1075&lt;=K1075,INDEX(Assumptions!$C$26:$C$36,MATCH(G1075,Assumptions!$A$26:$A$36,0))&lt;&gt;""),INDEX(Assumptions!$C$26:$C$36,MATCH(G1075,Assumptions!$A$26:$A$36,0)),ROUND(G1075*Q1075,-2))</f>
        <v>3103800</v>
      </c>
      <c r="S1075" s="47" t="str">
        <f>TRIM(IF(AND(Assumptions!$L$172&lt;&gt;"",D1075&lt;Assumptions!$L$172),"View blocked / roof in front ("&amp;Assumptions!$M$172&amp;"); view premium still loading until L"&amp;Assumptions!$L$172&amp;". ","")&amp;IF(D1075=Assumptions!$AH$172,"Mid-floor view premium fully loaded. ","")&amp;IF(D1075=Assumptions!$P$172,"High-floor view premium fully loaded. ","")&amp;IF(Q1075&lt;=K1075,"At developer starting price.",""))</f>
        <v/>
      </c>
      <c r="T1075" s="48" t="str">
        <f>Assumptions!$AJ$172</f>
        <v>NE. Facing HDB, landed &amp; mid-view city</v>
      </c>
    </row>
    <row r="1076" spans="1:20" x14ac:dyDescent="0.2">
      <c r="A1076" s="13" t="s">
        <v>1251</v>
      </c>
      <c r="B1076" s="14">
        <v>11</v>
      </c>
      <c r="C1076" s="40">
        <v>46</v>
      </c>
      <c r="D1076" s="40">
        <v>18</v>
      </c>
      <c r="E1076" s="9" t="s">
        <v>46</v>
      </c>
      <c r="F1076" s="14" t="s">
        <v>1248</v>
      </c>
      <c r="G1076" s="10">
        <v>1055</v>
      </c>
      <c r="H1076" s="14" t="s">
        <v>62</v>
      </c>
      <c r="I1076" s="41" t="str">
        <f>Assumptions!$I$172</f>
        <v>E</v>
      </c>
      <c r="J1076" s="14" t="str">
        <f>IF(D1076&lt;=Assumptions!$V$172,"Low",IF(D1076&lt;=Assumptions!$W$172,"Mid","High"))</f>
        <v>High</v>
      </c>
      <c r="K1076" s="15">
        <f>Assumptions!$Q$172</f>
        <v>2633</v>
      </c>
      <c r="L1076" s="42">
        <f>INDEX(Assumptions!$K$61:$K$90,D1076)</f>
        <v>2963.3230769230768</v>
      </c>
      <c r="M1076" s="43">
        <f>IF(D1076&lt;=Assumptions!$G$172,Assumptions!$AK$172,IF(D1076&lt;Assumptions!$AH$172,Assumptions!$AK$172+(Assumptions!$AL$172-Assumptions!$AK$172)*(D1076-Assumptions!$G$172)/(Assumptions!$AH$172-Assumptions!$G$172),IF(D1076&lt;Assumptions!$P$172,Assumptions!$AL$172+(Assumptions!$AM$172-Assumptions!$AL$172)*(D1076-Assumptions!$AH$172)/(Assumptions!$P$172-Assumptions!$AH$172),Assumptions!$AM$172)))</f>
        <v>-50000</v>
      </c>
      <c r="N1076" s="44">
        <f t="shared" si="32"/>
        <v>-47.393364928909953</v>
      </c>
      <c r="O1076" s="45">
        <f t="shared" si="33"/>
        <v>2916</v>
      </c>
      <c r="P1076" s="14" t="str">
        <f>IF(D1076&gt;=Assumptions!$P$172,"High",IF(D1076&gt;=Assumptions!$AH$172,"Mid",IF(D1076&lt;=Assumptions!$G$172,"Low","Loading")))</f>
        <v>High</v>
      </c>
      <c r="Q1076" s="46">
        <f>MAX(K1076,MIN(Assumptions!$S$172,O1076),Q1077)</f>
        <v>2916</v>
      </c>
      <c r="R1076" s="12">
        <f>IF(AND(Q1076&lt;=K1076,INDEX(Assumptions!$C$26:$C$36,MATCH(G1076,Assumptions!$A$26:$A$36,0))&lt;&gt;""),INDEX(Assumptions!$C$26:$C$36,MATCH(G1076,Assumptions!$A$26:$A$36,0)),ROUND(G1076*Q1076,-2))</f>
        <v>3076400</v>
      </c>
      <c r="S1076" s="47" t="str">
        <f>TRIM(IF(AND(Assumptions!$L$172&lt;&gt;"",D1076&lt;Assumptions!$L$172),"View blocked / roof in front ("&amp;Assumptions!$M$172&amp;"); view premium still loading until L"&amp;Assumptions!$L$172&amp;". ","")&amp;IF(D1076=Assumptions!$AH$172,"Mid-floor view premium fully loaded. ","")&amp;IF(D1076=Assumptions!$P$172,"High-floor view premium fully loaded. ","")&amp;IF(Q1076&lt;=K1076,"At developer starting price.",""))</f>
        <v/>
      </c>
      <c r="T1076" s="48" t="str">
        <f>Assumptions!$AJ$172</f>
        <v>NE. Facing HDB, landed &amp; mid-view city</v>
      </c>
    </row>
    <row r="1077" spans="1:20" x14ac:dyDescent="0.2">
      <c r="A1077" s="13" t="s">
        <v>1252</v>
      </c>
      <c r="B1077" s="14">
        <v>11</v>
      </c>
      <c r="C1077" s="40">
        <v>46</v>
      </c>
      <c r="D1077" s="40">
        <v>17</v>
      </c>
      <c r="E1077" s="9" t="s">
        <v>46</v>
      </c>
      <c r="F1077" s="14" t="s">
        <v>1248</v>
      </c>
      <c r="G1077" s="10">
        <v>1055</v>
      </c>
      <c r="H1077" s="14" t="s">
        <v>62</v>
      </c>
      <c r="I1077" s="41" t="str">
        <f>Assumptions!$I$172</f>
        <v>E</v>
      </c>
      <c r="J1077" s="14" t="str">
        <f>IF(D1077&lt;=Assumptions!$V$172,"Low",IF(D1077&lt;=Assumptions!$W$172,"Mid","High"))</f>
        <v>High</v>
      </c>
      <c r="K1077" s="15">
        <f>Assumptions!$Q$172</f>
        <v>2633</v>
      </c>
      <c r="L1077" s="42">
        <f>INDEX(Assumptions!$K$61:$K$90,D1077)</f>
        <v>2937.0461538461536</v>
      </c>
      <c r="M1077" s="43">
        <f>IF(D1077&lt;=Assumptions!$G$172,Assumptions!$AK$172,IF(D1077&lt;Assumptions!$AH$172,Assumptions!$AK$172+(Assumptions!$AL$172-Assumptions!$AK$172)*(D1077-Assumptions!$G$172)/(Assumptions!$AH$172-Assumptions!$G$172),IF(D1077&lt;Assumptions!$P$172,Assumptions!$AL$172+(Assumptions!$AM$172-Assumptions!$AL$172)*(D1077-Assumptions!$AH$172)/(Assumptions!$P$172-Assumptions!$AH$172),Assumptions!$AM$172)))</f>
        <v>-50000</v>
      </c>
      <c r="N1077" s="44">
        <f t="shared" si="32"/>
        <v>-47.393364928909953</v>
      </c>
      <c r="O1077" s="45">
        <f t="shared" si="33"/>
        <v>2890</v>
      </c>
      <c r="P1077" s="14" t="str">
        <f>IF(D1077&gt;=Assumptions!$P$172,"High",IF(D1077&gt;=Assumptions!$AH$172,"Mid",IF(D1077&lt;=Assumptions!$G$172,"Low","Loading")))</f>
        <v>High</v>
      </c>
      <c r="Q1077" s="46">
        <f>MAX(K1077,MIN(Assumptions!$S$172,O1077),Q1078)</f>
        <v>2890</v>
      </c>
      <c r="R1077" s="12">
        <f>IF(AND(Q1077&lt;=K1077,INDEX(Assumptions!$C$26:$C$36,MATCH(G1077,Assumptions!$A$26:$A$36,0))&lt;&gt;""),INDEX(Assumptions!$C$26:$C$36,MATCH(G1077,Assumptions!$A$26:$A$36,0)),ROUND(G1077*Q1077,-2))</f>
        <v>3049000</v>
      </c>
      <c r="S1077" s="47" t="str">
        <f>TRIM(IF(AND(Assumptions!$L$172&lt;&gt;"",D1077&lt;Assumptions!$L$172),"View blocked / roof in front ("&amp;Assumptions!$M$172&amp;"); view premium still loading until L"&amp;Assumptions!$L$172&amp;". ","")&amp;IF(D1077=Assumptions!$AH$172,"Mid-floor view premium fully loaded. ","")&amp;IF(D1077=Assumptions!$P$172,"High-floor view premium fully loaded. ","")&amp;IF(Q1077&lt;=K1077,"At developer starting price.",""))</f>
        <v>High-floor view premium fully loaded.</v>
      </c>
      <c r="T1077" s="48" t="str">
        <f>Assumptions!$AJ$172</f>
        <v>NE. Facing HDB, landed &amp; mid-view city</v>
      </c>
    </row>
    <row r="1078" spans="1:20" x14ac:dyDescent="0.2">
      <c r="A1078" s="13" t="s">
        <v>1253</v>
      </c>
      <c r="B1078" s="14">
        <v>11</v>
      </c>
      <c r="C1078" s="40">
        <v>46</v>
      </c>
      <c r="D1078" s="40">
        <v>16</v>
      </c>
      <c r="E1078" s="9" t="s">
        <v>46</v>
      </c>
      <c r="F1078" s="14" t="s">
        <v>1248</v>
      </c>
      <c r="G1078" s="10">
        <v>1055</v>
      </c>
      <c r="H1078" s="14" t="s">
        <v>62</v>
      </c>
      <c r="I1078" s="41" t="str">
        <f>Assumptions!$I$172</f>
        <v>E</v>
      </c>
      <c r="J1078" s="14" t="str">
        <f>IF(D1078&lt;=Assumptions!$V$172,"Low",IF(D1078&lt;=Assumptions!$W$172,"Mid","High"))</f>
        <v>Mid</v>
      </c>
      <c r="K1078" s="15">
        <f>Assumptions!$Q$172</f>
        <v>2633</v>
      </c>
      <c r="L1078" s="42">
        <f>INDEX(Assumptions!$K$61:$K$90,D1078)</f>
        <v>2910.7692307692309</v>
      </c>
      <c r="M1078" s="43">
        <f>IF(D1078&lt;=Assumptions!$G$172,Assumptions!$AK$172,IF(D1078&lt;Assumptions!$AH$172,Assumptions!$AK$172+(Assumptions!$AL$172-Assumptions!$AK$172)*(D1078-Assumptions!$G$172)/(Assumptions!$AH$172-Assumptions!$G$172),IF(D1078&lt;Assumptions!$P$172,Assumptions!$AL$172+(Assumptions!$AM$172-Assumptions!$AL$172)*(D1078-Assumptions!$AH$172)/(Assumptions!$P$172-Assumptions!$AH$172),Assumptions!$AM$172)))</f>
        <v>-50000</v>
      </c>
      <c r="N1078" s="44">
        <f t="shared" si="32"/>
        <v>-47.393364928909953</v>
      </c>
      <c r="O1078" s="45">
        <f t="shared" si="33"/>
        <v>2863</v>
      </c>
      <c r="P1078" s="14" t="str">
        <f>IF(D1078&gt;=Assumptions!$P$172,"High",IF(D1078&gt;=Assumptions!$AH$172,"Mid",IF(D1078&lt;=Assumptions!$G$172,"Low","Loading")))</f>
        <v>Mid</v>
      </c>
      <c r="Q1078" s="46">
        <f>MAX(K1078,MIN(Assumptions!$S$172,O1078),Q1079)</f>
        <v>2863</v>
      </c>
      <c r="R1078" s="12">
        <f>IF(AND(Q1078&lt;=K1078,INDEX(Assumptions!$C$26:$C$36,MATCH(G1078,Assumptions!$A$26:$A$36,0))&lt;&gt;""),INDEX(Assumptions!$C$26:$C$36,MATCH(G1078,Assumptions!$A$26:$A$36,0)),ROUND(G1078*Q1078,-2))</f>
        <v>3020500</v>
      </c>
      <c r="S1078" s="47" t="str">
        <f>TRIM(IF(AND(Assumptions!$L$172&lt;&gt;"",D1078&lt;Assumptions!$L$172),"View blocked / roof in front ("&amp;Assumptions!$M$172&amp;"); view premium still loading until L"&amp;Assumptions!$L$172&amp;". ","")&amp;IF(D1078=Assumptions!$AH$172,"Mid-floor view premium fully loaded. ","")&amp;IF(D1078=Assumptions!$P$172,"High-floor view premium fully loaded. ","")&amp;IF(Q1078&lt;=K1078,"At developer starting price.",""))</f>
        <v/>
      </c>
      <c r="T1078" s="48" t="str">
        <f>Assumptions!$AJ$172</f>
        <v>NE. Facing HDB, landed &amp; mid-view city</v>
      </c>
    </row>
    <row r="1079" spans="1:20" x14ac:dyDescent="0.2">
      <c r="A1079" s="13" t="s">
        <v>1254</v>
      </c>
      <c r="B1079" s="14">
        <v>11</v>
      </c>
      <c r="C1079" s="40">
        <v>46</v>
      </c>
      <c r="D1079" s="40">
        <v>15</v>
      </c>
      <c r="E1079" s="9" t="s">
        <v>46</v>
      </c>
      <c r="F1079" s="14" t="s">
        <v>1248</v>
      </c>
      <c r="G1079" s="10">
        <v>1055</v>
      </c>
      <c r="H1079" s="14" t="s">
        <v>62</v>
      </c>
      <c r="I1079" s="41" t="str">
        <f>Assumptions!$I$172</f>
        <v>E</v>
      </c>
      <c r="J1079" s="14" t="str">
        <f>IF(D1079&lt;=Assumptions!$V$172,"Low",IF(D1079&lt;=Assumptions!$W$172,"Mid","High"))</f>
        <v>Mid</v>
      </c>
      <c r="K1079" s="15">
        <f>Assumptions!$Q$172</f>
        <v>2633</v>
      </c>
      <c r="L1079" s="42">
        <f>INDEX(Assumptions!$K$61:$K$90,D1079)</f>
        <v>2884.4923076923078</v>
      </c>
      <c r="M1079" s="43">
        <f>IF(D1079&lt;=Assumptions!$G$172,Assumptions!$AK$172,IF(D1079&lt;Assumptions!$AH$172,Assumptions!$AK$172+(Assumptions!$AL$172-Assumptions!$AK$172)*(D1079-Assumptions!$G$172)/(Assumptions!$AH$172-Assumptions!$G$172),IF(D1079&lt;Assumptions!$P$172,Assumptions!$AL$172+(Assumptions!$AM$172-Assumptions!$AL$172)*(D1079-Assumptions!$AH$172)/(Assumptions!$P$172-Assumptions!$AH$172),Assumptions!$AM$172)))</f>
        <v>-50000</v>
      </c>
      <c r="N1079" s="44">
        <f t="shared" si="32"/>
        <v>-47.393364928909953</v>
      </c>
      <c r="O1079" s="45">
        <f t="shared" si="33"/>
        <v>2837</v>
      </c>
      <c r="P1079" s="14" t="str">
        <f>IF(D1079&gt;=Assumptions!$P$172,"High",IF(D1079&gt;=Assumptions!$AH$172,"Mid",IF(D1079&lt;=Assumptions!$G$172,"Low","Loading")))</f>
        <v>Mid</v>
      </c>
      <c r="Q1079" s="46">
        <f>MAX(K1079,MIN(Assumptions!$S$172,O1079),Q1080)</f>
        <v>2837</v>
      </c>
      <c r="R1079" s="12">
        <f>IF(AND(Q1079&lt;=K1079,INDEX(Assumptions!$C$26:$C$36,MATCH(G1079,Assumptions!$A$26:$A$36,0))&lt;&gt;""),INDEX(Assumptions!$C$26:$C$36,MATCH(G1079,Assumptions!$A$26:$A$36,0)),ROUND(G1079*Q1079,-2))</f>
        <v>2993000</v>
      </c>
      <c r="S1079" s="47" t="str">
        <f>TRIM(IF(AND(Assumptions!$L$172&lt;&gt;"",D1079&lt;Assumptions!$L$172),"View blocked / roof in front ("&amp;Assumptions!$M$172&amp;"); view premium still loading until L"&amp;Assumptions!$L$172&amp;". ","")&amp;IF(D1079=Assumptions!$AH$172,"Mid-floor view premium fully loaded. ","")&amp;IF(D1079=Assumptions!$P$172,"High-floor view premium fully loaded. ","")&amp;IF(Q1079&lt;=K1079,"At developer starting price.",""))</f>
        <v/>
      </c>
      <c r="T1079" s="48" t="str">
        <f>Assumptions!$AJ$172</f>
        <v>NE. Facing HDB, landed &amp; mid-view city</v>
      </c>
    </row>
    <row r="1080" spans="1:20" x14ac:dyDescent="0.2">
      <c r="A1080" s="13" t="s">
        <v>1255</v>
      </c>
      <c r="B1080" s="14">
        <v>11</v>
      </c>
      <c r="C1080" s="40">
        <v>46</v>
      </c>
      <c r="D1080" s="40">
        <v>14</v>
      </c>
      <c r="E1080" s="9" t="s">
        <v>46</v>
      </c>
      <c r="F1080" s="14" t="s">
        <v>1248</v>
      </c>
      <c r="G1080" s="10">
        <v>1055</v>
      </c>
      <c r="H1080" s="14" t="s">
        <v>62</v>
      </c>
      <c r="I1080" s="41" t="str">
        <f>Assumptions!$I$172</f>
        <v>E</v>
      </c>
      <c r="J1080" s="14" t="str">
        <f>IF(D1080&lt;=Assumptions!$V$172,"Low",IF(D1080&lt;=Assumptions!$W$172,"Mid","High"))</f>
        <v>Mid</v>
      </c>
      <c r="K1080" s="15">
        <f>Assumptions!$Q$172</f>
        <v>2633</v>
      </c>
      <c r="L1080" s="42">
        <f>INDEX(Assumptions!$K$61:$K$90,D1080)</f>
        <v>2858.2153846153847</v>
      </c>
      <c r="M1080" s="43">
        <f>IF(D1080&lt;=Assumptions!$G$172,Assumptions!$AK$172,IF(D1080&lt;Assumptions!$AH$172,Assumptions!$AK$172+(Assumptions!$AL$172-Assumptions!$AK$172)*(D1080-Assumptions!$G$172)/(Assumptions!$AH$172-Assumptions!$G$172),IF(D1080&lt;Assumptions!$P$172,Assumptions!$AL$172+(Assumptions!$AM$172-Assumptions!$AL$172)*(D1080-Assumptions!$AH$172)/(Assumptions!$P$172-Assumptions!$AH$172),Assumptions!$AM$172)))</f>
        <v>-50000</v>
      </c>
      <c r="N1080" s="44">
        <f t="shared" si="32"/>
        <v>-47.393364928909953</v>
      </c>
      <c r="O1080" s="45">
        <f t="shared" si="33"/>
        <v>2811</v>
      </c>
      <c r="P1080" s="14" t="str">
        <f>IF(D1080&gt;=Assumptions!$P$172,"High",IF(D1080&gt;=Assumptions!$AH$172,"Mid",IF(D1080&lt;=Assumptions!$G$172,"Low","Loading")))</f>
        <v>Mid</v>
      </c>
      <c r="Q1080" s="46">
        <f>MAX(K1080,MIN(Assumptions!$S$172,O1080),Q1081)</f>
        <v>2811</v>
      </c>
      <c r="R1080" s="12">
        <f>IF(AND(Q1080&lt;=K1080,INDEX(Assumptions!$C$26:$C$36,MATCH(G1080,Assumptions!$A$26:$A$36,0))&lt;&gt;""),INDEX(Assumptions!$C$26:$C$36,MATCH(G1080,Assumptions!$A$26:$A$36,0)),ROUND(G1080*Q1080,-2))</f>
        <v>2965600</v>
      </c>
      <c r="S1080" s="47" t="str">
        <f>TRIM(IF(AND(Assumptions!$L$172&lt;&gt;"",D1080&lt;Assumptions!$L$172),"View blocked / roof in front ("&amp;Assumptions!$M$172&amp;"); view premium still loading until L"&amp;Assumptions!$L$172&amp;". ","")&amp;IF(D1080=Assumptions!$AH$172,"Mid-floor view premium fully loaded. ","")&amp;IF(D1080=Assumptions!$P$172,"High-floor view premium fully loaded. ","")&amp;IF(Q1080&lt;=K1080,"At developer starting price.",""))</f>
        <v/>
      </c>
      <c r="T1080" s="48" t="str">
        <f>Assumptions!$AJ$172</f>
        <v>NE. Facing HDB, landed &amp; mid-view city</v>
      </c>
    </row>
    <row r="1081" spans="1:20" x14ac:dyDescent="0.2">
      <c r="A1081" s="13" t="s">
        <v>1256</v>
      </c>
      <c r="B1081" s="14">
        <v>11</v>
      </c>
      <c r="C1081" s="40">
        <v>46</v>
      </c>
      <c r="D1081" s="40">
        <v>13</v>
      </c>
      <c r="E1081" s="9" t="s">
        <v>46</v>
      </c>
      <c r="F1081" s="14" t="s">
        <v>1248</v>
      </c>
      <c r="G1081" s="10">
        <v>1055</v>
      </c>
      <c r="H1081" s="14" t="s">
        <v>62</v>
      </c>
      <c r="I1081" s="41" t="str">
        <f>Assumptions!$I$172</f>
        <v>E</v>
      </c>
      <c r="J1081" s="14" t="str">
        <f>IF(D1081&lt;=Assumptions!$V$172,"Low",IF(D1081&lt;=Assumptions!$W$172,"Mid","High"))</f>
        <v>Mid</v>
      </c>
      <c r="K1081" s="15">
        <f>Assumptions!$Q$172</f>
        <v>2633</v>
      </c>
      <c r="L1081" s="42">
        <f>INDEX(Assumptions!$K$61:$K$90,D1081)</f>
        <v>2831.9384615384615</v>
      </c>
      <c r="M1081" s="43">
        <f>IF(D1081&lt;=Assumptions!$G$172,Assumptions!$AK$172,IF(D1081&lt;Assumptions!$AH$172,Assumptions!$AK$172+(Assumptions!$AL$172-Assumptions!$AK$172)*(D1081-Assumptions!$G$172)/(Assumptions!$AH$172-Assumptions!$G$172),IF(D1081&lt;Assumptions!$P$172,Assumptions!$AL$172+(Assumptions!$AM$172-Assumptions!$AL$172)*(D1081-Assumptions!$AH$172)/(Assumptions!$P$172-Assumptions!$AH$172),Assumptions!$AM$172)))</f>
        <v>-50000</v>
      </c>
      <c r="N1081" s="44">
        <f t="shared" si="32"/>
        <v>-47.393364928909953</v>
      </c>
      <c r="O1081" s="45">
        <f t="shared" si="33"/>
        <v>2785</v>
      </c>
      <c r="P1081" s="14" t="str">
        <f>IF(D1081&gt;=Assumptions!$P$172,"High",IF(D1081&gt;=Assumptions!$AH$172,"Mid",IF(D1081&lt;=Assumptions!$G$172,"Low","Loading")))</f>
        <v>Mid</v>
      </c>
      <c r="Q1081" s="46">
        <f>MAX(K1081,MIN(Assumptions!$S$172,O1081),Q1082)</f>
        <v>2785</v>
      </c>
      <c r="R1081" s="12">
        <f>IF(AND(Q1081&lt;=K1081,INDEX(Assumptions!$C$26:$C$36,MATCH(G1081,Assumptions!$A$26:$A$36,0))&lt;&gt;""),INDEX(Assumptions!$C$26:$C$36,MATCH(G1081,Assumptions!$A$26:$A$36,0)),ROUND(G1081*Q1081,-2))</f>
        <v>2938200</v>
      </c>
      <c r="S1081" s="47" t="str">
        <f>TRIM(IF(AND(Assumptions!$L$172&lt;&gt;"",D1081&lt;Assumptions!$L$172),"View blocked / roof in front ("&amp;Assumptions!$M$172&amp;"); view premium still loading until L"&amp;Assumptions!$L$172&amp;". ","")&amp;IF(D1081=Assumptions!$AH$172,"Mid-floor view premium fully loaded. ","")&amp;IF(D1081=Assumptions!$P$172,"High-floor view premium fully loaded. ","")&amp;IF(Q1081&lt;=K1081,"At developer starting price.",""))</f>
        <v/>
      </c>
      <c r="T1081" s="48" t="str">
        <f>Assumptions!$AJ$172</f>
        <v>NE. Facing HDB, landed &amp; mid-view city</v>
      </c>
    </row>
    <row r="1082" spans="1:20" x14ac:dyDescent="0.2">
      <c r="A1082" s="13" t="s">
        <v>1257</v>
      </c>
      <c r="B1082" s="14">
        <v>11</v>
      </c>
      <c r="C1082" s="40">
        <v>46</v>
      </c>
      <c r="D1082" s="40">
        <v>12</v>
      </c>
      <c r="E1082" s="9" t="s">
        <v>46</v>
      </c>
      <c r="F1082" s="14" t="s">
        <v>1248</v>
      </c>
      <c r="G1082" s="10">
        <v>1055</v>
      </c>
      <c r="H1082" s="14" t="s">
        <v>62</v>
      </c>
      <c r="I1082" s="41" t="str">
        <f>Assumptions!$I$172</f>
        <v>E</v>
      </c>
      <c r="J1082" s="14" t="str">
        <f>IF(D1082&lt;=Assumptions!$V$172,"Low",IF(D1082&lt;=Assumptions!$W$172,"Mid","High"))</f>
        <v>Mid</v>
      </c>
      <c r="K1082" s="15">
        <f>Assumptions!$Q$172</f>
        <v>2633</v>
      </c>
      <c r="L1082" s="42">
        <f>INDEX(Assumptions!$K$61:$K$90,D1082)</f>
        <v>2812.209207853758</v>
      </c>
      <c r="M1082" s="43">
        <f>IF(D1082&lt;=Assumptions!$G$172,Assumptions!$AK$172,IF(D1082&lt;Assumptions!$AH$172,Assumptions!$AK$172+(Assumptions!$AL$172-Assumptions!$AK$172)*(D1082-Assumptions!$G$172)/(Assumptions!$AH$172-Assumptions!$G$172),IF(D1082&lt;Assumptions!$P$172,Assumptions!$AL$172+(Assumptions!$AM$172-Assumptions!$AL$172)*(D1082-Assumptions!$AH$172)/(Assumptions!$P$172-Assumptions!$AH$172),Assumptions!$AM$172)))</f>
        <v>-50000</v>
      </c>
      <c r="N1082" s="44">
        <f t="shared" si="32"/>
        <v>-47.393364928909953</v>
      </c>
      <c r="O1082" s="45">
        <f t="shared" si="33"/>
        <v>2765</v>
      </c>
      <c r="P1082" s="14" t="str">
        <f>IF(D1082&gt;=Assumptions!$P$172,"High",IF(D1082&gt;=Assumptions!$AH$172,"Mid",IF(D1082&lt;=Assumptions!$G$172,"Low","Loading")))</f>
        <v>Mid</v>
      </c>
      <c r="Q1082" s="46">
        <f>MAX(K1082,MIN(Assumptions!$S$172,O1082),Q1083)</f>
        <v>2765</v>
      </c>
      <c r="R1082" s="12">
        <f>IF(AND(Q1082&lt;=K1082,INDEX(Assumptions!$C$26:$C$36,MATCH(G1082,Assumptions!$A$26:$A$36,0))&lt;&gt;""),INDEX(Assumptions!$C$26:$C$36,MATCH(G1082,Assumptions!$A$26:$A$36,0)),ROUND(G1082*Q1082,-2))</f>
        <v>2917100</v>
      </c>
      <c r="S1082" s="47" t="str">
        <f>TRIM(IF(AND(Assumptions!$L$172&lt;&gt;"",D1082&lt;Assumptions!$L$172),"View blocked / roof in front ("&amp;Assumptions!$M$172&amp;"); view premium still loading until L"&amp;Assumptions!$L$172&amp;". ","")&amp;IF(D1082=Assumptions!$AH$172,"Mid-floor view premium fully loaded. ","")&amp;IF(D1082=Assumptions!$P$172,"High-floor view premium fully loaded. ","")&amp;IF(Q1082&lt;=K1082,"At developer starting price.",""))</f>
        <v/>
      </c>
      <c r="T1082" s="48" t="str">
        <f>Assumptions!$AJ$172</f>
        <v>NE. Facing HDB, landed &amp; mid-view city</v>
      </c>
    </row>
    <row r="1083" spans="1:20" x14ac:dyDescent="0.2">
      <c r="A1083" s="13" t="s">
        <v>1258</v>
      </c>
      <c r="B1083" s="14">
        <v>11</v>
      </c>
      <c r="C1083" s="40">
        <v>46</v>
      </c>
      <c r="D1083" s="40">
        <v>11</v>
      </c>
      <c r="E1083" s="9" t="s">
        <v>46</v>
      </c>
      <c r="F1083" s="14" t="s">
        <v>1248</v>
      </c>
      <c r="G1083" s="10">
        <v>1055</v>
      </c>
      <c r="H1083" s="14" t="s">
        <v>62</v>
      </c>
      <c r="I1083" s="41" t="str">
        <f>Assumptions!$I$172</f>
        <v>E</v>
      </c>
      <c r="J1083" s="14" t="str">
        <f>IF(D1083&lt;=Assumptions!$V$172,"Low",IF(D1083&lt;=Assumptions!$W$172,"Mid","High"))</f>
        <v>Mid</v>
      </c>
      <c r="K1083" s="15">
        <f>Assumptions!$Q$172</f>
        <v>2633</v>
      </c>
      <c r="L1083" s="42">
        <f>INDEX(Assumptions!$K$61:$K$90,D1083)</f>
        <v>2799.0276235612732</v>
      </c>
      <c r="M1083" s="43">
        <f>IF(D1083&lt;=Assumptions!$G$172,Assumptions!$AK$172,IF(D1083&lt;Assumptions!$AH$172,Assumptions!$AK$172+(Assumptions!$AL$172-Assumptions!$AK$172)*(D1083-Assumptions!$G$172)/(Assumptions!$AH$172-Assumptions!$G$172),IF(D1083&lt;Assumptions!$P$172,Assumptions!$AL$172+(Assumptions!$AM$172-Assumptions!$AL$172)*(D1083-Assumptions!$AH$172)/(Assumptions!$P$172-Assumptions!$AH$172),Assumptions!$AM$172)))</f>
        <v>-50000</v>
      </c>
      <c r="N1083" s="44">
        <f t="shared" si="32"/>
        <v>-47.393364928909953</v>
      </c>
      <c r="O1083" s="45">
        <f t="shared" si="33"/>
        <v>2752</v>
      </c>
      <c r="P1083" s="14" t="str">
        <f>IF(D1083&gt;=Assumptions!$P$172,"High",IF(D1083&gt;=Assumptions!$AH$172,"Mid",IF(D1083&lt;=Assumptions!$G$172,"Low","Loading")))</f>
        <v>Mid</v>
      </c>
      <c r="Q1083" s="46">
        <f>MAX(K1083,MIN(Assumptions!$S$172,O1083),Q1084)</f>
        <v>2752</v>
      </c>
      <c r="R1083" s="12">
        <f>IF(AND(Q1083&lt;=K1083,INDEX(Assumptions!$C$26:$C$36,MATCH(G1083,Assumptions!$A$26:$A$36,0))&lt;&gt;""),INDEX(Assumptions!$C$26:$C$36,MATCH(G1083,Assumptions!$A$26:$A$36,0)),ROUND(G1083*Q1083,-2))</f>
        <v>2903400</v>
      </c>
      <c r="S1083" s="47" t="str">
        <f>TRIM(IF(AND(Assumptions!$L$172&lt;&gt;"",D1083&lt;Assumptions!$L$172),"View blocked / roof in front ("&amp;Assumptions!$M$172&amp;"); view premium still loading until L"&amp;Assumptions!$L$172&amp;". ","")&amp;IF(D1083=Assumptions!$AH$172,"Mid-floor view premium fully loaded. ","")&amp;IF(D1083=Assumptions!$P$172,"High-floor view premium fully loaded. ","")&amp;IF(Q1083&lt;=K1083,"At developer starting price.",""))</f>
        <v/>
      </c>
      <c r="T1083" s="48" t="str">
        <f>Assumptions!$AJ$172</f>
        <v>NE. Facing HDB, landed &amp; mid-view city</v>
      </c>
    </row>
    <row r="1084" spans="1:20" x14ac:dyDescent="0.2">
      <c r="A1084" s="13" t="s">
        <v>1259</v>
      </c>
      <c r="B1084" s="14">
        <v>11</v>
      </c>
      <c r="C1084" s="40">
        <v>46</v>
      </c>
      <c r="D1084" s="40">
        <v>10</v>
      </c>
      <c r="E1084" s="9" t="s">
        <v>46</v>
      </c>
      <c r="F1084" s="14" t="s">
        <v>1248</v>
      </c>
      <c r="G1084" s="10">
        <v>1055</v>
      </c>
      <c r="H1084" s="14" t="s">
        <v>62</v>
      </c>
      <c r="I1084" s="41" t="str">
        <f>Assumptions!$I$172</f>
        <v>E</v>
      </c>
      <c r="J1084" s="14" t="str">
        <f>IF(D1084&lt;=Assumptions!$V$172,"Low",IF(D1084&lt;=Assumptions!$W$172,"Mid","High"))</f>
        <v>Mid</v>
      </c>
      <c r="K1084" s="15">
        <f>Assumptions!$Q$172</f>
        <v>2633</v>
      </c>
      <c r="L1084" s="42">
        <f>INDEX(Assumptions!$K$61:$K$90,D1084)</f>
        <v>2785.8460392687884</v>
      </c>
      <c r="M1084" s="43">
        <f>IF(D1084&lt;=Assumptions!$G$172,Assumptions!$AK$172,IF(D1084&lt;Assumptions!$AH$172,Assumptions!$AK$172+(Assumptions!$AL$172-Assumptions!$AK$172)*(D1084-Assumptions!$G$172)/(Assumptions!$AH$172-Assumptions!$G$172),IF(D1084&lt;Assumptions!$P$172,Assumptions!$AL$172+(Assumptions!$AM$172-Assumptions!$AL$172)*(D1084-Assumptions!$AH$172)/(Assumptions!$P$172-Assumptions!$AH$172),Assumptions!$AM$172)))</f>
        <v>-50000</v>
      </c>
      <c r="N1084" s="44">
        <f t="shared" si="32"/>
        <v>-47.393364928909953</v>
      </c>
      <c r="O1084" s="45">
        <f t="shared" si="33"/>
        <v>2738</v>
      </c>
      <c r="P1084" s="14" t="str">
        <f>IF(D1084&gt;=Assumptions!$P$172,"High",IF(D1084&gt;=Assumptions!$AH$172,"Mid",IF(D1084&lt;=Assumptions!$G$172,"Low","Loading")))</f>
        <v>Mid</v>
      </c>
      <c r="Q1084" s="46">
        <f>MAX(K1084,MIN(Assumptions!$S$172,O1084),Q1085)</f>
        <v>2738</v>
      </c>
      <c r="R1084" s="12">
        <f>IF(AND(Q1084&lt;=K1084,INDEX(Assumptions!$C$26:$C$36,MATCH(G1084,Assumptions!$A$26:$A$36,0))&lt;&gt;""),INDEX(Assumptions!$C$26:$C$36,MATCH(G1084,Assumptions!$A$26:$A$36,0)),ROUND(G1084*Q1084,-2))</f>
        <v>2888600</v>
      </c>
      <c r="S1084" s="47" t="str">
        <f>TRIM(IF(AND(Assumptions!$L$172&lt;&gt;"",D1084&lt;Assumptions!$L$172),"View blocked / roof in front ("&amp;Assumptions!$M$172&amp;"); view premium still loading until L"&amp;Assumptions!$L$172&amp;". ","")&amp;IF(D1084=Assumptions!$AH$172,"Mid-floor view premium fully loaded. ","")&amp;IF(D1084=Assumptions!$P$172,"High-floor view premium fully loaded. ","")&amp;IF(Q1084&lt;=K1084,"At developer starting price.",""))</f>
        <v/>
      </c>
      <c r="T1084" s="48" t="str">
        <f>Assumptions!$AJ$172</f>
        <v>NE. Facing HDB, landed &amp; mid-view city</v>
      </c>
    </row>
    <row r="1085" spans="1:20" x14ac:dyDescent="0.2">
      <c r="A1085" s="13" t="s">
        <v>1260</v>
      </c>
      <c r="B1085" s="14">
        <v>11</v>
      </c>
      <c r="C1085" s="40">
        <v>46</v>
      </c>
      <c r="D1085" s="40">
        <v>9</v>
      </c>
      <c r="E1085" s="9" t="s">
        <v>46</v>
      </c>
      <c r="F1085" s="14" t="s">
        <v>1248</v>
      </c>
      <c r="G1085" s="10">
        <v>1055</v>
      </c>
      <c r="H1085" s="14" t="s">
        <v>62</v>
      </c>
      <c r="I1085" s="41" t="str">
        <f>Assumptions!$I$172</f>
        <v>E</v>
      </c>
      <c r="J1085" s="14" t="str">
        <f>IF(D1085&lt;=Assumptions!$V$172,"Low",IF(D1085&lt;=Assumptions!$W$172,"Mid","High"))</f>
        <v>Mid</v>
      </c>
      <c r="K1085" s="15">
        <f>Assumptions!$Q$172</f>
        <v>2633</v>
      </c>
      <c r="L1085" s="42">
        <f>INDEX(Assumptions!$K$61:$K$90,D1085)</f>
        <v>2772.6644549763037</v>
      </c>
      <c r="M1085" s="43">
        <f>IF(D1085&lt;=Assumptions!$G$172,Assumptions!$AK$172,IF(D1085&lt;Assumptions!$AH$172,Assumptions!$AK$172+(Assumptions!$AL$172-Assumptions!$AK$172)*(D1085-Assumptions!$G$172)/(Assumptions!$AH$172-Assumptions!$G$172),IF(D1085&lt;Assumptions!$P$172,Assumptions!$AL$172+(Assumptions!$AM$172-Assumptions!$AL$172)*(D1085-Assumptions!$AH$172)/(Assumptions!$P$172-Assumptions!$AH$172),Assumptions!$AM$172)))</f>
        <v>-50000</v>
      </c>
      <c r="N1085" s="44">
        <f t="shared" si="32"/>
        <v>-47.393364928909953</v>
      </c>
      <c r="O1085" s="45">
        <f t="shared" si="33"/>
        <v>2725</v>
      </c>
      <c r="P1085" s="14" t="str">
        <f>IF(D1085&gt;=Assumptions!$P$172,"High",IF(D1085&gt;=Assumptions!$AH$172,"Mid",IF(D1085&lt;=Assumptions!$G$172,"Low","Loading")))</f>
        <v>Mid</v>
      </c>
      <c r="Q1085" s="46">
        <f>MAX(K1085,MIN(Assumptions!$S$172,O1085),Q1086)</f>
        <v>2725</v>
      </c>
      <c r="R1085" s="12">
        <f>IF(AND(Q1085&lt;=K1085,INDEX(Assumptions!$C$26:$C$36,MATCH(G1085,Assumptions!$A$26:$A$36,0))&lt;&gt;""),INDEX(Assumptions!$C$26:$C$36,MATCH(G1085,Assumptions!$A$26:$A$36,0)),ROUND(G1085*Q1085,-2))</f>
        <v>2874900</v>
      </c>
      <c r="S1085" s="47" t="str">
        <f>TRIM(IF(AND(Assumptions!$L$172&lt;&gt;"",D1085&lt;Assumptions!$L$172),"View blocked / roof in front ("&amp;Assumptions!$M$172&amp;"); view premium still loading until L"&amp;Assumptions!$L$172&amp;". ","")&amp;IF(D1085=Assumptions!$AH$172,"Mid-floor view premium fully loaded. ","")&amp;IF(D1085=Assumptions!$P$172,"High-floor view premium fully loaded. ","")&amp;IF(Q1085&lt;=K1085,"At developer starting price.",""))</f>
        <v>Mid-floor view premium fully loaded.</v>
      </c>
      <c r="T1085" s="48" t="str">
        <f>Assumptions!$AJ$172</f>
        <v>NE. Facing HDB, landed &amp; mid-view city</v>
      </c>
    </row>
    <row r="1086" spans="1:20" x14ac:dyDescent="0.2">
      <c r="A1086" s="13" t="s">
        <v>1261</v>
      </c>
      <c r="B1086" s="14">
        <v>11</v>
      </c>
      <c r="C1086" s="40">
        <v>46</v>
      </c>
      <c r="D1086" s="40">
        <v>8</v>
      </c>
      <c r="E1086" s="9" t="s">
        <v>46</v>
      </c>
      <c r="F1086" s="14" t="s">
        <v>1248</v>
      </c>
      <c r="G1086" s="10">
        <v>1055</v>
      </c>
      <c r="H1086" s="14" t="s">
        <v>62</v>
      </c>
      <c r="I1086" s="41" t="str">
        <f>Assumptions!$I$172</f>
        <v>E</v>
      </c>
      <c r="J1086" s="14" t="str">
        <f>IF(D1086&lt;=Assumptions!$V$172,"Low",IF(D1086&lt;=Assumptions!$W$172,"Mid","High"))</f>
        <v>Low</v>
      </c>
      <c r="K1086" s="15">
        <f>Assumptions!$Q$172</f>
        <v>2633</v>
      </c>
      <c r="L1086" s="42">
        <f>INDEX(Assumptions!$K$61:$K$90,D1086)</f>
        <v>2759.4828706838189</v>
      </c>
      <c r="M1086" s="43">
        <f>IF(D1086&lt;=Assumptions!$G$172,Assumptions!$AK$172,IF(D1086&lt;Assumptions!$AH$172,Assumptions!$AK$172+(Assumptions!$AL$172-Assumptions!$AK$172)*(D1086-Assumptions!$G$172)/(Assumptions!$AH$172-Assumptions!$G$172),IF(D1086&lt;Assumptions!$P$172,Assumptions!$AL$172+(Assumptions!$AM$172-Assumptions!$AL$172)*(D1086-Assumptions!$AH$172)/(Assumptions!$P$172-Assumptions!$AH$172),Assumptions!$AM$172)))</f>
        <v>-50000</v>
      </c>
      <c r="N1086" s="44">
        <f t="shared" si="32"/>
        <v>-47.393364928909953</v>
      </c>
      <c r="O1086" s="45">
        <f t="shared" si="33"/>
        <v>2712</v>
      </c>
      <c r="P1086" s="14" t="str">
        <f>IF(D1086&gt;=Assumptions!$P$172,"High",IF(D1086&gt;=Assumptions!$AH$172,"Mid",IF(D1086&lt;=Assumptions!$G$172,"Low","Loading")))</f>
        <v>Loading</v>
      </c>
      <c r="Q1086" s="46">
        <f>MAX(K1086,MIN(Assumptions!$S$172,O1086),Q1087)</f>
        <v>2712</v>
      </c>
      <c r="R1086" s="12">
        <f>IF(AND(Q1086&lt;=K1086,INDEX(Assumptions!$C$26:$C$36,MATCH(G1086,Assumptions!$A$26:$A$36,0))&lt;&gt;""),INDEX(Assumptions!$C$26:$C$36,MATCH(G1086,Assumptions!$A$26:$A$36,0)),ROUND(G1086*Q1086,-2))</f>
        <v>2861200</v>
      </c>
      <c r="S1086" s="47" t="str">
        <f>TRIM(IF(AND(Assumptions!$L$172&lt;&gt;"",D1086&lt;Assumptions!$L$172),"View blocked / roof in front ("&amp;Assumptions!$M$172&amp;"); view premium still loading until L"&amp;Assumptions!$L$172&amp;". ","")&amp;IF(D1086=Assumptions!$AH$172,"Mid-floor view premium fully loaded. ","")&amp;IF(D1086=Assumptions!$P$172,"High-floor view premium fully loaded. ","")&amp;IF(Q1086&lt;=K1086,"At developer starting price.",""))</f>
        <v/>
      </c>
      <c r="T1086" s="48" t="str">
        <f>Assumptions!$AJ$172</f>
        <v>NE. Facing HDB, landed &amp; mid-view city</v>
      </c>
    </row>
    <row r="1087" spans="1:20" x14ac:dyDescent="0.2">
      <c r="A1087" s="13" t="s">
        <v>1262</v>
      </c>
      <c r="B1087" s="14">
        <v>11</v>
      </c>
      <c r="C1087" s="40">
        <v>46</v>
      </c>
      <c r="D1087" s="40">
        <v>7</v>
      </c>
      <c r="E1087" s="9" t="s">
        <v>46</v>
      </c>
      <c r="F1087" s="14" t="s">
        <v>1248</v>
      </c>
      <c r="G1087" s="10">
        <v>1055</v>
      </c>
      <c r="H1087" s="14" t="s">
        <v>62</v>
      </c>
      <c r="I1087" s="41" t="str">
        <f>Assumptions!$I$172</f>
        <v>E</v>
      </c>
      <c r="J1087" s="14" t="str">
        <f>IF(D1087&lt;=Assumptions!$V$172,"Low",IF(D1087&lt;=Assumptions!$W$172,"Mid","High"))</f>
        <v>Low</v>
      </c>
      <c r="K1087" s="15">
        <f>Assumptions!$Q$172</f>
        <v>2633</v>
      </c>
      <c r="L1087" s="42">
        <f>INDEX(Assumptions!$K$61:$K$90,D1087)</f>
        <v>2746.3012863913341</v>
      </c>
      <c r="M1087" s="43">
        <f>IF(D1087&lt;=Assumptions!$G$172,Assumptions!$AK$172,IF(D1087&lt;Assumptions!$AH$172,Assumptions!$AK$172+(Assumptions!$AL$172-Assumptions!$AK$172)*(D1087-Assumptions!$G$172)/(Assumptions!$AH$172-Assumptions!$G$172),IF(D1087&lt;Assumptions!$P$172,Assumptions!$AL$172+(Assumptions!$AM$172-Assumptions!$AL$172)*(D1087-Assumptions!$AH$172)/(Assumptions!$P$172-Assumptions!$AH$172),Assumptions!$AM$172)))</f>
        <v>-50000</v>
      </c>
      <c r="N1087" s="44">
        <f t="shared" si="32"/>
        <v>-47.393364928909953</v>
      </c>
      <c r="O1087" s="45">
        <f t="shared" si="33"/>
        <v>2699</v>
      </c>
      <c r="P1087" s="14" t="str">
        <f>IF(D1087&gt;=Assumptions!$P$172,"High",IF(D1087&gt;=Assumptions!$AH$172,"Mid",IF(D1087&lt;=Assumptions!$G$172,"Low","Loading")))</f>
        <v>Loading</v>
      </c>
      <c r="Q1087" s="46">
        <f>MAX(K1087,MIN(Assumptions!$S$172,O1087),Q1088)</f>
        <v>2699</v>
      </c>
      <c r="R1087" s="12">
        <f>IF(AND(Q1087&lt;=K1087,INDEX(Assumptions!$C$26:$C$36,MATCH(G1087,Assumptions!$A$26:$A$36,0))&lt;&gt;""),INDEX(Assumptions!$C$26:$C$36,MATCH(G1087,Assumptions!$A$26:$A$36,0)),ROUND(G1087*Q1087,-2))</f>
        <v>2847400</v>
      </c>
      <c r="S1087" s="47" t="str">
        <f>TRIM(IF(AND(Assumptions!$L$172&lt;&gt;"",D1087&lt;Assumptions!$L$172),"View blocked / roof in front ("&amp;Assumptions!$M$172&amp;"); view premium still loading until L"&amp;Assumptions!$L$172&amp;". ","")&amp;IF(D1087=Assumptions!$AH$172,"Mid-floor view premium fully loaded. ","")&amp;IF(D1087=Assumptions!$P$172,"High-floor view premium fully loaded. ","")&amp;IF(Q1087&lt;=K1087,"At developer starting price.",""))</f>
        <v/>
      </c>
      <c r="T1087" s="48" t="str">
        <f>Assumptions!$AJ$172</f>
        <v>NE. Facing HDB, landed &amp; mid-view city</v>
      </c>
    </row>
    <row r="1088" spans="1:20" x14ac:dyDescent="0.2">
      <c r="A1088" s="13" t="s">
        <v>1263</v>
      </c>
      <c r="B1088" s="14">
        <v>11</v>
      </c>
      <c r="C1088" s="40">
        <v>46</v>
      </c>
      <c r="D1088" s="40">
        <v>6</v>
      </c>
      <c r="E1088" s="9" t="s">
        <v>46</v>
      </c>
      <c r="F1088" s="14" t="s">
        <v>1248</v>
      </c>
      <c r="G1088" s="10">
        <v>1055</v>
      </c>
      <c r="H1088" s="14" t="s">
        <v>62</v>
      </c>
      <c r="I1088" s="41" t="str">
        <f>Assumptions!$I$172</f>
        <v>E</v>
      </c>
      <c r="J1088" s="14" t="str">
        <f>IF(D1088&lt;=Assumptions!$V$172,"Low",IF(D1088&lt;=Assumptions!$W$172,"Mid","High"))</f>
        <v>Low</v>
      </c>
      <c r="K1088" s="15">
        <f>Assumptions!$Q$172</f>
        <v>2633</v>
      </c>
      <c r="L1088" s="42">
        <f>INDEX(Assumptions!$K$61:$K$90,D1088)</f>
        <v>2733.1197020988493</v>
      </c>
      <c r="M1088" s="43">
        <f>IF(D1088&lt;=Assumptions!$G$172,Assumptions!$AK$172,IF(D1088&lt;Assumptions!$AH$172,Assumptions!$AK$172+(Assumptions!$AL$172-Assumptions!$AK$172)*(D1088-Assumptions!$G$172)/(Assumptions!$AH$172-Assumptions!$G$172),IF(D1088&lt;Assumptions!$P$172,Assumptions!$AL$172+(Assumptions!$AM$172-Assumptions!$AL$172)*(D1088-Assumptions!$AH$172)/(Assumptions!$P$172-Assumptions!$AH$172),Assumptions!$AM$172)))</f>
        <v>-50000</v>
      </c>
      <c r="N1088" s="44">
        <f t="shared" si="32"/>
        <v>-47.393364928909953</v>
      </c>
      <c r="O1088" s="45">
        <f t="shared" si="33"/>
        <v>2686</v>
      </c>
      <c r="P1088" s="14" t="str">
        <f>IF(D1088&gt;=Assumptions!$P$172,"High",IF(D1088&gt;=Assumptions!$AH$172,"Mid",IF(D1088&lt;=Assumptions!$G$172,"Low","Loading")))</f>
        <v>Loading</v>
      </c>
      <c r="Q1088" s="46">
        <f>MAX(K1088,MIN(Assumptions!$S$172,O1088),Q1089)</f>
        <v>2686</v>
      </c>
      <c r="R1088" s="12">
        <f>IF(AND(Q1088&lt;=K1088,INDEX(Assumptions!$C$26:$C$36,MATCH(G1088,Assumptions!$A$26:$A$36,0))&lt;&gt;""),INDEX(Assumptions!$C$26:$C$36,MATCH(G1088,Assumptions!$A$26:$A$36,0)),ROUND(G1088*Q1088,-2))</f>
        <v>2833700</v>
      </c>
      <c r="S1088" s="47" t="str">
        <f>TRIM(IF(AND(Assumptions!$L$172&lt;&gt;"",D1088&lt;Assumptions!$L$172),"View blocked / roof in front ("&amp;Assumptions!$M$172&amp;"); view premium still loading until L"&amp;Assumptions!$L$172&amp;". ","")&amp;IF(D1088=Assumptions!$AH$172,"Mid-floor view premium fully loaded. ","")&amp;IF(D1088=Assumptions!$P$172,"High-floor view premium fully loaded. ","")&amp;IF(Q1088&lt;=K1088,"At developer starting price.",""))</f>
        <v/>
      </c>
      <c r="T1088" s="48" t="str">
        <f>Assumptions!$AJ$172</f>
        <v>NE. Facing HDB, landed &amp; mid-view city</v>
      </c>
    </row>
    <row r="1089" spans="1:20" x14ac:dyDescent="0.2">
      <c r="A1089" s="13" t="s">
        <v>1264</v>
      </c>
      <c r="B1089" s="14">
        <v>11</v>
      </c>
      <c r="C1089" s="40">
        <v>46</v>
      </c>
      <c r="D1089" s="40">
        <v>5</v>
      </c>
      <c r="E1089" s="9" t="s">
        <v>46</v>
      </c>
      <c r="F1089" s="14" t="s">
        <v>1248</v>
      </c>
      <c r="G1089" s="10">
        <v>1055</v>
      </c>
      <c r="H1089" s="14" t="s">
        <v>62</v>
      </c>
      <c r="I1089" s="41" t="str">
        <f>Assumptions!$I$172</f>
        <v>E</v>
      </c>
      <c r="J1089" s="14" t="str">
        <f>IF(D1089&lt;=Assumptions!$V$172,"Low",IF(D1089&lt;=Assumptions!$W$172,"Mid","High"))</f>
        <v>Low</v>
      </c>
      <c r="K1089" s="15">
        <f>Assumptions!$Q$172</f>
        <v>2633</v>
      </c>
      <c r="L1089" s="42">
        <f>INDEX(Assumptions!$K$61:$K$90,D1089)</f>
        <v>2719.9381178063645</v>
      </c>
      <c r="M1089" s="43">
        <f>IF(D1089&lt;=Assumptions!$G$172,Assumptions!$AK$172,IF(D1089&lt;Assumptions!$AH$172,Assumptions!$AK$172+(Assumptions!$AL$172-Assumptions!$AK$172)*(D1089-Assumptions!$G$172)/(Assumptions!$AH$172-Assumptions!$G$172),IF(D1089&lt;Assumptions!$P$172,Assumptions!$AL$172+(Assumptions!$AM$172-Assumptions!$AL$172)*(D1089-Assumptions!$AH$172)/(Assumptions!$P$172-Assumptions!$AH$172),Assumptions!$AM$172)))</f>
        <v>-50000</v>
      </c>
      <c r="N1089" s="44">
        <f t="shared" si="32"/>
        <v>-47.393364928909953</v>
      </c>
      <c r="O1089" s="45">
        <f t="shared" si="33"/>
        <v>2673</v>
      </c>
      <c r="P1089" s="14" t="str">
        <f>IF(D1089&gt;=Assumptions!$P$172,"High",IF(D1089&gt;=Assumptions!$AH$172,"Mid",IF(D1089&lt;=Assumptions!$G$172,"Low","Loading")))</f>
        <v>Loading</v>
      </c>
      <c r="Q1089" s="46">
        <f>MAX(K1089,MIN(Assumptions!$S$172,O1089),Q1090)</f>
        <v>2673</v>
      </c>
      <c r="R1089" s="12">
        <f>IF(AND(Q1089&lt;=K1089,INDEX(Assumptions!$C$26:$C$36,MATCH(G1089,Assumptions!$A$26:$A$36,0))&lt;&gt;""),INDEX(Assumptions!$C$26:$C$36,MATCH(G1089,Assumptions!$A$26:$A$36,0)),ROUND(G1089*Q1089,-2))</f>
        <v>2820000</v>
      </c>
      <c r="S1089" s="47" t="str">
        <f>TRIM(IF(AND(Assumptions!$L$172&lt;&gt;"",D1089&lt;Assumptions!$L$172),"View blocked / roof in front ("&amp;Assumptions!$M$172&amp;"); view premium still loading until L"&amp;Assumptions!$L$172&amp;". ","")&amp;IF(D1089=Assumptions!$AH$172,"Mid-floor view premium fully loaded. ","")&amp;IF(D1089=Assumptions!$P$172,"High-floor view premium fully loaded. ","")&amp;IF(Q1089&lt;=K1089,"At developer starting price.",""))</f>
        <v/>
      </c>
      <c r="T1089" s="48" t="str">
        <f>Assumptions!$AJ$172</f>
        <v>NE. Facing HDB, landed &amp; mid-view city</v>
      </c>
    </row>
    <row r="1090" spans="1:20" x14ac:dyDescent="0.2">
      <c r="A1090" s="13" t="s">
        <v>1265</v>
      </c>
      <c r="B1090" s="14">
        <v>11</v>
      </c>
      <c r="C1090" s="40">
        <v>46</v>
      </c>
      <c r="D1090" s="40">
        <v>4</v>
      </c>
      <c r="E1090" s="9" t="s">
        <v>46</v>
      </c>
      <c r="F1090" s="14" t="s">
        <v>1248</v>
      </c>
      <c r="G1090" s="10">
        <v>1055</v>
      </c>
      <c r="H1090" s="14" t="s">
        <v>62</v>
      </c>
      <c r="I1090" s="41" t="str">
        <f>Assumptions!$I$172</f>
        <v>E</v>
      </c>
      <c r="J1090" s="14" t="str">
        <f>IF(D1090&lt;=Assumptions!$V$172,"Low",IF(D1090&lt;=Assumptions!$W$172,"Mid","High"))</f>
        <v>Low</v>
      </c>
      <c r="K1090" s="15">
        <f>Assumptions!$Q$172</f>
        <v>2633</v>
      </c>
      <c r="L1090" s="42">
        <f>INDEX(Assumptions!$K$61:$K$90,D1090)</f>
        <v>2706.7565335138797</v>
      </c>
      <c r="M1090" s="43">
        <f>IF(D1090&lt;=Assumptions!$G$172,Assumptions!$AK$172,IF(D1090&lt;Assumptions!$AH$172,Assumptions!$AK$172+(Assumptions!$AL$172-Assumptions!$AK$172)*(D1090-Assumptions!$G$172)/(Assumptions!$AH$172-Assumptions!$G$172),IF(D1090&lt;Assumptions!$P$172,Assumptions!$AL$172+(Assumptions!$AM$172-Assumptions!$AL$172)*(D1090-Assumptions!$AH$172)/(Assumptions!$P$172-Assumptions!$AH$172),Assumptions!$AM$172)))</f>
        <v>-50000</v>
      </c>
      <c r="N1090" s="44">
        <f t="shared" si="32"/>
        <v>-47.393364928909953</v>
      </c>
      <c r="O1090" s="45">
        <f t="shared" si="33"/>
        <v>2659</v>
      </c>
      <c r="P1090" s="14" t="str">
        <f>IF(D1090&gt;=Assumptions!$P$172,"High",IF(D1090&gt;=Assumptions!$AH$172,"Mid",IF(D1090&lt;=Assumptions!$G$172,"Low","Loading")))</f>
        <v>Loading</v>
      </c>
      <c r="Q1090" s="46">
        <f>MAX(K1090,MIN(Assumptions!$S$172,O1090),Q1091)</f>
        <v>2659</v>
      </c>
      <c r="R1090" s="12">
        <f>IF(AND(Q1090&lt;=K1090,INDEX(Assumptions!$C$26:$C$36,MATCH(G1090,Assumptions!$A$26:$A$36,0))&lt;&gt;""),INDEX(Assumptions!$C$26:$C$36,MATCH(G1090,Assumptions!$A$26:$A$36,0)),ROUND(G1090*Q1090,-2))</f>
        <v>2805200</v>
      </c>
      <c r="S1090" s="47" t="str">
        <f>TRIM(IF(AND(Assumptions!$L$172&lt;&gt;"",D1090&lt;Assumptions!$L$172),"View blocked / roof in front ("&amp;Assumptions!$M$172&amp;"); view premium still loading until L"&amp;Assumptions!$L$172&amp;". ","")&amp;IF(D1090=Assumptions!$AH$172,"Mid-floor view premium fully loaded. ","")&amp;IF(D1090=Assumptions!$P$172,"High-floor view premium fully loaded. ","")&amp;IF(Q1090&lt;=K1090,"At developer starting price.",""))</f>
        <v/>
      </c>
      <c r="T1090" s="48" t="str">
        <f>Assumptions!$AJ$172</f>
        <v>NE. Facing HDB, landed &amp; mid-view city</v>
      </c>
    </row>
    <row r="1091" spans="1:20" x14ac:dyDescent="0.2">
      <c r="A1091" s="13" t="s">
        <v>1266</v>
      </c>
      <c r="B1091" s="14">
        <v>11</v>
      </c>
      <c r="C1091" s="40">
        <v>46</v>
      </c>
      <c r="D1091" s="40">
        <v>3</v>
      </c>
      <c r="E1091" s="9" t="s">
        <v>46</v>
      </c>
      <c r="F1091" s="14" t="s">
        <v>1248</v>
      </c>
      <c r="G1091" s="10">
        <v>1055</v>
      </c>
      <c r="H1091" s="14" t="s">
        <v>62</v>
      </c>
      <c r="I1091" s="41" t="str">
        <f>Assumptions!$I$172</f>
        <v>E</v>
      </c>
      <c r="J1091" s="14" t="str">
        <f>IF(D1091&lt;=Assumptions!$V$172,"Low",IF(D1091&lt;=Assumptions!$W$172,"Mid","High"))</f>
        <v>Low</v>
      </c>
      <c r="K1091" s="15">
        <f>Assumptions!$Q$172</f>
        <v>2633</v>
      </c>
      <c r="L1091" s="42">
        <f>INDEX(Assumptions!$K$61:$K$90,D1091)</f>
        <v>2693.5749492213949</v>
      </c>
      <c r="M1091" s="43">
        <f>IF(D1091&lt;=Assumptions!$G$172,Assumptions!$AK$172,IF(D1091&lt;Assumptions!$AH$172,Assumptions!$AK$172+(Assumptions!$AL$172-Assumptions!$AK$172)*(D1091-Assumptions!$G$172)/(Assumptions!$AH$172-Assumptions!$G$172),IF(D1091&lt;Assumptions!$P$172,Assumptions!$AL$172+(Assumptions!$AM$172-Assumptions!$AL$172)*(D1091-Assumptions!$AH$172)/(Assumptions!$P$172-Assumptions!$AH$172),Assumptions!$AM$172)))</f>
        <v>-50000</v>
      </c>
      <c r="N1091" s="44">
        <f t="shared" si="32"/>
        <v>-47.393364928909953</v>
      </c>
      <c r="O1091" s="45">
        <f t="shared" si="33"/>
        <v>2646</v>
      </c>
      <c r="P1091" s="14" t="str">
        <f>IF(D1091&gt;=Assumptions!$P$172,"High",IF(D1091&gt;=Assumptions!$AH$172,"Mid",IF(D1091&lt;=Assumptions!$G$172,"Low","Loading")))</f>
        <v>Loading</v>
      </c>
      <c r="Q1091" s="46">
        <f>MAX(K1091,MIN(Assumptions!$S$172,O1091),Q1092)</f>
        <v>2646</v>
      </c>
      <c r="R1091" s="12">
        <f>IF(AND(Q1091&lt;=K1091,INDEX(Assumptions!$C$26:$C$36,MATCH(G1091,Assumptions!$A$26:$A$36,0))&lt;&gt;""),INDEX(Assumptions!$C$26:$C$36,MATCH(G1091,Assumptions!$A$26:$A$36,0)),ROUND(G1091*Q1091,-2))</f>
        <v>2791500</v>
      </c>
      <c r="S1091" s="47" t="str">
        <f>TRIM(IF(AND(Assumptions!$L$172&lt;&gt;"",D1091&lt;Assumptions!$L$172),"View blocked / roof in front ("&amp;Assumptions!$M$172&amp;"); view premium still loading until L"&amp;Assumptions!$L$172&amp;". ","")&amp;IF(D1091=Assumptions!$AH$172,"Mid-floor view premium fully loaded. ","")&amp;IF(D1091=Assumptions!$P$172,"High-floor view premium fully loaded. ","")&amp;IF(Q1091&lt;=K1091,"At developer starting price.",""))</f>
        <v/>
      </c>
      <c r="T1091" s="48" t="str">
        <f>Assumptions!$AJ$172</f>
        <v>NE. Facing HDB, landed &amp; mid-view city</v>
      </c>
    </row>
    <row r="1092" spans="1:20" x14ac:dyDescent="0.2">
      <c r="A1092" s="13" t="s">
        <v>1267</v>
      </c>
      <c r="B1092" s="14">
        <v>11</v>
      </c>
      <c r="C1092" s="40">
        <v>46</v>
      </c>
      <c r="D1092" s="40">
        <v>2</v>
      </c>
      <c r="E1092" s="9" t="s">
        <v>46</v>
      </c>
      <c r="F1092" s="14" t="s">
        <v>1268</v>
      </c>
      <c r="G1092" s="10">
        <v>1055</v>
      </c>
      <c r="H1092" s="14" t="s">
        <v>62</v>
      </c>
      <c r="I1092" s="41" t="str">
        <f>Assumptions!$I$172</f>
        <v>E</v>
      </c>
      <c r="J1092" s="14" t="str">
        <f>IF(D1092&lt;=Assumptions!$V$172,"Low",IF(D1092&lt;=Assumptions!$W$172,"Mid","High"))</f>
        <v>Low</v>
      </c>
      <c r="K1092" s="15">
        <f>Assumptions!$Q$172</f>
        <v>2633</v>
      </c>
      <c r="L1092" s="42">
        <f>INDEX(Assumptions!$K$61:$K$90,D1092)</f>
        <v>2680.3933649289102</v>
      </c>
      <c r="M1092" s="43">
        <f>IF(D1092&lt;=Assumptions!$G$172,Assumptions!$AK$172,IF(D1092&lt;Assumptions!$AH$172,Assumptions!$AK$172+(Assumptions!$AL$172-Assumptions!$AK$172)*(D1092-Assumptions!$G$172)/(Assumptions!$AH$172-Assumptions!$G$172),IF(D1092&lt;Assumptions!$P$172,Assumptions!$AL$172+(Assumptions!$AM$172-Assumptions!$AL$172)*(D1092-Assumptions!$AH$172)/(Assumptions!$P$172-Assumptions!$AH$172),Assumptions!$AM$172)))</f>
        <v>-50000</v>
      </c>
      <c r="N1092" s="44">
        <f t="shared" si="32"/>
        <v>-47.393364928909953</v>
      </c>
      <c r="O1092" s="45">
        <f t="shared" si="33"/>
        <v>2633</v>
      </c>
      <c r="P1092" s="14" t="str">
        <f>IF(D1092&gt;=Assumptions!$P$172,"High",IF(D1092&gt;=Assumptions!$AH$172,"Mid",IF(D1092&lt;=Assumptions!$G$172,"Low","Loading")))</f>
        <v>Low</v>
      </c>
      <c r="Q1092" s="46">
        <f>MAX(K1092,MIN(Assumptions!$S$172,O1092))</f>
        <v>2633</v>
      </c>
      <c r="R1092" s="12">
        <f>IF(AND(Q1092&lt;=K1092,INDEX(Assumptions!$C$26:$C$36,MATCH(G1092,Assumptions!$A$26:$A$36,0))&lt;&gt;""),INDEX(Assumptions!$C$26:$C$36,MATCH(G1092,Assumptions!$A$26:$A$36,0)),ROUND(G1092*Q1092,-2))</f>
        <v>2777000</v>
      </c>
      <c r="S1092" s="47" t="str">
        <f>TRIM(IF(AND(Assumptions!$L$172&lt;&gt;"",D1092&lt;Assumptions!$L$172),"View blocked / roof in front ("&amp;Assumptions!$M$172&amp;"); view premium still loading until L"&amp;Assumptions!$L$172&amp;". ","")&amp;IF(D1092=Assumptions!$AH$172,"Mid-floor view premium fully loaded. ","")&amp;IF(D1092=Assumptions!$P$172,"High-floor view premium fully loaded. ","")&amp;IF(Q1092&lt;=K1092,"At developer starting price.",""))</f>
        <v>At developer starting price.</v>
      </c>
      <c r="T1092" s="48" t="str">
        <f>Assumptions!$AJ$172</f>
        <v>NE. Facing HDB, landed &amp; mid-view city</v>
      </c>
    </row>
    <row r="1093" spans="1:20" x14ac:dyDescent="0.2">
      <c r="A1093" s="13" t="s">
        <v>1269</v>
      </c>
      <c r="B1093" s="14">
        <v>11</v>
      </c>
      <c r="C1093" s="40">
        <v>47</v>
      </c>
      <c r="D1093" s="40">
        <v>21</v>
      </c>
      <c r="E1093" s="9" t="s">
        <v>43</v>
      </c>
      <c r="F1093" s="14" t="s">
        <v>137</v>
      </c>
      <c r="G1093" s="10">
        <v>678</v>
      </c>
      <c r="H1093" s="14" t="s">
        <v>62</v>
      </c>
      <c r="I1093" s="41" t="str">
        <f>Assumptions!$I$173</f>
        <v>E</v>
      </c>
      <c r="J1093" s="14" t="str">
        <f>IF(D1093&lt;=Assumptions!$V$173,"Low",IF(D1093&lt;=Assumptions!$W$173,"Mid","High"))</f>
        <v>High</v>
      </c>
      <c r="K1093" s="15">
        <f>Assumptions!$Q$173</f>
        <v>2613</v>
      </c>
      <c r="L1093" s="42">
        <f>INDEX(Assumptions!$C$61:$C$90,D1093)</f>
        <v>3050.8642857142859</v>
      </c>
      <c r="M1093" s="43">
        <f>IF(D1093&lt;=Assumptions!$G$173,Assumptions!$AK$173,IF(D1093&lt;Assumptions!$AH$173,Assumptions!$AK$173+(Assumptions!$AL$173-Assumptions!$AK$173)*(D1093-Assumptions!$G$173)/(Assumptions!$AH$173-Assumptions!$G$173),IF(D1093&lt;Assumptions!$P$173,Assumptions!$AL$173+(Assumptions!$AM$173-Assumptions!$AL$173)*(D1093-Assumptions!$AH$173)/(Assumptions!$P$173-Assumptions!$AH$173),Assumptions!$AM$173)))</f>
        <v>-37500</v>
      </c>
      <c r="N1093" s="44">
        <f t="shared" ref="N1093:N1156" si="34">M1093/G1093</f>
        <v>-55.309734513274336</v>
      </c>
      <c r="O1093" s="45">
        <f t="shared" ref="O1093:O1156" si="35">ROUND(L1093+N1093,0)</f>
        <v>2996</v>
      </c>
      <c r="P1093" s="14" t="str">
        <f>IF(D1093&gt;=Assumptions!$P$173,"High",IF(D1093&gt;=Assumptions!$AH$173,"Mid",IF(D1093&lt;=Assumptions!$G$173,"Low","Loading")))</f>
        <v>High</v>
      </c>
      <c r="Q1093" s="46">
        <f>MAX(K1093,MIN(Assumptions!$S$173,O1093),Q1094)</f>
        <v>2996</v>
      </c>
      <c r="R1093" s="12">
        <f>IF(AND(Q1093&lt;=K1093,INDEX(Assumptions!$C$26:$C$36,MATCH(G1093,Assumptions!$A$26:$A$36,0))&lt;&gt;""),INDEX(Assumptions!$C$26:$C$36,MATCH(G1093,Assumptions!$A$26:$A$36,0)),ROUND(G1093*Q1093,-2))</f>
        <v>2031300</v>
      </c>
      <c r="S1093" s="47" t="str">
        <f>TRIM(IF(AND(Assumptions!$L$173&lt;&gt;"",D1093&lt;Assumptions!$L$173),"View blocked / roof in front ("&amp;Assumptions!$M$173&amp;"); view premium still loading until L"&amp;Assumptions!$L$173&amp;". ","")&amp;IF(D1093=Assumptions!$AH$173,"Mid-floor view premium fully loaded. ","")&amp;IF(D1093=Assumptions!$P$173,"High-floor view premium fully loaded. ","")&amp;IF(Q1093&lt;=K1093,"At developer starting price.",""))</f>
        <v/>
      </c>
      <c r="T1093" s="48" t="str">
        <f>Assumptions!$AJ$173</f>
        <v>NE. Facing HDB, landed on the right; higher floors may see Kwang Ming San</v>
      </c>
    </row>
    <row r="1094" spans="1:20" x14ac:dyDescent="0.2">
      <c r="A1094" s="13" t="s">
        <v>1270</v>
      </c>
      <c r="B1094" s="14">
        <v>11</v>
      </c>
      <c r="C1094" s="40">
        <v>47</v>
      </c>
      <c r="D1094" s="40">
        <v>20</v>
      </c>
      <c r="E1094" s="9" t="s">
        <v>43</v>
      </c>
      <c r="F1094" s="14" t="s">
        <v>137</v>
      </c>
      <c r="G1094" s="10">
        <v>678</v>
      </c>
      <c r="H1094" s="14" t="s">
        <v>62</v>
      </c>
      <c r="I1094" s="41" t="str">
        <f>Assumptions!$I$173</f>
        <v>E</v>
      </c>
      <c r="J1094" s="14" t="str">
        <f>IF(D1094&lt;=Assumptions!$V$173,"Low",IF(D1094&lt;=Assumptions!$W$173,"Mid","High"))</f>
        <v>High</v>
      </c>
      <c r="K1094" s="15">
        <f>Assumptions!$Q$173</f>
        <v>2613</v>
      </c>
      <c r="L1094" s="42">
        <f>INDEX(Assumptions!$C$61:$C$90,D1094)</f>
        <v>3028.0785714285716</v>
      </c>
      <c r="M1094" s="43">
        <f>IF(D1094&lt;=Assumptions!$G$173,Assumptions!$AK$173,IF(D1094&lt;Assumptions!$AH$173,Assumptions!$AK$173+(Assumptions!$AL$173-Assumptions!$AK$173)*(D1094-Assumptions!$G$173)/(Assumptions!$AH$173-Assumptions!$G$173),IF(D1094&lt;Assumptions!$P$173,Assumptions!$AL$173+(Assumptions!$AM$173-Assumptions!$AL$173)*(D1094-Assumptions!$AH$173)/(Assumptions!$P$173-Assumptions!$AH$173),Assumptions!$AM$173)))</f>
        <v>-37500</v>
      </c>
      <c r="N1094" s="44">
        <f t="shared" si="34"/>
        <v>-55.309734513274336</v>
      </c>
      <c r="O1094" s="45">
        <f t="shared" si="35"/>
        <v>2973</v>
      </c>
      <c r="P1094" s="14" t="str">
        <f>IF(D1094&gt;=Assumptions!$P$173,"High",IF(D1094&gt;=Assumptions!$AH$173,"Mid",IF(D1094&lt;=Assumptions!$G$173,"Low","Loading")))</f>
        <v>High</v>
      </c>
      <c r="Q1094" s="46">
        <f>MAX(K1094,MIN(Assumptions!$S$173,O1094),Q1095)</f>
        <v>2973</v>
      </c>
      <c r="R1094" s="12">
        <f>IF(AND(Q1094&lt;=K1094,INDEX(Assumptions!$C$26:$C$36,MATCH(G1094,Assumptions!$A$26:$A$36,0))&lt;&gt;""),INDEX(Assumptions!$C$26:$C$36,MATCH(G1094,Assumptions!$A$26:$A$36,0)),ROUND(G1094*Q1094,-2))</f>
        <v>2015700</v>
      </c>
      <c r="S1094" s="47" t="str">
        <f>TRIM(IF(AND(Assumptions!$L$173&lt;&gt;"",D1094&lt;Assumptions!$L$173),"View blocked / roof in front ("&amp;Assumptions!$M$173&amp;"); view premium still loading until L"&amp;Assumptions!$L$173&amp;". ","")&amp;IF(D1094=Assumptions!$AH$173,"Mid-floor view premium fully loaded. ","")&amp;IF(D1094=Assumptions!$P$173,"High-floor view premium fully loaded. ","")&amp;IF(Q1094&lt;=K1094,"At developer starting price.",""))</f>
        <v/>
      </c>
      <c r="T1094" s="48" t="str">
        <f>Assumptions!$AJ$173</f>
        <v>NE. Facing HDB, landed on the right; higher floors may see Kwang Ming San</v>
      </c>
    </row>
    <row r="1095" spans="1:20" x14ac:dyDescent="0.2">
      <c r="A1095" s="13" t="s">
        <v>1271</v>
      </c>
      <c r="B1095" s="14">
        <v>11</v>
      </c>
      <c r="C1095" s="40">
        <v>47</v>
      </c>
      <c r="D1095" s="40">
        <v>19</v>
      </c>
      <c r="E1095" s="9" t="s">
        <v>43</v>
      </c>
      <c r="F1095" s="14" t="s">
        <v>137</v>
      </c>
      <c r="G1095" s="10">
        <v>678</v>
      </c>
      <c r="H1095" s="14" t="s">
        <v>62</v>
      </c>
      <c r="I1095" s="41" t="str">
        <f>Assumptions!$I$173</f>
        <v>E</v>
      </c>
      <c r="J1095" s="14" t="str">
        <f>IF(D1095&lt;=Assumptions!$V$173,"Low",IF(D1095&lt;=Assumptions!$W$173,"Mid","High"))</f>
        <v>High</v>
      </c>
      <c r="K1095" s="15">
        <f>Assumptions!$Q$173</f>
        <v>2613</v>
      </c>
      <c r="L1095" s="42">
        <f>INDEX(Assumptions!$C$61:$C$90,D1095)</f>
        <v>3005.2928571428574</v>
      </c>
      <c r="M1095" s="43">
        <f>IF(D1095&lt;=Assumptions!$G$173,Assumptions!$AK$173,IF(D1095&lt;Assumptions!$AH$173,Assumptions!$AK$173+(Assumptions!$AL$173-Assumptions!$AK$173)*(D1095-Assumptions!$G$173)/(Assumptions!$AH$173-Assumptions!$G$173),IF(D1095&lt;Assumptions!$P$173,Assumptions!$AL$173+(Assumptions!$AM$173-Assumptions!$AL$173)*(D1095-Assumptions!$AH$173)/(Assumptions!$P$173-Assumptions!$AH$173),Assumptions!$AM$173)))</f>
        <v>-37500</v>
      </c>
      <c r="N1095" s="44">
        <f t="shared" si="34"/>
        <v>-55.309734513274336</v>
      </c>
      <c r="O1095" s="45">
        <f t="shared" si="35"/>
        <v>2950</v>
      </c>
      <c r="P1095" s="14" t="str">
        <f>IF(D1095&gt;=Assumptions!$P$173,"High",IF(D1095&gt;=Assumptions!$AH$173,"Mid",IF(D1095&lt;=Assumptions!$G$173,"Low","Loading")))</f>
        <v>High</v>
      </c>
      <c r="Q1095" s="46">
        <f>MAX(K1095,MIN(Assumptions!$S$173,O1095),Q1096)</f>
        <v>2950</v>
      </c>
      <c r="R1095" s="12">
        <f>IF(AND(Q1095&lt;=K1095,INDEX(Assumptions!$C$26:$C$36,MATCH(G1095,Assumptions!$A$26:$A$36,0))&lt;&gt;""),INDEX(Assumptions!$C$26:$C$36,MATCH(G1095,Assumptions!$A$26:$A$36,0)),ROUND(G1095*Q1095,-2))</f>
        <v>2000100</v>
      </c>
      <c r="S1095" s="47" t="str">
        <f>TRIM(IF(AND(Assumptions!$L$173&lt;&gt;"",D1095&lt;Assumptions!$L$173),"View blocked / roof in front ("&amp;Assumptions!$M$173&amp;"); view premium still loading until L"&amp;Assumptions!$L$173&amp;". ","")&amp;IF(D1095=Assumptions!$AH$173,"Mid-floor view premium fully loaded. ","")&amp;IF(D1095=Assumptions!$P$173,"High-floor view premium fully loaded. ","")&amp;IF(Q1095&lt;=K1095,"At developer starting price.",""))</f>
        <v/>
      </c>
      <c r="T1095" s="48" t="str">
        <f>Assumptions!$AJ$173</f>
        <v>NE. Facing HDB, landed on the right; higher floors may see Kwang Ming San</v>
      </c>
    </row>
    <row r="1096" spans="1:20" x14ac:dyDescent="0.2">
      <c r="A1096" s="13" t="s">
        <v>1272</v>
      </c>
      <c r="B1096" s="14">
        <v>11</v>
      </c>
      <c r="C1096" s="40">
        <v>47</v>
      </c>
      <c r="D1096" s="40">
        <v>18</v>
      </c>
      <c r="E1096" s="9" t="s">
        <v>43</v>
      </c>
      <c r="F1096" s="14" t="s">
        <v>137</v>
      </c>
      <c r="G1096" s="10">
        <v>678</v>
      </c>
      <c r="H1096" s="14" t="s">
        <v>62</v>
      </c>
      <c r="I1096" s="41" t="str">
        <f>Assumptions!$I$173</f>
        <v>E</v>
      </c>
      <c r="J1096" s="14" t="str">
        <f>IF(D1096&lt;=Assumptions!$V$173,"Low",IF(D1096&lt;=Assumptions!$W$173,"Mid","High"))</f>
        <v>High</v>
      </c>
      <c r="K1096" s="15">
        <f>Assumptions!$Q$173</f>
        <v>2613</v>
      </c>
      <c r="L1096" s="42">
        <f>INDEX(Assumptions!$C$61:$C$90,D1096)</f>
        <v>2982.5071428571428</v>
      </c>
      <c r="M1096" s="43">
        <f>IF(D1096&lt;=Assumptions!$G$173,Assumptions!$AK$173,IF(D1096&lt;Assumptions!$AH$173,Assumptions!$AK$173+(Assumptions!$AL$173-Assumptions!$AK$173)*(D1096-Assumptions!$G$173)/(Assumptions!$AH$173-Assumptions!$G$173),IF(D1096&lt;Assumptions!$P$173,Assumptions!$AL$173+(Assumptions!$AM$173-Assumptions!$AL$173)*(D1096-Assumptions!$AH$173)/(Assumptions!$P$173-Assumptions!$AH$173),Assumptions!$AM$173)))</f>
        <v>-37500</v>
      </c>
      <c r="N1096" s="44">
        <f t="shared" si="34"/>
        <v>-55.309734513274336</v>
      </c>
      <c r="O1096" s="45">
        <f t="shared" si="35"/>
        <v>2927</v>
      </c>
      <c r="P1096" s="14" t="str">
        <f>IF(D1096&gt;=Assumptions!$P$173,"High",IF(D1096&gt;=Assumptions!$AH$173,"Mid",IF(D1096&lt;=Assumptions!$G$173,"Low","Loading")))</f>
        <v>High</v>
      </c>
      <c r="Q1096" s="46">
        <f>MAX(K1096,MIN(Assumptions!$S$173,O1096),Q1097)</f>
        <v>2927</v>
      </c>
      <c r="R1096" s="12">
        <f>IF(AND(Q1096&lt;=K1096,INDEX(Assumptions!$C$26:$C$36,MATCH(G1096,Assumptions!$A$26:$A$36,0))&lt;&gt;""),INDEX(Assumptions!$C$26:$C$36,MATCH(G1096,Assumptions!$A$26:$A$36,0)),ROUND(G1096*Q1096,-2))</f>
        <v>1984500</v>
      </c>
      <c r="S1096" s="47" t="str">
        <f>TRIM(IF(AND(Assumptions!$L$173&lt;&gt;"",D1096&lt;Assumptions!$L$173),"View blocked / roof in front ("&amp;Assumptions!$M$173&amp;"); view premium still loading until L"&amp;Assumptions!$L$173&amp;". ","")&amp;IF(D1096=Assumptions!$AH$173,"Mid-floor view premium fully loaded. ","")&amp;IF(D1096=Assumptions!$P$173,"High-floor view premium fully loaded. ","")&amp;IF(Q1096&lt;=K1096,"At developer starting price.",""))</f>
        <v/>
      </c>
      <c r="T1096" s="48" t="str">
        <f>Assumptions!$AJ$173</f>
        <v>NE. Facing HDB, landed on the right; higher floors may see Kwang Ming San</v>
      </c>
    </row>
    <row r="1097" spans="1:20" x14ac:dyDescent="0.2">
      <c r="A1097" s="13" t="s">
        <v>1273</v>
      </c>
      <c r="B1097" s="14">
        <v>11</v>
      </c>
      <c r="C1097" s="40">
        <v>47</v>
      </c>
      <c r="D1097" s="40">
        <v>17</v>
      </c>
      <c r="E1097" s="9" t="s">
        <v>43</v>
      </c>
      <c r="F1097" s="14" t="s">
        <v>137</v>
      </c>
      <c r="G1097" s="10">
        <v>678</v>
      </c>
      <c r="H1097" s="14" t="s">
        <v>62</v>
      </c>
      <c r="I1097" s="41" t="str">
        <f>Assumptions!$I$173</f>
        <v>E</v>
      </c>
      <c r="J1097" s="14" t="str">
        <f>IF(D1097&lt;=Assumptions!$V$173,"Low",IF(D1097&lt;=Assumptions!$W$173,"Mid","High"))</f>
        <v>High</v>
      </c>
      <c r="K1097" s="15">
        <f>Assumptions!$Q$173</f>
        <v>2613</v>
      </c>
      <c r="L1097" s="42">
        <f>INDEX(Assumptions!$C$61:$C$90,D1097)</f>
        <v>2959.7214285714285</v>
      </c>
      <c r="M1097" s="43">
        <f>IF(D1097&lt;=Assumptions!$G$173,Assumptions!$AK$173,IF(D1097&lt;Assumptions!$AH$173,Assumptions!$AK$173+(Assumptions!$AL$173-Assumptions!$AK$173)*(D1097-Assumptions!$G$173)/(Assumptions!$AH$173-Assumptions!$G$173),IF(D1097&lt;Assumptions!$P$173,Assumptions!$AL$173+(Assumptions!$AM$173-Assumptions!$AL$173)*(D1097-Assumptions!$AH$173)/(Assumptions!$P$173-Assumptions!$AH$173),Assumptions!$AM$173)))</f>
        <v>-37500</v>
      </c>
      <c r="N1097" s="44">
        <f t="shared" si="34"/>
        <v>-55.309734513274336</v>
      </c>
      <c r="O1097" s="45">
        <f t="shared" si="35"/>
        <v>2904</v>
      </c>
      <c r="P1097" s="14" t="str">
        <f>IF(D1097&gt;=Assumptions!$P$173,"High",IF(D1097&gt;=Assumptions!$AH$173,"Mid",IF(D1097&lt;=Assumptions!$G$173,"Low","Loading")))</f>
        <v>High</v>
      </c>
      <c r="Q1097" s="46">
        <f>MAX(K1097,MIN(Assumptions!$S$173,O1097),Q1098)</f>
        <v>2904</v>
      </c>
      <c r="R1097" s="12">
        <f>IF(AND(Q1097&lt;=K1097,INDEX(Assumptions!$C$26:$C$36,MATCH(G1097,Assumptions!$A$26:$A$36,0))&lt;&gt;""),INDEX(Assumptions!$C$26:$C$36,MATCH(G1097,Assumptions!$A$26:$A$36,0)),ROUND(G1097*Q1097,-2))</f>
        <v>1968900</v>
      </c>
      <c r="S1097" s="47" t="str">
        <f>TRIM(IF(AND(Assumptions!$L$173&lt;&gt;"",D1097&lt;Assumptions!$L$173),"View blocked / roof in front ("&amp;Assumptions!$M$173&amp;"); view premium still loading until L"&amp;Assumptions!$L$173&amp;". ","")&amp;IF(D1097=Assumptions!$AH$173,"Mid-floor view premium fully loaded. ","")&amp;IF(D1097=Assumptions!$P$173,"High-floor view premium fully loaded. ","")&amp;IF(Q1097&lt;=K1097,"At developer starting price.",""))</f>
        <v/>
      </c>
      <c r="T1097" s="48" t="str">
        <f>Assumptions!$AJ$173</f>
        <v>NE. Facing HDB, landed on the right; higher floors may see Kwang Ming San</v>
      </c>
    </row>
    <row r="1098" spans="1:20" x14ac:dyDescent="0.2">
      <c r="A1098" s="13" t="s">
        <v>1274</v>
      </c>
      <c r="B1098" s="14">
        <v>11</v>
      </c>
      <c r="C1098" s="40">
        <v>47</v>
      </c>
      <c r="D1098" s="40">
        <v>16</v>
      </c>
      <c r="E1098" s="9" t="s">
        <v>43</v>
      </c>
      <c r="F1098" s="14" t="s">
        <v>137</v>
      </c>
      <c r="G1098" s="10">
        <v>678</v>
      </c>
      <c r="H1098" s="14" t="s">
        <v>62</v>
      </c>
      <c r="I1098" s="41" t="str">
        <f>Assumptions!$I$173</f>
        <v>E</v>
      </c>
      <c r="J1098" s="14" t="str">
        <f>IF(D1098&lt;=Assumptions!$V$173,"Low",IF(D1098&lt;=Assumptions!$W$173,"Mid","High"))</f>
        <v>High</v>
      </c>
      <c r="K1098" s="15">
        <f>Assumptions!$Q$173</f>
        <v>2613</v>
      </c>
      <c r="L1098" s="42">
        <f>INDEX(Assumptions!$C$61:$C$90,D1098)</f>
        <v>2936.9357142857143</v>
      </c>
      <c r="M1098" s="43">
        <f>IF(D1098&lt;=Assumptions!$G$173,Assumptions!$AK$173,IF(D1098&lt;Assumptions!$AH$173,Assumptions!$AK$173+(Assumptions!$AL$173-Assumptions!$AK$173)*(D1098-Assumptions!$G$173)/(Assumptions!$AH$173-Assumptions!$G$173),IF(D1098&lt;Assumptions!$P$173,Assumptions!$AL$173+(Assumptions!$AM$173-Assumptions!$AL$173)*(D1098-Assumptions!$AH$173)/(Assumptions!$P$173-Assumptions!$AH$173),Assumptions!$AM$173)))</f>
        <v>-37500</v>
      </c>
      <c r="N1098" s="44">
        <f t="shared" si="34"/>
        <v>-55.309734513274336</v>
      </c>
      <c r="O1098" s="45">
        <f t="shared" si="35"/>
        <v>2882</v>
      </c>
      <c r="P1098" s="14" t="str">
        <f>IF(D1098&gt;=Assumptions!$P$173,"High",IF(D1098&gt;=Assumptions!$AH$173,"Mid",IF(D1098&lt;=Assumptions!$G$173,"Low","Loading")))</f>
        <v>High</v>
      </c>
      <c r="Q1098" s="46">
        <f>MAX(K1098,MIN(Assumptions!$S$173,O1098),Q1099)</f>
        <v>2882</v>
      </c>
      <c r="R1098" s="12">
        <f>IF(AND(Q1098&lt;=K1098,INDEX(Assumptions!$C$26:$C$36,MATCH(G1098,Assumptions!$A$26:$A$36,0))&lt;&gt;""),INDEX(Assumptions!$C$26:$C$36,MATCH(G1098,Assumptions!$A$26:$A$36,0)),ROUND(G1098*Q1098,-2))</f>
        <v>1954000</v>
      </c>
      <c r="S1098" s="47" t="str">
        <f>TRIM(IF(AND(Assumptions!$L$173&lt;&gt;"",D1098&lt;Assumptions!$L$173),"View blocked / roof in front ("&amp;Assumptions!$M$173&amp;"); view premium still loading until L"&amp;Assumptions!$L$173&amp;". ","")&amp;IF(D1098=Assumptions!$AH$173,"Mid-floor view premium fully loaded. ","")&amp;IF(D1098=Assumptions!$P$173,"High-floor view premium fully loaded. ","")&amp;IF(Q1098&lt;=K1098,"At developer starting price.",""))</f>
        <v>High-floor view premium fully loaded.</v>
      </c>
      <c r="T1098" s="48" t="str">
        <f>Assumptions!$AJ$173</f>
        <v>NE. Facing HDB, landed on the right; higher floors may see Kwang Ming San</v>
      </c>
    </row>
    <row r="1099" spans="1:20" x14ac:dyDescent="0.2">
      <c r="A1099" s="13" t="s">
        <v>1275</v>
      </c>
      <c r="B1099" s="14">
        <v>11</v>
      </c>
      <c r="C1099" s="40">
        <v>47</v>
      </c>
      <c r="D1099" s="40">
        <v>15</v>
      </c>
      <c r="E1099" s="9" t="s">
        <v>43</v>
      </c>
      <c r="F1099" s="14" t="s">
        <v>137</v>
      </c>
      <c r="G1099" s="10">
        <v>678</v>
      </c>
      <c r="H1099" s="14" t="s">
        <v>62</v>
      </c>
      <c r="I1099" s="41" t="str">
        <f>Assumptions!$I$173</f>
        <v>E</v>
      </c>
      <c r="J1099" s="14" t="str">
        <f>IF(D1099&lt;=Assumptions!$V$173,"Low",IF(D1099&lt;=Assumptions!$W$173,"Mid","High"))</f>
        <v>Mid</v>
      </c>
      <c r="K1099" s="15">
        <f>Assumptions!$Q$173</f>
        <v>2613</v>
      </c>
      <c r="L1099" s="42">
        <f>INDEX(Assumptions!$C$61:$C$90,D1099)</f>
        <v>2914.15</v>
      </c>
      <c r="M1099" s="43">
        <f>IF(D1099&lt;=Assumptions!$G$173,Assumptions!$AK$173,IF(D1099&lt;Assumptions!$AH$173,Assumptions!$AK$173+(Assumptions!$AL$173-Assumptions!$AK$173)*(D1099-Assumptions!$G$173)/(Assumptions!$AH$173-Assumptions!$G$173),IF(D1099&lt;Assumptions!$P$173,Assumptions!$AL$173+(Assumptions!$AM$173-Assumptions!$AL$173)*(D1099-Assumptions!$AH$173)/(Assumptions!$P$173-Assumptions!$AH$173),Assumptions!$AM$173)))</f>
        <v>-38020.833333333336</v>
      </c>
      <c r="N1099" s="44">
        <f t="shared" si="34"/>
        <v>-56.077925270403149</v>
      </c>
      <c r="O1099" s="45">
        <f t="shared" si="35"/>
        <v>2858</v>
      </c>
      <c r="P1099" s="14" t="str">
        <f>IF(D1099&gt;=Assumptions!$P$173,"High",IF(D1099&gt;=Assumptions!$AH$173,"Mid",IF(D1099&lt;=Assumptions!$G$173,"Low","Loading")))</f>
        <v>Mid</v>
      </c>
      <c r="Q1099" s="46">
        <f>MAX(K1099,MIN(Assumptions!$S$173,O1099),Q1100)</f>
        <v>2858</v>
      </c>
      <c r="R1099" s="12">
        <f>IF(AND(Q1099&lt;=K1099,INDEX(Assumptions!$C$26:$C$36,MATCH(G1099,Assumptions!$A$26:$A$36,0))&lt;&gt;""),INDEX(Assumptions!$C$26:$C$36,MATCH(G1099,Assumptions!$A$26:$A$36,0)),ROUND(G1099*Q1099,-2))</f>
        <v>1937700</v>
      </c>
      <c r="S1099" s="47" t="str">
        <f>TRIM(IF(AND(Assumptions!$L$173&lt;&gt;"",D1099&lt;Assumptions!$L$173),"View blocked / roof in front ("&amp;Assumptions!$M$173&amp;"); view premium still loading until L"&amp;Assumptions!$L$173&amp;". ","")&amp;IF(D1099=Assumptions!$AH$173,"Mid-floor view premium fully loaded. ","")&amp;IF(D1099=Assumptions!$P$173,"High-floor view premium fully loaded. ","")&amp;IF(Q1099&lt;=K1099,"At developer starting price.",""))</f>
        <v/>
      </c>
      <c r="T1099" s="48" t="str">
        <f>Assumptions!$AJ$173</f>
        <v>NE. Facing HDB, landed on the right; higher floors may see Kwang Ming San</v>
      </c>
    </row>
    <row r="1100" spans="1:20" x14ac:dyDescent="0.2">
      <c r="A1100" s="13" t="s">
        <v>1276</v>
      </c>
      <c r="B1100" s="14">
        <v>11</v>
      </c>
      <c r="C1100" s="40">
        <v>47</v>
      </c>
      <c r="D1100" s="40">
        <v>14</v>
      </c>
      <c r="E1100" s="9" t="s">
        <v>43</v>
      </c>
      <c r="F1100" s="14" t="s">
        <v>137</v>
      </c>
      <c r="G1100" s="10">
        <v>678</v>
      </c>
      <c r="H1100" s="14" t="s">
        <v>62</v>
      </c>
      <c r="I1100" s="41" t="str">
        <f>Assumptions!$I$173</f>
        <v>E</v>
      </c>
      <c r="J1100" s="14" t="str">
        <f>IF(D1100&lt;=Assumptions!$V$173,"Low",IF(D1100&lt;=Assumptions!$W$173,"Mid","High"))</f>
        <v>Mid</v>
      </c>
      <c r="K1100" s="15">
        <f>Assumptions!$Q$173</f>
        <v>2613</v>
      </c>
      <c r="L1100" s="42">
        <f>INDEX(Assumptions!$C$61:$C$90,D1100)</f>
        <v>2891.3642857142859</v>
      </c>
      <c r="M1100" s="43">
        <f>IF(D1100&lt;=Assumptions!$G$173,Assumptions!$AK$173,IF(D1100&lt;Assumptions!$AH$173,Assumptions!$AK$173+(Assumptions!$AL$173-Assumptions!$AK$173)*(D1100-Assumptions!$G$173)/(Assumptions!$AH$173-Assumptions!$G$173),IF(D1100&lt;Assumptions!$P$173,Assumptions!$AL$173+(Assumptions!$AM$173-Assumptions!$AL$173)*(D1100-Assumptions!$AH$173)/(Assumptions!$P$173-Assumptions!$AH$173),Assumptions!$AM$173)))</f>
        <v>-38541.666666666664</v>
      </c>
      <c r="N1100" s="44">
        <f t="shared" si="34"/>
        <v>-56.846116027531956</v>
      </c>
      <c r="O1100" s="45">
        <f t="shared" si="35"/>
        <v>2835</v>
      </c>
      <c r="P1100" s="14" t="str">
        <f>IF(D1100&gt;=Assumptions!$P$173,"High",IF(D1100&gt;=Assumptions!$AH$173,"Mid",IF(D1100&lt;=Assumptions!$G$173,"Low","Loading")))</f>
        <v>Mid</v>
      </c>
      <c r="Q1100" s="46">
        <f>MAX(K1100,MIN(Assumptions!$S$173,O1100),Q1101)</f>
        <v>2835</v>
      </c>
      <c r="R1100" s="12">
        <f>IF(AND(Q1100&lt;=K1100,INDEX(Assumptions!$C$26:$C$36,MATCH(G1100,Assumptions!$A$26:$A$36,0))&lt;&gt;""),INDEX(Assumptions!$C$26:$C$36,MATCH(G1100,Assumptions!$A$26:$A$36,0)),ROUND(G1100*Q1100,-2))</f>
        <v>1922100</v>
      </c>
      <c r="S1100" s="47" t="str">
        <f>TRIM(IF(AND(Assumptions!$L$173&lt;&gt;"",D1100&lt;Assumptions!$L$173),"View blocked / roof in front ("&amp;Assumptions!$M$173&amp;"); view premium still loading until L"&amp;Assumptions!$L$173&amp;". ","")&amp;IF(D1100=Assumptions!$AH$173,"Mid-floor view premium fully loaded. ","")&amp;IF(D1100=Assumptions!$P$173,"High-floor view premium fully loaded. ","")&amp;IF(Q1100&lt;=K1100,"At developer starting price.",""))</f>
        <v/>
      </c>
      <c r="T1100" s="48" t="str">
        <f>Assumptions!$AJ$173</f>
        <v>NE. Facing HDB, landed on the right; higher floors may see Kwang Ming San</v>
      </c>
    </row>
    <row r="1101" spans="1:20" x14ac:dyDescent="0.2">
      <c r="A1101" s="13" t="s">
        <v>1277</v>
      </c>
      <c r="B1101" s="14">
        <v>11</v>
      </c>
      <c r="C1101" s="40">
        <v>47</v>
      </c>
      <c r="D1101" s="40">
        <v>13</v>
      </c>
      <c r="E1101" s="9" t="s">
        <v>43</v>
      </c>
      <c r="F1101" s="14" t="s">
        <v>137</v>
      </c>
      <c r="G1101" s="10">
        <v>678</v>
      </c>
      <c r="H1101" s="14" t="s">
        <v>62</v>
      </c>
      <c r="I1101" s="41" t="str">
        <f>Assumptions!$I$173</f>
        <v>E</v>
      </c>
      <c r="J1101" s="14" t="str">
        <f>IF(D1101&lt;=Assumptions!$V$173,"Low",IF(D1101&lt;=Assumptions!$W$173,"Mid","High"))</f>
        <v>Mid</v>
      </c>
      <c r="K1101" s="15">
        <f>Assumptions!$Q$173</f>
        <v>2613</v>
      </c>
      <c r="L1101" s="42">
        <f>INDEX(Assumptions!$C$61:$C$90,D1101)</f>
        <v>2868.5785714285716</v>
      </c>
      <c r="M1101" s="43">
        <f>IF(D1101&lt;=Assumptions!$G$173,Assumptions!$AK$173,IF(D1101&lt;Assumptions!$AH$173,Assumptions!$AK$173+(Assumptions!$AL$173-Assumptions!$AK$173)*(D1101-Assumptions!$G$173)/(Assumptions!$AH$173-Assumptions!$G$173),IF(D1101&lt;Assumptions!$P$173,Assumptions!$AL$173+(Assumptions!$AM$173-Assumptions!$AL$173)*(D1101-Assumptions!$AH$173)/(Assumptions!$P$173-Assumptions!$AH$173),Assumptions!$AM$173)))</f>
        <v>-39062.5</v>
      </c>
      <c r="N1101" s="44">
        <f t="shared" si="34"/>
        <v>-57.614306784660769</v>
      </c>
      <c r="O1101" s="45">
        <f t="shared" si="35"/>
        <v>2811</v>
      </c>
      <c r="P1101" s="14" t="str">
        <f>IF(D1101&gt;=Assumptions!$P$173,"High",IF(D1101&gt;=Assumptions!$AH$173,"Mid",IF(D1101&lt;=Assumptions!$G$173,"Low","Loading")))</f>
        <v>Mid</v>
      </c>
      <c r="Q1101" s="46">
        <f>MAX(K1101,MIN(Assumptions!$S$173,O1101),Q1102)</f>
        <v>2811</v>
      </c>
      <c r="R1101" s="12">
        <f>IF(AND(Q1101&lt;=K1101,INDEX(Assumptions!$C$26:$C$36,MATCH(G1101,Assumptions!$A$26:$A$36,0))&lt;&gt;""),INDEX(Assumptions!$C$26:$C$36,MATCH(G1101,Assumptions!$A$26:$A$36,0)),ROUND(G1101*Q1101,-2))</f>
        <v>1905900</v>
      </c>
      <c r="S1101" s="47" t="str">
        <f>TRIM(IF(AND(Assumptions!$L$173&lt;&gt;"",D1101&lt;Assumptions!$L$173),"View blocked / roof in front ("&amp;Assumptions!$M$173&amp;"); view premium still loading until L"&amp;Assumptions!$L$173&amp;". ","")&amp;IF(D1101=Assumptions!$AH$173,"Mid-floor view premium fully loaded. ","")&amp;IF(D1101=Assumptions!$P$173,"High-floor view premium fully loaded. ","")&amp;IF(Q1101&lt;=K1101,"At developer starting price.",""))</f>
        <v/>
      </c>
      <c r="T1101" s="48" t="str">
        <f>Assumptions!$AJ$173</f>
        <v>NE. Facing HDB, landed on the right; higher floors may see Kwang Ming San</v>
      </c>
    </row>
    <row r="1102" spans="1:20" x14ac:dyDescent="0.2">
      <c r="A1102" s="13" t="s">
        <v>1278</v>
      </c>
      <c r="B1102" s="14">
        <v>11</v>
      </c>
      <c r="C1102" s="40">
        <v>47</v>
      </c>
      <c r="D1102" s="40">
        <v>12</v>
      </c>
      <c r="E1102" s="9" t="s">
        <v>43</v>
      </c>
      <c r="F1102" s="14" t="s">
        <v>137</v>
      </c>
      <c r="G1102" s="10">
        <v>678</v>
      </c>
      <c r="H1102" s="14" t="s">
        <v>62</v>
      </c>
      <c r="I1102" s="41" t="str">
        <f>Assumptions!$I$173</f>
        <v>E</v>
      </c>
      <c r="J1102" s="14" t="str">
        <f>IF(D1102&lt;=Assumptions!$V$173,"Low",IF(D1102&lt;=Assumptions!$W$173,"Mid","High"))</f>
        <v>Mid</v>
      </c>
      <c r="K1102" s="15">
        <f>Assumptions!$Q$173</f>
        <v>2613</v>
      </c>
      <c r="L1102" s="42">
        <f>INDEX(Assumptions!$C$61:$C$90,D1102)</f>
        <v>2845.7928571428574</v>
      </c>
      <c r="M1102" s="43">
        <f>IF(D1102&lt;=Assumptions!$G$173,Assumptions!$AK$173,IF(D1102&lt;Assumptions!$AH$173,Assumptions!$AK$173+(Assumptions!$AL$173-Assumptions!$AK$173)*(D1102-Assumptions!$G$173)/(Assumptions!$AH$173-Assumptions!$G$173),IF(D1102&lt;Assumptions!$P$173,Assumptions!$AL$173+(Assumptions!$AM$173-Assumptions!$AL$173)*(D1102-Assumptions!$AH$173)/(Assumptions!$P$173-Assumptions!$AH$173),Assumptions!$AM$173)))</f>
        <v>-39583.333333333328</v>
      </c>
      <c r="N1102" s="44">
        <f t="shared" si="34"/>
        <v>-58.382497541789569</v>
      </c>
      <c r="O1102" s="45">
        <f t="shared" si="35"/>
        <v>2787</v>
      </c>
      <c r="P1102" s="14" t="str">
        <f>IF(D1102&gt;=Assumptions!$P$173,"High",IF(D1102&gt;=Assumptions!$AH$173,"Mid",IF(D1102&lt;=Assumptions!$G$173,"Low","Loading")))</f>
        <v>Mid</v>
      </c>
      <c r="Q1102" s="46">
        <f>MAX(K1102,MIN(Assumptions!$S$173,O1102),Q1103)</f>
        <v>2787</v>
      </c>
      <c r="R1102" s="12">
        <f>IF(AND(Q1102&lt;=K1102,INDEX(Assumptions!$C$26:$C$36,MATCH(G1102,Assumptions!$A$26:$A$36,0))&lt;&gt;""),INDEX(Assumptions!$C$26:$C$36,MATCH(G1102,Assumptions!$A$26:$A$36,0)),ROUND(G1102*Q1102,-2))</f>
        <v>1889600</v>
      </c>
      <c r="S1102" s="47" t="str">
        <f>TRIM(IF(AND(Assumptions!$L$173&lt;&gt;"",D1102&lt;Assumptions!$L$173),"View blocked / roof in front ("&amp;Assumptions!$M$173&amp;"); view premium still loading until L"&amp;Assumptions!$L$173&amp;". ","")&amp;IF(D1102=Assumptions!$AH$173,"Mid-floor view premium fully loaded. ","")&amp;IF(D1102=Assumptions!$P$173,"High-floor view premium fully loaded. ","")&amp;IF(Q1102&lt;=K1102,"At developer starting price.",""))</f>
        <v/>
      </c>
      <c r="T1102" s="48" t="str">
        <f>Assumptions!$AJ$173</f>
        <v>NE. Facing HDB, landed on the right; higher floors may see Kwang Ming San</v>
      </c>
    </row>
    <row r="1103" spans="1:20" x14ac:dyDescent="0.2">
      <c r="A1103" s="13" t="s">
        <v>1279</v>
      </c>
      <c r="B1103" s="14">
        <v>11</v>
      </c>
      <c r="C1103" s="40">
        <v>47</v>
      </c>
      <c r="D1103" s="40">
        <v>11</v>
      </c>
      <c r="E1103" s="9" t="s">
        <v>43</v>
      </c>
      <c r="F1103" s="14" t="s">
        <v>137</v>
      </c>
      <c r="G1103" s="10">
        <v>678</v>
      </c>
      <c r="H1103" s="14" t="s">
        <v>62</v>
      </c>
      <c r="I1103" s="41" t="str">
        <f>Assumptions!$I$173</f>
        <v>E</v>
      </c>
      <c r="J1103" s="14" t="str">
        <f>IF(D1103&lt;=Assumptions!$V$173,"Low",IF(D1103&lt;=Assumptions!$W$173,"Mid","High"))</f>
        <v>Mid</v>
      </c>
      <c r="K1103" s="15">
        <f>Assumptions!$Q$173</f>
        <v>2613</v>
      </c>
      <c r="L1103" s="42">
        <f>INDEX(Assumptions!$C$61:$C$90,D1103)</f>
        <v>2826.6287532991773</v>
      </c>
      <c r="M1103" s="43">
        <f>IF(D1103&lt;=Assumptions!$G$173,Assumptions!$AK$173,IF(D1103&lt;Assumptions!$AH$173,Assumptions!$AK$173+(Assumptions!$AL$173-Assumptions!$AK$173)*(D1103-Assumptions!$G$173)/(Assumptions!$AH$173-Assumptions!$G$173),IF(D1103&lt;Assumptions!$P$173,Assumptions!$AL$173+(Assumptions!$AM$173-Assumptions!$AL$173)*(D1103-Assumptions!$AH$173)/(Assumptions!$P$173-Assumptions!$AH$173),Assumptions!$AM$173)))</f>
        <v>-40104.166666666664</v>
      </c>
      <c r="N1103" s="44">
        <f t="shared" si="34"/>
        <v>-59.150688298918382</v>
      </c>
      <c r="O1103" s="45">
        <f t="shared" si="35"/>
        <v>2767</v>
      </c>
      <c r="P1103" s="14" t="str">
        <f>IF(D1103&gt;=Assumptions!$P$173,"High",IF(D1103&gt;=Assumptions!$AH$173,"Mid",IF(D1103&lt;=Assumptions!$G$173,"Low","Loading")))</f>
        <v>Mid</v>
      </c>
      <c r="Q1103" s="46">
        <f>MAX(K1103,MIN(Assumptions!$S$173,O1103),Q1104)</f>
        <v>2767</v>
      </c>
      <c r="R1103" s="12">
        <f>IF(AND(Q1103&lt;=K1103,INDEX(Assumptions!$C$26:$C$36,MATCH(G1103,Assumptions!$A$26:$A$36,0))&lt;&gt;""),INDEX(Assumptions!$C$26:$C$36,MATCH(G1103,Assumptions!$A$26:$A$36,0)),ROUND(G1103*Q1103,-2))</f>
        <v>1876000</v>
      </c>
      <c r="S1103" s="47" t="str">
        <f>TRIM(IF(AND(Assumptions!$L$173&lt;&gt;"",D1103&lt;Assumptions!$L$173),"View blocked / roof in front ("&amp;Assumptions!$M$173&amp;"); view premium still loading until L"&amp;Assumptions!$L$173&amp;". ","")&amp;IF(D1103=Assumptions!$AH$173,"Mid-floor view premium fully loaded. ","")&amp;IF(D1103=Assumptions!$P$173,"High-floor view premium fully loaded. ","")&amp;IF(Q1103&lt;=K1103,"At developer starting price.",""))</f>
        <v/>
      </c>
      <c r="T1103" s="48" t="str">
        <f>Assumptions!$AJ$173</f>
        <v>NE. Facing HDB, landed on the right; higher floors may see Kwang Ming San</v>
      </c>
    </row>
    <row r="1104" spans="1:20" x14ac:dyDescent="0.2">
      <c r="A1104" s="13" t="s">
        <v>1280</v>
      </c>
      <c r="B1104" s="14">
        <v>11</v>
      </c>
      <c r="C1104" s="40">
        <v>47</v>
      </c>
      <c r="D1104" s="40">
        <v>10</v>
      </c>
      <c r="E1104" s="9" t="s">
        <v>43</v>
      </c>
      <c r="F1104" s="14" t="s">
        <v>137</v>
      </c>
      <c r="G1104" s="10">
        <v>678</v>
      </c>
      <c r="H1104" s="14" t="s">
        <v>62</v>
      </c>
      <c r="I1104" s="41" t="str">
        <f>Assumptions!$I$173</f>
        <v>E</v>
      </c>
      <c r="J1104" s="14" t="str">
        <f>IF(D1104&lt;=Assumptions!$V$173,"Low",IF(D1104&lt;=Assumptions!$W$173,"Mid","High"))</f>
        <v>Mid</v>
      </c>
      <c r="K1104" s="15">
        <f>Assumptions!$Q$173</f>
        <v>2613</v>
      </c>
      <c r="L1104" s="42">
        <f>INDEX(Assumptions!$C$61:$C$90,D1104)</f>
        <v>2811.0862598975314</v>
      </c>
      <c r="M1104" s="43">
        <f>IF(D1104&lt;=Assumptions!$G$173,Assumptions!$AK$173,IF(D1104&lt;Assumptions!$AH$173,Assumptions!$AK$173+(Assumptions!$AL$173-Assumptions!$AK$173)*(D1104-Assumptions!$G$173)/(Assumptions!$AH$173-Assumptions!$G$173),IF(D1104&lt;Assumptions!$P$173,Assumptions!$AL$173+(Assumptions!$AM$173-Assumptions!$AL$173)*(D1104-Assumptions!$AH$173)/(Assumptions!$P$173-Assumptions!$AH$173),Assumptions!$AM$173)))</f>
        <v>-40625</v>
      </c>
      <c r="N1104" s="44">
        <f t="shared" si="34"/>
        <v>-59.918879056047196</v>
      </c>
      <c r="O1104" s="45">
        <f t="shared" si="35"/>
        <v>2751</v>
      </c>
      <c r="P1104" s="14" t="str">
        <f>IF(D1104&gt;=Assumptions!$P$173,"High",IF(D1104&gt;=Assumptions!$AH$173,"Mid",IF(D1104&lt;=Assumptions!$G$173,"Low","Loading")))</f>
        <v>Mid</v>
      </c>
      <c r="Q1104" s="46">
        <f>MAX(K1104,MIN(Assumptions!$S$173,O1104),Q1105)</f>
        <v>2751</v>
      </c>
      <c r="R1104" s="12">
        <f>IF(AND(Q1104&lt;=K1104,INDEX(Assumptions!$C$26:$C$36,MATCH(G1104,Assumptions!$A$26:$A$36,0))&lt;&gt;""),INDEX(Assumptions!$C$26:$C$36,MATCH(G1104,Assumptions!$A$26:$A$36,0)),ROUND(G1104*Q1104,-2))</f>
        <v>1865200</v>
      </c>
      <c r="S1104" s="47" t="str">
        <f>TRIM(IF(AND(Assumptions!$L$173&lt;&gt;"",D1104&lt;Assumptions!$L$173),"View blocked / roof in front ("&amp;Assumptions!$M$173&amp;"); view premium still loading until L"&amp;Assumptions!$L$173&amp;". ","")&amp;IF(D1104=Assumptions!$AH$173,"Mid-floor view premium fully loaded. ","")&amp;IF(D1104=Assumptions!$P$173,"High-floor view premium fully loaded. ","")&amp;IF(Q1104&lt;=K1104,"At developer starting price.",""))</f>
        <v/>
      </c>
      <c r="T1104" s="48" t="str">
        <f>Assumptions!$AJ$173</f>
        <v>NE. Facing HDB, landed on the right; higher floors may see Kwang Ming San</v>
      </c>
    </row>
    <row r="1105" spans="1:20" x14ac:dyDescent="0.2">
      <c r="A1105" s="13" t="s">
        <v>1281</v>
      </c>
      <c r="B1105" s="14">
        <v>11</v>
      </c>
      <c r="C1105" s="40">
        <v>47</v>
      </c>
      <c r="D1105" s="40">
        <v>9</v>
      </c>
      <c r="E1105" s="9" t="s">
        <v>43</v>
      </c>
      <c r="F1105" s="14" t="s">
        <v>137</v>
      </c>
      <c r="G1105" s="10">
        <v>678</v>
      </c>
      <c r="H1105" s="14" t="s">
        <v>62</v>
      </c>
      <c r="I1105" s="41" t="str">
        <f>Assumptions!$I$173</f>
        <v>E</v>
      </c>
      <c r="J1105" s="14" t="str">
        <f>IF(D1105&lt;=Assumptions!$V$173,"Low",IF(D1105&lt;=Assumptions!$W$173,"Mid","High"))</f>
        <v>Mid</v>
      </c>
      <c r="K1105" s="15">
        <f>Assumptions!$Q$173</f>
        <v>2613</v>
      </c>
      <c r="L1105" s="42">
        <f>INDEX(Assumptions!$C$61:$C$90,D1105)</f>
        <v>2795.5437664958858</v>
      </c>
      <c r="M1105" s="43">
        <f>IF(D1105&lt;=Assumptions!$G$173,Assumptions!$AK$173,IF(D1105&lt;Assumptions!$AH$173,Assumptions!$AK$173+(Assumptions!$AL$173-Assumptions!$AK$173)*(D1105-Assumptions!$G$173)/(Assumptions!$AH$173-Assumptions!$G$173),IF(D1105&lt;Assumptions!$P$173,Assumptions!$AL$173+(Assumptions!$AM$173-Assumptions!$AL$173)*(D1105-Assumptions!$AH$173)/(Assumptions!$P$173-Assumptions!$AH$173),Assumptions!$AM$173)))</f>
        <v>-41145.833333333328</v>
      </c>
      <c r="N1105" s="44">
        <f t="shared" si="34"/>
        <v>-60.687069813176002</v>
      </c>
      <c r="O1105" s="45">
        <f t="shared" si="35"/>
        <v>2735</v>
      </c>
      <c r="P1105" s="14" t="str">
        <f>IF(D1105&gt;=Assumptions!$P$173,"High",IF(D1105&gt;=Assumptions!$AH$173,"Mid",IF(D1105&lt;=Assumptions!$G$173,"Low","Loading")))</f>
        <v>Mid</v>
      </c>
      <c r="Q1105" s="46">
        <f>MAX(K1105,MIN(Assumptions!$S$173,O1105),Q1106)</f>
        <v>2735</v>
      </c>
      <c r="R1105" s="12">
        <f>IF(AND(Q1105&lt;=K1105,INDEX(Assumptions!$C$26:$C$36,MATCH(G1105,Assumptions!$A$26:$A$36,0))&lt;&gt;""),INDEX(Assumptions!$C$26:$C$36,MATCH(G1105,Assumptions!$A$26:$A$36,0)),ROUND(G1105*Q1105,-2))</f>
        <v>1854300</v>
      </c>
      <c r="S1105" s="47" t="str">
        <f>TRIM(IF(AND(Assumptions!$L$173&lt;&gt;"",D1105&lt;Assumptions!$L$173),"View blocked / roof in front ("&amp;Assumptions!$M$173&amp;"); view premium still loading until L"&amp;Assumptions!$L$173&amp;". ","")&amp;IF(D1105=Assumptions!$AH$173,"Mid-floor view premium fully loaded. ","")&amp;IF(D1105=Assumptions!$P$173,"High-floor view premium fully loaded. ","")&amp;IF(Q1105&lt;=K1105,"At developer starting price.",""))</f>
        <v/>
      </c>
      <c r="T1105" s="48" t="str">
        <f>Assumptions!$AJ$173</f>
        <v>NE. Facing HDB, landed on the right; higher floors may see Kwang Ming San</v>
      </c>
    </row>
    <row r="1106" spans="1:20" x14ac:dyDescent="0.2">
      <c r="A1106" s="13" t="s">
        <v>1282</v>
      </c>
      <c r="B1106" s="14">
        <v>11</v>
      </c>
      <c r="C1106" s="40">
        <v>47</v>
      </c>
      <c r="D1106" s="40">
        <v>8</v>
      </c>
      <c r="E1106" s="9" t="s">
        <v>43</v>
      </c>
      <c r="F1106" s="14" t="s">
        <v>137</v>
      </c>
      <c r="G1106" s="10">
        <v>678</v>
      </c>
      <c r="H1106" s="14" t="s">
        <v>62</v>
      </c>
      <c r="I1106" s="41" t="str">
        <f>Assumptions!$I$173</f>
        <v>E</v>
      </c>
      <c r="J1106" s="14" t="str">
        <f>IF(D1106&lt;=Assumptions!$V$173,"Low",IF(D1106&lt;=Assumptions!$W$173,"Mid","High"))</f>
        <v>Mid</v>
      </c>
      <c r="K1106" s="15">
        <f>Assumptions!$Q$173</f>
        <v>2613</v>
      </c>
      <c r="L1106" s="42">
        <f>INDEX(Assumptions!$C$61:$C$90,D1106)</f>
        <v>2780.0012730942403</v>
      </c>
      <c r="M1106" s="43">
        <f>IF(D1106&lt;=Assumptions!$G$173,Assumptions!$AK$173,IF(D1106&lt;Assumptions!$AH$173,Assumptions!$AK$173+(Assumptions!$AL$173-Assumptions!$AK$173)*(D1106-Assumptions!$G$173)/(Assumptions!$AH$173-Assumptions!$G$173),IF(D1106&lt;Assumptions!$P$173,Assumptions!$AL$173+(Assumptions!$AM$173-Assumptions!$AL$173)*(D1106-Assumptions!$AH$173)/(Assumptions!$P$173-Assumptions!$AH$173),Assumptions!$AM$173)))</f>
        <v>-41666.666666666664</v>
      </c>
      <c r="N1106" s="44">
        <f t="shared" si="34"/>
        <v>-61.455260570304816</v>
      </c>
      <c r="O1106" s="45">
        <f t="shared" si="35"/>
        <v>2719</v>
      </c>
      <c r="P1106" s="14" t="str">
        <f>IF(D1106&gt;=Assumptions!$P$173,"High",IF(D1106&gt;=Assumptions!$AH$173,"Mid",IF(D1106&lt;=Assumptions!$G$173,"Low","Loading")))</f>
        <v>Mid</v>
      </c>
      <c r="Q1106" s="46">
        <f>MAX(K1106,MIN(Assumptions!$S$173,O1106),Q1107)</f>
        <v>2719</v>
      </c>
      <c r="R1106" s="12">
        <f>IF(AND(Q1106&lt;=K1106,INDEX(Assumptions!$C$26:$C$36,MATCH(G1106,Assumptions!$A$26:$A$36,0))&lt;&gt;""),INDEX(Assumptions!$C$26:$C$36,MATCH(G1106,Assumptions!$A$26:$A$36,0)),ROUND(G1106*Q1106,-2))</f>
        <v>1843500</v>
      </c>
      <c r="S1106" s="47" t="str">
        <f>TRIM(IF(AND(Assumptions!$L$173&lt;&gt;"",D1106&lt;Assumptions!$L$173),"View blocked / roof in front ("&amp;Assumptions!$M$173&amp;"); view premium still loading until L"&amp;Assumptions!$L$173&amp;". ","")&amp;IF(D1106=Assumptions!$AH$173,"Mid-floor view premium fully loaded. ","")&amp;IF(D1106=Assumptions!$P$173,"High-floor view premium fully loaded. ","")&amp;IF(Q1106&lt;=K1106,"At developer starting price.",""))</f>
        <v>Mid-floor view premium fully loaded.</v>
      </c>
      <c r="T1106" s="48" t="str">
        <f>Assumptions!$AJ$173</f>
        <v>NE. Facing HDB, landed on the right; higher floors may see Kwang Ming San</v>
      </c>
    </row>
    <row r="1107" spans="1:20" x14ac:dyDescent="0.2">
      <c r="A1107" s="13" t="s">
        <v>1283</v>
      </c>
      <c r="B1107" s="14">
        <v>11</v>
      </c>
      <c r="C1107" s="40">
        <v>47</v>
      </c>
      <c r="D1107" s="40">
        <v>7</v>
      </c>
      <c r="E1107" s="9" t="s">
        <v>43</v>
      </c>
      <c r="F1107" s="14" t="s">
        <v>137</v>
      </c>
      <c r="G1107" s="10">
        <v>678</v>
      </c>
      <c r="H1107" s="14" t="s">
        <v>62</v>
      </c>
      <c r="I1107" s="41" t="str">
        <f>Assumptions!$I$173</f>
        <v>E</v>
      </c>
      <c r="J1107" s="14" t="str">
        <f>IF(D1107&lt;=Assumptions!$V$173,"Low",IF(D1107&lt;=Assumptions!$W$173,"Mid","High"))</f>
        <v>Low</v>
      </c>
      <c r="K1107" s="15">
        <f>Assumptions!$Q$173</f>
        <v>2613</v>
      </c>
      <c r="L1107" s="42">
        <f>INDEX(Assumptions!$C$61:$C$90,D1107)</f>
        <v>2764.4587796925944</v>
      </c>
      <c r="M1107" s="43">
        <f>IF(D1107&lt;=Assumptions!$G$173,Assumptions!$AK$173,IF(D1107&lt;Assumptions!$AH$173,Assumptions!$AK$173+(Assumptions!$AL$173-Assumptions!$AK$173)*(D1107-Assumptions!$G$173)/(Assumptions!$AH$173-Assumptions!$G$173),IF(D1107&lt;Assumptions!$P$173,Assumptions!$AL$173+(Assumptions!$AM$173-Assumptions!$AL$173)*(D1107-Assumptions!$AH$173)/(Assumptions!$P$173-Assumptions!$AH$173),Assumptions!$AM$173)))</f>
        <v>-43055.555555555555</v>
      </c>
      <c r="N1107" s="44">
        <f t="shared" si="34"/>
        <v>-63.503769255981645</v>
      </c>
      <c r="O1107" s="45">
        <f t="shared" si="35"/>
        <v>2701</v>
      </c>
      <c r="P1107" s="14" t="str">
        <f>IF(D1107&gt;=Assumptions!$P$173,"High",IF(D1107&gt;=Assumptions!$AH$173,"Mid",IF(D1107&lt;=Assumptions!$G$173,"Low","Loading")))</f>
        <v>Loading</v>
      </c>
      <c r="Q1107" s="46">
        <f>MAX(K1107,MIN(Assumptions!$S$173,O1107),Q1108)</f>
        <v>2701</v>
      </c>
      <c r="R1107" s="12">
        <f>IF(AND(Q1107&lt;=K1107,INDEX(Assumptions!$C$26:$C$36,MATCH(G1107,Assumptions!$A$26:$A$36,0))&lt;&gt;""),INDEX(Assumptions!$C$26:$C$36,MATCH(G1107,Assumptions!$A$26:$A$36,0)),ROUND(G1107*Q1107,-2))</f>
        <v>1831300</v>
      </c>
      <c r="S1107" s="47" t="str">
        <f>TRIM(IF(AND(Assumptions!$L$173&lt;&gt;"",D1107&lt;Assumptions!$L$173),"View blocked / roof in front ("&amp;Assumptions!$M$173&amp;"); view premium still loading until L"&amp;Assumptions!$L$173&amp;". ","")&amp;IF(D1107=Assumptions!$AH$173,"Mid-floor view premium fully loaded. ","")&amp;IF(D1107=Assumptions!$P$173,"High-floor view premium fully loaded. ","")&amp;IF(Q1107&lt;=K1107,"At developer starting price.",""))</f>
        <v/>
      </c>
      <c r="T1107" s="48" t="str">
        <f>Assumptions!$AJ$173</f>
        <v>NE. Facing HDB, landed on the right; higher floors may see Kwang Ming San</v>
      </c>
    </row>
    <row r="1108" spans="1:20" x14ac:dyDescent="0.2">
      <c r="A1108" s="13" t="s">
        <v>1284</v>
      </c>
      <c r="B1108" s="14">
        <v>11</v>
      </c>
      <c r="C1108" s="40">
        <v>47</v>
      </c>
      <c r="D1108" s="40">
        <v>6</v>
      </c>
      <c r="E1108" s="9" t="s">
        <v>43</v>
      </c>
      <c r="F1108" s="14" t="s">
        <v>137</v>
      </c>
      <c r="G1108" s="10">
        <v>678</v>
      </c>
      <c r="H1108" s="14" t="s">
        <v>62</v>
      </c>
      <c r="I1108" s="41" t="str">
        <f>Assumptions!$I$173</f>
        <v>E</v>
      </c>
      <c r="J1108" s="14" t="str">
        <f>IF(D1108&lt;=Assumptions!$V$173,"Low",IF(D1108&lt;=Assumptions!$W$173,"Mid","High"))</f>
        <v>Low</v>
      </c>
      <c r="K1108" s="15">
        <f>Assumptions!$Q$173</f>
        <v>2613</v>
      </c>
      <c r="L1108" s="42">
        <f>INDEX(Assumptions!$C$61:$C$90,D1108)</f>
        <v>2748.9162862909488</v>
      </c>
      <c r="M1108" s="43">
        <f>IF(D1108&lt;=Assumptions!$G$173,Assumptions!$AK$173,IF(D1108&lt;Assumptions!$AH$173,Assumptions!$AK$173+(Assumptions!$AL$173-Assumptions!$AK$173)*(D1108-Assumptions!$G$173)/(Assumptions!$AH$173-Assumptions!$G$173),IF(D1108&lt;Assumptions!$P$173,Assumptions!$AL$173+(Assumptions!$AM$173-Assumptions!$AL$173)*(D1108-Assumptions!$AH$173)/(Assumptions!$P$173-Assumptions!$AH$173),Assumptions!$AM$173)))</f>
        <v>-44444.444444444445</v>
      </c>
      <c r="N1108" s="44">
        <f t="shared" si="34"/>
        <v>-65.552277941658474</v>
      </c>
      <c r="O1108" s="45">
        <f t="shared" si="35"/>
        <v>2683</v>
      </c>
      <c r="P1108" s="14" t="str">
        <f>IF(D1108&gt;=Assumptions!$P$173,"High",IF(D1108&gt;=Assumptions!$AH$173,"Mid",IF(D1108&lt;=Assumptions!$G$173,"Low","Loading")))</f>
        <v>Loading</v>
      </c>
      <c r="Q1108" s="46">
        <f>MAX(K1108,MIN(Assumptions!$S$173,O1108),Q1109)</f>
        <v>2683</v>
      </c>
      <c r="R1108" s="12">
        <f>IF(AND(Q1108&lt;=K1108,INDEX(Assumptions!$C$26:$C$36,MATCH(G1108,Assumptions!$A$26:$A$36,0))&lt;&gt;""),INDEX(Assumptions!$C$26:$C$36,MATCH(G1108,Assumptions!$A$26:$A$36,0)),ROUND(G1108*Q1108,-2))</f>
        <v>1819100</v>
      </c>
      <c r="S1108" s="47" t="str">
        <f>TRIM(IF(AND(Assumptions!$L$173&lt;&gt;"",D1108&lt;Assumptions!$L$173),"View blocked / roof in front ("&amp;Assumptions!$M$173&amp;"); view premium still loading until L"&amp;Assumptions!$L$173&amp;". ","")&amp;IF(D1108=Assumptions!$AH$173,"Mid-floor view premium fully loaded. ","")&amp;IF(D1108=Assumptions!$P$173,"High-floor view premium fully loaded. ","")&amp;IF(Q1108&lt;=K1108,"At developer starting price.",""))</f>
        <v/>
      </c>
      <c r="T1108" s="48" t="str">
        <f>Assumptions!$AJ$173</f>
        <v>NE. Facing HDB, landed on the right; higher floors may see Kwang Ming San</v>
      </c>
    </row>
    <row r="1109" spans="1:20" x14ac:dyDescent="0.2">
      <c r="A1109" s="13" t="s">
        <v>1285</v>
      </c>
      <c r="B1109" s="14">
        <v>11</v>
      </c>
      <c r="C1109" s="40">
        <v>47</v>
      </c>
      <c r="D1109" s="40">
        <v>5</v>
      </c>
      <c r="E1109" s="9" t="s">
        <v>43</v>
      </c>
      <c r="F1109" s="14" t="s">
        <v>137</v>
      </c>
      <c r="G1109" s="10">
        <v>678</v>
      </c>
      <c r="H1109" s="14" t="s">
        <v>62</v>
      </c>
      <c r="I1109" s="41" t="str">
        <f>Assumptions!$I$173</f>
        <v>E</v>
      </c>
      <c r="J1109" s="14" t="str">
        <f>IF(D1109&lt;=Assumptions!$V$173,"Low",IF(D1109&lt;=Assumptions!$W$173,"Mid","High"))</f>
        <v>Low</v>
      </c>
      <c r="K1109" s="15">
        <f>Assumptions!$Q$173</f>
        <v>2613</v>
      </c>
      <c r="L1109" s="42">
        <f>INDEX(Assumptions!$C$61:$C$90,D1109)</f>
        <v>2733.3737928893029</v>
      </c>
      <c r="M1109" s="43">
        <f>IF(D1109&lt;=Assumptions!$G$173,Assumptions!$AK$173,IF(D1109&lt;Assumptions!$AH$173,Assumptions!$AK$173+(Assumptions!$AL$173-Assumptions!$AK$173)*(D1109-Assumptions!$G$173)/(Assumptions!$AH$173-Assumptions!$G$173),IF(D1109&lt;Assumptions!$P$173,Assumptions!$AL$173+(Assumptions!$AM$173-Assumptions!$AL$173)*(D1109-Assumptions!$AH$173)/(Assumptions!$P$173-Assumptions!$AH$173),Assumptions!$AM$173)))</f>
        <v>-45833.333333333328</v>
      </c>
      <c r="N1109" s="44">
        <f t="shared" si="34"/>
        <v>-67.600786627335296</v>
      </c>
      <c r="O1109" s="45">
        <f t="shared" si="35"/>
        <v>2666</v>
      </c>
      <c r="P1109" s="14" t="str">
        <f>IF(D1109&gt;=Assumptions!$P$173,"High",IF(D1109&gt;=Assumptions!$AH$173,"Mid",IF(D1109&lt;=Assumptions!$G$173,"Low","Loading")))</f>
        <v>Loading</v>
      </c>
      <c r="Q1109" s="46">
        <f>MAX(K1109,MIN(Assumptions!$S$173,O1109),Q1110)</f>
        <v>2666</v>
      </c>
      <c r="R1109" s="12">
        <f>IF(AND(Q1109&lt;=K1109,INDEX(Assumptions!$C$26:$C$36,MATCH(G1109,Assumptions!$A$26:$A$36,0))&lt;&gt;""),INDEX(Assumptions!$C$26:$C$36,MATCH(G1109,Assumptions!$A$26:$A$36,0)),ROUND(G1109*Q1109,-2))</f>
        <v>1807500</v>
      </c>
      <c r="S1109" s="47" t="str">
        <f>TRIM(IF(AND(Assumptions!$L$173&lt;&gt;"",D1109&lt;Assumptions!$L$173),"View blocked / roof in front ("&amp;Assumptions!$M$173&amp;"); view premium still loading until L"&amp;Assumptions!$L$173&amp;". ","")&amp;IF(D1109=Assumptions!$AH$173,"Mid-floor view premium fully loaded. ","")&amp;IF(D1109=Assumptions!$P$173,"High-floor view premium fully loaded. ","")&amp;IF(Q1109&lt;=K1109,"At developer starting price.",""))</f>
        <v/>
      </c>
      <c r="T1109" s="48" t="str">
        <f>Assumptions!$AJ$173</f>
        <v>NE. Facing HDB, landed on the right; higher floors may see Kwang Ming San</v>
      </c>
    </row>
    <row r="1110" spans="1:20" x14ac:dyDescent="0.2">
      <c r="A1110" s="13" t="s">
        <v>1286</v>
      </c>
      <c r="B1110" s="14">
        <v>11</v>
      </c>
      <c r="C1110" s="40">
        <v>47</v>
      </c>
      <c r="D1110" s="40">
        <v>4</v>
      </c>
      <c r="E1110" s="9" t="s">
        <v>43</v>
      </c>
      <c r="F1110" s="14" t="s">
        <v>137</v>
      </c>
      <c r="G1110" s="10">
        <v>678</v>
      </c>
      <c r="H1110" s="14" t="s">
        <v>62</v>
      </c>
      <c r="I1110" s="41" t="str">
        <f>Assumptions!$I$173</f>
        <v>E</v>
      </c>
      <c r="J1110" s="14" t="str">
        <f>IF(D1110&lt;=Assumptions!$V$173,"Low",IF(D1110&lt;=Assumptions!$W$173,"Mid","High"))</f>
        <v>Low</v>
      </c>
      <c r="K1110" s="15">
        <f>Assumptions!$Q$173</f>
        <v>2613</v>
      </c>
      <c r="L1110" s="42">
        <f>INDEX(Assumptions!$C$61:$C$90,D1110)</f>
        <v>2717.8312994876574</v>
      </c>
      <c r="M1110" s="43">
        <f>IF(D1110&lt;=Assumptions!$G$173,Assumptions!$AK$173,IF(D1110&lt;Assumptions!$AH$173,Assumptions!$AK$173+(Assumptions!$AL$173-Assumptions!$AK$173)*(D1110-Assumptions!$G$173)/(Assumptions!$AH$173-Assumptions!$G$173),IF(D1110&lt;Assumptions!$P$173,Assumptions!$AL$173+(Assumptions!$AM$173-Assumptions!$AL$173)*(D1110-Assumptions!$AH$173)/(Assumptions!$P$173-Assumptions!$AH$173),Assumptions!$AM$173)))</f>
        <v>-47222.222222222219</v>
      </c>
      <c r="N1110" s="44">
        <f t="shared" si="34"/>
        <v>-69.649295313012118</v>
      </c>
      <c r="O1110" s="45">
        <f t="shared" si="35"/>
        <v>2648</v>
      </c>
      <c r="P1110" s="14" t="str">
        <f>IF(D1110&gt;=Assumptions!$P$173,"High",IF(D1110&gt;=Assumptions!$AH$173,"Mid",IF(D1110&lt;=Assumptions!$G$173,"Low","Loading")))</f>
        <v>Loading</v>
      </c>
      <c r="Q1110" s="46">
        <f>MAX(K1110,MIN(Assumptions!$S$173,O1110),Q1111)</f>
        <v>2648</v>
      </c>
      <c r="R1110" s="12">
        <f>IF(AND(Q1110&lt;=K1110,INDEX(Assumptions!$C$26:$C$36,MATCH(G1110,Assumptions!$A$26:$A$36,0))&lt;&gt;""),INDEX(Assumptions!$C$26:$C$36,MATCH(G1110,Assumptions!$A$26:$A$36,0)),ROUND(G1110*Q1110,-2))</f>
        <v>1795300</v>
      </c>
      <c r="S1110" s="47" t="str">
        <f>TRIM(IF(AND(Assumptions!$L$173&lt;&gt;"",D1110&lt;Assumptions!$L$173),"View blocked / roof in front ("&amp;Assumptions!$M$173&amp;"); view premium still loading until L"&amp;Assumptions!$L$173&amp;". ","")&amp;IF(D1110=Assumptions!$AH$173,"Mid-floor view premium fully loaded. ","")&amp;IF(D1110=Assumptions!$P$173,"High-floor view premium fully loaded. ","")&amp;IF(Q1110&lt;=K1110,"At developer starting price.",""))</f>
        <v/>
      </c>
      <c r="T1110" s="48" t="str">
        <f>Assumptions!$AJ$173</f>
        <v>NE. Facing HDB, landed on the right; higher floors may see Kwang Ming San</v>
      </c>
    </row>
    <row r="1111" spans="1:20" x14ac:dyDescent="0.2">
      <c r="A1111" s="13" t="s">
        <v>1287</v>
      </c>
      <c r="B1111" s="14">
        <v>11</v>
      </c>
      <c r="C1111" s="40">
        <v>47</v>
      </c>
      <c r="D1111" s="40">
        <v>3</v>
      </c>
      <c r="E1111" s="9" t="s">
        <v>43</v>
      </c>
      <c r="F1111" s="14" t="s">
        <v>137</v>
      </c>
      <c r="G1111" s="10">
        <v>678</v>
      </c>
      <c r="H1111" s="14" t="s">
        <v>62</v>
      </c>
      <c r="I1111" s="41" t="str">
        <f>Assumptions!$I$173</f>
        <v>E</v>
      </c>
      <c r="J1111" s="14" t="str">
        <f>IF(D1111&lt;=Assumptions!$V$173,"Low",IF(D1111&lt;=Assumptions!$W$173,"Mid","High"))</f>
        <v>Low</v>
      </c>
      <c r="K1111" s="15">
        <f>Assumptions!$Q$173</f>
        <v>2613</v>
      </c>
      <c r="L1111" s="42">
        <f>INDEX(Assumptions!$C$61:$C$90,D1111)</f>
        <v>2702.2888060860114</v>
      </c>
      <c r="M1111" s="43">
        <f>IF(D1111&lt;=Assumptions!$G$173,Assumptions!$AK$173,IF(D1111&lt;Assumptions!$AH$173,Assumptions!$AK$173+(Assumptions!$AL$173-Assumptions!$AK$173)*(D1111-Assumptions!$G$173)/(Assumptions!$AH$173-Assumptions!$G$173),IF(D1111&lt;Assumptions!$P$173,Assumptions!$AL$173+(Assumptions!$AM$173-Assumptions!$AL$173)*(D1111-Assumptions!$AH$173)/(Assumptions!$P$173-Assumptions!$AH$173),Assumptions!$AM$173)))</f>
        <v>-48611.111111111109</v>
      </c>
      <c r="N1111" s="44">
        <f t="shared" si="34"/>
        <v>-71.697803998688954</v>
      </c>
      <c r="O1111" s="45">
        <f t="shared" si="35"/>
        <v>2631</v>
      </c>
      <c r="P1111" s="14" t="str">
        <f>IF(D1111&gt;=Assumptions!$P$173,"High",IF(D1111&gt;=Assumptions!$AH$173,"Mid",IF(D1111&lt;=Assumptions!$G$173,"Low","Loading")))</f>
        <v>Loading</v>
      </c>
      <c r="Q1111" s="46">
        <f>MAX(K1111,MIN(Assumptions!$S$173,O1111),Q1112)</f>
        <v>2631</v>
      </c>
      <c r="R1111" s="12">
        <f>IF(AND(Q1111&lt;=K1111,INDEX(Assumptions!$C$26:$C$36,MATCH(G1111,Assumptions!$A$26:$A$36,0))&lt;&gt;""),INDEX(Assumptions!$C$26:$C$36,MATCH(G1111,Assumptions!$A$26:$A$36,0)),ROUND(G1111*Q1111,-2))</f>
        <v>1783800</v>
      </c>
      <c r="S1111" s="47" t="str">
        <f>TRIM(IF(AND(Assumptions!$L$173&lt;&gt;"",D1111&lt;Assumptions!$L$173),"View blocked / roof in front ("&amp;Assumptions!$M$173&amp;"); view premium still loading until L"&amp;Assumptions!$L$173&amp;". ","")&amp;IF(D1111=Assumptions!$AH$173,"Mid-floor view premium fully loaded. ","")&amp;IF(D1111=Assumptions!$P$173,"High-floor view premium fully loaded. ","")&amp;IF(Q1111&lt;=K1111,"At developer starting price.",""))</f>
        <v>View blocked / roof in front (Forest Pavilion: 21% of view, 21.6 to 28.5m away); view premium still loading until L4.</v>
      </c>
      <c r="T1111" s="48" t="str">
        <f>Assumptions!$AJ$173</f>
        <v>NE. Facing HDB, landed on the right; higher floors may see Kwang Ming San</v>
      </c>
    </row>
    <row r="1112" spans="1:20" x14ac:dyDescent="0.2">
      <c r="A1112" s="13" t="s">
        <v>1288</v>
      </c>
      <c r="B1112" s="14">
        <v>11</v>
      </c>
      <c r="C1112" s="40">
        <v>47</v>
      </c>
      <c r="D1112" s="40">
        <v>2</v>
      </c>
      <c r="E1112" s="9" t="s">
        <v>43</v>
      </c>
      <c r="F1112" s="14" t="s">
        <v>157</v>
      </c>
      <c r="G1112" s="10">
        <v>678</v>
      </c>
      <c r="H1112" s="14" t="s">
        <v>62</v>
      </c>
      <c r="I1112" s="41" t="str">
        <f>Assumptions!$I$173</f>
        <v>E</v>
      </c>
      <c r="J1112" s="14" t="str">
        <f>IF(D1112&lt;=Assumptions!$V$173,"Low",IF(D1112&lt;=Assumptions!$W$173,"Mid","High"))</f>
        <v>Low</v>
      </c>
      <c r="K1112" s="15">
        <f>Assumptions!$Q$173</f>
        <v>2613</v>
      </c>
      <c r="L1112" s="42">
        <f>INDEX(Assumptions!$C$61:$C$90,D1112)</f>
        <v>2686.7463126843659</v>
      </c>
      <c r="M1112" s="43">
        <f>IF(D1112&lt;=Assumptions!$G$173,Assumptions!$AK$173,IF(D1112&lt;Assumptions!$AH$173,Assumptions!$AK$173+(Assumptions!$AL$173-Assumptions!$AK$173)*(D1112-Assumptions!$G$173)/(Assumptions!$AH$173-Assumptions!$G$173),IF(D1112&lt;Assumptions!$P$173,Assumptions!$AL$173+(Assumptions!$AM$173-Assumptions!$AL$173)*(D1112-Assumptions!$AH$173)/(Assumptions!$P$173-Assumptions!$AH$173),Assumptions!$AM$173)))</f>
        <v>-50000</v>
      </c>
      <c r="N1112" s="44">
        <f t="shared" si="34"/>
        <v>-73.746312684365776</v>
      </c>
      <c r="O1112" s="45">
        <f t="shared" si="35"/>
        <v>2613</v>
      </c>
      <c r="P1112" s="14" t="str">
        <f>IF(D1112&gt;=Assumptions!$P$173,"High",IF(D1112&gt;=Assumptions!$AH$173,"Mid",IF(D1112&lt;=Assumptions!$G$173,"Low","Loading")))</f>
        <v>Low</v>
      </c>
      <c r="Q1112" s="46">
        <f>MAX(K1112,MIN(Assumptions!$S$173,O1112))</f>
        <v>2613</v>
      </c>
      <c r="R1112" s="12">
        <f>IF(AND(Q1112&lt;=K1112,INDEX(Assumptions!$C$26:$C$36,MATCH(G1112,Assumptions!$A$26:$A$36,0))&lt;&gt;""),INDEX(Assumptions!$C$26:$C$36,MATCH(G1112,Assumptions!$A$26:$A$36,0)),ROUND(G1112*Q1112,-2))</f>
        <v>1772000</v>
      </c>
      <c r="S1112" s="47" t="str">
        <f>TRIM(IF(AND(Assumptions!$L$173&lt;&gt;"",D1112&lt;Assumptions!$L$173),"View blocked / roof in front ("&amp;Assumptions!$M$173&amp;"); view premium still loading until L"&amp;Assumptions!$L$173&amp;". ","")&amp;IF(D1112=Assumptions!$AH$173,"Mid-floor view premium fully loaded. ","")&amp;IF(D1112=Assumptions!$P$173,"High-floor view premium fully loaded. ","")&amp;IF(Q1112&lt;=K1112,"At developer starting price.",""))</f>
        <v>View blocked / roof in front (Forest Pavilion: 21% of view, 21.6 to 28.5m away); view premium still loading until L4. At developer starting price.</v>
      </c>
      <c r="T1112" s="48" t="str">
        <f>Assumptions!$AJ$173</f>
        <v>NE. Facing HDB, landed on the right; higher floors may see Kwang Ming San</v>
      </c>
    </row>
    <row r="1113" spans="1:20" x14ac:dyDescent="0.2">
      <c r="A1113" s="13" t="s">
        <v>1289</v>
      </c>
      <c r="B1113" s="14">
        <v>11</v>
      </c>
      <c r="C1113" s="40">
        <v>48</v>
      </c>
      <c r="D1113" s="40">
        <v>21</v>
      </c>
      <c r="E1113" s="9" t="s">
        <v>43</v>
      </c>
      <c r="F1113" s="14" t="s">
        <v>1290</v>
      </c>
      <c r="G1113" s="10">
        <v>678</v>
      </c>
      <c r="H1113" s="14" t="s">
        <v>62</v>
      </c>
      <c r="I1113" s="41" t="str">
        <f>Assumptions!$I$174</f>
        <v>E</v>
      </c>
      <c r="J1113" s="14" t="str">
        <f>IF(D1113&lt;=Assumptions!$V$174,"Low",IF(D1113&lt;=Assumptions!$W$174,"Mid","High"))</f>
        <v>High</v>
      </c>
      <c r="K1113" s="15">
        <f>Assumptions!$Q$174</f>
        <v>2613</v>
      </c>
      <c r="L1113" s="42">
        <f>INDEX(Assumptions!$C$61:$C$90,D1113)</f>
        <v>3050.8642857142859</v>
      </c>
      <c r="M1113" s="43">
        <f>IF(D1113&lt;=Assumptions!$G$174,Assumptions!$AK$174,IF(D1113&lt;Assumptions!$AH$174,Assumptions!$AK$174+(Assumptions!$AL$174-Assumptions!$AK$174)*(D1113-Assumptions!$G$174)/(Assumptions!$AH$174-Assumptions!$G$174),IF(D1113&lt;Assumptions!$P$174,Assumptions!$AL$174+(Assumptions!$AM$174-Assumptions!$AL$174)*(D1113-Assumptions!$AH$174)/(Assumptions!$P$174-Assumptions!$AH$174),Assumptions!$AM$174)))</f>
        <v>-37500</v>
      </c>
      <c r="N1113" s="44">
        <f t="shared" si="34"/>
        <v>-55.309734513274336</v>
      </c>
      <c r="O1113" s="45">
        <f t="shared" si="35"/>
        <v>2996</v>
      </c>
      <c r="P1113" s="14" t="str">
        <f>IF(D1113&gt;=Assumptions!$P$174,"High",IF(D1113&gt;=Assumptions!$AH$174,"Mid",IF(D1113&lt;=Assumptions!$G$174,"Low","Loading")))</f>
        <v>High</v>
      </c>
      <c r="Q1113" s="46">
        <f>MAX(K1113,MIN(Assumptions!$S$174,O1113),Q1114)</f>
        <v>2996</v>
      </c>
      <c r="R1113" s="12">
        <f>IF(AND(Q1113&lt;=K1113,INDEX(Assumptions!$C$26:$C$36,MATCH(G1113,Assumptions!$A$26:$A$36,0))&lt;&gt;""),INDEX(Assumptions!$C$26:$C$36,MATCH(G1113,Assumptions!$A$26:$A$36,0)),ROUND(G1113*Q1113,-2))</f>
        <v>2031300</v>
      </c>
      <c r="S1113" s="47" t="str">
        <f>TRIM(IF(AND(Assumptions!$L$174&lt;&gt;"",D1113&lt;Assumptions!$L$174),"View blocked / roof in front ("&amp;Assumptions!$M$174&amp;"); view premium still loading until L"&amp;Assumptions!$L$174&amp;". ","")&amp;IF(D1113=Assumptions!$AH$174,"Mid-floor view premium fully loaded. ","")&amp;IF(D1113=Assumptions!$P$174,"High-floor view premium fully loaded. ","")&amp;IF(Q1113&lt;=K1113,"At developer starting price.",""))</f>
        <v/>
      </c>
      <c r="T1113" s="48" t="str">
        <f>Assumptions!$AJ$174</f>
        <v>NE. Facing HDB, landed on the right; higher floors may see Kwang Ming San</v>
      </c>
    </row>
    <row r="1114" spans="1:20" x14ac:dyDescent="0.2">
      <c r="A1114" s="13" t="s">
        <v>1291</v>
      </c>
      <c r="B1114" s="14">
        <v>11</v>
      </c>
      <c r="C1114" s="40">
        <v>48</v>
      </c>
      <c r="D1114" s="40">
        <v>20</v>
      </c>
      <c r="E1114" s="9" t="s">
        <v>43</v>
      </c>
      <c r="F1114" s="14" t="s">
        <v>1290</v>
      </c>
      <c r="G1114" s="10">
        <v>678</v>
      </c>
      <c r="H1114" s="14" t="s">
        <v>62</v>
      </c>
      <c r="I1114" s="41" t="str">
        <f>Assumptions!$I$174</f>
        <v>E</v>
      </c>
      <c r="J1114" s="14" t="str">
        <f>IF(D1114&lt;=Assumptions!$V$174,"Low",IF(D1114&lt;=Assumptions!$W$174,"Mid","High"))</f>
        <v>High</v>
      </c>
      <c r="K1114" s="15">
        <f>Assumptions!$Q$174</f>
        <v>2613</v>
      </c>
      <c r="L1114" s="42">
        <f>INDEX(Assumptions!$C$61:$C$90,D1114)</f>
        <v>3028.0785714285716</v>
      </c>
      <c r="M1114" s="43">
        <f>IF(D1114&lt;=Assumptions!$G$174,Assumptions!$AK$174,IF(D1114&lt;Assumptions!$AH$174,Assumptions!$AK$174+(Assumptions!$AL$174-Assumptions!$AK$174)*(D1114-Assumptions!$G$174)/(Assumptions!$AH$174-Assumptions!$G$174),IF(D1114&lt;Assumptions!$P$174,Assumptions!$AL$174+(Assumptions!$AM$174-Assumptions!$AL$174)*(D1114-Assumptions!$AH$174)/(Assumptions!$P$174-Assumptions!$AH$174),Assumptions!$AM$174)))</f>
        <v>-37500</v>
      </c>
      <c r="N1114" s="44">
        <f t="shared" si="34"/>
        <v>-55.309734513274336</v>
      </c>
      <c r="O1114" s="45">
        <f t="shared" si="35"/>
        <v>2973</v>
      </c>
      <c r="P1114" s="14" t="str">
        <f>IF(D1114&gt;=Assumptions!$P$174,"High",IF(D1114&gt;=Assumptions!$AH$174,"Mid",IF(D1114&lt;=Assumptions!$G$174,"Low","Loading")))</f>
        <v>High</v>
      </c>
      <c r="Q1114" s="46">
        <f>MAX(K1114,MIN(Assumptions!$S$174,O1114),Q1115)</f>
        <v>2973</v>
      </c>
      <c r="R1114" s="12">
        <f>IF(AND(Q1114&lt;=K1114,INDEX(Assumptions!$C$26:$C$36,MATCH(G1114,Assumptions!$A$26:$A$36,0))&lt;&gt;""),INDEX(Assumptions!$C$26:$C$36,MATCH(G1114,Assumptions!$A$26:$A$36,0)),ROUND(G1114*Q1114,-2))</f>
        <v>2015700</v>
      </c>
      <c r="S1114" s="47" t="str">
        <f>TRIM(IF(AND(Assumptions!$L$174&lt;&gt;"",D1114&lt;Assumptions!$L$174),"View blocked / roof in front ("&amp;Assumptions!$M$174&amp;"); view premium still loading until L"&amp;Assumptions!$L$174&amp;". ","")&amp;IF(D1114=Assumptions!$AH$174,"Mid-floor view premium fully loaded. ","")&amp;IF(D1114=Assumptions!$P$174,"High-floor view premium fully loaded. ","")&amp;IF(Q1114&lt;=K1114,"At developer starting price.",""))</f>
        <v/>
      </c>
      <c r="T1114" s="48" t="str">
        <f>Assumptions!$AJ$174</f>
        <v>NE. Facing HDB, landed on the right; higher floors may see Kwang Ming San</v>
      </c>
    </row>
    <row r="1115" spans="1:20" x14ac:dyDescent="0.2">
      <c r="A1115" s="13" t="s">
        <v>1292</v>
      </c>
      <c r="B1115" s="14">
        <v>11</v>
      </c>
      <c r="C1115" s="40">
        <v>48</v>
      </c>
      <c r="D1115" s="40">
        <v>19</v>
      </c>
      <c r="E1115" s="9" t="s">
        <v>43</v>
      </c>
      <c r="F1115" s="14" t="s">
        <v>1290</v>
      </c>
      <c r="G1115" s="10">
        <v>678</v>
      </c>
      <c r="H1115" s="14" t="s">
        <v>62</v>
      </c>
      <c r="I1115" s="41" t="str">
        <f>Assumptions!$I$174</f>
        <v>E</v>
      </c>
      <c r="J1115" s="14" t="str">
        <f>IF(D1115&lt;=Assumptions!$V$174,"Low",IF(D1115&lt;=Assumptions!$W$174,"Mid","High"))</f>
        <v>High</v>
      </c>
      <c r="K1115" s="15">
        <f>Assumptions!$Q$174</f>
        <v>2613</v>
      </c>
      <c r="L1115" s="42">
        <f>INDEX(Assumptions!$C$61:$C$90,D1115)</f>
        <v>3005.2928571428574</v>
      </c>
      <c r="M1115" s="43">
        <f>IF(D1115&lt;=Assumptions!$G$174,Assumptions!$AK$174,IF(D1115&lt;Assumptions!$AH$174,Assumptions!$AK$174+(Assumptions!$AL$174-Assumptions!$AK$174)*(D1115-Assumptions!$G$174)/(Assumptions!$AH$174-Assumptions!$G$174),IF(D1115&lt;Assumptions!$P$174,Assumptions!$AL$174+(Assumptions!$AM$174-Assumptions!$AL$174)*(D1115-Assumptions!$AH$174)/(Assumptions!$P$174-Assumptions!$AH$174),Assumptions!$AM$174)))</f>
        <v>-37500</v>
      </c>
      <c r="N1115" s="44">
        <f t="shared" si="34"/>
        <v>-55.309734513274336</v>
      </c>
      <c r="O1115" s="45">
        <f t="shared" si="35"/>
        <v>2950</v>
      </c>
      <c r="P1115" s="14" t="str">
        <f>IF(D1115&gt;=Assumptions!$P$174,"High",IF(D1115&gt;=Assumptions!$AH$174,"Mid",IF(D1115&lt;=Assumptions!$G$174,"Low","Loading")))</f>
        <v>High</v>
      </c>
      <c r="Q1115" s="46">
        <f>MAX(K1115,MIN(Assumptions!$S$174,O1115),Q1116)</f>
        <v>2950</v>
      </c>
      <c r="R1115" s="12">
        <f>IF(AND(Q1115&lt;=K1115,INDEX(Assumptions!$C$26:$C$36,MATCH(G1115,Assumptions!$A$26:$A$36,0))&lt;&gt;""),INDEX(Assumptions!$C$26:$C$36,MATCH(G1115,Assumptions!$A$26:$A$36,0)),ROUND(G1115*Q1115,-2))</f>
        <v>2000100</v>
      </c>
      <c r="S1115" s="47" t="str">
        <f>TRIM(IF(AND(Assumptions!$L$174&lt;&gt;"",D1115&lt;Assumptions!$L$174),"View blocked / roof in front ("&amp;Assumptions!$M$174&amp;"); view premium still loading until L"&amp;Assumptions!$L$174&amp;". ","")&amp;IF(D1115=Assumptions!$AH$174,"Mid-floor view premium fully loaded. ","")&amp;IF(D1115=Assumptions!$P$174,"High-floor view premium fully loaded. ","")&amp;IF(Q1115&lt;=K1115,"At developer starting price.",""))</f>
        <v/>
      </c>
      <c r="T1115" s="48" t="str">
        <f>Assumptions!$AJ$174</f>
        <v>NE. Facing HDB, landed on the right; higher floors may see Kwang Ming San</v>
      </c>
    </row>
    <row r="1116" spans="1:20" x14ac:dyDescent="0.2">
      <c r="A1116" s="13" t="s">
        <v>1293</v>
      </c>
      <c r="B1116" s="14">
        <v>11</v>
      </c>
      <c r="C1116" s="40">
        <v>48</v>
      </c>
      <c r="D1116" s="40">
        <v>18</v>
      </c>
      <c r="E1116" s="9" t="s">
        <v>43</v>
      </c>
      <c r="F1116" s="14" t="s">
        <v>1290</v>
      </c>
      <c r="G1116" s="10">
        <v>678</v>
      </c>
      <c r="H1116" s="14" t="s">
        <v>62</v>
      </c>
      <c r="I1116" s="41" t="str">
        <f>Assumptions!$I$174</f>
        <v>E</v>
      </c>
      <c r="J1116" s="14" t="str">
        <f>IF(D1116&lt;=Assumptions!$V$174,"Low",IF(D1116&lt;=Assumptions!$W$174,"Mid","High"))</f>
        <v>High</v>
      </c>
      <c r="K1116" s="15">
        <f>Assumptions!$Q$174</f>
        <v>2613</v>
      </c>
      <c r="L1116" s="42">
        <f>INDEX(Assumptions!$C$61:$C$90,D1116)</f>
        <v>2982.5071428571428</v>
      </c>
      <c r="M1116" s="43">
        <f>IF(D1116&lt;=Assumptions!$G$174,Assumptions!$AK$174,IF(D1116&lt;Assumptions!$AH$174,Assumptions!$AK$174+(Assumptions!$AL$174-Assumptions!$AK$174)*(D1116-Assumptions!$G$174)/(Assumptions!$AH$174-Assumptions!$G$174),IF(D1116&lt;Assumptions!$P$174,Assumptions!$AL$174+(Assumptions!$AM$174-Assumptions!$AL$174)*(D1116-Assumptions!$AH$174)/(Assumptions!$P$174-Assumptions!$AH$174),Assumptions!$AM$174)))</f>
        <v>-37500</v>
      </c>
      <c r="N1116" s="44">
        <f t="shared" si="34"/>
        <v>-55.309734513274336</v>
      </c>
      <c r="O1116" s="45">
        <f t="shared" si="35"/>
        <v>2927</v>
      </c>
      <c r="P1116" s="14" t="str">
        <f>IF(D1116&gt;=Assumptions!$P$174,"High",IF(D1116&gt;=Assumptions!$AH$174,"Mid",IF(D1116&lt;=Assumptions!$G$174,"Low","Loading")))</f>
        <v>High</v>
      </c>
      <c r="Q1116" s="46">
        <f>MAX(K1116,MIN(Assumptions!$S$174,O1116),Q1117)</f>
        <v>2927</v>
      </c>
      <c r="R1116" s="12">
        <f>IF(AND(Q1116&lt;=K1116,INDEX(Assumptions!$C$26:$C$36,MATCH(G1116,Assumptions!$A$26:$A$36,0))&lt;&gt;""),INDEX(Assumptions!$C$26:$C$36,MATCH(G1116,Assumptions!$A$26:$A$36,0)),ROUND(G1116*Q1116,-2))</f>
        <v>1984500</v>
      </c>
      <c r="S1116" s="47" t="str">
        <f>TRIM(IF(AND(Assumptions!$L$174&lt;&gt;"",D1116&lt;Assumptions!$L$174),"View blocked / roof in front ("&amp;Assumptions!$M$174&amp;"); view premium still loading until L"&amp;Assumptions!$L$174&amp;". ","")&amp;IF(D1116=Assumptions!$AH$174,"Mid-floor view premium fully loaded. ","")&amp;IF(D1116=Assumptions!$P$174,"High-floor view premium fully loaded. ","")&amp;IF(Q1116&lt;=K1116,"At developer starting price.",""))</f>
        <v/>
      </c>
      <c r="T1116" s="48" t="str">
        <f>Assumptions!$AJ$174</f>
        <v>NE. Facing HDB, landed on the right; higher floors may see Kwang Ming San</v>
      </c>
    </row>
    <row r="1117" spans="1:20" x14ac:dyDescent="0.2">
      <c r="A1117" s="13" t="s">
        <v>1294</v>
      </c>
      <c r="B1117" s="14">
        <v>11</v>
      </c>
      <c r="C1117" s="40">
        <v>48</v>
      </c>
      <c r="D1117" s="40">
        <v>17</v>
      </c>
      <c r="E1117" s="9" t="s">
        <v>43</v>
      </c>
      <c r="F1117" s="14" t="s">
        <v>1290</v>
      </c>
      <c r="G1117" s="10">
        <v>678</v>
      </c>
      <c r="H1117" s="14" t="s">
        <v>62</v>
      </c>
      <c r="I1117" s="41" t="str">
        <f>Assumptions!$I$174</f>
        <v>E</v>
      </c>
      <c r="J1117" s="14" t="str">
        <f>IF(D1117&lt;=Assumptions!$V$174,"Low",IF(D1117&lt;=Assumptions!$W$174,"Mid","High"))</f>
        <v>High</v>
      </c>
      <c r="K1117" s="15">
        <f>Assumptions!$Q$174</f>
        <v>2613</v>
      </c>
      <c r="L1117" s="42">
        <f>INDEX(Assumptions!$C$61:$C$90,D1117)</f>
        <v>2959.7214285714285</v>
      </c>
      <c r="M1117" s="43">
        <f>IF(D1117&lt;=Assumptions!$G$174,Assumptions!$AK$174,IF(D1117&lt;Assumptions!$AH$174,Assumptions!$AK$174+(Assumptions!$AL$174-Assumptions!$AK$174)*(D1117-Assumptions!$G$174)/(Assumptions!$AH$174-Assumptions!$G$174),IF(D1117&lt;Assumptions!$P$174,Assumptions!$AL$174+(Assumptions!$AM$174-Assumptions!$AL$174)*(D1117-Assumptions!$AH$174)/(Assumptions!$P$174-Assumptions!$AH$174),Assumptions!$AM$174)))</f>
        <v>-37500</v>
      </c>
      <c r="N1117" s="44">
        <f t="shared" si="34"/>
        <v>-55.309734513274336</v>
      </c>
      <c r="O1117" s="45">
        <f t="shared" si="35"/>
        <v>2904</v>
      </c>
      <c r="P1117" s="14" t="str">
        <f>IF(D1117&gt;=Assumptions!$P$174,"High",IF(D1117&gt;=Assumptions!$AH$174,"Mid",IF(D1117&lt;=Assumptions!$G$174,"Low","Loading")))</f>
        <v>High</v>
      </c>
      <c r="Q1117" s="46">
        <f>MAX(K1117,MIN(Assumptions!$S$174,O1117),Q1118)</f>
        <v>2904</v>
      </c>
      <c r="R1117" s="12">
        <f>IF(AND(Q1117&lt;=K1117,INDEX(Assumptions!$C$26:$C$36,MATCH(G1117,Assumptions!$A$26:$A$36,0))&lt;&gt;""),INDEX(Assumptions!$C$26:$C$36,MATCH(G1117,Assumptions!$A$26:$A$36,0)),ROUND(G1117*Q1117,-2))</f>
        <v>1968900</v>
      </c>
      <c r="S1117" s="47" t="str">
        <f>TRIM(IF(AND(Assumptions!$L$174&lt;&gt;"",D1117&lt;Assumptions!$L$174),"View blocked / roof in front ("&amp;Assumptions!$M$174&amp;"); view premium still loading until L"&amp;Assumptions!$L$174&amp;". ","")&amp;IF(D1117=Assumptions!$AH$174,"Mid-floor view premium fully loaded. ","")&amp;IF(D1117=Assumptions!$P$174,"High-floor view premium fully loaded. ","")&amp;IF(Q1117&lt;=K1117,"At developer starting price.",""))</f>
        <v/>
      </c>
      <c r="T1117" s="48" t="str">
        <f>Assumptions!$AJ$174</f>
        <v>NE. Facing HDB, landed on the right; higher floors may see Kwang Ming San</v>
      </c>
    </row>
    <row r="1118" spans="1:20" x14ac:dyDescent="0.2">
      <c r="A1118" s="13" t="s">
        <v>1295</v>
      </c>
      <c r="B1118" s="14">
        <v>11</v>
      </c>
      <c r="C1118" s="40">
        <v>48</v>
      </c>
      <c r="D1118" s="40">
        <v>16</v>
      </c>
      <c r="E1118" s="9" t="s">
        <v>43</v>
      </c>
      <c r="F1118" s="14" t="s">
        <v>1290</v>
      </c>
      <c r="G1118" s="10">
        <v>678</v>
      </c>
      <c r="H1118" s="14" t="s">
        <v>62</v>
      </c>
      <c r="I1118" s="41" t="str">
        <f>Assumptions!$I$174</f>
        <v>E</v>
      </c>
      <c r="J1118" s="14" t="str">
        <f>IF(D1118&lt;=Assumptions!$V$174,"Low",IF(D1118&lt;=Assumptions!$W$174,"Mid","High"))</f>
        <v>High</v>
      </c>
      <c r="K1118" s="15">
        <f>Assumptions!$Q$174</f>
        <v>2613</v>
      </c>
      <c r="L1118" s="42">
        <f>INDEX(Assumptions!$C$61:$C$90,D1118)</f>
        <v>2936.9357142857143</v>
      </c>
      <c r="M1118" s="43">
        <f>IF(D1118&lt;=Assumptions!$G$174,Assumptions!$AK$174,IF(D1118&lt;Assumptions!$AH$174,Assumptions!$AK$174+(Assumptions!$AL$174-Assumptions!$AK$174)*(D1118-Assumptions!$G$174)/(Assumptions!$AH$174-Assumptions!$G$174),IF(D1118&lt;Assumptions!$P$174,Assumptions!$AL$174+(Assumptions!$AM$174-Assumptions!$AL$174)*(D1118-Assumptions!$AH$174)/(Assumptions!$P$174-Assumptions!$AH$174),Assumptions!$AM$174)))</f>
        <v>-37500</v>
      </c>
      <c r="N1118" s="44">
        <f t="shared" si="34"/>
        <v>-55.309734513274336</v>
      </c>
      <c r="O1118" s="45">
        <f t="shared" si="35"/>
        <v>2882</v>
      </c>
      <c r="P1118" s="14" t="str">
        <f>IF(D1118&gt;=Assumptions!$P$174,"High",IF(D1118&gt;=Assumptions!$AH$174,"Mid",IF(D1118&lt;=Assumptions!$G$174,"Low","Loading")))</f>
        <v>High</v>
      </c>
      <c r="Q1118" s="46">
        <f>MAX(K1118,MIN(Assumptions!$S$174,O1118),Q1119)</f>
        <v>2882</v>
      </c>
      <c r="R1118" s="12">
        <f>IF(AND(Q1118&lt;=K1118,INDEX(Assumptions!$C$26:$C$36,MATCH(G1118,Assumptions!$A$26:$A$36,0))&lt;&gt;""),INDEX(Assumptions!$C$26:$C$36,MATCH(G1118,Assumptions!$A$26:$A$36,0)),ROUND(G1118*Q1118,-2))</f>
        <v>1954000</v>
      </c>
      <c r="S1118" s="47" t="str">
        <f>TRIM(IF(AND(Assumptions!$L$174&lt;&gt;"",D1118&lt;Assumptions!$L$174),"View blocked / roof in front ("&amp;Assumptions!$M$174&amp;"); view premium still loading until L"&amp;Assumptions!$L$174&amp;". ","")&amp;IF(D1118=Assumptions!$AH$174,"Mid-floor view premium fully loaded. ","")&amp;IF(D1118=Assumptions!$P$174,"High-floor view premium fully loaded. ","")&amp;IF(Q1118&lt;=K1118,"At developer starting price.",""))</f>
        <v>High-floor view premium fully loaded.</v>
      </c>
      <c r="T1118" s="48" t="str">
        <f>Assumptions!$AJ$174</f>
        <v>NE. Facing HDB, landed on the right; higher floors may see Kwang Ming San</v>
      </c>
    </row>
    <row r="1119" spans="1:20" x14ac:dyDescent="0.2">
      <c r="A1119" s="13" t="s">
        <v>1296</v>
      </c>
      <c r="B1119" s="14">
        <v>11</v>
      </c>
      <c r="C1119" s="40">
        <v>48</v>
      </c>
      <c r="D1119" s="40">
        <v>15</v>
      </c>
      <c r="E1119" s="9" t="s">
        <v>43</v>
      </c>
      <c r="F1119" s="14" t="s">
        <v>1290</v>
      </c>
      <c r="G1119" s="10">
        <v>678</v>
      </c>
      <c r="H1119" s="14" t="s">
        <v>62</v>
      </c>
      <c r="I1119" s="41" t="str">
        <f>Assumptions!$I$174</f>
        <v>E</v>
      </c>
      <c r="J1119" s="14" t="str">
        <f>IF(D1119&lt;=Assumptions!$V$174,"Low",IF(D1119&lt;=Assumptions!$W$174,"Mid","High"))</f>
        <v>Mid</v>
      </c>
      <c r="K1119" s="15">
        <f>Assumptions!$Q$174</f>
        <v>2613</v>
      </c>
      <c r="L1119" s="42">
        <f>INDEX(Assumptions!$C$61:$C$90,D1119)</f>
        <v>2914.15</v>
      </c>
      <c r="M1119" s="43">
        <f>IF(D1119&lt;=Assumptions!$G$174,Assumptions!$AK$174,IF(D1119&lt;Assumptions!$AH$174,Assumptions!$AK$174+(Assumptions!$AL$174-Assumptions!$AK$174)*(D1119-Assumptions!$G$174)/(Assumptions!$AH$174-Assumptions!$G$174),IF(D1119&lt;Assumptions!$P$174,Assumptions!$AL$174+(Assumptions!$AM$174-Assumptions!$AL$174)*(D1119-Assumptions!$AH$174)/(Assumptions!$P$174-Assumptions!$AH$174),Assumptions!$AM$174)))</f>
        <v>-38020.833333333336</v>
      </c>
      <c r="N1119" s="44">
        <f t="shared" si="34"/>
        <v>-56.077925270403149</v>
      </c>
      <c r="O1119" s="45">
        <f t="shared" si="35"/>
        <v>2858</v>
      </c>
      <c r="P1119" s="14" t="str">
        <f>IF(D1119&gt;=Assumptions!$P$174,"High",IF(D1119&gt;=Assumptions!$AH$174,"Mid",IF(D1119&lt;=Assumptions!$G$174,"Low","Loading")))</f>
        <v>Mid</v>
      </c>
      <c r="Q1119" s="46">
        <f>MAX(K1119,MIN(Assumptions!$S$174,O1119),Q1120)</f>
        <v>2858</v>
      </c>
      <c r="R1119" s="12">
        <f>IF(AND(Q1119&lt;=K1119,INDEX(Assumptions!$C$26:$C$36,MATCH(G1119,Assumptions!$A$26:$A$36,0))&lt;&gt;""),INDEX(Assumptions!$C$26:$C$36,MATCH(G1119,Assumptions!$A$26:$A$36,0)),ROUND(G1119*Q1119,-2))</f>
        <v>1937700</v>
      </c>
      <c r="S1119" s="47" t="str">
        <f>TRIM(IF(AND(Assumptions!$L$174&lt;&gt;"",D1119&lt;Assumptions!$L$174),"View blocked / roof in front ("&amp;Assumptions!$M$174&amp;"); view premium still loading until L"&amp;Assumptions!$L$174&amp;". ","")&amp;IF(D1119=Assumptions!$AH$174,"Mid-floor view premium fully loaded. ","")&amp;IF(D1119=Assumptions!$P$174,"High-floor view premium fully loaded. ","")&amp;IF(Q1119&lt;=K1119,"At developer starting price.",""))</f>
        <v/>
      </c>
      <c r="T1119" s="48" t="str">
        <f>Assumptions!$AJ$174</f>
        <v>NE. Facing HDB, landed on the right; higher floors may see Kwang Ming San</v>
      </c>
    </row>
    <row r="1120" spans="1:20" x14ac:dyDescent="0.2">
      <c r="A1120" s="13" t="s">
        <v>1297</v>
      </c>
      <c r="B1120" s="14">
        <v>11</v>
      </c>
      <c r="C1120" s="40">
        <v>48</v>
      </c>
      <c r="D1120" s="40">
        <v>14</v>
      </c>
      <c r="E1120" s="9" t="s">
        <v>43</v>
      </c>
      <c r="F1120" s="14" t="s">
        <v>1290</v>
      </c>
      <c r="G1120" s="10">
        <v>678</v>
      </c>
      <c r="H1120" s="14" t="s">
        <v>62</v>
      </c>
      <c r="I1120" s="41" t="str">
        <f>Assumptions!$I$174</f>
        <v>E</v>
      </c>
      <c r="J1120" s="14" t="str">
        <f>IF(D1120&lt;=Assumptions!$V$174,"Low",IF(D1120&lt;=Assumptions!$W$174,"Mid","High"))</f>
        <v>Mid</v>
      </c>
      <c r="K1120" s="15">
        <f>Assumptions!$Q$174</f>
        <v>2613</v>
      </c>
      <c r="L1120" s="42">
        <f>INDEX(Assumptions!$C$61:$C$90,D1120)</f>
        <v>2891.3642857142859</v>
      </c>
      <c r="M1120" s="43">
        <f>IF(D1120&lt;=Assumptions!$G$174,Assumptions!$AK$174,IF(D1120&lt;Assumptions!$AH$174,Assumptions!$AK$174+(Assumptions!$AL$174-Assumptions!$AK$174)*(D1120-Assumptions!$G$174)/(Assumptions!$AH$174-Assumptions!$G$174),IF(D1120&lt;Assumptions!$P$174,Assumptions!$AL$174+(Assumptions!$AM$174-Assumptions!$AL$174)*(D1120-Assumptions!$AH$174)/(Assumptions!$P$174-Assumptions!$AH$174),Assumptions!$AM$174)))</f>
        <v>-38541.666666666664</v>
      </c>
      <c r="N1120" s="44">
        <f t="shared" si="34"/>
        <v>-56.846116027531956</v>
      </c>
      <c r="O1120" s="45">
        <f t="shared" si="35"/>
        <v>2835</v>
      </c>
      <c r="P1120" s="14" t="str">
        <f>IF(D1120&gt;=Assumptions!$P$174,"High",IF(D1120&gt;=Assumptions!$AH$174,"Mid",IF(D1120&lt;=Assumptions!$G$174,"Low","Loading")))</f>
        <v>Mid</v>
      </c>
      <c r="Q1120" s="46">
        <f>MAX(K1120,MIN(Assumptions!$S$174,O1120),Q1121)</f>
        <v>2835</v>
      </c>
      <c r="R1120" s="12">
        <f>IF(AND(Q1120&lt;=K1120,INDEX(Assumptions!$C$26:$C$36,MATCH(G1120,Assumptions!$A$26:$A$36,0))&lt;&gt;""),INDEX(Assumptions!$C$26:$C$36,MATCH(G1120,Assumptions!$A$26:$A$36,0)),ROUND(G1120*Q1120,-2))</f>
        <v>1922100</v>
      </c>
      <c r="S1120" s="47" t="str">
        <f>TRIM(IF(AND(Assumptions!$L$174&lt;&gt;"",D1120&lt;Assumptions!$L$174),"View blocked / roof in front ("&amp;Assumptions!$M$174&amp;"); view premium still loading until L"&amp;Assumptions!$L$174&amp;". ","")&amp;IF(D1120=Assumptions!$AH$174,"Mid-floor view premium fully loaded. ","")&amp;IF(D1120=Assumptions!$P$174,"High-floor view premium fully loaded. ","")&amp;IF(Q1120&lt;=K1120,"At developer starting price.",""))</f>
        <v/>
      </c>
      <c r="T1120" s="48" t="str">
        <f>Assumptions!$AJ$174</f>
        <v>NE. Facing HDB, landed on the right; higher floors may see Kwang Ming San</v>
      </c>
    </row>
    <row r="1121" spans="1:20" x14ac:dyDescent="0.2">
      <c r="A1121" s="13" t="s">
        <v>1298</v>
      </c>
      <c r="B1121" s="14">
        <v>11</v>
      </c>
      <c r="C1121" s="40">
        <v>48</v>
      </c>
      <c r="D1121" s="40">
        <v>13</v>
      </c>
      <c r="E1121" s="9" t="s">
        <v>43</v>
      </c>
      <c r="F1121" s="14" t="s">
        <v>1290</v>
      </c>
      <c r="G1121" s="10">
        <v>678</v>
      </c>
      <c r="H1121" s="14" t="s">
        <v>62</v>
      </c>
      <c r="I1121" s="41" t="str">
        <f>Assumptions!$I$174</f>
        <v>E</v>
      </c>
      <c r="J1121" s="14" t="str">
        <f>IF(D1121&lt;=Assumptions!$V$174,"Low",IF(D1121&lt;=Assumptions!$W$174,"Mid","High"))</f>
        <v>Mid</v>
      </c>
      <c r="K1121" s="15">
        <f>Assumptions!$Q$174</f>
        <v>2613</v>
      </c>
      <c r="L1121" s="42">
        <f>INDEX(Assumptions!$C$61:$C$90,D1121)</f>
        <v>2868.5785714285716</v>
      </c>
      <c r="M1121" s="43">
        <f>IF(D1121&lt;=Assumptions!$G$174,Assumptions!$AK$174,IF(D1121&lt;Assumptions!$AH$174,Assumptions!$AK$174+(Assumptions!$AL$174-Assumptions!$AK$174)*(D1121-Assumptions!$G$174)/(Assumptions!$AH$174-Assumptions!$G$174),IF(D1121&lt;Assumptions!$P$174,Assumptions!$AL$174+(Assumptions!$AM$174-Assumptions!$AL$174)*(D1121-Assumptions!$AH$174)/(Assumptions!$P$174-Assumptions!$AH$174),Assumptions!$AM$174)))</f>
        <v>-39062.5</v>
      </c>
      <c r="N1121" s="44">
        <f t="shared" si="34"/>
        <v>-57.614306784660769</v>
      </c>
      <c r="O1121" s="45">
        <f t="shared" si="35"/>
        <v>2811</v>
      </c>
      <c r="P1121" s="14" t="str">
        <f>IF(D1121&gt;=Assumptions!$P$174,"High",IF(D1121&gt;=Assumptions!$AH$174,"Mid",IF(D1121&lt;=Assumptions!$G$174,"Low","Loading")))</f>
        <v>Mid</v>
      </c>
      <c r="Q1121" s="46">
        <f>MAX(K1121,MIN(Assumptions!$S$174,O1121),Q1122)</f>
        <v>2811</v>
      </c>
      <c r="R1121" s="12">
        <f>IF(AND(Q1121&lt;=K1121,INDEX(Assumptions!$C$26:$C$36,MATCH(G1121,Assumptions!$A$26:$A$36,0))&lt;&gt;""),INDEX(Assumptions!$C$26:$C$36,MATCH(G1121,Assumptions!$A$26:$A$36,0)),ROUND(G1121*Q1121,-2))</f>
        <v>1905900</v>
      </c>
      <c r="S1121" s="47" t="str">
        <f>TRIM(IF(AND(Assumptions!$L$174&lt;&gt;"",D1121&lt;Assumptions!$L$174),"View blocked / roof in front ("&amp;Assumptions!$M$174&amp;"); view premium still loading until L"&amp;Assumptions!$L$174&amp;". ","")&amp;IF(D1121=Assumptions!$AH$174,"Mid-floor view premium fully loaded. ","")&amp;IF(D1121=Assumptions!$P$174,"High-floor view premium fully loaded. ","")&amp;IF(Q1121&lt;=K1121,"At developer starting price.",""))</f>
        <v/>
      </c>
      <c r="T1121" s="48" t="str">
        <f>Assumptions!$AJ$174</f>
        <v>NE. Facing HDB, landed on the right; higher floors may see Kwang Ming San</v>
      </c>
    </row>
    <row r="1122" spans="1:20" x14ac:dyDescent="0.2">
      <c r="A1122" s="13" t="s">
        <v>1299</v>
      </c>
      <c r="B1122" s="14">
        <v>11</v>
      </c>
      <c r="C1122" s="40">
        <v>48</v>
      </c>
      <c r="D1122" s="40">
        <v>12</v>
      </c>
      <c r="E1122" s="9" t="s">
        <v>43</v>
      </c>
      <c r="F1122" s="14" t="s">
        <v>1290</v>
      </c>
      <c r="G1122" s="10">
        <v>678</v>
      </c>
      <c r="H1122" s="14" t="s">
        <v>62</v>
      </c>
      <c r="I1122" s="41" t="str">
        <f>Assumptions!$I$174</f>
        <v>E</v>
      </c>
      <c r="J1122" s="14" t="str">
        <f>IF(D1122&lt;=Assumptions!$V$174,"Low",IF(D1122&lt;=Assumptions!$W$174,"Mid","High"))</f>
        <v>Mid</v>
      </c>
      <c r="K1122" s="15">
        <f>Assumptions!$Q$174</f>
        <v>2613</v>
      </c>
      <c r="L1122" s="42">
        <f>INDEX(Assumptions!$C$61:$C$90,D1122)</f>
        <v>2845.7928571428574</v>
      </c>
      <c r="M1122" s="43">
        <f>IF(D1122&lt;=Assumptions!$G$174,Assumptions!$AK$174,IF(D1122&lt;Assumptions!$AH$174,Assumptions!$AK$174+(Assumptions!$AL$174-Assumptions!$AK$174)*(D1122-Assumptions!$G$174)/(Assumptions!$AH$174-Assumptions!$G$174),IF(D1122&lt;Assumptions!$P$174,Assumptions!$AL$174+(Assumptions!$AM$174-Assumptions!$AL$174)*(D1122-Assumptions!$AH$174)/(Assumptions!$P$174-Assumptions!$AH$174),Assumptions!$AM$174)))</f>
        <v>-39583.333333333328</v>
      </c>
      <c r="N1122" s="44">
        <f t="shared" si="34"/>
        <v>-58.382497541789569</v>
      </c>
      <c r="O1122" s="45">
        <f t="shared" si="35"/>
        <v>2787</v>
      </c>
      <c r="P1122" s="14" t="str">
        <f>IF(D1122&gt;=Assumptions!$P$174,"High",IF(D1122&gt;=Assumptions!$AH$174,"Mid",IF(D1122&lt;=Assumptions!$G$174,"Low","Loading")))</f>
        <v>Mid</v>
      </c>
      <c r="Q1122" s="46">
        <f>MAX(K1122,MIN(Assumptions!$S$174,O1122),Q1123)</f>
        <v>2787</v>
      </c>
      <c r="R1122" s="12">
        <f>IF(AND(Q1122&lt;=K1122,INDEX(Assumptions!$C$26:$C$36,MATCH(G1122,Assumptions!$A$26:$A$36,0))&lt;&gt;""),INDEX(Assumptions!$C$26:$C$36,MATCH(G1122,Assumptions!$A$26:$A$36,0)),ROUND(G1122*Q1122,-2))</f>
        <v>1889600</v>
      </c>
      <c r="S1122" s="47" t="str">
        <f>TRIM(IF(AND(Assumptions!$L$174&lt;&gt;"",D1122&lt;Assumptions!$L$174),"View blocked / roof in front ("&amp;Assumptions!$M$174&amp;"); view premium still loading until L"&amp;Assumptions!$L$174&amp;". ","")&amp;IF(D1122=Assumptions!$AH$174,"Mid-floor view premium fully loaded. ","")&amp;IF(D1122=Assumptions!$P$174,"High-floor view premium fully loaded. ","")&amp;IF(Q1122&lt;=K1122,"At developer starting price.",""))</f>
        <v/>
      </c>
      <c r="T1122" s="48" t="str">
        <f>Assumptions!$AJ$174</f>
        <v>NE. Facing HDB, landed on the right; higher floors may see Kwang Ming San</v>
      </c>
    </row>
    <row r="1123" spans="1:20" x14ac:dyDescent="0.2">
      <c r="A1123" s="13" t="s">
        <v>1300</v>
      </c>
      <c r="B1123" s="14">
        <v>11</v>
      </c>
      <c r="C1123" s="40">
        <v>48</v>
      </c>
      <c r="D1123" s="40">
        <v>11</v>
      </c>
      <c r="E1123" s="9" t="s">
        <v>43</v>
      </c>
      <c r="F1123" s="14" t="s">
        <v>1290</v>
      </c>
      <c r="G1123" s="10">
        <v>678</v>
      </c>
      <c r="H1123" s="14" t="s">
        <v>62</v>
      </c>
      <c r="I1123" s="41" t="str">
        <f>Assumptions!$I$174</f>
        <v>E</v>
      </c>
      <c r="J1123" s="14" t="str">
        <f>IF(D1123&lt;=Assumptions!$V$174,"Low",IF(D1123&lt;=Assumptions!$W$174,"Mid","High"))</f>
        <v>Mid</v>
      </c>
      <c r="K1123" s="15">
        <f>Assumptions!$Q$174</f>
        <v>2613</v>
      </c>
      <c r="L1123" s="42">
        <f>INDEX(Assumptions!$C$61:$C$90,D1123)</f>
        <v>2826.6287532991773</v>
      </c>
      <c r="M1123" s="43">
        <f>IF(D1123&lt;=Assumptions!$G$174,Assumptions!$AK$174,IF(D1123&lt;Assumptions!$AH$174,Assumptions!$AK$174+(Assumptions!$AL$174-Assumptions!$AK$174)*(D1123-Assumptions!$G$174)/(Assumptions!$AH$174-Assumptions!$G$174),IF(D1123&lt;Assumptions!$P$174,Assumptions!$AL$174+(Assumptions!$AM$174-Assumptions!$AL$174)*(D1123-Assumptions!$AH$174)/(Assumptions!$P$174-Assumptions!$AH$174),Assumptions!$AM$174)))</f>
        <v>-40104.166666666664</v>
      </c>
      <c r="N1123" s="44">
        <f t="shared" si="34"/>
        <v>-59.150688298918382</v>
      </c>
      <c r="O1123" s="45">
        <f t="shared" si="35"/>
        <v>2767</v>
      </c>
      <c r="P1123" s="14" t="str">
        <f>IF(D1123&gt;=Assumptions!$P$174,"High",IF(D1123&gt;=Assumptions!$AH$174,"Mid",IF(D1123&lt;=Assumptions!$G$174,"Low","Loading")))</f>
        <v>Mid</v>
      </c>
      <c r="Q1123" s="46">
        <f>MAX(K1123,MIN(Assumptions!$S$174,O1123),Q1124)</f>
        <v>2767</v>
      </c>
      <c r="R1123" s="12">
        <f>IF(AND(Q1123&lt;=K1123,INDEX(Assumptions!$C$26:$C$36,MATCH(G1123,Assumptions!$A$26:$A$36,0))&lt;&gt;""),INDEX(Assumptions!$C$26:$C$36,MATCH(G1123,Assumptions!$A$26:$A$36,0)),ROUND(G1123*Q1123,-2))</f>
        <v>1876000</v>
      </c>
      <c r="S1123" s="47" t="str">
        <f>TRIM(IF(AND(Assumptions!$L$174&lt;&gt;"",D1123&lt;Assumptions!$L$174),"View blocked / roof in front ("&amp;Assumptions!$M$174&amp;"); view premium still loading until L"&amp;Assumptions!$L$174&amp;". ","")&amp;IF(D1123=Assumptions!$AH$174,"Mid-floor view premium fully loaded. ","")&amp;IF(D1123=Assumptions!$P$174,"High-floor view premium fully loaded. ","")&amp;IF(Q1123&lt;=K1123,"At developer starting price.",""))</f>
        <v/>
      </c>
      <c r="T1123" s="48" t="str">
        <f>Assumptions!$AJ$174</f>
        <v>NE. Facing HDB, landed on the right; higher floors may see Kwang Ming San</v>
      </c>
    </row>
    <row r="1124" spans="1:20" x14ac:dyDescent="0.2">
      <c r="A1124" s="13" t="s">
        <v>1301</v>
      </c>
      <c r="B1124" s="14">
        <v>11</v>
      </c>
      <c r="C1124" s="40">
        <v>48</v>
      </c>
      <c r="D1124" s="40">
        <v>10</v>
      </c>
      <c r="E1124" s="9" t="s">
        <v>43</v>
      </c>
      <c r="F1124" s="14" t="s">
        <v>1290</v>
      </c>
      <c r="G1124" s="10">
        <v>678</v>
      </c>
      <c r="H1124" s="14" t="s">
        <v>62</v>
      </c>
      <c r="I1124" s="41" t="str">
        <f>Assumptions!$I$174</f>
        <v>E</v>
      </c>
      <c r="J1124" s="14" t="str">
        <f>IF(D1124&lt;=Assumptions!$V$174,"Low",IF(D1124&lt;=Assumptions!$W$174,"Mid","High"))</f>
        <v>Mid</v>
      </c>
      <c r="K1124" s="15">
        <f>Assumptions!$Q$174</f>
        <v>2613</v>
      </c>
      <c r="L1124" s="42">
        <f>INDEX(Assumptions!$C$61:$C$90,D1124)</f>
        <v>2811.0862598975314</v>
      </c>
      <c r="M1124" s="43">
        <f>IF(D1124&lt;=Assumptions!$G$174,Assumptions!$AK$174,IF(D1124&lt;Assumptions!$AH$174,Assumptions!$AK$174+(Assumptions!$AL$174-Assumptions!$AK$174)*(D1124-Assumptions!$G$174)/(Assumptions!$AH$174-Assumptions!$G$174),IF(D1124&lt;Assumptions!$P$174,Assumptions!$AL$174+(Assumptions!$AM$174-Assumptions!$AL$174)*(D1124-Assumptions!$AH$174)/(Assumptions!$P$174-Assumptions!$AH$174),Assumptions!$AM$174)))</f>
        <v>-40625</v>
      </c>
      <c r="N1124" s="44">
        <f t="shared" si="34"/>
        <v>-59.918879056047196</v>
      </c>
      <c r="O1124" s="45">
        <f t="shared" si="35"/>
        <v>2751</v>
      </c>
      <c r="P1124" s="14" t="str">
        <f>IF(D1124&gt;=Assumptions!$P$174,"High",IF(D1124&gt;=Assumptions!$AH$174,"Mid",IF(D1124&lt;=Assumptions!$G$174,"Low","Loading")))</f>
        <v>Mid</v>
      </c>
      <c r="Q1124" s="46">
        <f>MAX(K1124,MIN(Assumptions!$S$174,O1124),Q1125)</f>
        <v>2751</v>
      </c>
      <c r="R1124" s="12">
        <f>IF(AND(Q1124&lt;=K1124,INDEX(Assumptions!$C$26:$C$36,MATCH(G1124,Assumptions!$A$26:$A$36,0))&lt;&gt;""),INDEX(Assumptions!$C$26:$C$36,MATCH(G1124,Assumptions!$A$26:$A$36,0)),ROUND(G1124*Q1124,-2))</f>
        <v>1865200</v>
      </c>
      <c r="S1124" s="47" t="str">
        <f>TRIM(IF(AND(Assumptions!$L$174&lt;&gt;"",D1124&lt;Assumptions!$L$174),"View blocked / roof in front ("&amp;Assumptions!$M$174&amp;"); view premium still loading until L"&amp;Assumptions!$L$174&amp;". ","")&amp;IF(D1124=Assumptions!$AH$174,"Mid-floor view premium fully loaded. ","")&amp;IF(D1124=Assumptions!$P$174,"High-floor view premium fully loaded. ","")&amp;IF(Q1124&lt;=K1124,"At developer starting price.",""))</f>
        <v/>
      </c>
      <c r="T1124" s="48" t="str">
        <f>Assumptions!$AJ$174</f>
        <v>NE. Facing HDB, landed on the right; higher floors may see Kwang Ming San</v>
      </c>
    </row>
    <row r="1125" spans="1:20" x14ac:dyDescent="0.2">
      <c r="A1125" s="13" t="s">
        <v>1302</v>
      </c>
      <c r="B1125" s="14">
        <v>11</v>
      </c>
      <c r="C1125" s="40">
        <v>48</v>
      </c>
      <c r="D1125" s="40">
        <v>9</v>
      </c>
      <c r="E1125" s="9" t="s">
        <v>43</v>
      </c>
      <c r="F1125" s="14" t="s">
        <v>1290</v>
      </c>
      <c r="G1125" s="10">
        <v>678</v>
      </c>
      <c r="H1125" s="14" t="s">
        <v>62</v>
      </c>
      <c r="I1125" s="41" t="str">
        <f>Assumptions!$I$174</f>
        <v>E</v>
      </c>
      <c r="J1125" s="14" t="str">
        <f>IF(D1125&lt;=Assumptions!$V$174,"Low",IF(D1125&lt;=Assumptions!$W$174,"Mid","High"))</f>
        <v>Mid</v>
      </c>
      <c r="K1125" s="15">
        <f>Assumptions!$Q$174</f>
        <v>2613</v>
      </c>
      <c r="L1125" s="42">
        <f>INDEX(Assumptions!$C$61:$C$90,D1125)</f>
        <v>2795.5437664958858</v>
      </c>
      <c r="M1125" s="43">
        <f>IF(D1125&lt;=Assumptions!$G$174,Assumptions!$AK$174,IF(D1125&lt;Assumptions!$AH$174,Assumptions!$AK$174+(Assumptions!$AL$174-Assumptions!$AK$174)*(D1125-Assumptions!$G$174)/(Assumptions!$AH$174-Assumptions!$G$174),IF(D1125&lt;Assumptions!$P$174,Assumptions!$AL$174+(Assumptions!$AM$174-Assumptions!$AL$174)*(D1125-Assumptions!$AH$174)/(Assumptions!$P$174-Assumptions!$AH$174),Assumptions!$AM$174)))</f>
        <v>-41145.833333333328</v>
      </c>
      <c r="N1125" s="44">
        <f t="shared" si="34"/>
        <v>-60.687069813176002</v>
      </c>
      <c r="O1125" s="45">
        <f t="shared" si="35"/>
        <v>2735</v>
      </c>
      <c r="P1125" s="14" t="str">
        <f>IF(D1125&gt;=Assumptions!$P$174,"High",IF(D1125&gt;=Assumptions!$AH$174,"Mid",IF(D1125&lt;=Assumptions!$G$174,"Low","Loading")))</f>
        <v>Mid</v>
      </c>
      <c r="Q1125" s="46">
        <f>MAX(K1125,MIN(Assumptions!$S$174,O1125),Q1126)</f>
        <v>2735</v>
      </c>
      <c r="R1125" s="12">
        <f>IF(AND(Q1125&lt;=K1125,INDEX(Assumptions!$C$26:$C$36,MATCH(G1125,Assumptions!$A$26:$A$36,0))&lt;&gt;""),INDEX(Assumptions!$C$26:$C$36,MATCH(G1125,Assumptions!$A$26:$A$36,0)),ROUND(G1125*Q1125,-2))</f>
        <v>1854300</v>
      </c>
      <c r="S1125" s="47" t="str">
        <f>TRIM(IF(AND(Assumptions!$L$174&lt;&gt;"",D1125&lt;Assumptions!$L$174),"View blocked / roof in front ("&amp;Assumptions!$M$174&amp;"); view premium still loading until L"&amp;Assumptions!$L$174&amp;". ","")&amp;IF(D1125=Assumptions!$AH$174,"Mid-floor view premium fully loaded. ","")&amp;IF(D1125=Assumptions!$P$174,"High-floor view premium fully loaded. ","")&amp;IF(Q1125&lt;=K1125,"At developer starting price.",""))</f>
        <v/>
      </c>
      <c r="T1125" s="48" t="str">
        <f>Assumptions!$AJ$174</f>
        <v>NE. Facing HDB, landed on the right; higher floors may see Kwang Ming San</v>
      </c>
    </row>
    <row r="1126" spans="1:20" x14ac:dyDescent="0.2">
      <c r="A1126" s="13" t="s">
        <v>1303</v>
      </c>
      <c r="B1126" s="14">
        <v>11</v>
      </c>
      <c r="C1126" s="40">
        <v>48</v>
      </c>
      <c r="D1126" s="40">
        <v>8</v>
      </c>
      <c r="E1126" s="9" t="s">
        <v>43</v>
      </c>
      <c r="F1126" s="14" t="s">
        <v>1290</v>
      </c>
      <c r="G1126" s="10">
        <v>678</v>
      </c>
      <c r="H1126" s="14" t="s">
        <v>62</v>
      </c>
      <c r="I1126" s="41" t="str">
        <f>Assumptions!$I$174</f>
        <v>E</v>
      </c>
      <c r="J1126" s="14" t="str">
        <f>IF(D1126&lt;=Assumptions!$V$174,"Low",IF(D1126&lt;=Assumptions!$W$174,"Mid","High"))</f>
        <v>Mid</v>
      </c>
      <c r="K1126" s="15">
        <f>Assumptions!$Q$174</f>
        <v>2613</v>
      </c>
      <c r="L1126" s="42">
        <f>INDEX(Assumptions!$C$61:$C$90,D1126)</f>
        <v>2780.0012730942403</v>
      </c>
      <c r="M1126" s="43">
        <f>IF(D1126&lt;=Assumptions!$G$174,Assumptions!$AK$174,IF(D1126&lt;Assumptions!$AH$174,Assumptions!$AK$174+(Assumptions!$AL$174-Assumptions!$AK$174)*(D1126-Assumptions!$G$174)/(Assumptions!$AH$174-Assumptions!$G$174),IF(D1126&lt;Assumptions!$P$174,Assumptions!$AL$174+(Assumptions!$AM$174-Assumptions!$AL$174)*(D1126-Assumptions!$AH$174)/(Assumptions!$P$174-Assumptions!$AH$174),Assumptions!$AM$174)))</f>
        <v>-41666.666666666664</v>
      </c>
      <c r="N1126" s="44">
        <f t="shared" si="34"/>
        <v>-61.455260570304816</v>
      </c>
      <c r="O1126" s="45">
        <f t="shared" si="35"/>
        <v>2719</v>
      </c>
      <c r="P1126" s="14" t="str">
        <f>IF(D1126&gt;=Assumptions!$P$174,"High",IF(D1126&gt;=Assumptions!$AH$174,"Mid",IF(D1126&lt;=Assumptions!$G$174,"Low","Loading")))</f>
        <v>Mid</v>
      </c>
      <c r="Q1126" s="46">
        <f>MAX(K1126,MIN(Assumptions!$S$174,O1126),Q1127)</f>
        <v>2719</v>
      </c>
      <c r="R1126" s="12">
        <f>IF(AND(Q1126&lt;=K1126,INDEX(Assumptions!$C$26:$C$36,MATCH(G1126,Assumptions!$A$26:$A$36,0))&lt;&gt;""),INDEX(Assumptions!$C$26:$C$36,MATCH(G1126,Assumptions!$A$26:$A$36,0)),ROUND(G1126*Q1126,-2))</f>
        <v>1843500</v>
      </c>
      <c r="S1126" s="47" t="str">
        <f>TRIM(IF(AND(Assumptions!$L$174&lt;&gt;"",D1126&lt;Assumptions!$L$174),"View blocked / roof in front ("&amp;Assumptions!$M$174&amp;"); view premium still loading until L"&amp;Assumptions!$L$174&amp;". ","")&amp;IF(D1126=Assumptions!$AH$174,"Mid-floor view premium fully loaded. ","")&amp;IF(D1126=Assumptions!$P$174,"High-floor view premium fully loaded. ","")&amp;IF(Q1126&lt;=K1126,"At developer starting price.",""))</f>
        <v>Mid-floor view premium fully loaded.</v>
      </c>
      <c r="T1126" s="48" t="str">
        <f>Assumptions!$AJ$174</f>
        <v>NE. Facing HDB, landed on the right; higher floors may see Kwang Ming San</v>
      </c>
    </row>
    <row r="1127" spans="1:20" x14ac:dyDescent="0.2">
      <c r="A1127" s="13" t="s">
        <v>1304</v>
      </c>
      <c r="B1127" s="14">
        <v>11</v>
      </c>
      <c r="C1127" s="40">
        <v>48</v>
      </c>
      <c r="D1127" s="40">
        <v>7</v>
      </c>
      <c r="E1127" s="9" t="s">
        <v>43</v>
      </c>
      <c r="F1127" s="14" t="s">
        <v>1290</v>
      </c>
      <c r="G1127" s="10">
        <v>678</v>
      </c>
      <c r="H1127" s="14" t="s">
        <v>62</v>
      </c>
      <c r="I1127" s="41" t="str">
        <f>Assumptions!$I$174</f>
        <v>E</v>
      </c>
      <c r="J1127" s="14" t="str">
        <f>IF(D1127&lt;=Assumptions!$V$174,"Low",IF(D1127&lt;=Assumptions!$W$174,"Mid","High"))</f>
        <v>Low</v>
      </c>
      <c r="K1127" s="15">
        <f>Assumptions!$Q$174</f>
        <v>2613</v>
      </c>
      <c r="L1127" s="42">
        <f>INDEX(Assumptions!$C$61:$C$90,D1127)</f>
        <v>2764.4587796925944</v>
      </c>
      <c r="M1127" s="43">
        <f>IF(D1127&lt;=Assumptions!$G$174,Assumptions!$AK$174,IF(D1127&lt;Assumptions!$AH$174,Assumptions!$AK$174+(Assumptions!$AL$174-Assumptions!$AK$174)*(D1127-Assumptions!$G$174)/(Assumptions!$AH$174-Assumptions!$G$174),IF(D1127&lt;Assumptions!$P$174,Assumptions!$AL$174+(Assumptions!$AM$174-Assumptions!$AL$174)*(D1127-Assumptions!$AH$174)/(Assumptions!$P$174-Assumptions!$AH$174),Assumptions!$AM$174)))</f>
        <v>-43055.555555555555</v>
      </c>
      <c r="N1127" s="44">
        <f t="shared" si="34"/>
        <v>-63.503769255981645</v>
      </c>
      <c r="O1127" s="45">
        <f t="shared" si="35"/>
        <v>2701</v>
      </c>
      <c r="P1127" s="14" t="str">
        <f>IF(D1127&gt;=Assumptions!$P$174,"High",IF(D1127&gt;=Assumptions!$AH$174,"Mid",IF(D1127&lt;=Assumptions!$G$174,"Low","Loading")))</f>
        <v>Loading</v>
      </c>
      <c r="Q1127" s="46">
        <f>MAX(K1127,MIN(Assumptions!$S$174,O1127),Q1128)</f>
        <v>2701</v>
      </c>
      <c r="R1127" s="12">
        <f>IF(AND(Q1127&lt;=K1127,INDEX(Assumptions!$C$26:$C$36,MATCH(G1127,Assumptions!$A$26:$A$36,0))&lt;&gt;""),INDEX(Assumptions!$C$26:$C$36,MATCH(G1127,Assumptions!$A$26:$A$36,0)),ROUND(G1127*Q1127,-2))</f>
        <v>1831300</v>
      </c>
      <c r="S1127" s="47" t="str">
        <f>TRIM(IF(AND(Assumptions!$L$174&lt;&gt;"",D1127&lt;Assumptions!$L$174),"View blocked / roof in front ("&amp;Assumptions!$M$174&amp;"); view premium still loading until L"&amp;Assumptions!$L$174&amp;". ","")&amp;IF(D1127=Assumptions!$AH$174,"Mid-floor view premium fully loaded. ","")&amp;IF(D1127=Assumptions!$P$174,"High-floor view premium fully loaded. ","")&amp;IF(Q1127&lt;=K1127,"At developer starting price.",""))</f>
        <v/>
      </c>
      <c r="T1127" s="48" t="str">
        <f>Assumptions!$AJ$174</f>
        <v>NE. Facing HDB, landed on the right; higher floors may see Kwang Ming San</v>
      </c>
    </row>
    <row r="1128" spans="1:20" x14ac:dyDescent="0.2">
      <c r="A1128" s="13" t="s">
        <v>1305</v>
      </c>
      <c r="B1128" s="14">
        <v>11</v>
      </c>
      <c r="C1128" s="40">
        <v>48</v>
      </c>
      <c r="D1128" s="40">
        <v>6</v>
      </c>
      <c r="E1128" s="9" t="s">
        <v>43</v>
      </c>
      <c r="F1128" s="14" t="s">
        <v>1290</v>
      </c>
      <c r="G1128" s="10">
        <v>678</v>
      </c>
      <c r="H1128" s="14" t="s">
        <v>62</v>
      </c>
      <c r="I1128" s="41" t="str">
        <f>Assumptions!$I$174</f>
        <v>E</v>
      </c>
      <c r="J1128" s="14" t="str">
        <f>IF(D1128&lt;=Assumptions!$V$174,"Low",IF(D1128&lt;=Assumptions!$W$174,"Mid","High"))</f>
        <v>Low</v>
      </c>
      <c r="K1128" s="15">
        <f>Assumptions!$Q$174</f>
        <v>2613</v>
      </c>
      <c r="L1128" s="42">
        <f>INDEX(Assumptions!$C$61:$C$90,D1128)</f>
        <v>2748.9162862909488</v>
      </c>
      <c r="M1128" s="43">
        <f>IF(D1128&lt;=Assumptions!$G$174,Assumptions!$AK$174,IF(D1128&lt;Assumptions!$AH$174,Assumptions!$AK$174+(Assumptions!$AL$174-Assumptions!$AK$174)*(D1128-Assumptions!$G$174)/(Assumptions!$AH$174-Assumptions!$G$174),IF(D1128&lt;Assumptions!$P$174,Assumptions!$AL$174+(Assumptions!$AM$174-Assumptions!$AL$174)*(D1128-Assumptions!$AH$174)/(Assumptions!$P$174-Assumptions!$AH$174),Assumptions!$AM$174)))</f>
        <v>-44444.444444444445</v>
      </c>
      <c r="N1128" s="44">
        <f t="shared" si="34"/>
        <v>-65.552277941658474</v>
      </c>
      <c r="O1128" s="45">
        <f t="shared" si="35"/>
        <v>2683</v>
      </c>
      <c r="P1128" s="14" t="str">
        <f>IF(D1128&gt;=Assumptions!$P$174,"High",IF(D1128&gt;=Assumptions!$AH$174,"Mid",IF(D1128&lt;=Assumptions!$G$174,"Low","Loading")))</f>
        <v>Loading</v>
      </c>
      <c r="Q1128" s="46">
        <f>MAX(K1128,MIN(Assumptions!$S$174,O1128),Q1129)</f>
        <v>2683</v>
      </c>
      <c r="R1128" s="12">
        <f>IF(AND(Q1128&lt;=K1128,INDEX(Assumptions!$C$26:$C$36,MATCH(G1128,Assumptions!$A$26:$A$36,0))&lt;&gt;""),INDEX(Assumptions!$C$26:$C$36,MATCH(G1128,Assumptions!$A$26:$A$36,0)),ROUND(G1128*Q1128,-2))</f>
        <v>1819100</v>
      </c>
      <c r="S1128" s="47" t="str">
        <f>TRIM(IF(AND(Assumptions!$L$174&lt;&gt;"",D1128&lt;Assumptions!$L$174),"View blocked / roof in front ("&amp;Assumptions!$M$174&amp;"); view premium still loading until L"&amp;Assumptions!$L$174&amp;". ","")&amp;IF(D1128=Assumptions!$AH$174,"Mid-floor view premium fully loaded. ","")&amp;IF(D1128=Assumptions!$P$174,"High-floor view premium fully loaded. ","")&amp;IF(Q1128&lt;=K1128,"At developer starting price.",""))</f>
        <v/>
      </c>
      <c r="T1128" s="48" t="str">
        <f>Assumptions!$AJ$174</f>
        <v>NE. Facing HDB, landed on the right; higher floors may see Kwang Ming San</v>
      </c>
    </row>
    <row r="1129" spans="1:20" x14ac:dyDescent="0.2">
      <c r="A1129" s="13" t="s">
        <v>1306</v>
      </c>
      <c r="B1129" s="14">
        <v>11</v>
      </c>
      <c r="C1129" s="40">
        <v>48</v>
      </c>
      <c r="D1129" s="40">
        <v>5</v>
      </c>
      <c r="E1129" s="9" t="s">
        <v>43</v>
      </c>
      <c r="F1129" s="14" t="s">
        <v>1290</v>
      </c>
      <c r="G1129" s="10">
        <v>678</v>
      </c>
      <c r="H1129" s="14" t="s">
        <v>62</v>
      </c>
      <c r="I1129" s="41" t="str">
        <f>Assumptions!$I$174</f>
        <v>E</v>
      </c>
      <c r="J1129" s="14" t="str">
        <f>IF(D1129&lt;=Assumptions!$V$174,"Low",IF(D1129&lt;=Assumptions!$W$174,"Mid","High"))</f>
        <v>Low</v>
      </c>
      <c r="K1129" s="15">
        <f>Assumptions!$Q$174</f>
        <v>2613</v>
      </c>
      <c r="L1129" s="42">
        <f>INDEX(Assumptions!$C$61:$C$90,D1129)</f>
        <v>2733.3737928893029</v>
      </c>
      <c r="M1129" s="43">
        <f>IF(D1129&lt;=Assumptions!$G$174,Assumptions!$AK$174,IF(D1129&lt;Assumptions!$AH$174,Assumptions!$AK$174+(Assumptions!$AL$174-Assumptions!$AK$174)*(D1129-Assumptions!$G$174)/(Assumptions!$AH$174-Assumptions!$G$174),IF(D1129&lt;Assumptions!$P$174,Assumptions!$AL$174+(Assumptions!$AM$174-Assumptions!$AL$174)*(D1129-Assumptions!$AH$174)/(Assumptions!$P$174-Assumptions!$AH$174),Assumptions!$AM$174)))</f>
        <v>-45833.333333333328</v>
      </c>
      <c r="N1129" s="44">
        <f t="shared" si="34"/>
        <v>-67.600786627335296</v>
      </c>
      <c r="O1129" s="45">
        <f t="shared" si="35"/>
        <v>2666</v>
      </c>
      <c r="P1129" s="14" t="str">
        <f>IF(D1129&gt;=Assumptions!$P$174,"High",IF(D1129&gt;=Assumptions!$AH$174,"Mid",IF(D1129&lt;=Assumptions!$G$174,"Low","Loading")))</f>
        <v>Loading</v>
      </c>
      <c r="Q1129" s="46">
        <f>MAX(K1129,MIN(Assumptions!$S$174,O1129),Q1130)</f>
        <v>2666</v>
      </c>
      <c r="R1129" s="12">
        <f>IF(AND(Q1129&lt;=K1129,INDEX(Assumptions!$C$26:$C$36,MATCH(G1129,Assumptions!$A$26:$A$36,0))&lt;&gt;""),INDEX(Assumptions!$C$26:$C$36,MATCH(G1129,Assumptions!$A$26:$A$36,0)),ROUND(G1129*Q1129,-2))</f>
        <v>1807500</v>
      </c>
      <c r="S1129" s="47" t="str">
        <f>TRIM(IF(AND(Assumptions!$L$174&lt;&gt;"",D1129&lt;Assumptions!$L$174),"View blocked / roof in front ("&amp;Assumptions!$M$174&amp;"); view premium still loading until L"&amp;Assumptions!$L$174&amp;". ","")&amp;IF(D1129=Assumptions!$AH$174,"Mid-floor view premium fully loaded. ","")&amp;IF(D1129=Assumptions!$P$174,"High-floor view premium fully loaded. ","")&amp;IF(Q1129&lt;=K1129,"At developer starting price.",""))</f>
        <v/>
      </c>
      <c r="T1129" s="48" t="str">
        <f>Assumptions!$AJ$174</f>
        <v>NE. Facing HDB, landed on the right; higher floors may see Kwang Ming San</v>
      </c>
    </row>
    <row r="1130" spans="1:20" x14ac:dyDescent="0.2">
      <c r="A1130" s="13" t="s">
        <v>1307</v>
      </c>
      <c r="B1130" s="14">
        <v>11</v>
      </c>
      <c r="C1130" s="40">
        <v>48</v>
      </c>
      <c r="D1130" s="40">
        <v>4</v>
      </c>
      <c r="E1130" s="9" t="s">
        <v>43</v>
      </c>
      <c r="F1130" s="14" t="s">
        <v>1290</v>
      </c>
      <c r="G1130" s="10">
        <v>678</v>
      </c>
      <c r="H1130" s="14" t="s">
        <v>62</v>
      </c>
      <c r="I1130" s="41" t="str">
        <f>Assumptions!$I$174</f>
        <v>E</v>
      </c>
      <c r="J1130" s="14" t="str">
        <f>IF(D1130&lt;=Assumptions!$V$174,"Low",IF(D1130&lt;=Assumptions!$W$174,"Mid","High"))</f>
        <v>Low</v>
      </c>
      <c r="K1130" s="15">
        <f>Assumptions!$Q$174</f>
        <v>2613</v>
      </c>
      <c r="L1130" s="42">
        <f>INDEX(Assumptions!$C$61:$C$90,D1130)</f>
        <v>2717.8312994876574</v>
      </c>
      <c r="M1130" s="43">
        <f>IF(D1130&lt;=Assumptions!$G$174,Assumptions!$AK$174,IF(D1130&lt;Assumptions!$AH$174,Assumptions!$AK$174+(Assumptions!$AL$174-Assumptions!$AK$174)*(D1130-Assumptions!$G$174)/(Assumptions!$AH$174-Assumptions!$G$174),IF(D1130&lt;Assumptions!$P$174,Assumptions!$AL$174+(Assumptions!$AM$174-Assumptions!$AL$174)*(D1130-Assumptions!$AH$174)/(Assumptions!$P$174-Assumptions!$AH$174),Assumptions!$AM$174)))</f>
        <v>-47222.222222222219</v>
      </c>
      <c r="N1130" s="44">
        <f t="shared" si="34"/>
        <v>-69.649295313012118</v>
      </c>
      <c r="O1130" s="45">
        <f t="shared" si="35"/>
        <v>2648</v>
      </c>
      <c r="P1130" s="14" t="str">
        <f>IF(D1130&gt;=Assumptions!$P$174,"High",IF(D1130&gt;=Assumptions!$AH$174,"Mid",IF(D1130&lt;=Assumptions!$G$174,"Low","Loading")))</f>
        <v>Loading</v>
      </c>
      <c r="Q1130" s="46">
        <f>MAX(K1130,MIN(Assumptions!$S$174,O1130),Q1131)</f>
        <v>2648</v>
      </c>
      <c r="R1130" s="12">
        <f>IF(AND(Q1130&lt;=K1130,INDEX(Assumptions!$C$26:$C$36,MATCH(G1130,Assumptions!$A$26:$A$36,0))&lt;&gt;""),INDEX(Assumptions!$C$26:$C$36,MATCH(G1130,Assumptions!$A$26:$A$36,0)),ROUND(G1130*Q1130,-2))</f>
        <v>1795300</v>
      </c>
      <c r="S1130" s="47" t="str">
        <f>TRIM(IF(AND(Assumptions!$L$174&lt;&gt;"",D1130&lt;Assumptions!$L$174),"View blocked / roof in front ("&amp;Assumptions!$M$174&amp;"); view premium still loading until L"&amp;Assumptions!$L$174&amp;". ","")&amp;IF(D1130=Assumptions!$AH$174,"Mid-floor view premium fully loaded. ","")&amp;IF(D1130=Assumptions!$P$174,"High-floor view premium fully loaded. ","")&amp;IF(Q1130&lt;=K1130,"At developer starting price.",""))</f>
        <v>View blocked / roof in front (Forest Pavilion: 20% of view, 23.5 to 30.3m away); view premium still loading until L5.</v>
      </c>
      <c r="T1130" s="48" t="str">
        <f>Assumptions!$AJ$174</f>
        <v>NE. Facing HDB, landed on the right; higher floors may see Kwang Ming San</v>
      </c>
    </row>
    <row r="1131" spans="1:20" x14ac:dyDescent="0.2">
      <c r="A1131" s="13" t="s">
        <v>1308</v>
      </c>
      <c r="B1131" s="14">
        <v>11</v>
      </c>
      <c r="C1131" s="40">
        <v>48</v>
      </c>
      <c r="D1131" s="40">
        <v>3</v>
      </c>
      <c r="E1131" s="9" t="s">
        <v>43</v>
      </c>
      <c r="F1131" s="14" t="s">
        <v>1290</v>
      </c>
      <c r="G1131" s="10">
        <v>678</v>
      </c>
      <c r="H1131" s="14" t="s">
        <v>62</v>
      </c>
      <c r="I1131" s="41" t="str">
        <f>Assumptions!$I$174</f>
        <v>E</v>
      </c>
      <c r="J1131" s="14" t="str">
        <f>IF(D1131&lt;=Assumptions!$V$174,"Low",IF(D1131&lt;=Assumptions!$W$174,"Mid","High"))</f>
        <v>Low</v>
      </c>
      <c r="K1131" s="15">
        <f>Assumptions!$Q$174</f>
        <v>2613</v>
      </c>
      <c r="L1131" s="42">
        <f>INDEX(Assumptions!$C$61:$C$90,D1131)</f>
        <v>2702.2888060860114</v>
      </c>
      <c r="M1131" s="43">
        <f>IF(D1131&lt;=Assumptions!$G$174,Assumptions!$AK$174,IF(D1131&lt;Assumptions!$AH$174,Assumptions!$AK$174+(Assumptions!$AL$174-Assumptions!$AK$174)*(D1131-Assumptions!$G$174)/(Assumptions!$AH$174-Assumptions!$G$174),IF(D1131&lt;Assumptions!$P$174,Assumptions!$AL$174+(Assumptions!$AM$174-Assumptions!$AL$174)*(D1131-Assumptions!$AH$174)/(Assumptions!$P$174-Assumptions!$AH$174),Assumptions!$AM$174)))</f>
        <v>-48611.111111111109</v>
      </c>
      <c r="N1131" s="44">
        <f t="shared" si="34"/>
        <v>-71.697803998688954</v>
      </c>
      <c r="O1131" s="45">
        <f t="shared" si="35"/>
        <v>2631</v>
      </c>
      <c r="P1131" s="14" t="str">
        <f>IF(D1131&gt;=Assumptions!$P$174,"High",IF(D1131&gt;=Assumptions!$AH$174,"Mid",IF(D1131&lt;=Assumptions!$G$174,"Low","Loading")))</f>
        <v>Loading</v>
      </c>
      <c r="Q1131" s="46">
        <f>MAX(K1131,MIN(Assumptions!$S$174,O1131),Q1132)</f>
        <v>2631</v>
      </c>
      <c r="R1131" s="12">
        <f>IF(AND(Q1131&lt;=K1131,INDEX(Assumptions!$C$26:$C$36,MATCH(G1131,Assumptions!$A$26:$A$36,0))&lt;&gt;""),INDEX(Assumptions!$C$26:$C$36,MATCH(G1131,Assumptions!$A$26:$A$36,0)),ROUND(G1131*Q1131,-2))</f>
        <v>1783800</v>
      </c>
      <c r="S1131" s="47" t="str">
        <f>TRIM(IF(AND(Assumptions!$L$174&lt;&gt;"",D1131&lt;Assumptions!$L$174),"View blocked / roof in front ("&amp;Assumptions!$M$174&amp;"); view premium still loading until L"&amp;Assumptions!$L$174&amp;". ","")&amp;IF(D1131=Assumptions!$AH$174,"Mid-floor view premium fully loaded. ","")&amp;IF(D1131=Assumptions!$P$174,"High-floor view premium fully loaded. ","")&amp;IF(Q1131&lt;=K1131,"At developer starting price.",""))</f>
        <v>View blocked / roof in front (Forest Pavilion: 20% of view, 23.5 to 30.3m away); view premium still loading until L5.</v>
      </c>
      <c r="T1131" s="48" t="str">
        <f>Assumptions!$AJ$174</f>
        <v>NE. Facing HDB, landed on the right; higher floors may see Kwang Ming San</v>
      </c>
    </row>
    <row r="1132" spans="1:20" x14ac:dyDescent="0.2">
      <c r="A1132" s="13" t="s">
        <v>1309</v>
      </c>
      <c r="B1132" s="14">
        <v>11</v>
      </c>
      <c r="C1132" s="40">
        <v>48</v>
      </c>
      <c r="D1132" s="40">
        <v>2</v>
      </c>
      <c r="E1132" s="9" t="s">
        <v>43</v>
      </c>
      <c r="F1132" s="14" t="s">
        <v>1310</v>
      </c>
      <c r="G1132" s="10">
        <v>678</v>
      </c>
      <c r="H1132" s="14" t="s">
        <v>62</v>
      </c>
      <c r="I1132" s="41" t="str">
        <f>Assumptions!$I$174</f>
        <v>E</v>
      </c>
      <c r="J1132" s="14" t="str">
        <f>IF(D1132&lt;=Assumptions!$V$174,"Low",IF(D1132&lt;=Assumptions!$W$174,"Mid","High"))</f>
        <v>Low</v>
      </c>
      <c r="K1132" s="15">
        <f>Assumptions!$Q$174</f>
        <v>2613</v>
      </c>
      <c r="L1132" s="42">
        <f>INDEX(Assumptions!$C$61:$C$90,D1132)</f>
        <v>2686.7463126843659</v>
      </c>
      <c r="M1132" s="43">
        <f>IF(D1132&lt;=Assumptions!$G$174,Assumptions!$AK$174,IF(D1132&lt;Assumptions!$AH$174,Assumptions!$AK$174+(Assumptions!$AL$174-Assumptions!$AK$174)*(D1132-Assumptions!$G$174)/(Assumptions!$AH$174-Assumptions!$G$174),IF(D1132&lt;Assumptions!$P$174,Assumptions!$AL$174+(Assumptions!$AM$174-Assumptions!$AL$174)*(D1132-Assumptions!$AH$174)/(Assumptions!$P$174-Assumptions!$AH$174),Assumptions!$AM$174)))</f>
        <v>-50000</v>
      </c>
      <c r="N1132" s="44">
        <f t="shared" si="34"/>
        <v>-73.746312684365776</v>
      </c>
      <c r="O1132" s="45">
        <f t="shared" si="35"/>
        <v>2613</v>
      </c>
      <c r="P1132" s="14" t="str">
        <f>IF(D1132&gt;=Assumptions!$P$174,"High",IF(D1132&gt;=Assumptions!$AH$174,"Mid",IF(D1132&lt;=Assumptions!$G$174,"Low","Loading")))</f>
        <v>Low</v>
      </c>
      <c r="Q1132" s="46">
        <f>MAX(K1132,MIN(Assumptions!$S$174,O1132))</f>
        <v>2613</v>
      </c>
      <c r="R1132" s="12">
        <f>IF(AND(Q1132&lt;=K1132,INDEX(Assumptions!$C$26:$C$36,MATCH(G1132,Assumptions!$A$26:$A$36,0))&lt;&gt;""),INDEX(Assumptions!$C$26:$C$36,MATCH(G1132,Assumptions!$A$26:$A$36,0)),ROUND(G1132*Q1132,-2))</f>
        <v>1772000</v>
      </c>
      <c r="S1132" s="47" t="str">
        <f>TRIM(IF(AND(Assumptions!$L$174&lt;&gt;"",D1132&lt;Assumptions!$L$174),"View blocked / roof in front ("&amp;Assumptions!$M$174&amp;"); view premium still loading until L"&amp;Assumptions!$L$174&amp;". ","")&amp;IF(D1132=Assumptions!$AH$174,"Mid-floor view premium fully loaded. ","")&amp;IF(D1132=Assumptions!$P$174,"High-floor view premium fully loaded. ","")&amp;IF(Q1132&lt;=K1132,"At developer starting price.",""))</f>
        <v>View blocked / roof in front (Forest Pavilion: 20% of view, 23.5 to 30.3m away); view premium still loading until L5. At developer starting price.</v>
      </c>
      <c r="T1132" s="48" t="str">
        <f>Assumptions!$AJ$174</f>
        <v>NE. Facing HDB, landed on the right; higher floors may see Kwang Ming San</v>
      </c>
    </row>
    <row r="1133" spans="1:20" x14ac:dyDescent="0.2">
      <c r="A1133" s="13" t="s">
        <v>1311</v>
      </c>
      <c r="B1133" s="14">
        <v>11</v>
      </c>
      <c r="C1133" s="40">
        <v>49</v>
      </c>
      <c r="D1133" s="40">
        <v>21</v>
      </c>
      <c r="E1133" s="9" t="s">
        <v>43</v>
      </c>
      <c r="F1133" s="14" t="s">
        <v>1290</v>
      </c>
      <c r="G1133" s="10">
        <v>678</v>
      </c>
      <c r="H1133" s="14" t="s">
        <v>62</v>
      </c>
      <c r="I1133" s="41" t="str">
        <f>Assumptions!$I$175</f>
        <v>E</v>
      </c>
      <c r="J1133" s="14" t="str">
        <f>IF(D1133&lt;=Assumptions!$V$175,"Low",IF(D1133&lt;=Assumptions!$W$175,"Mid","High"))</f>
        <v>High</v>
      </c>
      <c r="K1133" s="15">
        <f>Assumptions!$Q$175</f>
        <v>2613</v>
      </c>
      <c r="L1133" s="42">
        <f>INDEX(Assumptions!$C$61:$C$90,D1133)</f>
        <v>3050.8642857142859</v>
      </c>
      <c r="M1133" s="43">
        <f>IF(D1133&lt;=Assumptions!$G$175,Assumptions!$AK$175,IF(D1133&lt;Assumptions!$AH$175,Assumptions!$AK$175+(Assumptions!$AL$175-Assumptions!$AK$175)*(D1133-Assumptions!$G$175)/(Assumptions!$AH$175-Assumptions!$G$175),IF(D1133&lt;Assumptions!$P$175,Assumptions!$AL$175+(Assumptions!$AM$175-Assumptions!$AL$175)*(D1133-Assumptions!$AH$175)/(Assumptions!$P$175-Assumptions!$AH$175),Assumptions!$AM$175)))</f>
        <v>-37500</v>
      </c>
      <c r="N1133" s="44">
        <f t="shared" si="34"/>
        <v>-55.309734513274336</v>
      </c>
      <c r="O1133" s="45">
        <f t="shared" si="35"/>
        <v>2996</v>
      </c>
      <c r="P1133" s="14" t="str">
        <f>IF(D1133&gt;=Assumptions!$P$175,"High",IF(D1133&gt;=Assumptions!$AH$175,"Mid",IF(D1133&lt;=Assumptions!$G$175,"Low","Loading")))</f>
        <v>High</v>
      </c>
      <c r="Q1133" s="46">
        <f>MAX(K1133,MIN(Assumptions!$S$175,O1133),Q1134)</f>
        <v>2996</v>
      </c>
      <c r="R1133" s="12">
        <f>IF(AND(Q1133&lt;=K1133,INDEX(Assumptions!$C$26:$C$36,MATCH(G1133,Assumptions!$A$26:$A$36,0))&lt;&gt;""),INDEX(Assumptions!$C$26:$C$36,MATCH(G1133,Assumptions!$A$26:$A$36,0)),ROUND(G1133*Q1133,-2))</f>
        <v>2031300</v>
      </c>
      <c r="S1133" s="47" t="str">
        <f>TRIM(IF(AND(Assumptions!$L$175&lt;&gt;"",D1133&lt;Assumptions!$L$175),"View blocked / roof in front ("&amp;Assumptions!$M$175&amp;"); view premium still loading until L"&amp;Assumptions!$L$175&amp;". ","")&amp;IF(D1133=Assumptions!$AH$175,"Mid-floor view premium fully loaded. ","")&amp;IF(D1133=Assumptions!$P$175,"High-floor view premium fully loaded. ","")&amp;IF(Q1133&lt;=K1133,"At developer starting price.",""))</f>
        <v/>
      </c>
      <c r="T1133" s="48" t="str">
        <f>Assumptions!$AJ$175</f>
        <v>NE. Facing HDB, landed on the right; higher floors may see Kwang Ming San</v>
      </c>
    </row>
    <row r="1134" spans="1:20" x14ac:dyDescent="0.2">
      <c r="A1134" s="13" t="s">
        <v>1312</v>
      </c>
      <c r="B1134" s="14">
        <v>11</v>
      </c>
      <c r="C1134" s="40">
        <v>49</v>
      </c>
      <c r="D1134" s="40">
        <v>20</v>
      </c>
      <c r="E1134" s="9" t="s">
        <v>43</v>
      </c>
      <c r="F1134" s="14" t="s">
        <v>1290</v>
      </c>
      <c r="G1134" s="10">
        <v>678</v>
      </c>
      <c r="H1134" s="14" t="s">
        <v>62</v>
      </c>
      <c r="I1134" s="41" t="str">
        <f>Assumptions!$I$175</f>
        <v>E</v>
      </c>
      <c r="J1134" s="14" t="str">
        <f>IF(D1134&lt;=Assumptions!$V$175,"Low",IF(D1134&lt;=Assumptions!$W$175,"Mid","High"))</f>
        <v>High</v>
      </c>
      <c r="K1134" s="15">
        <f>Assumptions!$Q$175</f>
        <v>2613</v>
      </c>
      <c r="L1134" s="42">
        <f>INDEX(Assumptions!$C$61:$C$90,D1134)</f>
        <v>3028.0785714285716</v>
      </c>
      <c r="M1134" s="43">
        <f>IF(D1134&lt;=Assumptions!$G$175,Assumptions!$AK$175,IF(D1134&lt;Assumptions!$AH$175,Assumptions!$AK$175+(Assumptions!$AL$175-Assumptions!$AK$175)*(D1134-Assumptions!$G$175)/(Assumptions!$AH$175-Assumptions!$G$175),IF(D1134&lt;Assumptions!$P$175,Assumptions!$AL$175+(Assumptions!$AM$175-Assumptions!$AL$175)*(D1134-Assumptions!$AH$175)/(Assumptions!$P$175-Assumptions!$AH$175),Assumptions!$AM$175)))</f>
        <v>-37500</v>
      </c>
      <c r="N1134" s="44">
        <f t="shared" si="34"/>
        <v>-55.309734513274336</v>
      </c>
      <c r="O1134" s="45">
        <f t="shared" si="35"/>
        <v>2973</v>
      </c>
      <c r="P1134" s="14" t="str">
        <f>IF(D1134&gt;=Assumptions!$P$175,"High",IF(D1134&gt;=Assumptions!$AH$175,"Mid",IF(D1134&lt;=Assumptions!$G$175,"Low","Loading")))</f>
        <v>High</v>
      </c>
      <c r="Q1134" s="46">
        <f>MAX(K1134,MIN(Assumptions!$S$175,O1134),Q1135)</f>
        <v>2973</v>
      </c>
      <c r="R1134" s="12">
        <f>IF(AND(Q1134&lt;=K1134,INDEX(Assumptions!$C$26:$C$36,MATCH(G1134,Assumptions!$A$26:$A$36,0))&lt;&gt;""),INDEX(Assumptions!$C$26:$C$36,MATCH(G1134,Assumptions!$A$26:$A$36,0)),ROUND(G1134*Q1134,-2))</f>
        <v>2015700</v>
      </c>
      <c r="S1134" s="47" t="str">
        <f>TRIM(IF(AND(Assumptions!$L$175&lt;&gt;"",D1134&lt;Assumptions!$L$175),"View blocked / roof in front ("&amp;Assumptions!$M$175&amp;"); view premium still loading until L"&amp;Assumptions!$L$175&amp;". ","")&amp;IF(D1134=Assumptions!$AH$175,"Mid-floor view premium fully loaded. ","")&amp;IF(D1134=Assumptions!$P$175,"High-floor view premium fully loaded. ","")&amp;IF(Q1134&lt;=K1134,"At developer starting price.",""))</f>
        <v/>
      </c>
      <c r="T1134" s="48" t="str">
        <f>Assumptions!$AJ$175</f>
        <v>NE. Facing HDB, landed on the right; higher floors may see Kwang Ming San</v>
      </c>
    </row>
    <row r="1135" spans="1:20" x14ac:dyDescent="0.2">
      <c r="A1135" s="13" t="s">
        <v>1313</v>
      </c>
      <c r="B1135" s="14">
        <v>11</v>
      </c>
      <c r="C1135" s="40">
        <v>49</v>
      </c>
      <c r="D1135" s="40">
        <v>19</v>
      </c>
      <c r="E1135" s="9" t="s">
        <v>43</v>
      </c>
      <c r="F1135" s="14" t="s">
        <v>1290</v>
      </c>
      <c r="G1135" s="10">
        <v>678</v>
      </c>
      <c r="H1135" s="14" t="s">
        <v>62</v>
      </c>
      <c r="I1135" s="41" t="str">
        <f>Assumptions!$I$175</f>
        <v>E</v>
      </c>
      <c r="J1135" s="14" t="str">
        <f>IF(D1135&lt;=Assumptions!$V$175,"Low",IF(D1135&lt;=Assumptions!$W$175,"Mid","High"))</f>
        <v>High</v>
      </c>
      <c r="K1135" s="15">
        <f>Assumptions!$Q$175</f>
        <v>2613</v>
      </c>
      <c r="L1135" s="42">
        <f>INDEX(Assumptions!$C$61:$C$90,D1135)</f>
        <v>3005.2928571428574</v>
      </c>
      <c r="M1135" s="43">
        <f>IF(D1135&lt;=Assumptions!$G$175,Assumptions!$AK$175,IF(D1135&lt;Assumptions!$AH$175,Assumptions!$AK$175+(Assumptions!$AL$175-Assumptions!$AK$175)*(D1135-Assumptions!$G$175)/(Assumptions!$AH$175-Assumptions!$G$175),IF(D1135&lt;Assumptions!$P$175,Assumptions!$AL$175+(Assumptions!$AM$175-Assumptions!$AL$175)*(D1135-Assumptions!$AH$175)/(Assumptions!$P$175-Assumptions!$AH$175),Assumptions!$AM$175)))</f>
        <v>-37500</v>
      </c>
      <c r="N1135" s="44">
        <f t="shared" si="34"/>
        <v>-55.309734513274336</v>
      </c>
      <c r="O1135" s="45">
        <f t="shared" si="35"/>
        <v>2950</v>
      </c>
      <c r="P1135" s="14" t="str">
        <f>IF(D1135&gt;=Assumptions!$P$175,"High",IF(D1135&gt;=Assumptions!$AH$175,"Mid",IF(D1135&lt;=Assumptions!$G$175,"Low","Loading")))</f>
        <v>High</v>
      </c>
      <c r="Q1135" s="46">
        <f>MAX(K1135,MIN(Assumptions!$S$175,O1135),Q1136)</f>
        <v>2950</v>
      </c>
      <c r="R1135" s="12">
        <f>IF(AND(Q1135&lt;=K1135,INDEX(Assumptions!$C$26:$C$36,MATCH(G1135,Assumptions!$A$26:$A$36,0))&lt;&gt;""),INDEX(Assumptions!$C$26:$C$36,MATCH(G1135,Assumptions!$A$26:$A$36,0)),ROUND(G1135*Q1135,-2))</f>
        <v>2000100</v>
      </c>
      <c r="S1135" s="47" t="str">
        <f>TRIM(IF(AND(Assumptions!$L$175&lt;&gt;"",D1135&lt;Assumptions!$L$175),"View blocked / roof in front ("&amp;Assumptions!$M$175&amp;"); view premium still loading until L"&amp;Assumptions!$L$175&amp;". ","")&amp;IF(D1135=Assumptions!$AH$175,"Mid-floor view premium fully loaded. ","")&amp;IF(D1135=Assumptions!$P$175,"High-floor view premium fully loaded. ","")&amp;IF(Q1135&lt;=K1135,"At developer starting price.",""))</f>
        <v/>
      </c>
      <c r="T1135" s="48" t="str">
        <f>Assumptions!$AJ$175</f>
        <v>NE. Facing HDB, landed on the right; higher floors may see Kwang Ming San</v>
      </c>
    </row>
    <row r="1136" spans="1:20" x14ac:dyDescent="0.2">
      <c r="A1136" s="13" t="s">
        <v>1314</v>
      </c>
      <c r="B1136" s="14">
        <v>11</v>
      </c>
      <c r="C1136" s="40">
        <v>49</v>
      </c>
      <c r="D1136" s="40">
        <v>18</v>
      </c>
      <c r="E1136" s="9" t="s">
        <v>43</v>
      </c>
      <c r="F1136" s="14" t="s">
        <v>1290</v>
      </c>
      <c r="G1136" s="10">
        <v>678</v>
      </c>
      <c r="H1136" s="14" t="s">
        <v>62</v>
      </c>
      <c r="I1136" s="41" t="str">
        <f>Assumptions!$I$175</f>
        <v>E</v>
      </c>
      <c r="J1136" s="14" t="str">
        <f>IF(D1136&lt;=Assumptions!$V$175,"Low",IF(D1136&lt;=Assumptions!$W$175,"Mid","High"))</f>
        <v>High</v>
      </c>
      <c r="K1136" s="15">
        <f>Assumptions!$Q$175</f>
        <v>2613</v>
      </c>
      <c r="L1136" s="42">
        <f>INDEX(Assumptions!$C$61:$C$90,D1136)</f>
        <v>2982.5071428571428</v>
      </c>
      <c r="M1136" s="43">
        <f>IF(D1136&lt;=Assumptions!$G$175,Assumptions!$AK$175,IF(D1136&lt;Assumptions!$AH$175,Assumptions!$AK$175+(Assumptions!$AL$175-Assumptions!$AK$175)*(D1136-Assumptions!$G$175)/(Assumptions!$AH$175-Assumptions!$G$175),IF(D1136&lt;Assumptions!$P$175,Assumptions!$AL$175+(Assumptions!$AM$175-Assumptions!$AL$175)*(D1136-Assumptions!$AH$175)/(Assumptions!$P$175-Assumptions!$AH$175),Assumptions!$AM$175)))</f>
        <v>-37500</v>
      </c>
      <c r="N1136" s="44">
        <f t="shared" si="34"/>
        <v>-55.309734513274336</v>
      </c>
      <c r="O1136" s="45">
        <f t="shared" si="35"/>
        <v>2927</v>
      </c>
      <c r="P1136" s="14" t="str">
        <f>IF(D1136&gt;=Assumptions!$P$175,"High",IF(D1136&gt;=Assumptions!$AH$175,"Mid",IF(D1136&lt;=Assumptions!$G$175,"Low","Loading")))</f>
        <v>High</v>
      </c>
      <c r="Q1136" s="46">
        <f>MAX(K1136,MIN(Assumptions!$S$175,O1136),Q1137)</f>
        <v>2927</v>
      </c>
      <c r="R1136" s="12">
        <f>IF(AND(Q1136&lt;=K1136,INDEX(Assumptions!$C$26:$C$36,MATCH(G1136,Assumptions!$A$26:$A$36,0))&lt;&gt;""),INDEX(Assumptions!$C$26:$C$36,MATCH(G1136,Assumptions!$A$26:$A$36,0)),ROUND(G1136*Q1136,-2))</f>
        <v>1984500</v>
      </c>
      <c r="S1136" s="47" t="str">
        <f>TRIM(IF(AND(Assumptions!$L$175&lt;&gt;"",D1136&lt;Assumptions!$L$175),"View blocked / roof in front ("&amp;Assumptions!$M$175&amp;"); view premium still loading until L"&amp;Assumptions!$L$175&amp;". ","")&amp;IF(D1136=Assumptions!$AH$175,"Mid-floor view premium fully loaded. ","")&amp;IF(D1136=Assumptions!$P$175,"High-floor view premium fully loaded. ","")&amp;IF(Q1136&lt;=K1136,"At developer starting price.",""))</f>
        <v/>
      </c>
      <c r="T1136" s="48" t="str">
        <f>Assumptions!$AJ$175</f>
        <v>NE. Facing HDB, landed on the right; higher floors may see Kwang Ming San</v>
      </c>
    </row>
    <row r="1137" spans="1:20" x14ac:dyDescent="0.2">
      <c r="A1137" s="13" t="s">
        <v>1315</v>
      </c>
      <c r="B1137" s="14">
        <v>11</v>
      </c>
      <c r="C1137" s="40">
        <v>49</v>
      </c>
      <c r="D1137" s="40">
        <v>17</v>
      </c>
      <c r="E1137" s="9" t="s">
        <v>43</v>
      </c>
      <c r="F1137" s="14" t="s">
        <v>1290</v>
      </c>
      <c r="G1137" s="10">
        <v>678</v>
      </c>
      <c r="H1137" s="14" t="s">
        <v>62</v>
      </c>
      <c r="I1137" s="41" t="str">
        <f>Assumptions!$I$175</f>
        <v>E</v>
      </c>
      <c r="J1137" s="14" t="str">
        <f>IF(D1137&lt;=Assumptions!$V$175,"Low",IF(D1137&lt;=Assumptions!$W$175,"Mid","High"))</f>
        <v>High</v>
      </c>
      <c r="K1137" s="15">
        <f>Assumptions!$Q$175</f>
        <v>2613</v>
      </c>
      <c r="L1137" s="42">
        <f>INDEX(Assumptions!$C$61:$C$90,D1137)</f>
        <v>2959.7214285714285</v>
      </c>
      <c r="M1137" s="43">
        <f>IF(D1137&lt;=Assumptions!$G$175,Assumptions!$AK$175,IF(D1137&lt;Assumptions!$AH$175,Assumptions!$AK$175+(Assumptions!$AL$175-Assumptions!$AK$175)*(D1137-Assumptions!$G$175)/(Assumptions!$AH$175-Assumptions!$G$175),IF(D1137&lt;Assumptions!$P$175,Assumptions!$AL$175+(Assumptions!$AM$175-Assumptions!$AL$175)*(D1137-Assumptions!$AH$175)/(Assumptions!$P$175-Assumptions!$AH$175),Assumptions!$AM$175)))</f>
        <v>-37500</v>
      </c>
      <c r="N1137" s="44">
        <f t="shared" si="34"/>
        <v>-55.309734513274336</v>
      </c>
      <c r="O1137" s="45">
        <f t="shared" si="35"/>
        <v>2904</v>
      </c>
      <c r="P1137" s="14" t="str">
        <f>IF(D1137&gt;=Assumptions!$P$175,"High",IF(D1137&gt;=Assumptions!$AH$175,"Mid",IF(D1137&lt;=Assumptions!$G$175,"Low","Loading")))</f>
        <v>High</v>
      </c>
      <c r="Q1137" s="46">
        <f>MAX(K1137,MIN(Assumptions!$S$175,O1137),Q1138)</f>
        <v>2904</v>
      </c>
      <c r="R1137" s="12">
        <f>IF(AND(Q1137&lt;=K1137,INDEX(Assumptions!$C$26:$C$36,MATCH(G1137,Assumptions!$A$26:$A$36,0))&lt;&gt;""),INDEX(Assumptions!$C$26:$C$36,MATCH(G1137,Assumptions!$A$26:$A$36,0)),ROUND(G1137*Q1137,-2))</f>
        <v>1968900</v>
      </c>
      <c r="S1137" s="47" t="str">
        <f>TRIM(IF(AND(Assumptions!$L$175&lt;&gt;"",D1137&lt;Assumptions!$L$175),"View blocked / roof in front ("&amp;Assumptions!$M$175&amp;"); view premium still loading until L"&amp;Assumptions!$L$175&amp;". ","")&amp;IF(D1137=Assumptions!$AH$175,"Mid-floor view premium fully loaded. ","")&amp;IF(D1137=Assumptions!$P$175,"High-floor view premium fully loaded. ","")&amp;IF(Q1137&lt;=K1137,"At developer starting price.",""))</f>
        <v/>
      </c>
      <c r="T1137" s="48" t="str">
        <f>Assumptions!$AJ$175</f>
        <v>NE. Facing HDB, landed on the right; higher floors may see Kwang Ming San</v>
      </c>
    </row>
    <row r="1138" spans="1:20" x14ac:dyDescent="0.2">
      <c r="A1138" s="13" t="s">
        <v>1316</v>
      </c>
      <c r="B1138" s="14">
        <v>11</v>
      </c>
      <c r="C1138" s="40">
        <v>49</v>
      </c>
      <c r="D1138" s="40">
        <v>16</v>
      </c>
      <c r="E1138" s="9" t="s">
        <v>43</v>
      </c>
      <c r="F1138" s="14" t="s">
        <v>1290</v>
      </c>
      <c r="G1138" s="10">
        <v>678</v>
      </c>
      <c r="H1138" s="14" t="s">
        <v>62</v>
      </c>
      <c r="I1138" s="41" t="str">
        <f>Assumptions!$I$175</f>
        <v>E</v>
      </c>
      <c r="J1138" s="14" t="str">
        <f>IF(D1138&lt;=Assumptions!$V$175,"Low",IF(D1138&lt;=Assumptions!$W$175,"Mid","High"))</f>
        <v>High</v>
      </c>
      <c r="K1138" s="15">
        <f>Assumptions!$Q$175</f>
        <v>2613</v>
      </c>
      <c r="L1138" s="42">
        <f>INDEX(Assumptions!$C$61:$C$90,D1138)</f>
        <v>2936.9357142857143</v>
      </c>
      <c r="M1138" s="43">
        <f>IF(D1138&lt;=Assumptions!$G$175,Assumptions!$AK$175,IF(D1138&lt;Assumptions!$AH$175,Assumptions!$AK$175+(Assumptions!$AL$175-Assumptions!$AK$175)*(D1138-Assumptions!$G$175)/(Assumptions!$AH$175-Assumptions!$G$175),IF(D1138&lt;Assumptions!$P$175,Assumptions!$AL$175+(Assumptions!$AM$175-Assumptions!$AL$175)*(D1138-Assumptions!$AH$175)/(Assumptions!$P$175-Assumptions!$AH$175),Assumptions!$AM$175)))</f>
        <v>-37500</v>
      </c>
      <c r="N1138" s="44">
        <f t="shared" si="34"/>
        <v>-55.309734513274336</v>
      </c>
      <c r="O1138" s="45">
        <f t="shared" si="35"/>
        <v>2882</v>
      </c>
      <c r="P1138" s="14" t="str">
        <f>IF(D1138&gt;=Assumptions!$P$175,"High",IF(D1138&gt;=Assumptions!$AH$175,"Mid",IF(D1138&lt;=Assumptions!$G$175,"Low","Loading")))</f>
        <v>High</v>
      </c>
      <c r="Q1138" s="46">
        <f>MAX(K1138,MIN(Assumptions!$S$175,O1138),Q1139)</f>
        <v>2882</v>
      </c>
      <c r="R1138" s="12">
        <f>IF(AND(Q1138&lt;=K1138,INDEX(Assumptions!$C$26:$C$36,MATCH(G1138,Assumptions!$A$26:$A$36,0))&lt;&gt;""),INDEX(Assumptions!$C$26:$C$36,MATCH(G1138,Assumptions!$A$26:$A$36,0)),ROUND(G1138*Q1138,-2))</f>
        <v>1954000</v>
      </c>
      <c r="S1138" s="47" t="str">
        <f>TRIM(IF(AND(Assumptions!$L$175&lt;&gt;"",D1138&lt;Assumptions!$L$175),"View blocked / roof in front ("&amp;Assumptions!$M$175&amp;"); view premium still loading until L"&amp;Assumptions!$L$175&amp;". ","")&amp;IF(D1138=Assumptions!$AH$175,"Mid-floor view premium fully loaded. ","")&amp;IF(D1138=Assumptions!$P$175,"High-floor view premium fully loaded. ","")&amp;IF(Q1138&lt;=K1138,"At developer starting price.",""))</f>
        <v>High-floor view premium fully loaded.</v>
      </c>
      <c r="T1138" s="48" t="str">
        <f>Assumptions!$AJ$175</f>
        <v>NE. Facing HDB, landed on the right; higher floors may see Kwang Ming San</v>
      </c>
    </row>
    <row r="1139" spans="1:20" x14ac:dyDescent="0.2">
      <c r="A1139" s="13" t="s">
        <v>1317</v>
      </c>
      <c r="B1139" s="14">
        <v>11</v>
      </c>
      <c r="C1139" s="40">
        <v>49</v>
      </c>
      <c r="D1139" s="40">
        <v>15</v>
      </c>
      <c r="E1139" s="9" t="s">
        <v>43</v>
      </c>
      <c r="F1139" s="14" t="s">
        <v>1290</v>
      </c>
      <c r="G1139" s="10">
        <v>678</v>
      </c>
      <c r="H1139" s="14" t="s">
        <v>62</v>
      </c>
      <c r="I1139" s="41" t="str">
        <f>Assumptions!$I$175</f>
        <v>E</v>
      </c>
      <c r="J1139" s="14" t="str">
        <f>IF(D1139&lt;=Assumptions!$V$175,"Low",IF(D1139&lt;=Assumptions!$W$175,"Mid","High"))</f>
        <v>Mid</v>
      </c>
      <c r="K1139" s="15">
        <f>Assumptions!$Q$175</f>
        <v>2613</v>
      </c>
      <c r="L1139" s="42">
        <f>INDEX(Assumptions!$C$61:$C$90,D1139)</f>
        <v>2914.15</v>
      </c>
      <c r="M1139" s="43">
        <f>IF(D1139&lt;=Assumptions!$G$175,Assumptions!$AK$175,IF(D1139&lt;Assumptions!$AH$175,Assumptions!$AK$175+(Assumptions!$AL$175-Assumptions!$AK$175)*(D1139-Assumptions!$G$175)/(Assumptions!$AH$175-Assumptions!$G$175),IF(D1139&lt;Assumptions!$P$175,Assumptions!$AL$175+(Assumptions!$AM$175-Assumptions!$AL$175)*(D1139-Assumptions!$AH$175)/(Assumptions!$P$175-Assumptions!$AH$175),Assumptions!$AM$175)))</f>
        <v>-38020.833333333336</v>
      </c>
      <c r="N1139" s="44">
        <f t="shared" si="34"/>
        <v>-56.077925270403149</v>
      </c>
      <c r="O1139" s="45">
        <f t="shared" si="35"/>
        <v>2858</v>
      </c>
      <c r="P1139" s="14" t="str">
        <f>IF(D1139&gt;=Assumptions!$P$175,"High",IF(D1139&gt;=Assumptions!$AH$175,"Mid",IF(D1139&lt;=Assumptions!$G$175,"Low","Loading")))</f>
        <v>Mid</v>
      </c>
      <c r="Q1139" s="46">
        <f>MAX(K1139,MIN(Assumptions!$S$175,O1139),Q1140)</f>
        <v>2858</v>
      </c>
      <c r="R1139" s="12">
        <f>IF(AND(Q1139&lt;=K1139,INDEX(Assumptions!$C$26:$C$36,MATCH(G1139,Assumptions!$A$26:$A$36,0))&lt;&gt;""),INDEX(Assumptions!$C$26:$C$36,MATCH(G1139,Assumptions!$A$26:$A$36,0)),ROUND(G1139*Q1139,-2))</f>
        <v>1937700</v>
      </c>
      <c r="S1139" s="47" t="str">
        <f>TRIM(IF(AND(Assumptions!$L$175&lt;&gt;"",D1139&lt;Assumptions!$L$175),"View blocked / roof in front ("&amp;Assumptions!$M$175&amp;"); view premium still loading until L"&amp;Assumptions!$L$175&amp;". ","")&amp;IF(D1139=Assumptions!$AH$175,"Mid-floor view premium fully loaded. ","")&amp;IF(D1139=Assumptions!$P$175,"High-floor view premium fully loaded. ","")&amp;IF(Q1139&lt;=K1139,"At developer starting price.",""))</f>
        <v/>
      </c>
      <c r="T1139" s="48" t="str">
        <f>Assumptions!$AJ$175</f>
        <v>NE. Facing HDB, landed on the right; higher floors may see Kwang Ming San</v>
      </c>
    </row>
    <row r="1140" spans="1:20" x14ac:dyDescent="0.2">
      <c r="A1140" s="13" t="s">
        <v>1318</v>
      </c>
      <c r="B1140" s="14">
        <v>11</v>
      </c>
      <c r="C1140" s="40">
        <v>49</v>
      </c>
      <c r="D1140" s="40">
        <v>14</v>
      </c>
      <c r="E1140" s="9" t="s">
        <v>43</v>
      </c>
      <c r="F1140" s="14" t="s">
        <v>1290</v>
      </c>
      <c r="G1140" s="10">
        <v>678</v>
      </c>
      <c r="H1140" s="14" t="s">
        <v>62</v>
      </c>
      <c r="I1140" s="41" t="str">
        <f>Assumptions!$I$175</f>
        <v>E</v>
      </c>
      <c r="J1140" s="14" t="str">
        <f>IF(D1140&lt;=Assumptions!$V$175,"Low",IF(D1140&lt;=Assumptions!$W$175,"Mid","High"))</f>
        <v>Mid</v>
      </c>
      <c r="K1140" s="15">
        <f>Assumptions!$Q$175</f>
        <v>2613</v>
      </c>
      <c r="L1140" s="42">
        <f>INDEX(Assumptions!$C$61:$C$90,D1140)</f>
        <v>2891.3642857142859</v>
      </c>
      <c r="M1140" s="43">
        <f>IF(D1140&lt;=Assumptions!$G$175,Assumptions!$AK$175,IF(D1140&lt;Assumptions!$AH$175,Assumptions!$AK$175+(Assumptions!$AL$175-Assumptions!$AK$175)*(D1140-Assumptions!$G$175)/(Assumptions!$AH$175-Assumptions!$G$175),IF(D1140&lt;Assumptions!$P$175,Assumptions!$AL$175+(Assumptions!$AM$175-Assumptions!$AL$175)*(D1140-Assumptions!$AH$175)/(Assumptions!$P$175-Assumptions!$AH$175),Assumptions!$AM$175)))</f>
        <v>-38541.666666666664</v>
      </c>
      <c r="N1140" s="44">
        <f t="shared" si="34"/>
        <v>-56.846116027531956</v>
      </c>
      <c r="O1140" s="45">
        <f t="shared" si="35"/>
        <v>2835</v>
      </c>
      <c r="P1140" s="14" t="str">
        <f>IF(D1140&gt;=Assumptions!$P$175,"High",IF(D1140&gt;=Assumptions!$AH$175,"Mid",IF(D1140&lt;=Assumptions!$G$175,"Low","Loading")))</f>
        <v>Mid</v>
      </c>
      <c r="Q1140" s="46">
        <f>MAX(K1140,MIN(Assumptions!$S$175,O1140),Q1141)</f>
        <v>2835</v>
      </c>
      <c r="R1140" s="12">
        <f>IF(AND(Q1140&lt;=K1140,INDEX(Assumptions!$C$26:$C$36,MATCH(G1140,Assumptions!$A$26:$A$36,0))&lt;&gt;""),INDEX(Assumptions!$C$26:$C$36,MATCH(G1140,Assumptions!$A$26:$A$36,0)),ROUND(G1140*Q1140,-2))</f>
        <v>1922100</v>
      </c>
      <c r="S1140" s="47" t="str">
        <f>TRIM(IF(AND(Assumptions!$L$175&lt;&gt;"",D1140&lt;Assumptions!$L$175),"View blocked / roof in front ("&amp;Assumptions!$M$175&amp;"); view premium still loading until L"&amp;Assumptions!$L$175&amp;". ","")&amp;IF(D1140=Assumptions!$AH$175,"Mid-floor view premium fully loaded. ","")&amp;IF(D1140=Assumptions!$P$175,"High-floor view premium fully loaded. ","")&amp;IF(Q1140&lt;=K1140,"At developer starting price.",""))</f>
        <v/>
      </c>
      <c r="T1140" s="48" t="str">
        <f>Assumptions!$AJ$175</f>
        <v>NE. Facing HDB, landed on the right; higher floors may see Kwang Ming San</v>
      </c>
    </row>
    <row r="1141" spans="1:20" x14ac:dyDescent="0.2">
      <c r="A1141" s="13" t="s">
        <v>1319</v>
      </c>
      <c r="B1141" s="14">
        <v>11</v>
      </c>
      <c r="C1141" s="40">
        <v>49</v>
      </c>
      <c r="D1141" s="40">
        <v>13</v>
      </c>
      <c r="E1141" s="9" t="s">
        <v>43</v>
      </c>
      <c r="F1141" s="14" t="s">
        <v>1290</v>
      </c>
      <c r="G1141" s="10">
        <v>678</v>
      </c>
      <c r="H1141" s="14" t="s">
        <v>62</v>
      </c>
      <c r="I1141" s="41" t="str">
        <f>Assumptions!$I$175</f>
        <v>E</v>
      </c>
      <c r="J1141" s="14" t="str">
        <f>IF(D1141&lt;=Assumptions!$V$175,"Low",IF(D1141&lt;=Assumptions!$W$175,"Mid","High"))</f>
        <v>Mid</v>
      </c>
      <c r="K1141" s="15">
        <f>Assumptions!$Q$175</f>
        <v>2613</v>
      </c>
      <c r="L1141" s="42">
        <f>INDEX(Assumptions!$C$61:$C$90,D1141)</f>
        <v>2868.5785714285716</v>
      </c>
      <c r="M1141" s="43">
        <f>IF(D1141&lt;=Assumptions!$G$175,Assumptions!$AK$175,IF(D1141&lt;Assumptions!$AH$175,Assumptions!$AK$175+(Assumptions!$AL$175-Assumptions!$AK$175)*(D1141-Assumptions!$G$175)/(Assumptions!$AH$175-Assumptions!$G$175),IF(D1141&lt;Assumptions!$P$175,Assumptions!$AL$175+(Assumptions!$AM$175-Assumptions!$AL$175)*(D1141-Assumptions!$AH$175)/(Assumptions!$P$175-Assumptions!$AH$175),Assumptions!$AM$175)))</f>
        <v>-39062.5</v>
      </c>
      <c r="N1141" s="44">
        <f t="shared" si="34"/>
        <v>-57.614306784660769</v>
      </c>
      <c r="O1141" s="45">
        <f t="shared" si="35"/>
        <v>2811</v>
      </c>
      <c r="P1141" s="14" t="str">
        <f>IF(D1141&gt;=Assumptions!$P$175,"High",IF(D1141&gt;=Assumptions!$AH$175,"Mid",IF(D1141&lt;=Assumptions!$G$175,"Low","Loading")))</f>
        <v>Mid</v>
      </c>
      <c r="Q1141" s="46">
        <f>MAX(K1141,MIN(Assumptions!$S$175,O1141),Q1142)</f>
        <v>2811</v>
      </c>
      <c r="R1141" s="12">
        <f>IF(AND(Q1141&lt;=K1141,INDEX(Assumptions!$C$26:$C$36,MATCH(G1141,Assumptions!$A$26:$A$36,0))&lt;&gt;""),INDEX(Assumptions!$C$26:$C$36,MATCH(G1141,Assumptions!$A$26:$A$36,0)),ROUND(G1141*Q1141,-2))</f>
        <v>1905900</v>
      </c>
      <c r="S1141" s="47" t="str">
        <f>TRIM(IF(AND(Assumptions!$L$175&lt;&gt;"",D1141&lt;Assumptions!$L$175),"View blocked / roof in front ("&amp;Assumptions!$M$175&amp;"); view premium still loading until L"&amp;Assumptions!$L$175&amp;". ","")&amp;IF(D1141=Assumptions!$AH$175,"Mid-floor view premium fully loaded. ","")&amp;IF(D1141=Assumptions!$P$175,"High-floor view premium fully loaded. ","")&amp;IF(Q1141&lt;=K1141,"At developer starting price.",""))</f>
        <v/>
      </c>
      <c r="T1141" s="48" t="str">
        <f>Assumptions!$AJ$175</f>
        <v>NE. Facing HDB, landed on the right; higher floors may see Kwang Ming San</v>
      </c>
    </row>
    <row r="1142" spans="1:20" x14ac:dyDescent="0.2">
      <c r="A1142" s="13" t="s">
        <v>1320</v>
      </c>
      <c r="B1142" s="14">
        <v>11</v>
      </c>
      <c r="C1142" s="40">
        <v>49</v>
      </c>
      <c r="D1142" s="40">
        <v>12</v>
      </c>
      <c r="E1142" s="9" t="s">
        <v>43</v>
      </c>
      <c r="F1142" s="14" t="s">
        <v>1290</v>
      </c>
      <c r="G1142" s="10">
        <v>678</v>
      </c>
      <c r="H1142" s="14" t="s">
        <v>62</v>
      </c>
      <c r="I1142" s="41" t="str">
        <f>Assumptions!$I$175</f>
        <v>E</v>
      </c>
      <c r="J1142" s="14" t="str">
        <f>IF(D1142&lt;=Assumptions!$V$175,"Low",IF(D1142&lt;=Assumptions!$W$175,"Mid","High"))</f>
        <v>Mid</v>
      </c>
      <c r="K1142" s="15">
        <f>Assumptions!$Q$175</f>
        <v>2613</v>
      </c>
      <c r="L1142" s="42">
        <f>INDEX(Assumptions!$C$61:$C$90,D1142)</f>
        <v>2845.7928571428574</v>
      </c>
      <c r="M1142" s="43">
        <f>IF(D1142&lt;=Assumptions!$G$175,Assumptions!$AK$175,IF(D1142&lt;Assumptions!$AH$175,Assumptions!$AK$175+(Assumptions!$AL$175-Assumptions!$AK$175)*(D1142-Assumptions!$G$175)/(Assumptions!$AH$175-Assumptions!$G$175),IF(D1142&lt;Assumptions!$P$175,Assumptions!$AL$175+(Assumptions!$AM$175-Assumptions!$AL$175)*(D1142-Assumptions!$AH$175)/(Assumptions!$P$175-Assumptions!$AH$175),Assumptions!$AM$175)))</f>
        <v>-39583.333333333328</v>
      </c>
      <c r="N1142" s="44">
        <f t="shared" si="34"/>
        <v>-58.382497541789569</v>
      </c>
      <c r="O1142" s="45">
        <f t="shared" si="35"/>
        <v>2787</v>
      </c>
      <c r="P1142" s="14" t="str">
        <f>IF(D1142&gt;=Assumptions!$P$175,"High",IF(D1142&gt;=Assumptions!$AH$175,"Mid",IF(D1142&lt;=Assumptions!$G$175,"Low","Loading")))</f>
        <v>Mid</v>
      </c>
      <c r="Q1142" s="46">
        <f>MAX(K1142,MIN(Assumptions!$S$175,O1142),Q1143)</f>
        <v>2787</v>
      </c>
      <c r="R1142" s="12">
        <f>IF(AND(Q1142&lt;=K1142,INDEX(Assumptions!$C$26:$C$36,MATCH(G1142,Assumptions!$A$26:$A$36,0))&lt;&gt;""),INDEX(Assumptions!$C$26:$C$36,MATCH(G1142,Assumptions!$A$26:$A$36,0)),ROUND(G1142*Q1142,-2))</f>
        <v>1889600</v>
      </c>
      <c r="S1142" s="47" t="str">
        <f>TRIM(IF(AND(Assumptions!$L$175&lt;&gt;"",D1142&lt;Assumptions!$L$175),"View blocked / roof in front ("&amp;Assumptions!$M$175&amp;"); view premium still loading until L"&amp;Assumptions!$L$175&amp;". ","")&amp;IF(D1142=Assumptions!$AH$175,"Mid-floor view premium fully loaded. ","")&amp;IF(D1142=Assumptions!$P$175,"High-floor view premium fully loaded. ","")&amp;IF(Q1142&lt;=K1142,"At developer starting price.",""))</f>
        <v/>
      </c>
      <c r="T1142" s="48" t="str">
        <f>Assumptions!$AJ$175</f>
        <v>NE. Facing HDB, landed on the right; higher floors may see Kwang Ming San</v>
      </c>
    </row>
    <row r="1143" spans="1:20" x14ac:dyDescent="0.2">
      <c r="A1143" s="13" t="s">
        <v>1321</v>
      </c>
      <c r="B1143" s="14">
        <v>11</v>
      </c>
      <c r="C1143" s="40">
        <v>49</v>
      </c>
      <c r="D1143" s="40">
        <v>11</v>
      </c>
      <c r="E1143" s="9" t="s">
        <v>43</v>
      </c>
      <c r="F1143" s="14" t="s">
        <v>1290</v>
      </c>
      <c r="G1143" s="10">
        <v>678</v>
      </c>
      <c r="H1143" s="14" t="s">
        <v>62</v>
      </c>
      <c r="I1143" s="41" t="str">
        <f>Assumptions!$I$175</f>
        <v>E</v>
      </c>
      <c r="J1143" s="14" t="str">
        <f>IF(D1143&lt;=Assumptions!$V$175,"Low",IF(D1143&lt;=Assumptions!$W$175,"Mid","High"))</f>
        <v>Mid</v>
      </c>
      <c r="K1143" s="15">
        <f>Assumptions!$Q$175</f>
        <v>2613</v>
      </c>
      <c r="L1143" s="42">
        <f>INDEX(Assumptions!$C$61:$C$90,D1143)</f>
        <v>2826.6287532991773</v>
      </c>
      <c r="M1143" s="43">
        <f>IF(D1143&lt;=Assumptions!$G$175,Assumptions!$AK$175,IF(D1143&lt;Assumptions!$AH$175,Assumptions!$AK$175+(Assumptions!$AL$175-Assumptions!$AK$175)*(D1143-Assumptions!$G$175)/(Assumptions!$AH$175-Assumptions!$G$175),IF(D1143&lt;Assumptions!$P$175,Assumptions!$AL$175+(Assumptions!$AM$175-Assumptions!$AL$175)*(D1143-Assumptions!$AH$175)/(Assumptions!$P$175-Assumptions!$AH$175),Assumptions!$AM$175)))</f>
        <v>-40104.166666666664</v>
      </c>
      <c r="N1143" s="44">
        <f t="shared" si="34"/>
        <v>-59.150688298918382</v>
      </c>
      <c r="O1143" s="45">
        <f t="shared" si="35"/>
        <v>2767</v>
      </c>
      <c r="P1143" s="14" t="str">
        <f>IF(D1143&gt;=Assumptions!$P$175,"High",IF(D1143&gt;=Assumptions!$AH$175,"Mid",IF(D1143&lt;=Assumptions!$G$175,"Low","Loading")))</f>
        <v>Mid</v>
      </c>
      <c r="Q1143" s="46">
        <f>MAX(K1143,MIN(Assumptions!$S$175,O1143),Q1144)</f>
        <v>2767</v>
      </c>
      <c r="R1143" s="12">
        <f>IF(AND(Q1143&lt;=K1143,INDEX(Assumptions!$C$26:$C$36,MATCH(G1143,Assumptions!$A$26:$A$36,0))&lt;&gt;""),INDEX(Assumptions!$C$26:$C$36,MATCH(G1143,Assumptions!$A$26:$A$36,0)),ROUND(G1143*Q1143,-2))</f>
        <v>1876000</v>
      </c>
      <c r="S1143" s="47" t="str">
        <f>TRIM(IF(AND(Assumptions!$L$175&lt;&gt;"",D1143&lt;Assumptions!$L$175),"View blocked / roof in front ("&amp;Assumptions!$M$175&amp;"); view premium still loading until L"&amp;Assumptions!$L$175&amp;". ","")&amp;IF(D1143=Assumptions!$AH$175,"Mid-floor view premium fully loaded. ","")&amp;IF(D1143=Assumptions!$P$175,"High-floor view premium fully loaded. ","")&amp;IF(Q1143&lt;=K1143,"At developer starting price.",""))</f>
        <v/>
      </c>
      <c r="T1143" s="48" t="str">
        <f>Assumptions!$AJ$175</f>
        <v>NE. Facing HDB, landed on the right; higher floors may see Kwang Ming San</v>
      </c>
    </row>
    <row r="1144" spans="1:20" x14ac:dyDescent="0.2">
      <c r="A1144" s="13" t="s">
        <v>1322</v>
      </c>
      <c r="B1144" s="14">
        <v>11</v>
      </c>
      <c r="C1144" s="40">
        <v>49</v>
      </c>
      <c r="D1144" s="40">
        <v>10</v>
      </c>
      <c r="E1144" s="9" t="s">
        <v>43</v>
      </c>
      <c r="F1144" s="14" t="s">
        <v>1290</v>
      </c>
      <c r="G1144" s="10">
        <v>678</v>
      </c>
      <c r="H1144" s="14" t="s">
        <v>62</v>
      </c>
      <c r="I1144" s="41" t="str">
        <f>Assumptions!$I$175</f>
        <v>E</v>
      </c>
      <c r="J1144" s="14" t="str">
        <f>IF(D1144&lt;=Assumptions!$V$175,"Low",IF(D1144&lt;=Assumptions!$W$175,"Mid","High"))</f>
        <v>Mid</v>
      </c>
      <c r="K1144" s="15">
        <f>Assumptions!$Q$175</f>
        <v>2613</v>
      </c>
      <c r="L1144" s="42">
        <f>INDEX(Assumptions!$C$61:$C$90,D1144)</f>
        <v>2811.0862598975314</v>
      </c>
      <c r="M1144" s="43">
        <f>IF(D1144&lt;=Assumptions!$G$175,Assumptions!$AK$175,IF(D1144&lt;Assumptions!$AH$175,Assumptions!$AK$175+(Assumptions!$AL$175-Assumptions!$AK$175)*(D1144-Assumptions!$G$175)/(Assumptions!$AH$175-Assumptions!$G$175),IF(D1144&lt;Assumptions!$P$175,Assumptions!$AL$175+(Assumptions!$AM$175-Assumptions!$AL$175)*(D1144-Assumptions!$AH$175)/(Assumptions!$P$175-Assumptions!$AH$175),Assumptions!$AM$175)))</f>
        <v>-40625</v>
      </c>
      <c r="N1144" s="44">
        <f t="shared" si="34"/>
        <v>-59.918879056047196</v>
      </c>
      <c r="O1144" s="45">
        <f t="shared" si="35"/>
        <v>2751</v>
      </c>
      <c r="P1144" s="14" t="str">
        <f>IF(D1144&gt;=Assumptions!$P$175,"High",IF(D1144&gt;=Assumptions!$AH$175,"Mid",IF(D1144&lt;=Assumptions!$G$175,"Low","Loading")))</f>
        <v>Mid</v>
      </c>
      <c r="Q1144" s="46">
        <f>MAX(K1144,MIN(Assumptions!$S$175,O1144),Q1145)</f>
        <v>2751</v>
      </c>
      <c r="R1144" s="12">
        <f>IF(AND(Q1144&lt;=K1144,INDEX(Assumptions!$C$26:$C$36,MATCH(G1144,Assumptions!$A$26:$A$36,0))&lt;&gt;""),INDEX(Assumptions!$C$26:$C$36,MATCH(G1144,Assumptions!$A$26:$A$36,0)),ROUND(G1144*Q1144,-2))</f>
        <v>1865200</v>
      </c>
      <c r="S1144" s="47" t="str">
        <f>TRIM(IF(AND(Assumptions!$L$175&lt;&gt;"",D1144&lt;Assumptions!$L$175),"View blocked / roof in front ("&amp;Assumptions!$M$175&amp;"); view premium still loading until L"&amp;Assumptions!$L$175&amp;". ","")&amp;IF(D1144=Assumptions!$AH$175,"Mid-floor view premium fully loaded. ","")&amp;IF(D1144=Assumptions!$P$175,"High-floor view premium fully loaded. ","")&amp;IF(Q1144&lt;=K1144,"At developer starting price.",""))</f>
        <v/>
      </c>
      <c r="T1144" s="48" t="str">
        <f>Assumptions!$AJ$175</f>
        <v>NE. Facing HDB, landed on the right; higher floors may see Kwang Ming San</v>
      </c>
    </row>
    <row r="1145" spans="1:20" x14ac:dyDescent="0.2">
      <c r="A1145" s="13" t="s">
        <v>1323</v>
      </c>
      <c r="B1145" s="14">
        <v>11</v>
      </c>
      <c r="C1145" s="40">
        <v>49</v>
      </c>
      <c r="D1145" s="40">
        <v>9</v>
      </c>
      <c r="E1145" s="9" t="s">
        <v>43</v>
      </c>
      <c r="F1145" s="14" t="s">
        <v>1290</v>
      </c>
      <c r="G1145" s="10">
        <v>678</v>
      </c>
      <c r="H1145" s="14" t="s">
        <v>62</v>
      </c>
      <c r="I1145" s="41" t="str">
        <f>Assumptions!$I$175</f>
        <v>E</v>
      </c>
      <c r="J1145" s="14" t="str">
        <f>IF(D1145&lt;=Assumptions!$V$175,"Low",IF(D1145&lt;=Assumptions!$W$175,"Mid","High"))</f>
        <v>Mid</v>
      </c>
      <c r="K1145" s="15">
        <f>Assumptions!$Q$175</f>
        <v>2613</v>
      </c>
      <c r="L1145" s="42">
        <f>INDEX(Assumptions!$C$61:$C$90,D1145)</f>
        <v>2795.5437664958858</v>
      </c>
      <c r="M1145" s="43">
        <f>IF(D1145&lt;=Assumptions!$G$175,Assumptions!$AK$175,IF(D1145&lt;Assumptions!$AH$175,Assumptions!$AK$175+(Assumptions!$AL$175-Assumptions!$AK$175)*(D1145-Assumptions!$G$175)/(Assumptions!$AH$175-Assumptions!$G$175),IF(D1145&lt;Assumptions!$P$175,Assumptions!$AL$175+(Assumptions!$AM$175-Assumptions!$AL$175)*(D1145-Assumptions!$AH$175)/(Assumptions!$P$175-Assumptions!$AH$175),Assumptions!$AM$175)))</f>
        <v>-41145.833333333328</v>
      </c>
      <c r="N1145" s="44">
        <f t="shared" si="34"/>
        <v>-60.687069813176002</v>
      </c>
      <c r="O1145" s="45">
        <f t="shared" si="35"/>
        <v>2735</v>
      </c>
      <c r="P1145" s="14" t="str">
        <f>IF(D1145&gt;=Assumptions!$P$175,"High",IF(D1145&gt;=Assumptions!$AH$175,"Mid",IF(D1145&lt;=Assumptions!$G$175,"Low","Loading")))</f>
        <v>Mid</v>
      </c>
      <c r="Q1145" s="46">
        <f>MAX(K1145,MIN(Assumptions!$S$175,O1145),Q1146)</f>
        <v>2735</v>
      </c>
      <c r="R1145" s="12">
        <f>IF(AND(Q1145&lt;=K1145,INDEX(Assumptions!$C$26:$C$36,MATCH(G1145,Assumptions!$A$26:$A$36,0))&lt;&gt;""),INDEX(Assumptions!$C$26:$C$36,MATCH(G1145,Assumptions!$A$26:$A$36,0)),ROUND(G1145*Q1145,-2))</f>
        <v>1854300</v>
      </c>
      <c r="S1145" s="47" t="str">
        <f>TRIM(IF(AND(Assumptions!$L$175&lt;&gt;"",D1145&lt;Assumptions!$L$175),"View blocked / roof in front ("&amp;Assumptions!$M$175&amp;"); view premium still loading until L"&amp;Assumptions!$L$175&amp;". ","")&amp;IF(D1145=Assumptions!$AH$175,"Mid-floor view premium fully loaded. ","")&amp;IF(D1145=Assumptions!$P$175,"High-floor view premium fully loaded. ","")&amp;IF(Q1145&lt;=K1145,"At developer starting price.",""))</f>
        <v/>
      </c>
      <c r="T1145" s="48" t="str">
        <f>Assumptions!$AJ$175</f>
        <v>NE. Facing HDB, landed on the right; higher floors may see Kwang Ming San</v>
      </c>
    </row>
    <row r="1146" spans="1:20" x14ac:dyDescent="0.2">
      <c r="A1146" s="13" t="s">
        <v>1324</v>
      </c>
      <c r="B1146" s="14">
        <v>11</v>
      </c>
      <c r="C1146" s="40">
        <v>49</v>
      </c>
      <c r="D1146" s="40">
        <v>8</v>
      </c>
      <c r="E1146" s="9" t="s">
        <v>43</v>
      </c>
      <c r="F1146" s="14" t="s">
        <v>1290</v>
      </c>
      <c r="G1146" s="10">
        <v>678</v>
      </c>
      <c r="H1146" s="14" t="s">
        <v>62</v>
      </c>
      <c r="I1146" s="41" t="str">
        <f>Assumptions!$I$175</f>
        <v>E</v>
      </c>
      <c r="J1146" s="14" t="str">
        <f>IF(D1146&lt;=Assumptions!$V$175,"Low",IF(D1146&lt;=Assumptions!$W$175,"Mid","High"))</f>
        <v>Mid</v>
      </c>
      <c r="K1146" s="15">
        <f>Assumptions!$Q$175</f>
        <v>2613</v>
      </c>
      <c r="L1146" s="42">
        <f>INDEX(Assumptions!$C$61:$C$90,D1146)</f>
        <v>2780.0012730942403</v>
      </c>
      <c r="M1146" s="43">
        <f>IF(D1146&lt;=Assumptions!$G$175,Assumptions!$AK$175,IF(D1146&lt;Assumptions!$AH$175,Assumptions!$AK$175+(Assumptions!$AL$175-Assumptions!$AK$175)*(D1146-Assumptions!$G$175)/(Assumptions!$AH$175-Assumptions!$G$175),IF(D1146&lt;Assumptions!$P$175,Assumptions!$AL$175+(Assumptions!$AM$175-Assumptions!$AL$175)*(D1146-Assumptions!$AH$175)/(Assumptions!$P$175-Assumptions!$AH$175),Assumptions!$AM$175)))</f>
        <v>-41666.666666666664</v>
      </c>
      <c r="N1146" s="44">
        <f t="shared" si="34"/>
        <v>-61.455260570304816</v>
      </c>
      <c r="O1146" s="45">
        <f t="shared" si="35"/>
        <v>2719</v>
      </c>
      <c r="P1146" s="14" t="str">
        <f>IF(D1146&gt;=Assumptions!$P$175,"High",IF(D1146&gt;=Assumptions!$AH$175,"Mid",IF(D1146&lt;=Assumptions!$G$175,"Low","Loading")))</f>
        <v>Mid</v>
      </c>
      <c r="Q1146" s="46">
        <f>MAX(K1146,MIN(Assumptions!$S$175,O1146),Q1147)</f>
        <v>2719</v>
      </c>
      <c r="R1146" s="12">
        <f>IF(AND(Q1146&lt;=K1146,INDEX(Assumptions!$C$26:$C$36,MATCH(G1146,Assumptions!$A$26:$A$36,0))&lt;&gt;""),INDEX(Assumptions!$C$26:$C$36,MATCH(G1146,Assumptions!$A$26:$A$36,0)),ROUND(G1146*Q1146,-2))</f>
        <v>1843500</v>
      </c>
      <c r="S1146" s="47" t="str">
        <f>TRIM(IF(AND(Assumptions!$L$175&lt;&gt;"",D1146&lt;Assumptions!$L$175),"View blocked / roof in front ("&amp;Assumptions!$M$175&amp;"); view premium still loading until L"&amp;Assumptions!$L$175&amp;". ","")&amp;IF(D1146=Assumptions!$AH$175,"Mid-floor view premium fully loaded. ","")&amp;IF(D1146=Assumptions!$P$175,"High-floor view premium fully loaded. ","")&amp;IF(Q1146&lt;=K1146,"At developer starting price.",""))</f>
        <v>Mid-floor view premium fully loaded.</v>
      </c>
      <c r="T1146" s="48" t="str">
        <f>Assumptions!$AJ$175</f>
        <v>NE. Facing HDB, landed on the right; higher floors may see Kwang Ming San</v>
      </c>
    </row>
    <row r="1147" spans="1:20" x14ac:dyDescent="0.2">
      <c r="A1147" s="13" t="s">
        <v>1325</v>
      </c>
      <c r="B1147" s="14">
        <v>11</v>
      </c>
      <c r="C1147" s="40">
        <v>49</v>
      </c>
      <c r="D1147" s="40">
        <v>7</v>
      </c>
      <c r="E1147" s="9" t="s">
        <v>43</v>
      </c>
      <c r="F1147" s="14" t="s">
        <v>1290</v>
      </c>
      <c r="G1147" s="10">
        <v>678</v>
      </c>
      <c r="H1147" s="14" t="s">
        <v>62</v>
      </c>
      <c r="I1147" s="41" t="str">
        <f>Assumptions!$I$175</f>
        <v>E</v>
      </c>
      <c r="J1147" s="14" t="str">
        <f>IF(D1147&lt;=Assumptions!$V$175,"Low",IF(D1147&lt;=Assumptions!$W$175,"Mid","High"))</f>
        <v>Low</v>
      </c>
      <c r="K1147" s="15">
        <f>Assumptions!$Q$175</f>
        <v>2613</v>
      </c>
      <c r="L1147" s="42">
        <f>INDEX(Assumptions!$C$61:$C$90,D1147)</f>
        <v>2764.4587796925944</v>
      </c>
      <c r="M1147" s="43">
        <f>IF(D1147&lt;=Assumptions!$G$175,Assumptions!$AK$175,IF(D1147&lt;Assumptions!$AH$175,Assumptions!$AK$175+(Assumptions!$AL$175-Assumptions!$AK$175)*(D1147-Assumptions!$G$175)/(Assumptions!$AH$175-Assumptions!$G$175),IF(D1147&lt;Assumptions!$P$175,Assumptions!$AL$175+(Assumptions!$AM$175-Assumptions!$AL$175)*(D1147-Assumptions!$AH$175)/(Assumptions!$P$175-Assumptions!$AH$175),Assumptions!$AM$175)))</f>
        <v>-43055.555555555555</v>
      </c>
      <c r="N1147" s="44">
        <f t="shared" si="34"/>
        <v>-63.503769255981645</v>
      </c>
      <c r="O1147" s="45">
        <f t="shared" si="35"/>
        <v>2701</v>
      </c>
      <c r="P1147" s="14" t="str">
        <f>IF(D1147&gt;=Assumptions!$P$175,"High",IF(D1147&gt;=Assumptions!$AH$175,"Mid",IF(D1147&lt;=Assumptions!$G$175,"Low","Loading")))</f>
        <v>Loading</v>
      </c>
      <c r="Q1147" s="46">
        <f>MAX(K1147,MIN(Assumptions!$S$175,O1147),Q1148)</f>
        <v>2701</v>
      </c>
      <c r="R1147" s="12">
        <f>IF(AND(Q1147&lt;=K1147,INDEX(Assumptions!$C$26:$C$36,MATCH(G1147,Assumptions!$A$26:$A$36,0))&lt;&gt;""),INDEX(Assumptions!$C$26:$C$36,MATCH(G1147,Assumptions!$A$26:$A$36,0)),ROUND(G1147*Q1147,-2))</f>
        <v>1831300</v>
      </c>
      <c r="S1147" s="47" t="str">
        <f>TRIM(IF(AND(Assumptions!$L$175&lt;&gt;"",D1147&lt;Assumptions!$L$175),"View blocked / roof in front ("&amp;Assumptions!$M$175&amp;"); view premium still loading until L"&amp;Assumptions!$L$175&amp;". ","")&amp;IF(D1147=Assumptions!$AH$175,"Mid-floor view premium fully loaded. ","")&amp;IF(D1147=Assumptions!$P$175,"High-floor view premium fully loaded. ","")&amp;IF(Q1147&lt;=K1147,"At developer starting price.",""))</f>
        <v/>
      </c>
      <c r="T1147" s="48" t="str">
        <f>Assumptions!$AJ$175</f>
        <v>NE. Facing HDB, landed on the right; higher floors may see Kwang Ming San</v>
      </c>
    </row>
    <row r="1148" spans="1:20" x14ac:dyDescent="0.2">
      <c r="A1148" s="13" t="s">
        <v>1326</v>
      </c>
      <c r="B1148" s="14">
        <v>11</v>
      </c>
      <c r="C1148" s="40">
        <v>49</v>
      </c>
      <c r="D1148" s="40">
        <v>6</v>
      </c>
      <c r="E1148" s="9" t="s">
        <v>43</v>
      </c>
      <c r="F1148" s="14" t="s">
        <v>1290</v>
      </c>
      <c r="G1148" s="10">
        <v>678</v>
      </c>
      <c r="H1148" s="14" t="s">
        <v>62</v>
      </c>
      <c r="I1148" s="41" t="str">
        <f>Assumptions!$I$175</f>
        <v>E</v>
      </c>
      <c r="J1148" s="14" t="str">
        <f>IF(D1148&lt;=Assumptions!$V$175,"Low",IF(D1148&lt;=Assumptions!$W$175,"Mid","High"))</f>
        <v>Low</v>
      </c>
      <c r="K1148" s="15">
        <f>Assumptions!$Q$175</f>
        <v>2613</v>
      </c>
      <c r="L1148" s="42">
        <f>INDEX(Assumptions!$C$61:$C$90,D1148)</f>
        <v>2748.9162862909488</v>
      </c>
      <c r="M1148" s="43">
        <f>IF(D1148&lt;=Assumptions!$G$175,Assumptions!$AK$175,IF(D1148&lt;Assumptions!$AH$175,Assumptions!$AK$175+(Assumptions!$AL$175-Assumptions!$AK$175)*(D1148-Assumptions!$G$175)/(Assumptions!$AH$175-Assumptions!$G$175),IF(D1148&lt;Assumptions!$P$175,Assumptions!$AL$175+(Assumptions!$AM$175-Assumptions!$AL$175)*(D1148-Assumptions!$AH$175)/(Assumptions!$P$175-Assumptions!$AH$175),Assumptions!$AM$175)))</f>
        <v>-44444.444444444445</v>
      </c>
      <c r="N1148" s="44">
        <f t="shared" si="34"/>
        <v>-65.552277941658474</v>
      </c>
      <c r="O1148" s="45">
        <f t="shared" si="35"/>
        <v>2683</v>
      </c>
      <c r="P1148" s="14" t="str">
        <f>IF(D1148&gt;=Assumptions!$P$175,"High",IF(D1148&gt;=Assumptions!$AH$175,"Mid",IF(D1148&lt;=Assumptions!$G$175,"Low","Loading")))</f>
        <v>Loading</v>
      </c>
      <c r="Q1148" s="46">
        <f>MAX(K1148,MIN(Assumptions!$S$175,O1148),Q1149)</f>
        <v>2683</v>
      </c>
      <c r="R1148" s="12">
        <f>IF(AND(Q1148&lt;=K1148,INDEX(Assumptions!$C$26:$C$36,MATCH(G1148,Assumptions!$A$26:$A$36,0))&lt;&gt;""),INDEX(Assumptions!$C$26:$C$36,MATCH(G1148,Assumptions!$A$26:$A$36,0)),ROUND(G1148*Q1148,-2))</f>
        <v>1819100</v>
      </c>
      <c r="S1148" s="47" t="str">
        <f>TRIM(IF(AND(Assumptions!$L$175&lt;&gt;"",D1148&lt;Assumptions!$L$175),"View blocked / roof in front ("&amp;Assumptions!$M$175&amp;"); view premium still loading until L"&amp;Assumptions!$L$175&amp;". ","")&amp;IF(D1148=Assumptions!$AH$175,"Mid-floor view premium fully loaded. ","")&amp;IF(D1148=Assumptions!$P$175,"High-floor view premium fully loaded. ","")&amp;IF(Q1148&lt;=K1148,"At developer starting price.",""))</f>
        <v/>
      </c>
      <c r="T1148" s="48" t="str">
        <f>Assumptions!$AJ$175</f>
        <v>NE. Facing HDB, landed on the right; higher floors may see Kwang Ming San</v>
      </c>
    </row>
    <row r="1149" spans="1:20" x14ac:dyDescent="0.2">
      <c r="A1149" s="13" t="s">
        <v>1327</v>
      </c>
      <c r="B1149" s="14">
        <v>11</v>
      </c>
      <c r="C1149" s="40">
        <v>49</v>
      </c>
      <c r="D1149" s="40">
        <v>5</v>
      </c>
      <c r="E1149" s="9" t="s">
        <v>43</v>
      </c>
      <c r="F1149" s="14" t="s">
        <v>1290</v>
      </c>
      <c r="G1149" s="10">
        <v>678</v>
      </c>
      <c r="H1149" s="14" t="s">
        <v>62</v>
      </c>
      <c r="I1149" s="41" t="str">
        <f>Assumptions!$I$175</f>
        <v>E</v>
      </c>
      <c r="J1149" s="14" t="str">
        <f>IF(D1149&lt;=Assumptions!$V$175,"Low",IF(D1149&lt;=Assumptions!$W$175,"Mid","High"))</f>
        <v>Low</v>
      </c>
      <c r="K1149" s="15">
        <f>Assumptions!$Q$175</f>
        <v>2613</v>
      </c>
      <c r="L1149" s="42">
        <f>INDEX(Assumptions!$C$61:$C$90,D1149)</f>
        <v>2733.3737928893029</v>
      </c>
      <c r="M1149" s="43">
        <f>IF(D1149&lt;=Assumptions!$G$175,Assumptions!$AK$175,IF(D1149&lt;Assumptions!$AH$175,Assumptions!$AK$175+(Assumptions!$AL$175-Assumptions!$AK$175)*(D1149-Assumptions!$G$175)/(Assumptions!$AH$175-Assumptions!$G$175),IF(D1149&lt;Assumptions!$P$175,Assumptions!$AL$175+(Assumptions!$AM$175-Assumptions!$AL$175)*(D1149-Assumptions!$AH$175)/(Assumptions!$P$175-Assumptions!$AH$175),Assumptions!$AM$175)))</f>
        <v>-45833.333333333328</v>
      </c>
      <c r="N1149" s="44">
        <f t="shared" si="34"/>
        <v>-67.600786627335296</v>
      </c>
      <c r="O1149" s="45">
        <f t="shared" si="35"/>
        <v>2666</v>
      </c>
      <c r="P1149" s="14" t="str">
        <f>IF(D1149&gt;=Assumptions!$P$175,"High",IF(D1149&gt;=Assumptions!$AH$175,"Mid",IF(D1149&lt;=Assumptions!$G$175,"Low","Loading")))</f>
        <v>Loading</v>
      </c>
      <c r="Q1149" s="46">
        <f>MAX(K1149,MIN(Assumptions!$S$175,O1149),Q1150)</f>
        <v>2666</v>
      </c>
      <c r="R1149" s="12">
        <f>IF(AND(Q1149&lt;=K1149,INDEX(Assumptions!$C$26:$C$36,MATCH(G1149,Assumptions!$A$26:$A$36,0))&lt;&gt;""),INDEX(Assumptions!$C$26:$C$36,MATCH(G1149,Assumptions!$A$26:$A$36,0)),ROUND(G1149*Q1149,-2))</f>
        <v>1807500</v>
      </c>
      <c r="S1149" s="47" t="str">
        <f>TRIM(IF(AND(Assumptions!$L$175&lt;&gt;"",D1149&lt;Assumptions!$L$175),"View blocked / roof in front ("&amp;Assumptions!$M$175&amp;"); view premium still loading until L"&amp;Assumptions!$L$175&amp;". ","")&amp;IF(D1149=Assumptions!$AH$175,"Mid-floor view premium fully loaded. ","")&amp;IF(D1149=Assumptions!$P$175,"High-floor view premium fully loaded. ","")&amp;IF(Q1149&lt;=K1149,"At developer starting price.",""))</f>
        <v/>
      </c>
      <c r="T1149" s="48" t="str">
        <f>Assumptions!$AJ$175</f>
        <v>NE. Facing HDB, landed on the right; higher floors may see Kwang Ming San</v>
      </c>
    </row>
    <row r="1150" spans="1:20" x14ac:dyDescent="0.2">
      <c r="A1150" s="13" t="s">
        <v>1328</v>
      </c>
      <c r="B1150" s="14">
        <v>11</v>
      </c>
      <c r="C1150" s="40">
        <v>49</v>
      </c>
      <c r="D1150" s="40">
        <v>4</v>
      </c>
      <c r="E1150" s="9" t="s">
        <v>43</v>
      </c>
      <c r="F1150" s="14" t="s">
        <v>1290</v>
      </c>
      <c r="G1150" s="10">
        <v>678</v>
      </c>
      <c r="H1150" s="14" t="s">
        <v>62</v>
      </c>
      <c r="I1150" s="41" t="str">
        <f>Assumptions!$I$175</f>
        <v>E</v>
      </c>
      <c r="J1150" s="14" t="str">
        <f>IF(D1150&lt;=Assumptions!$V$175,"Low",IF(D1150&lt;=Assumptions!$W$175,"Mid","High"))</f>
        <v>Low</v>
      </c>
      <c r="K1150" s="15">
        <f>Assumptions!$Q$175</f>
        <v>2613</v>
      </c>
      <c r="L1150" s="42">
        <f>INDEX(Assumptions!$C$61:$C$90,D1150)</f>
        <v>2717.8312994876574</v>
      </c>
      <c r="M1150" s="43">
        <f>IF(D1150&lt;=Assumptions!$G$175,Assumptions!$AK$175,IF(D1150&lt;Assumptions!$AH$175,Assumptions!$AK$175+(Assumptions!$AL$175-Assumptions!$AK$175)*(D1150-Assumptions!$G$175)/(Assumptions!$AH$175-Assumptions!$G$175),IF(D1150&lt;Assumptions!$P$175,Assumptions!$AL$175+(Assumptions!$AM$175-Assumptions!$AL$175)*(D1150-Assumptions!$AH$175)/(Assumptions!$P$175-Assumptions!$AH$175),Assumptions!$AM$175)))</f>
        <v>-47222.222222222219</v>
      </c>
      <c r="N1150" s="44">
        <f t="shared" si="34"/>
        <v>-69.649295313012118</v>
      </c>
      <c r="O1150" s="45">
        <f t="shared" si="35"/>
        <v>2648</v>
      </c>
      <c r="P1150" s="14" t="str">
        <f>IF(D1150&gt;=Assumptions!$P$175,"High",IF(D1150&gt;=Assumptions!$AH$175,"Mid",IF(D1150&lt;=Assumptions!$G$175,"Low","Loading")))</f>
        <v>Loading</v>
      </c>
      <c r="Q1150" s="46">
        <f>MAX(K1150,MIN(Assumptions!$S$175,O1150),Q1151)</f>
        <v>2648</v>
      </c>
      <c r="R1150" s="12">
        <f>IF(AND(Q1150&lt;=K1150,INDEX(Assumptions!$C$26:$C$36,MATCH(G1150,Assumptions!$A$26:$A$36,0))&lt;&gt;""),INDEX(Assumptions!$C$26:$C$36,MATCH(G1150,Assumptions!$A$26:$A$36,0)),ROUND(G1150*Q1150,-2))</f>
        <v>1795300</v>
      </c>
      <c r="S1150" s="47" t="str">
        <f>TRIM(IF(AND(Assumptions!$L$175&lt;&gt;"",D1150&lt;Assumptions!$L$175),"View blocked / roof in front ("&amp;Assumptions!$M$175&amp;"); view premium still loading until L"&amp;Assumptions!$L$175&amp;". ","")&amp;IF(D1150=Assumptions!$AH$175,"Mid-floor view premium fully loaded. ","")&amp;IF(D1150=Assumptions!$P$175,"High-floor view premium fully loaded. ","")&amp;IF(Q1150&lt;=K1150,"At developer starting price.",""))</f>
        <v>View blocked / roof in front (Forest Pavilion: 15% of view, 27.7 to 34.7m away); view premium still loading until L5.</v>
      </c>
      <c r="T1150" s="48" t="str">
        <f>Assumptions!$AJ$175</f>
        <v>NE. Facing HDB, landed on the right; higher floors may see Kwang Ming San</v>
      </c>
    </row>
    <row r="1151" spans="1:20" x14ac:dyDescent="0.2">
      <c r="A1151" s="13" t="s">
        <v>1329</v>
      </c>
      <c r="B1151" s="14">
        <v>11</v>
      </c>
      <c r="C1151" s="40">
        <v>49</v>
      </c>
      <c r="D1151" s="40">
        <v>3</v>
      </c>
      <c r="E1151" s="9" t="s">
        <v>43</v>
      </c>
      <c r="F1151" s="14" t="s">
        <v>1290</v>
      </c>
      <c r="G1151" s="10">
        <v>678</v>
      </c>
      <c r="H1151" s="14" t="s">
        <v>62</v>
      </c>
      <c r="I1151" s="41" t="str">
        <f>Assumptions!$I$175</f>
        <v>E</v>
      </c>
      <c r="J1151" s="14" t="str">
        <f>IF(D1151&lt;=Assumptions!$V$175,"Low",IF(D1151&lt;=Assumptions!$W$175,"Mid","High"))</f>
        <v>Low</v>
      </c>
      <c r="K1151" s="15">
        <f>Assumptions!$Q$175</f>
        <v>2613</v>
      </c>
      <c r="L1151" s="42">
        <f>INDEX(Assumptions!$C$61:$C$90,D1151)</f>
        <v>2702.2888060860114</v>
      </c>
      <c r="M1151" s="43">
        <f>IF(D1151&lt;=Assumptions!$G$175,Assumptions!$AK$175,IF(D1151&lt;Assumptions!$AH$175,Assumptions!$AK$175+(Assumptions!$AL$175-Assumptions!$AK$175)*(D1151-Assumptions!$G$175)/(Assumptions!$AH$175-Assumptions!$G$175),IF(D1151&lt;Assumptions!$P$175,Assumptions!$AL$175+(Assumptions!$AM$175-Assumptions!$AL$175)*(D1151-Assumptions!$AH$175)/(Assumptions!$P$175-Assumptions!$AH$175),Assumptions!$AM$175)))</f>
        <v>-48611.111111111109</v>
      </c>
      <c r="N1151" s="44">
        <f t="shared" si="34"/>
        <v>-71.697803998688954</v>
      </c>
      <c r="O1151" s="45">
        <f t="shared" si="35"/>
        <v>2631</v>
      </c>
      <c r="P1151" s="14" t="str">
        <f>IF(D1151&gt;=Assumptions!$P$175,"High",IF(D1151&gt;=Assumptions!$AH$175,"Mid",IF(D1151&lt;=Assumptions!$G$175,"Low","Loading")))</f>
        <v>Loading</v>
      </c>
      <c r="Q1151" s="46">
        <f>MAX(K1151,MIN(Assumptions!$S$175,O1151),Q1152)</f>
        <v>2631</v>
      </c>
      <c r="R1151" s="12">
        <f>IF(AND(Q1151&lt;=K1151,INDEX(Assumptions!$C$26:$C$36,MATCH(G1151,Assumptions!$A$26:$A$36,0))&lt;&gt;""),INDEX(Assumptions!$C$26:$C$36,MATCH(G1151,Assumptions!$A$26:$A$36,0)),ROUND(G1151*Q1151,-2))</f>
        <v>1783800</v>
      </c>
      <c r="S1151" s="47" t="str">
        <f>TRIM(IF(AND(Assumptions!$L$175&lt;&gt;"",D1151&lt;Assumptions!$L$175),"View blocked / roof in front ("&amp;Assumptions!$M$175&amp;"); view premium still loading until L"&amp;Assumptions!$L$175&amp;". ","")&amp;IF(D1151=Assumptions!$AH$175,"Mid-floor view premium fully loaded. ","")&amp;IF(D1151=Assumptions!$P$175,"High-floor view premium fully loaded. ","")&amp;IF(Q1151&lt;=K1151,"At developer starting price.",""))</f>
        <v>View blocked / roof in front (Forest Pavilion: 15% of view, 27.7 to 34.7m away); view premium still loading until L5.</v>
      </c>
      <c r="T1151" s="48" t="str">
        <f>Assumptions!$AJ$175</f>
        <v>NE. Facing HDB, landed on the right; higher floors may see Kwang Ming San</v>
      </c>
    </row>
    <row r="1152" spans="1:20" x14ac:dyDescent="0.2">
      <c r="A1152" s="13" t="s">
        <v>1330</v>
      </c>
      <c r="B1152" s="14">
        <v>11</v>
      </c>
      <c r="C1152" s="40">
        <v>49</v>
      </c>
      <c r="D1152" s="40">
        <v>2</v>
      </c>
      <c r="E1152" s="9" t="s">
        <v>43</v>
      </c>
      <c r="F1152" s="14" t="s">
        <v>1310</v>
      </c>
      <c r="G1152" s="10">
        <v>678</v>
      </c>
      <c r="H1152" s="14" t="s">
        <v>62</v>
      </c>
      <c r="I1152" s="41" t="str">
        <f>Assumptions!$I$175</f>
        <v>E</v>
      </c>
      <c r="J1152" s="14" t="str">
        <f>IF(D1152&lt;=Assumptions!$V$175,"Low",IF(D1152&lt;=Assumptions!$W$175,"Mid","High"))</f>
        <v>Low</v>
      </c>
      <c r="K1152" s="15">
        <f>Assumptions!$Q$175</f>
        <v>2613</v>
      </c>
      <c r="L1152" s="42">
        <f>INDEX(Assumptions!$C$61:$C$90,D1152)</f>
        <v>2686.7463126843659</v>
      </c>
      <c r="M1152" s="43">
        <f>IF(D1152&lt;=Assumptions!$G$175,Assumptions!$AK$175,IF(D1152&lt;Assumptions!$AH$175,Assumptions!$AK$175+(Assumptions!$AL$175-Assumptions!$AK$175)*(D1152-Assumptions!$G$175)/(Assumptions!$AH$175-Assumptions!$G$175),IF(D1152&lt;Assumptions!$P$175,Assumptions!$AL$175+(Assumptions!$AM$175-Assumptions!$AL$175)*(D1152-Assumptions!$AH$175)/(Assumptions!$P$175-Assumptions!$AH$175),Assumptions!$AM$175)))</f>
        <v>-50000</v>
      </c>
      <c r="N1152" s="44">
        <f t="shared" si="34"/>
        <v>-73.746312684365776</v>
      </c>
      <c r="O1152" s="45">
        <f t="shared" si="35"/>
        <v>2613</v>
      </c>
      <c r="P1152" s="14" t="str">
        <f>IF(D1152&gt;=Assumptions!$P$175,"High",IF(D1152&gt;=Assumptions!$AH$175,"Mid",IF(D1152&lt;=Assumptions!$G$175,"Low","Loading")))</f>
        <v>Low</v>
      </c>
      <c r="Q1152" s="46">
        <f>MAX(K1152,MIN(Assumptions!$S$175,O1152))</f>
        <v>2613</v>
      </c>
      <c r="R1152" s="12">
        <f>IF(AND(Q1152&lt;=K1152,INDEX(Assumptions!$C$26:$C$36,MATCH(G1152,Assumptions!$A$26:$A$36,0))&lt;&gt;""),INDEX(Assumptions!$C$26:$C$36,MATCH(G1152,Assumptions!$A$26:$A$36,0)),ROUND(G1152*Q1152,-2))</f>
        <v>1772000</v>
      </c>
      <c r="S1152" s="47" t="str">
        <f>TRIM(IF(AND(Assumptions!$L$175&lt;&gt;"",D1152&lt;Assumptions!$L$175),"View blocked / roof in front ("&amp;Assumptions!$M$175&amp;"); view premium still loading until L"&amp;Assumptions!$L$175&amp;". ","")&amp;IF(D1152=Assumptions!$AH$175,"Mid-floor view premium fully loaded. ","")&amp;IF(D1152=Assumptions!$P$175,"High-floor view premium fully loaded. ","")&amp;IF(Q1152&lt;=K1152,"At developer starting price.",""))</f>
        <v>View blocked / roof in front (Forest Pavilion: 15% of view, 27.7 to 34.7m away); view premium still loading until L5. At developer starting price.</v>
      </c>
      <c r="T1152" s="48" t="str">
        <f>Assumptions!$AJ$175</f>
        <v>NE. Facing HDB, landed on the right; higher floors may see Kwang Ming San</v>
      </c>
    </row>
    <row r="1153" spans="1:20" x14ac:dyDescent="0.2">
      <c r="A1153" s="13" t="s">
        <v>1331</v>
      </c>
      <c r="B1153" s="14">
        <v>11</v>
      </c>
      <c r="C1153" s="40">
        <v>50</v>
      </c>
      <c r="D1153" s="40">
        <v>21</v>
      </c>
      <c r="E1153" s="9" t="s">
        <v>46</v>
      </c>
      <c r="F1153" s="14" t="s">
        <v>1332</v>
      </c>
      <c r="G1153" s="10">
        <v>1055</v>
      </c>
      <c r="H1153" s="14" t="s">
        <v>62</v>
      </c>
      <c r="I1153" s="41" t="str">
        <f>Assumptions!$I$176</f>
        <v>C</v>
      </c>
      <c r="J1153" s="14" t="str">
        <f>IF(D1153&lt;=Assumptions!$V$176,"Low",IF(D1153&lt;=Assumptions!$W$176,"Mid","High"))</f>
        <v>High</v>
      </c>
      <c r="K1153" s="15">
        <f>Assumptions!$Q$176</f>
        <v>2633</v>
      </c>
      <c r="L1153" s="42">
        <f>INDEX(Assumptions!$K$61:$K$90,D1153)</f>
        <v>3042.1538461538462</v>
      </c>
      <c r="M1153" s="43">
        <f>IF(D1153&lt;=Assumptions!$G$176,Assumptions!$AK$176,IF(D1153&lt;Assumptions!$AH$176,Assumptions!$AK$176+(Assumptions!$AL$176-Assumptions!$AK$176)*(D1153-Assumptions!$G$176)/(Assumptions!$AH$176-Assumptions!$G$176),IF(D1153&lt;Assumptions!$P$176,Assumptions!$AL$176+(Assumptions!$AM$176-Assumptions!$AL$176)*(D1153-Assumptions!$AH$176)/(Assumptions!$P$176-Assumptions!$AH$176),Assumptions!$AM$176)))</f>
        <v>10000</v>
      </c>
      <c r="N1153" s="44">
        <f t="shared" si="34"/>
        <v>9.4786729857819907</v>
      </c>
      <c r="O1153" s="45">
        <f t="shared" si="35"/>
        <v>3052</v>
      </c>
      <c r="P1153" s="14" t="str">
        <f>IF(D1153&gt;=Assumptions!$P$176,"High",IF(D1153&gt;=Assumptions!$AH$176,"Mid",IF(D1153&lt;=Assumptions!$G$176,"Low","Loading")))</f>
        <v>High</v>
      </c>
      <c r="Q1153" s="46">
        <f>MAX(K1153,MIN(Assumptions!$S$176,O1153),Q1154)</f>
        <v>3052</v>
      </c>
      <c r="R1153" s="12">
        <f>IF(AND(Q1153&lt;=K1153,INDEX(Assumptions!$C$26:$C$36,MATCH(G1153,Assumptions!$A$26:$A$36,0))&lt;&gt;""),INDEX(Assumptions!$C$26:$C$36,MATCH(G1153,Assumptions!$A$26:$A$36,0)),ROUND(G1153*Q1153,-2))</f>
        <v>3219900</v>
      </c>
      <c r="S1153" s="47" t="str">
        <f>TRIM(IF(AND(Assumptions!$L$176&lt;&gt;"",D1153&lt;Assumptions!$L$176),"View blocked / roof in front ("&amp;Assumptions!$M$176&amp;"); view premium still loading until L"&amp;Assumptions!$L$176&amp;". ","")&amp;IF(D1153=Assumptions!$AH$176,"Mid-floor view premium fully loaded. ","")&amp;IF(D1153=Assumptions!$P$176,"High-floor view premium fully loaded. ","")&amp;IF(Q1153&lt;=K1153,"At developer starting price.",""))</f>
        <v/>
      </c>
      <c r="T1153" s="48" t="str">
        <f>Assumptions!$AJ$176</f>
        <v>SSE. Landed + nature reserve + city; low floors closest to the drop-off / driveway, premium from L10</v>
      </c>
    </row>
    <row r="1154" spans="1:20" x14ac:dyDescent="0.2">
      <c r="A1154" s="13" t="s">
        <v>1333</v>
      </c>
      <c r="B1154" s="14">
        <v>11</v>
      </c>
      <c r="C1154" s="40">
        <v>50</v>
      </c>
      <c r="D1154" s="40">
        <v>20</v>
      </c>
      <c r="E1154" s="9" t="s">
        <v>46</v>
      </c>
      <c r="F1154" s="14" t="s">
        <v>1332</v>
      </c>
      <c r="G1154" s="10">
        <v>1055</v>
      </c>
      <c r="H1154" s="14" t="s">
        <v>62</v>
      </c>
      <c r="I1154" s="41" t="str">
        <f>Assumptions!$I$176</f>
        <v>C</v>
      </c>
      <c r="J1154" s="14" t="str">
        <f>IF(D1154&lt;=Assumptions!$V$176,"Low",IF(D1154&lt;=Assumptions!$W$176,"Mid","High"))</f>
        <v>High</v>
      </c>
      <c r="K1154" s="15">
        <f>Assumptions!$Q$176</f>
        <v>2633</v>
      </c>
      <c r="L1154" s="42">
        <f>INDEX(Assumptions!$K$61:$K$90,D1154)</f>
        <v>3015.876923076923</v>
      </c>
      <c r="M1154" s="43">
        <f>IF(D1154&lt;=Assumptions!$G$176,Assumptions!$AK$176,IF(D1154&lt;Assumptions!$AH$176,Assumptions!$AK$176+(Assumptions!$AL$176-Assumptions!$AK$176)*(D1154-Assumptions!$G$176)/(Assumptions!$AH$176-Assumptions!$G$176),IF(D1154&lt;Assumptions!$P$176,Assumptions!$AL$176+(Assumptions!$AM$176-Assumptions!$AL$176)*(D1154-Assumptions!$AH$176)/(Assumptions!$P$176-Assumptions!$AH$176),Assumptions!$AM$176)))</f>
        <v>10000</v>
      </c>
      <c r="N1154" s="44">
        <f t="shared" si="34"/>
        <v>9.4786729857819907</v>
      </c>
      <c r="O1154" s="45">
        <f t="shared" si="35"/>
        <v>3025</v>
      </c>
      <c r="P1154" s="14" t="str">
        <f>IF(D1154&gt;=Assumptions!$P$176,"High",IF(D1154&gt;=Assumptions!$AH$176,"Mid",IF(D1154&lt;=Assumptions!$G$176,"Low","Loading")))</f>
        <v>High</v>
      </c>
      <c r="Q1154" s="46">
        <f>MAX(K1154,MIN(Assumptions!$S$176,O1154),Q1155)</f>
        <v>3025</v>
      </c>
      <c r="R1154" s="12">
        <f>IF(AND(Q1154&lt;=K1154,INDEX(Assumptions!$C$26:$C$36,MATCH(G1154,Assumptions!$A$26:$A$36,0))&lt;&gt;""),INDEX(Assumptions!$C$26:$C$36,MATCH(G1154,Assumptions!$A$26:$A$36,0)),ROUND(G1154*Q1154,-2))</f>
        <v>3191400</v>
      </c>
      <c r="S1154" s="47" t="str">
        <f>TRIM(IF(AND(Assumptions!$L$176&lt;&gt;"",D1154&lt;Assumptions!$L$176),"View blocked / roof in front ("&amp;Assumptions!$M$176&amp;"); view premium still loading until L"&amp;Assumptions!$L$176&amp;". ","")&amp;IF(D1154=Assumptions!$AH$176,"Mid-floor view premium fully loaded. ","")&amp;IF(D1154=Assumptions!$P$176,"High-floor view premium fully loaded. ","")&amp;IF(Q1154&lt;=K1154,"At developer starting price.",""))</f>
        <v/>
      </c>
      <c r="T1154" s="48" t="str">
        <f>Assumptions!$AJ$176</f>
        <v>SSE. Landed + nature reserve + city; low floors closest to the drop-off / driveway, premium from L10</v>
      </c>
    </row>
    <row r="1155" spans="1:20" x14ac:dyDescent="0.2">
      <c r="A1155" s="13" t="s">
        <v>1334</v>
      </c>
      <c r="B1155" s="14">
        <v>11</v>
      </c>
      <c r="C1155" s="40">
        <v>50</v>
      </c>
      <c r="D1155" s="40">
        <v>19</v>
      </c>
      <c r="E1155" s="9" t="s">
        <v>46</v>
      </c>
      <c r="F1155" s="14" t="s">
        <v>1332</v>
      </c>
      <c r="G1155" s="10">
        <v>1055</v>
      </c>
      <c r="H1155" s="14" t="s">
        <v>62</v>
      </c>
      <c r="I1155" s="41" t="str">
        <f>Assumptions!$I$176</f>
        <v>C</v>
      </c>
      <c r="J1155" s="14" t="str">
        <f>IF(D1155&lt;=Assumptions!$V$176,"Low",IF(D1155&lt;=Assumptions!$W$176,"Mid","High"))</f>
        <v>High</v>
      </c>
      <c r="K1155" s="15">
        <f>Assumptions!$Q$176</f>
        <v>2633</v>
      </c>
      <c r="L1155" s="42">
        <f>INDEX(Assumptions!$K$61:$K$90,D1155)</f>
        <v>2989.6</v>
      </c>
      <c r="M1155" s="43">
        <f>IF(D1155&lt;=Assumptions!$G$176,Assumptions!$AK$176,IF(D1155&lt;Assumptions!$AH$176,Assumptions!$AK$176+(Assumptions!$AL$176-Assumptions!$AK$176)*(D1155-Assumptions!$G$176)/(Assumptions!$AH$176-Assumptions!$G$176),IF(D1155&lt;Assumptions!$P$176,Assumptions!$AL$176+(Assumptions!$AM$176-Assumptions!$AL$176)*(D1155-Assumptions!$AH$176)/(Assumptions!$P$176-Assumptions!$AH$176),Assumptions!$AM$176)))</f>
        <v>10000</v>
      </c>
      <c r="N1155" s="44">
        <f t="shared" si="34"/>
        <v>9.4786729857819907</v>
      </c>
      <c r="O1155" s="45">
        <f t="shared" si="35"/>
        <v>2999</v>
      </c>
      <c r="P1155" s="14" t="str">
        <f>IF(D1155&gt;=Assumptions!$P$176,"High",IF(D1155&gt;=Assumptions!$AH$176,"Mid",IF(D1155&lt;=Assumptions!$G$176,"Low","Loading")))</f>
        <v>High</v>
      </c>
      <c r="Q1155" s="46">
        <f>MAX(K1155,MIN(Assumptions!$S$176,O1155),Q1156)</f>
        <v>2999</v>
      </c>
      <c r="R1155" s="12">
        <f>IF(AND(Q1155&lt;=K1155,INDEX(Assumptions!$C$26:$C$36,MATCH(G1155,Assumptions!$A$26:$A$36,0))&lt;&gt;""),INDEX(Assumptions!$C$26:$C$36,MATCH(G1155,Assumptions!$A$26:$A$36,0)),ROUND(G1155*Q1155,-2))</f>
        <v>3163900</v>
      </c>
      <c r="S1155" s="47" t="str">
        <f>TRIM(IF(AND(Assumptions!$L$176&lt;&gt;"",D1155&lt;Assumptions!$L$176),"View blocked / roof in front ("&amp;Assumptions!$M$176&amp;"); view premium still loading until L"&amp;Assumptions!$L$176&amp;". ","")&amp;IF(D1155=Assumptions!$AH$176,"Mid-floor view premium fully loaded. ","")&amp;IF(D1155=Assumptions!$P$176,"High-floor view premium fully loaded. ","")&amp;IF(Q1155&lt;=K1155,"At developer starting price.",""))</f>
        <v/>
      </c>
      <c r="T1155" s="48" t="str">
        <f>Assumptions!$AJ$176</f>
        <v>SSE. Landed + nature reserve + city; low floors closest to the drop-off / driveway, premium from L10</v>
      </c>
    </row>
    <row r="1156" spans="1:20" x14ac:dyDescent="0.2">
      <c r="A1156" s="13" t="s">
        <v>1335</v>
      </c>
      <c r="B1156" s="14">
        <v>11</v>
      </c>
      <c r="C1156" s="40">
        <v>50</v>
      </c>
      <c r="D1156" s="40">
        <v>18</v>
      </c>
      <c r="E1156" s="9" t="s">
        <v>46</v>
      </c>
      <c r="F1156" s="14" t="s">
        <v>1332</v>
      </c>
      <c r="G1156" s="10">
        <v>1055</v>
      </c>
      <c r="H1156" s="14" t="s">
        <v>62</v>
      </c>
      <c r="I1156" s="41" t="str">
        <f>Assumptions!$I$176</f>
        <v>C</v>
      </c>
      <c r="J1156" s="14" t="str">
        <f>IF(D1156&lt;=Assumptions!$V$176,"Low",IF(D1156&lt;=Assumptions!$W$176,"Mid","High"))</f>
        <v>High</v>
      </c>
      <c r="K1156" s="15">
        <f>Assumptions!$Q$176</f>
        <v>2633</v>
      </c>
      <c r="L1156" s="42">
        <f>INDEX(Assumptions!$K$61:$K$90,D1156)</f>
        <v>2963.3230769230768</v>
      </c>
      <c r="M1156" s="43">
        <f>IF(D1156&lt;=Assumptions!$G$176,Assumptions!$AK$176,IF(D1156&lt;Assumptions!$AH$176,Assumptions!$AK$176+(Assumptions!$AL$176-Assumptions!$AK$176)*(D1156-Assumptions!$G$176)/(Assumptions!$AH$176-Assumptions!$G$176),IF(D1156&lt;Assumptions!$P$176,Assumptions!$AL$176+(Assumptions!$AM$176-Assumptions!$AL$176)*(D1156-Assumptions!$AH$176)/(Assumptions!$P$176-Assumptions!$AH$176),Assumptions!$AM$176)))</f>
        <v>10000</v>
      </c>
      <c r="N1156" s="44">
        <f t="shared" si="34"/>
        <v>9.4786729857819907</v>
      </c>
      <c r="O1156" s="45">
        <f t="shared" si="35"/>
        <v>2973</v>
      </c>
      <c r="P1156" s="14" t="str">
        <f>IF(D1156&gt;=Assumptions!$P$176,"High",IF(D1156&gt;=Assumptions!$AH$176,"Mid",IF(D1156&lt;=Assumptions!$G$176,"Low","Loading")))</f>
        <v>High</v>
      </c>
      <c r="Q1156" s="46">
        <f>MAX(K1156,MIN(Assumptions!$S$176,O1156),Q1157)</f>
        <v>2973</v>
      </c>
      <c r="R1156" s="12">
        <f>IF(AND(Q1156&lt;=K1156,INDEX(Assumptions!$C$26:$C$36,MATCH(G1156,Assumptions!$A$26:$A$36,0))&lt;&gt;""),INDEX(Assumptions!$C$26:$C$36,MATCH(G1156,Assumptions!$A$26:$A$36,0)),ROUND(G1156*Q1156,-2))</f>
        <v>3136500</v>
      </c>
      <c r="S1156" s="47" t="str">
        <f>TRIM(IF(AND(Assumptions!$L$176&lt;&gt;"",D1156&lt;Assumptions!$L$176),"View blocked / roof in front ("&amp;Assumptions!$M$176&amp;"); view premium still loading until L"&amp;Assumptions!$L$176&amp;". ","")&amp;IF(D1156=Assumptions!$AH$176,"Mid-floor view premium fully loaded. ","")&amp;IF(D1156=Assumptions!$P$176,"High-floor view premium fully loaded. ","")&amp;IF(Q1156&lt;=K1156,"At developer starting price.",""))</f>
        <v/>
      </c>
      <c r="T1156" s="48" t="str">
        <f>Assumptions!$AJ$176</f>
        <v>SSE. Landed + nature reserve + city; low floors closest to the drop-off / driveway, premium from L10</v>
      </c>
    </row>
    <row r="1157" spans="1:20" x14ac:dyDescent="0.2">
      <c r="A1157" s="13" t="s">
        <v>1336</v>
      </c>
      <c r="B1157" s="14">
        <v>11</v>
      </c>
      <c r="C1157" s="40">
        <v>50</v>
      </c>
      <c r="D1157" s="40">
        <v>17</v>
      </c>
      <c r="E1157" s="9" t="s">
        <v>46</v>
      </c>
      <c r="F1157" s="14" t="s">
        <v>1332</v>
      </c>
      <c r="G1157" s="10">
        <v>1055</v>
      </c>
      <c r="H1157" s="14" t="s">
        <v>62</v>
      </c>
      <c r="I1157" s="41" t="str">
        <f>Assumptions!$I$176</f>
        <v>C</v>
      </c>
      <c r="J1157" s="14" t="str">
        <f>IF(D1157&lt;=Assumptions!$V$176,"Low",IF(D1157&lt;=Assumptions!$W$176,"Mid","High"))</f>
        <v>High</v>
      </c>
      <c r="K1157" s="15">
        <f>Assumptions!$Q$176</f>
        <v>2633</v>
      </c>
      <c r="L1157" s="42">
        <f>INDEX(Assumptions!$K$61:$K$90,D1157)</f>
        <v>2937.0461538461536</v>
      </c>
      <c r="M1157" s="43">
        <f>IF(D1157&lt;=Assumptions!$G$176,Assumptions!$AK$176,IF(D1157&lt;Assumptions!$AH$176,Assumptions!$AK$176+(Assumptions!$AL$176-Assumptions!$AK$176)*(D1157-Assumptions!$G$176)/(Assumptions!$AH$176-Assumptions!$G$176),IF(D1157&lt;Assumptions!$P$176,Assumptions!$AL$176+(Assumptions!$AM$176-Assumptions!$AL$176)*(D1157-Assumptions!$AH$176)/(Assumptions!$P$176-Assumptions!$AH$176),Assumptions!$AM$176)))</f>
        <v>10000</v>
      </c>
      <c r="N1157" s="44">
        <f t="shared" ref="N1157:N1220" si="36">M1157/G1157</f>
        <v>9.4786729857819907</v>
      </c>
      <c r="O1157" s="45">
        <f t="shared" ref="O1157:O1220" si="37">ROUND(L1157+N1157,0)</f>
        <v>2947</v>
      </c>
      <c r="P1157" s="14" t="str">
        <f>IF(D1157&gt;=Assumptions!$P$176,"High",IF(D1157&gt;=Assumptions!$AH$176,"Mid",IF(D1157&lt;=Assumptions!$G$176,"Low","Loading")))</f>
        <v>High</v>
      </c>
      <c r="Q1157" s="46">
        <f>MAX(K1157,MIN(Assumptions!$S$176,O1157),Q1158)</f>
        <v>2947</v>
      </c>
      <c r="R1157" s="12">
        <f>IF(AND(Q1157&lt;=K1157,INDEX(Assumptions!$C$26:$C$36,MATCH(G1157,Assumptions!$A$26:$A$36,0))&lt;&gt;""),INDEX(Assumptions!$C$26:$C$36,MATCH(G1157,Assumptions!$A$26:$A$36,0)),ROUND(G1157*Q1157,-2))</f>
        <v>3109100</v>
      </c>
      <c r="S1157" s="47" t="str">
        <f>TRIM(IF(AND(Assumptions!$L$176&lt;&gt;"",D1157&lt;Assumptions!$L$176),"View blocked / roof in front ("&amp;Assumptions!$M$176&amp;"); view premium still loading until L"&amp;Assumptions!$L$176&amp;". ","")&amp;IF(D1157=Assumptions!$AH$176,"Mid-floor view premium fully loaded. ","")&amp;IF(D1157=Assumptions!$P$176,"High-floor view premium fully loaded. ","")&amp;IF(Q1157&lt;=K1157,"At developer starting price.",""))</f>
        <v>High-floor view premium fully loaded.</v>
      </c>
      <c r="T1157" s="48" t="str">
        <f>Assumptions!$AJ$176</f>
        <v>SSE. Landed + nature reserve + city; low floors closest to the drop-off / driveway, premium from L10</v>
      </c>
    </row>
    <row r="1158" spans="1:20" x14ac:dyDescent="0.2">
      <c r="A1158" s="13" t="s">
        <v>1337</v>
      </c>
      <c r="B1158" s="14">
        <v>11</v>
      </c>
      <c r="C1158" s="40">
        <v>50</v>
      </c>
      <c r="D1158" s="40">
        <v>16</v>
      </c>
      <c r="E1158" s="9" t="s">
        <v>46</v>
      </c>
      <c r="F1158" s="14" t="s">
        <v>1332</v>
      </c>
      <c r="G1158" s="10">
        <v>1055</v>
      </c>
      <c r="H1158" s="14" t="s">
        <v>62</v>
      </c>
      <c r="I1158" s="41" t="str">
        <f>Assumptions!$I$176</f>
        <v>C</v>
      </c>
      <c r="J1158" s="14" t="str">
        <f>IF(D1158&lt;=Assumptions!$V$176,"Low",IF(D1158&lt;=Assumptions!$W$176,"Mid","High"))</f>
        <v>Mid</v>
      </c>
      <c r="K1158" s="15">
        <f>Assumptions!$Q$176</f>
        <v>2633</v>
      </c>
      <c r="L1158" s="42">
        <f>INDEX(Assumptions!$K$61:$K$90,D1158)</f>
        <v>2910.7692307692309</v>
      </c>
      <c r="M1158" s="43">
        <f>IF(D1158&lt;=Assumptions!$G$176,Assumptions!$AK$176,IF(D1158&lt;Assumptions!$AH$176,Assumptions!$AK$176+(Assumptions!$AL$176-Assumptions!$AK$176)*(D1158-Assumptions!$G$176)/(Assumptions!$AH$176-Assumptions!$G$176),IF(D1158&lt;Assumptions!$P$176,Assumptions!$AL$176+(Assumptions!$AM$176-Assumptions!$AL$176)*(D1158-Assumptions!$AH$176)/(Assumptions!$P$176-Assumptions!$AH$176),Assumptions!$AM$176)))</f>
        <v>13116.883116883117</v>
      </c>
      <c r="N1158" s="44">
        <f t="shared" si="36"/>
        <v>12.433064565765987</v>
      </c>
      <c r="O1158" s="45">
        <f t="shared" si="37"/>
        <v>2923</v>
      </c>
      <c r="P1158" s="14" t="str">
        <f>IF(D1158&gt;=Assumptions!$P$176,"High",IF(D1158&gt;=Assumptions!$AH$176,"Mid",IF(D1158&lt;=Assumptions!$G$176,"Low","Loading")))</f>
        <v>Mid</v>
      </c>
      <c r="Q1158" s="46">
        <f>MAX(K1158,MIN(Assumptions!$S$176,O1158),Q1159)</f>
        <v>2923</v>
      </c>
      <c r="R1158" s="12">
        <f>IF(AND(Q1158&lt;=K1158,INDEX(Assumptions!$C$26:$C$36,MATCH(G1158,Assumptions!$A$26:$A$36,0))&lt;&gt;""),INDEX(Assumptions!$C$26:$C$36,MATCH(G1158,Assumptions!$A$26:$A$36,0)),ROUND(G1158*Q1158,-2))</f>
        <v>3083800</v>
      </c>
      <c r="S1158" s="47" t="str">
        <f>TRIM(IF(AND(Assumptions!$L$176&lt;&gt;"",D1158&lt;Assumptions!$L$176),"View blocked / roof in front ("&amp;Assumptions!$M$176&amp;"); view premium still loading until L"&amp;Assumptions!$L$176&amp;". ","")&amp;IF(D1158=Assumptions!$AH$176,"Mid-floor view premium fully loaded. ","")&amp;IF(D1158=Assumptions!$P$176,"High-floor view premium fully loaded. ","")&amp;IF(Q1158&lt;=K1158,"At developer starting price.",""))</f>
        <v/>
      </c>
      <c r="T1158" s="48" t="str">
        <f>Assumptions!$AJ$176</f>
        <v>SSE. Landed + nature reserve + city; low floors closest to the drop-off / driveway, premium from L10</v>
      </c>
    </row>
    <row r="1159" spans="1:20" x14ac:dyDescent="0.2">
      <c r="A1159" s="13" t="s">
        <v>1338</v>
      </c>
      <c r="B1159" s="14">
        <v>11</v>
      </c>
      <c r="C1159" s="40">
        <v>50</v>
      </c>
      <c r="D1159" s="40">
        <v>15</v>
      </c>
      <c r="E1159" s="9" t="s">
        <v>46</v>
      </c>
      <c r="F1159" s="14" t="s">
        <v>1332</v>
      </c>
      <c r="G1159" s="10">
        <v>1055</v>
      </c>
      <c r="H1159" s="14" t="s">
        <v>62</v>
      </c>
      <c r="I1159" s="41" t="str">
        <f>Assumptions!$I$176</f>
        <v>C</v>
      </c>
      <c r="J1159" s="14" t="str">
        <f>IF(D1159&lt;=Assumptions!$V$176,"Low",IF(D1159&lt;=Assumptions!$W$176,"Mid","High"))</f>
        <v>Mid</v>
      </c>
      <c r="K1159" s="15">
        <f>Assumptions!$Q$176</f>
        <v>2633</v>
      </c>
      <c r="L1159" s="42">
        <f>INDEX(Assumptions!$K$61:$K$90,D1159)</f>
        <v>2884.4923076923078</v>
      </c>
      <c r="M1159" s="43">
        <f>IF(D1159&lt;=Assumptions!$G$176,Assumptions!$AK$176,IF(D1159&lt;Assumptions!$AH$176,Assumptions!$AK$176+(Assumptions!$AL$176-Assumptions!$AK$176)*(D1159-Assumptions!$G$176)/(Assumptions!$AH$176-Assumptions!$G$176),IF(D1159&lt;Assumptions!$P$176,Assumptions!$AL$176+(Assumptions!$AM$176-Assumptions!$AL$176)*(D1159-Assumptions!$AH$176)/(Assumptions!$P$176-Assumptions!$AH$176),Assumptions!$AM$176)))</f>
        <v>16233.766233766235</v>
      </c>
      <c r="N1159" s="44">
        <f t="shared" si="36"/>
        <v>15.387456145749987</v>
      </c>
      <c r="O1159" s="45">
        <f t="shared" si="37"/>
        <v>2900</v>
      </c>
      <c r="P1159" s="14" t="str">
        <f>IF(D1159&gt;=Assumptions!$P$176,"High",IF(D1159&gt;=Assumptions!$AH$176,"Mid",IF(D1159&lt;=Assumptions!$G$176,"Low","Loading")))</f>
        <v>Mid</v>
      </c>
      <c r="Q1159" s="46">
        <f>MAX(K1159,MIN(Assumptions!$S$176,O1159),Q1160)</f>
        <v>2900</v>
      </c>
      <c r="R1159" s="12">
        <f>IF(AND(Q1159&lt;=K1159,INDEX(Assumptions!$C$26:$C$36,MATCH(G1159,Assumptions!$A$26:$A$36,0))&lt;&gt;""),INDEX(Assumptions!$C$26:$C$36,MATCH(G1159,Assumptions!$A$26:$A$36,0)),ROUND(G1159*Q1159,-2))</f>
        <v>3059500</v>
      </c>
      <c r="S1159" s="47" t="str">
        <f>TRIM(IF(AND(Assumptions!$L$176&lt;&gt;"",D1159&lt;Assumptions!$L$176),"View blocked / roof in front ("&amp;Assumptions!$M$176&amp;"); view premium still loading until L"&amp;Assumptions!$L$176&amp;". ","")&amp;IF(D1159=Assumptions!$AH$176,"Mid-floor view premium fully loaded. ","")&amp;IF(D1159=Assumptions!$P$176,"High-floor view premium fully loaded. ","")&amp;IF(Q1159&lt;=K1159,"At developer starting price.",""))</f>
        <v/>
      </c>
      <c r="T1159" s="48" t="str">
        <f>Assumptions!$AJ$176</f>
        <v>SSE. Landed + nature reserve + city; low floors closest to the drop-off / driveway, premium from L10</v>
      </c>
    </row>
    <row r="1160" spans="1:20" x14ac:dyDescent="0.2">
      <c r="A1160" s="13" t="s">
        <v>1339</v>
      </c>
      <c r="B1160" s="14">
        <v>11</v>
      </c>
      <c r="C1160" s="40">
        <v>50</v>
      </c>
      <c r="D1160" s="40">
        <v>14</v>
      </c>
      <c r="E1160" s="9" t="s">
        <v>46</v>
      </c>
      <c r="F1160" s="14" t="s">
        <v>1332</v>
      </c>
      <c r="G1160" s="10">
        <v>1055</v>
      </c>
      <c r="H1160" s="14" t="s">
        <v>62</v>
      </c>
      <c r="I1160" s="41" t="str">
        <f>Assumptions!$I$176</f>
        <v>C</v>
      </c>
      <c r="J1160" s="14" t="str">
        <f>IF(D1160&lt;=Assumptions!$V$176,"Low",IF(D1160&lt;=Assumptions!$W$176,"Mid","High"))</f>
        <v>Mid</v>
      </c>
      <c r="K1160" s="15">
        <f>Assumptions!$Q$176</f>
        <v>2633</v>
      </c>
      <c r="L1160" s="42">
        <f>INDEX(Assumptions!$K$61:$K$90,D1160)</f>
        <v>2858.2153846153847</v>
      </c>
      <c r="M1160" s="43">
        <f>IF(D1160&lt;=Assumptions!$G$176,Assumptions!$AK$176,IF(D1160&lt;Assumptions!$AH$176,Assumptions!$AK$176+(Assumptions!$AL$176-Assumptions!$AK$176)*(D1160-Assumptions!$G$176)/(Assumptions!$AH$176-Assumptions!$G$176),IF(D1160&lt;Assumptions!$P$176,Assumptions!$AL$176+(Assumptions!$AM$176-Assumptions!$AL$176)*(D1160-Assumptions!$AH$176)/(Assumptions!$P$176-Assumptions!$AH$176),Assumptions!$AM$176)))</f>
        <v>19350.649350649353</v>
      </c>
      <c r="N1160" s="44">
        <f t="shared" si="36"/>
        <v>18.341847725733984</v>
      </c>
      <c r="O1160" s="45">
        <f t="shared" si="37"/>
        <v>2877</v>
      </c>
      <c r="P1160" s="14" t="str">
        <f>IF(D1160&gt;=Assumptions!$P$176,"High",IF(D1160&gt;=Assumptions!$AH$176,"Mid",IF(D1160&lt;=Assumptions!$G$176,"Low","Loading")))</f>
        <v>Mid</v>
      </c>
      <c r="Q1160" s="46">
        <f>MAX(K1160,MIN(Assumptions!$S$176,O1160),Q1161)</f>
        <v>2877</v>
      </c>
      <c r="R1160" s="12">
        <f>IF(AND(Q1160&lt;=K1160,INDEX(Assumptions!$C$26:$C$36,MATCH(G1160,Assumptions!$A$26:$A$36,0))&lt;&gt;""),INDEX(Assumptions!$C$26:$C$36,MATCH(G1160,Assumptions!$A$26:$A$36,0)),ROUND(G1160*Q1160,-2))</f>
        <v>3035200</v>
      </c>
      <c r="S1160" s="47" t="str">
        <f>TRIM(IF(AND(Assumptions!$L$176&lt;&gt;"",D1160&lt;Assumptions!$L$176),"View blocked / roof in front ("&amp;Assumptions!$M$176&amp;"); view premium still loading until L"&amp;Assumptions!$L$176&amp;". ","")&amp;IF(D1160=Assumptions!$AH$176,"Mid-floor view premium fully loaded. ","")&amp;IF(D1160=Assumptions!$P$176,"High-floor view premium fully loaded. ","")&amp;IF(Q1160&lt;=K1160,"At developer starting price.",""))</f>
        <v/>
      </c>
      <c r="T1160" s="48" t="str">
        <f>Assumptions!$AJ$176</f>
        <v>SSE. Landed + nature reserve + city; low floors closest to the drop-off / driveway, premium from L10</v>
      </c>
    </row>
    <row r="1161" spans="1:20" x14ac:dyDescent="0.2">
      <c r="A1161" s="13" t="s">
        <v>1340</v>
      </c>
      <c r="B1161" s="14">
        <v>11</v>
      </c>
      <c r="C1161" s="40">
        <v>50</v>
      </c>
      <c r="D1161" s="40">
        <v>13</v>
      </c>
      <c r="E1161" s="9" t="s">
        <v>46</v>
      </c>
      <c r="F1161" s="14" t="s">
        <v>1332</v>
      </c>
      <c r="G1161" s="10">
        <v>1055</v>
      </c>
      <c r="H1161" s="14" t="s">
        <v>62</v>
      </c>
      <c r="I1161" s="41" t="str">
        <f>Assumptions!$I$176</f>
        <v>C</v>
      </c>
      <c r="J1161" s="14" t="str">
        <f>IF(D1161&lt;=Assumptions!$V$176,"Low",IF(D1161&lt;=Assumptions!$W$176,"Mid","High"))</f>
        <v>Mid</v>
      </c>
      <c r="K1161" s="15">
        <f>Assumptions!$Q$176</f>
        <v>2633</v>
      </c>
      <c r="L1161" s="42">
        <f>INDEX(Assumptions!$K$61:$K$90,D1161)</f>
        <v>2831.9384615384615</v>
      </c>
      <c r="M1161" s="43">
        <f>IF(D1161&lt;=Assumptions!$G$176,Assumptions!$AK$176,IF(D1161&lt;Assumptions!$AH$176,Assumptions!$AK$176+(Assumptions!$AL$176-Assumptions!$AK$176)*(D1161-Assumptions!$G$176)/(Assumptions!$AH$176-Assumptions!$G$176),IF(D1161&lt;Assumptions!$P$176,Assumptions!$AL$176+(Assumptions!$AM$176-Assumptions!$AL$176)*(D1161-Assumptions!$AH$176)/(Assumptions!$P$176-Assumptions!$AH$176),Assumptions!$AM$176)))</f>
        <v>22467.53246753247</v>
      </c>
      <c r="N1161" s="44">
        <f t="shared" si="36"/>
        <v>21.296239305717982</v>
      </c>
      <c r="O1161" s="45">
        <f t="shared" si="37"/>
        <v>2853</v>
      </c>
      <c r="P1161" s="14" t="str">
        <f>IF(D1161&gt;=Assumptions!$P$176,"High",IF(D1161&gt;=Assumptions!$AH$176,"Mid",IF(D1161&lt;=Assumptions!$G$176,"Low","Loading")))</f>
        <v>Mid</v>
      </c>
      <c r="Q1161" s="46">
        <f>MAX(K1161,MIN(Assumptions!$S$176,O1161),Q1162)</f>
        <v>2853</v>
      </c>
      <c r="R1161" s="12">
        <f>IF(AND(Q1161&lt;=K1161,INDEX(Assumptions!$C$26:$C$36,MATCH(G1161,Assumptions!$A$26:$A$36,0))&lt;&gt;""),INDEX(Assumptions!$C$26:$C$36,MATCH(G1161,Assumptions!$A$26:$A$36,0)),ROUND(G1161*Q1161,-2))</f>
        <v>3009900</v>
      </c>
      <c r="S1161" s="47" t="str">
        <f>TRIM(IF(AND(Assumptions!$L$176&lt;&gt;"",D1161&lt;Assumptions!$L$176),"View blocked / roof in front ("&amp;Assumptions!$M$176&amp;"); view premium still loading until L"&amp;Assumptions!$L$176&amp;". ","")&amp;IF(D1161=Assumptions!$AH$176,"Mid-floor view premium fully loaded. ","")&amp;IF(D1161=Assumptions!$P$176,"High-floor view premium fully loaded. ","")&amp;IF(Q1161&lt;=K1161,"At developer starting price.",""))</f>
        <v/>
      </c>
      <c r="T1161" s="48" t="str">
        <f>Assumptions!$AJ$176</f>
        <v>SSE. Landed + nature reserve + city; low floors closest to the drop-off / driveway, premium from L10</v>
      </c>
    </row>
    <row r="1162" spans="1:20" x14ac:dyDescent="0.2">
      <c r="A1162" s="13" t="s">
        <v>1341</v>
      </c>
      <c r="B1162" s="14">
        <v>11</v>
      </c>
      <c r="C1162" s="40">
        <v>50</v>
      </c>
      <c r="D1162" s="40">
        <v>12</v>
      </c>
      <c r="E1162" s="9" t="s">
        <v>46</v>
      </c>
      <c r="F1162" s="14" t="s">
        <v>1332</v>
      </c>
      <c r="G1162" s="10">
        <v>1055</v>
      </c>
      <c r="H1162" s="14" t="s">
        <v>62</v>
      </c>
      <c r="I1162" s="41" t="str">
        <f>Assumptions!$I$176</f>
        <v>C</v>
      </c>
      <c r="J1162" s="14" t="str">
        <f>IF(D1162&lt;=Assumptions!$V$176,"Low",IF(D1162&lt;=Assumptions!$W$176,"Mid","High"))</f>
        <v>Mid</v>
      </c>
      <c r="K1162" s="15">
        <f>Assumptions!$Q$176</f>
        <v>2633</v>
      </c>
      <c r="L1162" s="42">
        <f>INDEX(Assumptions!$K$61:$K$90,D1162)</f>
        <v>2812.209207853758</v>
      </c>
      <c r="M1162" s="43">
        <f>IF(D1162&lt;=Assumptions!$G$176,Assumptions!$AK$176,IF(D1162&lt;Assumptions!$AH$176,Assumptions!$AK$176+(Assumptions!$AL$176-Assumptions!$AK$176)*(D1162-Assumptions!$G$176)/(Assumptions!$AH$176-Assumptions!$G$176),IF(D1162&lt;Assumptions!$P$176,Assumptions!$AL$176+(Assumptions!$AM$176-Assumptions!$AL$176)*(D1162-Assumptions!$AH$176)/(Assumptions!$P$176-Assumptions!$AH$176),Assumptions!$AM$176)))</f>
        <v>25584.41558441559</v>
      </c>
      <c r="N1162" s="44">
        <f t="shared" si="36"/>
        <v>24.25063088570198</v>
      </c>
      <c r="O1162" s="45">
        <f t="shared" si="37"/>
        <v>2836</v>
      </c>
      <c r="P1162" s="14" t="str">
        <f>IF(D1162&gt;=Assumptions!$P$176,"High",IF(D1162&gt;=Assumptions!$AH$176,"Mid",IF(D1162&lt;=Assumptions!$G$176,"Low","Loading")))</f>
        <v>Mid</v>
      </c>
      <c r="Q1162" s="46">
        <f>MAX(K1162,MIN(Assumptions!$S$176,O1162),Q1163)</f>
        <v>2836</v>
      </c>
      <c r="R1162" s="12">
        <f>IF(AND(Q1162&lt;=K1162,INDEX(Assumptions!$C$26:$C$36,MATCH(G1162,Assumptions!$A$26:$A$36,0))&lt;&gt;""),INDEX(Assumptions!$C$26:$C$36,MATCH(G1162,Assumptions!$A$26:$A$36,0)),ROUND(G1162*Q1162,-2))</f>
        <v>2992000</v>
      </c>
      <c r="S1162" s="47" t="str">
        <f>TRIM(IF(AND(Assumptions!$L$176&lt;&gt;"",D1162&lt;Assumptions!$L$176),"View blocked / roof in front ("&amp;Assumptions!$M$176&amp;"); view premium still loading until L"&amp;Assumptions!$L$176&amp;". ","")&amp;IF(D1162=Assumptions!$AH$176,"Mid-floor view premium fully loaded. ","")&amp;IF(D1162=Assumptions!$P$176,"High-floor view premium fully loaded. ","")&amp;IF(Q1162&lt;=K1162,"At developer starting price.",""))</f>
        <v/>
      </c>
      <c r="T1162" s="48" t="str">
        <f>Assumptions!$AJ$176</f>
        <v>SSE. Landed + nature reserve + city; low floors closest to the drop-off / driveway, premium from L10</v>
      </c>
    </row>
    <row r="1163" spans="1:20" x14ac:dyDescent="0.2">
      <c r="A1163" s="13" t="s">
        <v>1342</v>
      </c>
      <c r="B1163" s="14">
        <v>11</v>
      </c>
      <c r="C1163" s="40">
        <v>50</v>
      </c>
      <c r="D1163" s="40">
        <v>11</v>
      </c>
      <c r="E1163" s="9" t="s">
        <v>46</v>
      </c>
      <c r="F1163" s="14" t="s">
        <v>1332</v>
      </c>
      <c r="G1163" s="10">
        <v>1055</v>
      </c>
      <c r="H1163" s="14" t="s">
        <v>62</v>
      </c>
      <c r="I1163" s="41" t="str">
        <f>Assumptions!$I$176</f>
        <v>C</v>
      </c>
      <c r="J1163" s="14" t="str">
        <f>IF(D1163&lt;=Assumptions!$V$176,"Low",IF(D1163&lt;=Assumptions!$W$176,"Mid","High"))</f>
        <v>Mid</v>
      </c>
      <c r="K1163" s="15">
        <f>Assumptions!$Q$176</f>
        <v>2633</v>
      </c>
      <c r="L1163" s="42">
        <f>INDEX(Assumptions!$K$61:$K$90,D1163)</f>
        <v>2799.0276235612732</v>
      </c>
      <c r="M1163" s="43">
        <f>IF(D1163&lt;=Assumptions!$G$176,Assumptions!$AK$176,IF(D1163&lt;Assumptions!$AH$176,Assumptions!$AK$176+(Assumptions!$AL$176-Assumptions!$AK$176)*(D1163-Assumptions!$G$176)/(Assumptions!$AH$176-Assumptions!$G$176),IF(D1163&lt;Assumptions!$P$176,Assumptions!$AL$176+(Assumptions!$AM$176-Assumptions!$AL$176)*(D1163-Assumptions!$AH$176)/(Assumptions!$P$176-Assumptions!$AH$176),Assumptions!$AM$176)))</f>
        <v>28701.298701298707</v>
      </c>
      <c r="N1163" s="44">
        <f t="shared" si="36"/>
        <v>27.205022465685978</v>
      </c>
      <c r="O1163" s="45">
        <f t="shared" si="37"/>
        <v>2826</v>
      </c>
      <c r="P1163" s="14" t="str">
        <f>IF(D1163&gt;=Assumptions!$P$176,"High",IF(D1163&gt;=Assumptions!$AH$176,"Mid",IF(D1163&lt;=Assumptions!$G$176,"Low","Loading")))</f>
        <v>Mid</v>
      </c>
      <c r="Q1163" s="46">
        <f>MAX(K1163,MIN(Assumptions!$S$176,O1163),Q1164)</f>
        <v>2826</v>
      </c>
      <c r="R1163" s="12">
        <f>IF(AND(Q1163&lt;=K1163,INDEX(Assumptions!$C$26:$C$36,MATCH(G1163,Assumptions!$A$26:$A$36,0))&lt;&gt;""),INDEX(Assumptions!$C$26:$C$36,MATCH(G1163,Assumptions!$A$26:$A$36,0)),ROUND(G1163*Q1163,-2))</f>
        <v>2981400</v>
      </c>
      <c r="S1163" s="47" t="str">
        <f>TRIM(IF(AND(Assumptions!$L$176&lt;&gt;"",D1163&lt;Assumptions!$L$176),"View blocked / roof in front ("&amp;Assumptions!$M$176&amp;"); view premium still loading until L"&amp;Assumptions!$L$176&amp;". ","")&amp;IF(D1163=Assumptions!$AH$176,"Mid-floor view premium fully loaded. ","")&amp;IF(D1163=Assumptions!$P$176,"High-floor view premium fully loaded. ","")&amp;IF(Q1163&lt;=K1163,"At developer starting price.",""))</f>
        <v/>
      </c>
      <c r="T1163" s="48" t="str">
        <f>Assumptions!$AJ$176</f>
        <v>SSE. Landed + nature reserve + city; low floors closest to the drop-off / driveway, premium from L10</v>
      </c>
    </row>
    <row r="1164" spans="1:20" x14ac:dyDescent="0.2">
      <c r="A1164" s="13" t="s">
        <v>1343</v>
      </c>
      <c r="B1164" s="14">
        <v>11</v>
      </c>
      <c r="C1164" s="40">
        <v>50</v>
      </c>
      <c r="D1164" s="40">
        <v>10</v>
      </c>
      <c r="E1164" s="9" t="s">
        <v>46</v>
      </c>
      <c r="F1164" s="14" t="s">
        <v>1332</v>
      </c>
      <c r="G1164" s="10">
        <v>1055</v>
      </c>
      <c r="H1164" s="14" t="s">
        <v>62</v>
      </c>
      <c r="I1164" s="41" t="str">
        <f>Assumptions!$I$176</f>
        <v>C</v>
      </c>
      <c r="J1164" s="14" t="str">
        <f>IF(D1164&lt;=Assumptions!$V$176,"Low",IF(D1164&lt;=Assumptions!$W$176,"Mid","High"))</f>
        <v>Mid</v>
      </c>
      <c r="K1164" s="15">
        <f>Assumptions!$Q$176</f>
        <v>2633</v>
      </c>
      <c r="L1164" s="42">
        <f>INDEX(Assumptions!$K$61:$K$90,D1164)</f>
        <v>2785.8460392687884</v>
      </c>
      <c r="M1164" s="43">
        <f>IF(D1164&lt;=Assumptions!$G$176,Assumptions!$AK$176,IF(D1164&lt;Assumptions!$AH$176,Assumptions!$AK$176+(Assumptions!$AL$176-Assumptions!$AK$176)*(D1164-Assumptions!$G$176)/(Assumptions!$AH$176-Assumptions!$G$176),IF(D1164&lt;Assumptions!$P$176,Assumptions!$AL$176+(Assumptions!$AM$176-Assumptions!$AL$176)*(D1164-Assumptions!$AH$176)/(Assumptions!$P$176-Assumptions!$AH$176),Assumptions!$AM$176)))</f>
        <v>31818.181818181823</v>
      </c>
      <c r="N1164" s="44">
        <f t="shared" si="36"/>
        <v>30.159414045669976</v>
      </c>
      <c r="O1164" s="45">
        <f t="shared" si="37"/>
        <v>2816</v>
      </c>
      <c r="P1164" s="14" t="str">
        <f>IF(D1164&gt;=Assumptions!$P$176,"High",IF(D1164&gt;=Assumptions!$AH$176,"Mid",IF(D1164&lt;=Assumptions!$G$176,"Low","Loading")))</f>
        <v>Mid</v>
      </c>
      <c r="Q1164" s="46">
        <f>MAX(K1164,MIN(Assumptions!$S$176,O1164),Q1165)</f>
        <v>2816</v>
      </c>
      <c r="R1164" s="12">
        <f>IF(AND(Q1164&lt;=K1164,INDEX(Assumptions!$C$26:$C$36,MATCH(G1164,Assumptions!$A$26:$A$36,0))&lt;&gt;""),INDEX(Assumptions!$C$26:$C$36,MATCH(G1164,Assumptions!$A$26:$A$36,0)),ROUND(G1164*Q1164,-2))</f>
        <v>2970900</v>
      </c>
      <c r="S1164" s="47" t="str">
        <f>TRIM(IF(AND(Assumptions!$L$176&lt;&gt;"",D1164&lt;Assumptions!$L$176),"View blocked / roof in front ("&amp;Assumptions!$M$176&amp;"); view premium still loading until L"&amp;Assumptions!$L$176&amp;". ","")&amp;IF(D1164=Assumptions!$AH$176,"Mid-floor view premium fully loaded. ","")&amp;IF(D1164=Assumptions!$P$176,"High-floor view premium fully loaded. ","")&amp;IF(Q1164&lt;=K1164,"At developer starting price.",""))</f>
        <v>Mid-floor view premium fully loaded.</v>
      </c>
      <c r="T1164" s="48" t="str">
        <f>Assumptions!$AJ$176</f>
        <v>SSE. Landed + nature reserve + city; low floors closest to the drop-off / driveway, premium from L10</v>
      </c>
    </row>
    <row r="1165" spans="1:20" x14ac:dyDescent="0.2">
      <c r="A1165" s="13" t="s">
        <v>1344</v>
      </c>
      <c r="B1165" s="14">
        <v>11</v>
      </c>
      <c r="C1165" s="40">
        <v>50</v>
      </c>
      <c r="D1165" s="40">
        <v>9</v>
      </c>
      <c r="E1165" s="9" t="s">
        <v>46</v>
      </c>
      <c r="F1165" s="14" t="s">
        <v>1332</v>
      </c>
      <c r="G1165" s="10">
        <v>1055</v>
      </c>
      <c r="H1165" s="14" t="s">
        <v>62</v>
      </c>
      <c r="I1165" s="41" t="str">
        <f>Assumptions!$I$176</f>
        <v>C</v>
      </c>
      <c r="J1165" s="14" t="str">
        <f>IF(D1165&lt;=Assumptions!$V$176,"Low",IF(D1165&lt;=Assumptions!$W$176,"Mid","High"))</f>
        <v>Mid</v>
      </c>
      <c r="K1165" s="15">
        <f>Assumptions!$Q$176</f>
        <v>2633</v>
      </c>
      <c r="L1165" s="42">
        <f>INDEX(Assumptions!$K$61:$K$90,D1165)</f>
        <v>2772.6644549763037</v>
      </c>
      <c r="M1165" s="43">
        <f>IF(D1165&lt;=Assumptions!$G$176,Assumptions!$AK$176,IF(D1165&lt;Assumptions!$AH$176,Assumptions!$AK$176+(Assumptions!$AL$176-Assumptions!$AK$176)*(D1165-Assumptions!$G$176)/(Assumptions!$AH$176-Assumptions!$G$176),IF(D1165&lt;Assumptions!$P$176,Assumptions!$AL$176+(Assumptions!$AM$176-Assumptions!$AL$176)*(D1165-Assumptions!$AH$176)/(Assumptions!$P$176-Assumptions!$AH$176),Assumptions!$AM$176)))</f>
        <v>21590.909090909088</v>
      </c>
      <c r="N1165" s="44">
        <f t="shared" si="36"/>
        <v>20.465316673847479</v>
      </c>
      <c r="O1165" s="45">
        <f t="shared" si="37"/>
        <v>2793</v>
      </c>
      <c r="P1165" s="14" t="str">
        <f>IF(D1165&gt;=Assumptions!$P$176,"High",IF(D1165&gt;=Assumptions!$AH$176,"Mid",IF(D1165&lt;=Assumptions!$G$176,"Low","Loading")))</f>
        <v>Loading</v>
      </c>
      <c r="Q1165" s="46">
        <f>MAX(K1165,MIN(Assumptions!$S$176,O1165),Q1166)</f>
        <v>2793</v>
      </c>
      <c r="R1165" s="12">
        <f>IF(AND(Q1165&lt;=K1165,INDEX(Assumptions!$C$26:$C$36,MATCH(G1165,Assumptions!$A$26:$A$36,0))&lt;&gt;""),INDEX(Assumptions!$C$26:$C$36,MATCH(G1165,Assumptions!$A$26:$A$36,0)),ROUND(G1165*Q1165,-2))</f>
        <v>2946600</v>
      </c>
      <c r="S1165" s="47" t="str">
        <f>TRIM(IF(AND(Assumptions!$L$176&lt;&gt;"",D1165&lt;Assumptions!$L$176),"View blocked / roof in front ("&amp;Assumptions!$M$176&amp;"); view premium still loading until L"&amp;Assumptions!$L$176&amp;". ","")&amp;IF(D1165=Assumptions!$AH$176,"Mid-floor view premium fully loaded. ","")&amp;IF(D1165=Assumptions!$P$176,"High-floor view premium fully loaded. ","")&amp;IF(Q1165&lt;=K1165,"At developer starting price.",""))</f>
        <v>View blocked / roof in front (Drop-off / driveway below (noise, cars entering and exiting)); view premium still loading until L10.</v>
      </c>
      <c r="T1165" s="48" t="str">
        <f>Assumptions!$AJ$176</f>
        <v>SSE. Landed + nature reserve + city; low floors closest to the drop-off / driveway, premium from L10</v>
      </c>
    </row>
    <row r="1166" spans="1:20" x14ac:dyDescent="0.2">
      <c r="A1166" s="13" t="s">
        <v>1345</v>
      </c>
      <c r="B1166" s="14">
        <v>11</v>
      </c>
      <c r="C1166" s="40">
        <v>50</v>
      </c>
      <c r="D1166" s="40">
        <v>8</v>
      </c>
      <c r="E1166" s="9" t="s">
        <v>46</v>
      </c>
      <c r="F1166" s="14" t="s">
        <v>1332</v>
      </c>
      <c r="G1166" s="10">
        <v>1055</v>
      </c>
      <c r="H1166" s="14" t="s">
        <v>62</v>
      </c>
      <c r="I1166" s="41" t="str">
        <f>Assumptions!$I$176</f>
        <v>C</v>
      </c>
      <c r="J1166" s="14" t="str">
        <f>IF(D1166&lt;=Assumptions!$V$176,"Low",IF(D1166&lt;=Assumptions!$W$176,"Mid","High"))</f>
        <v>Low</v>
      </c>
      <c r="K1166" s="15">
        <f>Assumptions!$Q$176</f>
        <v>2633</v>
      </c>
      <c r="L1166" s="42">
        <f>INDEX(Assumptions!$K$61:$K$90,D1166)</f>
        <v>2759.4828706838189</v>
      </c>
      <c r="M1166" s="43">
        <f>IF(D1166&lt;=Assumptions!$G$176,Assumptions!$AK$176,IF(D1166&lt;Assumptions!$AH$176,Assumptions!$AK$176+(Assumptions!$AL$176-Assumptions!$AK$176)*(D1166-Assumptions!$G$176)/(Assumptions!$AH$176-Assumptions!$G$176),IF(D1166&lt;Assumptions!$P$176,Assumptions!$AL$176+(Assumptions!$AM$176-Assumptions!$AL$176)*(D1166-Assumptions!$AH$176)/(Assumptions!$P$176-Assumptions!$AH$176),Assumptions!$AM$176)))</f>
        <v>11363.636363636368</v>
      </c>
      <c r="N1166" s="44">
        <f t="shared" si="36"/>
        <v>10.771219302024994</v>
      </c>
      <c r="O1166" s="45">
        <f t="shared" si="37"/>
        <v>2770</v>
      </c>
      <c r="P1166" s="14" t="str">
        <f>IF(D1166&gt;=Assumptions!$P$176,"High",IF(D1166&gt;=Assumptions!$AH$176,"Mid",IF(D1166&lt;=Assumptions!$G$176,"Low","Loading")))</f>
        <v>Loading</v>
      </c>
      <c r="Q1166" s="46">
        <f>MAX(K1166,MIN(Assumptions!$S$176,O1166),Q1167)</f>
        <v>2770</v>
      </c>
      <c r="R1166" s="12">
        <f>IF(AND(Q1166&lt;=K1166,INDEX(Assumptions!$C$26:$C$36,MATCH(G1166,Assumptions!$A$26:$A$36,0))&lt;&gt;""),INDEX(Assumptions!$C$26:$C$36,MATCH(G1166,Assumptions!$A$26:$A$36,0)),ROUND(G1166*Q1166,-2))</f>
        <v>2922400</v>
      </c>
      <c r="S1166" s="47" t="str">
        <f>TRIM(IF(AND(Assumptions!$L$176&lt;&gt;"",D1166&lt;Assumptions!$L$176),"View blocked / roof in front ("&amp;Assumptions!$M$176&amp;"); view premium still loading until L"&amp;Assumptions!$L$176&amp;". ","")&amp;IF(D1166=Assumptions!$AH$176,"Mid-floor view premium fully loaded. ","")&amp;IF(D1166=Assumptions!$P$176,"High-floor view premium fully loaded. ","")&amp;IF(Q1166&lt;=K1166,"At developer starting price.",""))</f>
        <v>View blocked / roof in front (Drop-off / driveway below (noise, cars entering and exiting)); view premium still loading until L10.</v>
      </c>
      <c r="T1166" s="48" t="str">
        <f>Assumptions!$AJ$176</f>
        <v>SSE. Landed + nature reserve + city; low floors closest to the drop-off / driveway, premium from L10</v>
      </c>
    </row>
    <row r="1167" spans="1:20" x14ac:dyDescent="0.2">
      <c r="A1167" s="13" t="s">
        <v>1346</v>
      </c>
      <c r="B1167" s="14">
        <v>11</v>
      </c>
      <c r="C1167" s="40">
        <v>50</v>
      </c>
      <c r="D1167" s="40">
        <v>7</v>
      </c>
      <c r="E1167" s="9" t="s">
        <v>46</v>
      </c>
      <c r="F1167" s="14" t="s">
        <v>1332</v>
      </c>
      <c r="G1167" s="10">
        <v>1055</v>
      </c>
      <c r="H1167" s="14" t="s">
        <v>62</v>
      </c>
      <c r="I1167" s="41" t="str">
        <f>Assumptions!$I$176</f>
        <v>C</v>
      </c>
      <c r="J1167" s="14" t="str">
        <f>IF(D1167&lt;=Assumptions!$V$176,"Low",IF(D1167&lt;=Assumptions!$W$176,"Mid","High"))</f>
        <v>Low</v>
      </c>
      <c r="K1167" s="15">
        <f>Assumptions!$Q$176</f>
        <v>2633</v>
      </c>
      <c r="L1167" s="42">
        <f>INDEX(Assumptions!$K$61:$K$90,D1167)</f>
        <v>2746.3012863913341</v>
      </c>
      <c r="M1167" s="43">
        <f>IF(D1167&lt;=Assumptions!$G$176,Assumptions!$AK$176,IF(D1167&lt;Assumptions!$AH$176,Assumptions!$AK$176+(Assumptions!$AL$176-Assumptions!$AK$176)*(D1167-Assumptions!$G$176)/(Assumptions!$AH$176-Assumptions!$G$176),IF(D1167&lt;Assumptions!$P$176,Assumptions!$AL$176+(Assumptions!$AM$176-Assumptions!$AL$176)*(D1167-Assumptions!$AH$176)/(Assumptions!$P$176-Assumptions!$AH$176),Assumptions!$AM$176)))</f>
        <v>1136.3636363636397</v>
      </c>
      <c r="N1167" s="44">
        <f t="shared" si="36"/>
        <v>1.0771219302025021</v>
      </c>
      <c r="O1167" s="45">
        <f t="shared" si="37"/>
        <v>2747</v>
      </c>
      <c r="P1167" s="14" t="str">
        <f>IF(D1167&gt;=Assumptions!$P$176,"High",IF(D1167&gt;=Assumptions!$AH$176,"Mid",IF(D1167&lt;=Assumptions!$G$176,"Low","Loading")))</f>
        <v>Loading</v>
      </c>
      <c r="Q1167" s="46">
        <f>MAX(K1167,MIN(Assumptions!$S$176,O1167),Q1168)</f>
        <v>2747</v>
      </c>
      <c r="R1167" s="12">
        <f>IF(AND(Q1167&lt;=K1167,INDEX(Assumptions!$C$26:$C$36,MATCH(G1167,Assumptions!$A$26:$A$36,0))&lt;&gt;""),INDEX(Assumptions!$C$26:$C$36,MATCH(G1167,Assumptions!$A$26:$A$36,0)),ROUND(G1167*Q1167,-2))</f>
        <v>2898100</v>
      </c>
      <c r="S1167" s="47" t="str">
        <f>TRIM(IF(AND(Assumptions!$L$176&lt;&gt;"",D1167&lt;Assumptions!$L$176),"View blocked / roof in front ("&amp;Assumptions!$M$176&amp;"); view premium still loading until L"&amp;Assumptions!$L$176&amp;". ","")&amp;IF(D1167=Assumptions!$AH$176,"Mid-floor view premium fully loaded. ","")&amp;IF(D1167=Assumptions!$P$176,"High-floor view premium fully loaded. ","")&amp;IF(Q1167&lt;=K1167,"At developer starting price.",""))</f>
        <v>View blocked / roof in front (Drop-off / driveway below (noise, cars entering and exiting)); view premium still loading until L10.</v>
      </c>
      <c r="T1167" s="48" t="str">
        <f>Assumptions!$AJ$176</f>
        <v>SSE. Landed + nature reserve + city; low floors closest to the drop-off / driveway, premium from L10</v>
      </c>
    </row>
    <row r="1168" spans="1:20" x14ac:dyDescent="0.2">
      <c r="A1168" s="13" t="s">
        <v>1347</v>
      </c>
      <c r="B1168" s="14">
        <v>11</v>
      </c>
      <c r="C1168" s="40">
        <v>50</v>
      </c>
      <c r="D1168" s="40">
        <v>6</v>
      </c>
      <c r="E1168" s="9" t="s">
        <v>46</v>
      </c>
      <c r="F1168" s="14" t="s">
        <v>1332</v>
      </c>
      <c r="G1168" s="10">
        <v>1055</v>
      </c>
      <c r="H1168" s="14" t="s">
        <v>62</v>
      </c>
      <c r="I1168" s="41" t="str">
        <f>Assumptions!$I$176</f>
        <v>C</v>
      </c>
      <c r="J1168" s="14" t="str">
        <f>IF(D1168&lt;=Assumptions!$V$176,"Low",IF(D1168&lt;=Assumptions!$W$176,"Mid","High"))</f>
        <v>Low</v>
      </c>
      <c r="K1168" s="15">
        <f>Assumptions!$Q$176</f>
        <v>2633</v>
      </c>
      <c r="L1168" s="42">
        <f>INDEX(Assumptions!$K$61:$K$90,D1168)</f>
        <v>2733.1197020988493</v>
      </c>
      <c r="M1168" s="43">
        <f>IF(D1168&lt;=Assumptions!$G$176,Assumptions!$AK$176,IF(D1168&lt;Assumptions!$AH$176,Assumptions!$AK$176+(Assumptions!$AL$176-Assumptions!$AK$176)*(D1168-Assumptions!$G$176)/(Assumptions!$AH$176-Assumptions!$G$176),IF(D1168&lt;Assumptions!$P$176,Assumptions!$AL$176+(Assumptions!$AM$176-Assumptions!$AL$176)*(D1168-Assumptions!$AH$176)/(Assumptions!$P$176-Assumptions!$AH$176),Assumptions!$AM$176)))</f>
        <v>-9090.9090909090883</v>
      </c>
      <c r="N1168" s="44">
        <f t="shared" si="36"/>
        <v>-8.6169754416199886</v>
      </c>
      <c r="O1168" s="45">
        <f t="shared" si="37"/>
        <v>2725</v>
      </c>
      <c r="P1168" s="14" t="str">
        <f>IF(D1168&gt;=Assumptions!$P$176,"High",IF(D1168&gt;=Assumptions!$AH$176,"Mid",IF(D1168&lt;=Assumptions!$G$176,"Low","Loading")))</f>
        <v>Loading</v>
      </c>
      <c r="Q1168" s="46">
        <f>MAX(K1168,MIN(Assumptions!$S$176,O1168),Q1169)</f>
        <v>2725</v>
      </c>
      <c r="R1168" s="12">
        <f>IF(AND(Q1168&lt;=K1168,INDEX(Assumptions!$C$26:$C$36,MATCH(G1168,Assumptions!$A$26:$A$36,0))&lt;&gt;""),INDEX(Assumptions!$C$26:$C$36,MATCH(G1168,Assumptions!$A$26:$A$36,0)),ROUND(G1168*Q1168,-2))</f>
        <v>2874900</v>
      </c>
      <c r="S1168" s="47" t="str">
        <f>TRIM(IF(AND(Assumptions!$L$176&lt;&gt;"",D1168&lt;Assumptions!$L$176),"View blocked / roof in front ("&amp;Assumptions!$M$176&amp;"); view premium still loading until L"&amp;Assumptions!$L$176&amp;". ","")&amp;IF(D1168=Assumptions!$AH$176,"Mid-floor view premium fully loaded. ","")&amp;IF(D1168=Assumptions!$P$176,"High-floor view premium fully loaded. ","")&amp;IF(Q1168&lt;=K1168,"At developer starting price.",""))</f>
        <v>View blocked / roof in front (Drop-off / driveway below (noise, cars entering and exiting)); view premium still loading until L10.</v>
      </c>
      <c r="T1168" s="48" t="str">
        <f>Assumptions!$AJ$176</f>
        <v>SSE. Landed + nature reserve + city; low floors closest to the drop-off / driveway, premium from L10</v>
      </c>
    </row>
    <row r="1169" spans="1:20" x14ac:dyDescent="0.2">
      <c r="A1169" s="13" t="s">
        <v>1348</v>
      </c>
      <c r="B1169" s="14">
        <v>11</v>
      </c>
      <c r="C1169" s="40">
        <v>50</v>
      </c>
      <c r="D1169" s="40">
        <v>5</v>
      </c>
      <c r="E1169" s="9" t="s">
        <v>46</v>
      </c>
      <c r="F1169" s="14" t="s">
        <v>1332</v>
      </c>
      <c r="G1169" s="10">
        <v>1055</v>
      </c>
      <c r="H1169" s="14" t="s">
        <v>62</v>
      </c>
      <c r="I1169" s="41" t="str">
        <f>Assumptions!$I$176</f>
        <v>C</v>
      </c>
      <c r="J1169" s="14" t="str">
        <f>IF(D1169&lt;=Assumptions!$V$176,"Low",IF(D1169&lt;=Assumptions!$W$176,"Mid","High"))</f>
        <v>Low</v>
      </c>
      <c r="K1169" s="15">
        <f>Assumptions!$Q$176</f>
        <v>2633</v>
      </c>
      <c r="L1169" s="42">
        <f>INDEX(Assumptions!$K$61:$K$90,D1169)</f>
        <v>2719.9381178063645</v>
      </c>
      <c r="M1169" s="43">
        <f>IF(D1169&lt;=Assumptions!$G$176,Assumptions!$AK$176,IF(D1169&lt;Assumptions!$AH$176,Assumptions!$AK$176+(Assumptions!$AL$176-Assumptions!$AK$176)*(D1169-Assumptions!$G$176)/(Assumptions!$AH$176-Assumptions!$G$176),IF(D1169&lt;Assumptions!$P$176,Assumptions!$AL$176+(Assumptions!$AM$176-Assumptions!$AL$176)*(D1169-Assumptions!$AH$176)/(Assumptions!$P$176-Assumptions!$AH$176),Assumptions!$AM$176)))</f>
        <v>-19318.181818181816</v>
      </c>
      <c r="N1169" s="44">
        <f t="shared" si="36"/>
        <v>-18.311072813442479</v>
      </c>
      <c r="O1169" s="45">
        <f t="shared" si="37"/>
        <v>2702</v>
      </c>
      <c r="P1169" s="14" t="str">
        <f>IF(D1169&gt;=Assumptions!$P$176,"High",IF(D1169&gt;=Assumptions!$AH$176,"Mid",IF(D1169&lt;=Assumptions!$G$176,"Low","Loading")))</f>
        <v>Loading</v>
      </c>
      <c r="Q1169" s="46">
        <f>MAX(K1169,MIN(Assumptions!$S$176,O1169),Q1170)</f>
        <v>2702</v>
      </c>
      <c r="R1169" s="12">
        <f>IF(AND(Q1169&lt;=K1169,INDEX(Assumptions!$C$26:$C$36,MATCH(G1169,Assumptions!$A$26:$A$36,0))&lt;&gt;""),INDEX(Assumptions!$C$26:$C$36,MATCH(G1169,Assumptions!$A$26:$A$36,0)),ROUND(G1169*Q1169,-2))</f>
        <v>2850600</v>
      </c>
      <c r="S1169" s="47" t="str">
        <f>TRIM(IF(AND(Assumptions!$L$176&lt;&gt;"",D1169&lt;Assumptions!$L$176),"View blocked / roof in front ("&amp;Assumptions!$M$176&amp;"); view premium still loading until L"&amp;Assumptions!$L$176&amp;". ","")&amp;IF(D1169=Assumptions!$AH$176,"Mid-floor view premium fully loaded. ","")&amp;IF(D1169=Assumptions!$P$176,"High-floor view premium fully loaded. ","")&amp;IF(Q1169&lt;=K1169,"At developer starting price.",""))</f>
        <v>View blocked / roof in front (Drop-off / driveway below (noise, cars entering and exiting)); view premium still loading until L10.</v>
      </c>
      <c r="T1169" s="48" t="str">
        <f>Assumptions!$AJ$176</f>
        <v>SSE. Landed + nature reserve + city; low floors closest to the drop-off / driveway, premium from L10</v>
      </c>
    </row>
    <row r="1170" spans="1:20" x14ac:dyDescent="0.2">
      <c r="A1170" s="13" t="s">
        <v>1349</v>
      </c>
      <c r="B1170" s="14">
        <v>11</v>
      </c>
      <c r="C1170" s="40">
        <v>50</v>
      </c>
      <c r="D1170" s="40">
        <v>4</v>
      </c>
      <c r="E1170" s="9" t="s">
        <v>46</v>
      </c>
      <c r="F1170" s="14" t="s">
        <v>1332</v>
      </c>
      <c r="G1170" s="10">
        <v>1055</v>
      </c>
      <c r="H1170" s="14" t="s">
        <v>62</v>
      </c>
      <c r="I1170" s="41" t="str">
        <f>Assumptions!$I$176</f>
        <v>C</v>
      </c>
      <c r="J1170" s="14" t="str">
        <f>IF(D1170&lt;=Assumptions!$V$176,"Low",IF(D1170&lt;=Assumptions!$W$176,"Mid","High"))</f>
        <v>Low</v>
      </c>
      <c r="K1170" s="15">
        <f>Assumptions!$Q$176</f>
        <v>2633</v>
      </c>
      <c r="L1170" s="42">
        <f>INDEX(Assumptions!$K$61:$K$90,D1170)</f>
        <v>2706.7565335138797</v>
      </c>
      <c r="M1170" s="43">
        <f>IF(D1170&lt;=Assumptions!$G$176,Assumptions!$AK$176,IF(D1170&lt;Assumptions!$AH$176,Assumptions!$AK$176+(Assumptions!$AL$176-Assumptions!$AK$176)*(D1170-Assumptions!$G$176)/(Assumptions!$AH$176-Assumptions!$G$176),IF(D1170&lt;Assumptions!$P$176,Assumptions!$AL$176+(Assumptions!$AM$176-Assumptions!$AL$176)*(D1170-Assumptions!$AH$176)/(Assumptions!$P$176-Assumptions!$AH$176),Assumptions!$AM$176)))</f>
        <v>-29545.454545454544</v>
      </c>
      <c r="N1170" s="44">
        <f t="shared" si="36"/>
        <v>-28.005170185264969</v>
      </c>
      <c r="O1170" s="45">
        <f t="shared" si="37"/>
        <v>2679</v>
      </c>
      <c r="P1170" s="14" t="str">
        <f>IF(D1170&gt;=Assumptions!$P$176,"High",IF(D1170&gt;=Assumptions!$AH$176,"Mid",IF(D1170&lt;=Assumptions!$G$176,"Low","Loading")))</f>
        <v>Loading</v>
      </c>
      <c r="Q1170" s="46">
        <f>MAX(K1170,MIN(Assumptions!$S$176,O1170),Q1171)</f>
        <v>2679</v>
      </c>
      <c r="R1170" s="12">
        <f>IF(AND(Q1170&lt;=K1170,INDEX(Assumptions!$C$26:$C$36,MATCH(G1170,Assumptions!$A$26:$A$36,0))&lt;&gt;""),INDEX(Assumptions!$C$26:$C$36,MATCH(G1170,Assumptions!$A$26:$A$36,0)),ROUND(G1170*Q1170,-2))</f>
        <v>2826300</v>
      </c>
      <c r="S1170" s="47" t="str">
        <f>TRIM(IF(AND(Assumptions!$L$176&lt;&gt;"",D1170&lt;Assumptions!$L$176),"View blocked / roof in front ("&amp;Assumptions!$M$176&amp;"); view premium still loading until L"&amp;Assumptions!$L$176&amp;". ","")&amp;IF(D1170=Assumptions!$AH$176,"Mid-floor view premium fully loaded. ","")&amp;IF(D1170=Assumptions!$P$176,"High-floor view premium fully loaded. ","")&amp;IF(Q1170&lt;=K1170,"At developer starting price.",""))</f>
        <v>View blocked / roof in front (Drop-off / driveway below (noise, cars entering and exiting)); view premium still loading until L10.</v>
      </c>
      <c r="T1170" s="48" t="str">
        <f>Assumptions!$AJ$176</f>
        <v>SSE. Landed + nature reserve + city; low floors closest to the drop-off / driveway, premium from L10</v>
      </c>
    </row>
    <row r="1171" spans="1:20" x14ac:dyDescent="0.2">
      <c r="A1171" s="13" t="s">
        <v>1350</v>
      </c>
      <c r="B1171" s="14">
        <v>11</v>
      </c>
      <c r="C1171" s="40">
        <v>50</v>
      </c>
      <c r="D1171" s="40">
        <v>3</v>
      </c>
      <c r="E1171" s="9" t="s">
        <v>46</v>
      </c>
      <c r="F1171" s="14" t="s">
        <v>1332</v>
      </c>
      <c r="G1171" s="10">
        <v>1055</v>
      </c>
      <c r="H1171" s="14" t="s">
        <v>62</v>
      </c>
      <c r="I1171" s="41" t="str">
        <f>Assumptions!$I$176</f>
        <v>C</v>
      </c>
      <c r="J1171" s="14" t="str">
        <f>IF(D1171&lt;=Assumptions!$V$176,"Low",IF(D1171&lt;=Assumptions!$W$176,"Mid","High"))</f>
        <v>Low</v>
      </c>
      <c r="K1171" s="15">
        <f>Assumptions!$Q$176</f>
        <v>2633</v>
      </c>
      <c r="L1171" s="42">
        <f>INDEX(Assumptions!$K$61:$K$90,D1171)</f>
        <v>2693.5749492213949</v>
      </c>
      <c r="M1171" s="43">
        <f>IF(D1171&lt;=Assumptions!$G$176,Assumptions!$AK$176,IF(D1171&lt;Assumptions!$AH$176,Assumptions!$AK$176+(Assumptions!$AL$176-Assumptions!$AK$176)*(D1171-Assumptions!$G$176)/(Assumptions!$AH$176-Assumptions!$G$176),IF(D1171&lt;Assumptions!$P$176,Assumptions!$AL$176+(Assumptions!$AM$176-Assumptions!$AL$176)*(D1171-Assumptions!$AH$176)/(Assumptions!$P$176-Assumptions!$AH$176),Assumptions!$AM$176)))</f>
        <v>-39772.727272727272</v>
      </c>
      <c r="N1171" s="44">
        <f t="shared" si="36"/>
        <v>-37.69926755708746</v>
      </c>
      <c r="O1171" s="45">
        <f t="shared" si="37"/>
        <v>2656</v>
      </c>
      <c r="P1171" s="14" t="str">
        <f>IF(D1171&gt;=Assumptions!$P$176,"High",IF(D1171&gt;=Assumptions!$AH$176,"Mid",IF(D1171&lt;=Assumptions!$G$176,"Low","Loading")))</f>
        <v>Loading</v>
      </c>
      <c r="Q1171" s="46">
        <f>MAX(K1171,MIN(Assumptions!$S$176,O1171),Q1172)</f>
        <v>2656</v>
      </c>
      <c r="R1171" s="12">
        <f>IF(AND(Q1171&lt;=K1171,INDEX(Assumptions!$C$26:$C$36,MATCH(G1171,Assumptions!$A$26:$A$36,0))&lt;&gt;""),INDEX(Assumptions!$C$26:$C$36,MATCH(G1171,Assumptions!$A$26:$A$36,0)),ROUND(G1171*Q1171,-2))</f>
        <v>2802100</v>
      </c>
      <c r="S1171" s="47" t="str">
        <f>TRIM(IF(AND(Assumptions!$L$176&lt;&gt;"",D1171&lt;Assumptions!$L$176),"View blocked / roof in front ("&amp;Assumptions!$M$176&amp;"); view premium still loading until L"&amp;Assumptions!$L$176&amp;". ","")&amp;IF(D1171=Assumptions!$AH$176,"Mid-floor view premium fully loaded. ","")&amp;IF(D1171=Assumptions!$P$176,"High-floor view premium fully loaded. ","")&amp;IF(Q1171&lt;=K1171,"At developer starting price.",""))</f>
        <v>View blocked / roof in front (Drop-off / driveway below (noise, cars entering and exiting)); view premium still loading until L10.</v>
      </c>
      <c r="T1171" s="48" t="str">
        <f>Assumptions!$AJ$176</f>
        <v>SSE. Landed + nature reserve + city; low floors closest to the drop-off / driveway, premium from L10</v>
      </c>
    </row>
    <row r="1172" spans="1:20" x14ac:dyDescent="0.2">
      <c r="A1172" s="13" t="s">
        <v>1351</v>
      </c>
      <c r="B1172" s="14">
        <v>11</v>
      </c>
      <c r="C1172" s="40">
        <v>50</v>
      </c>
      <c r="D1172" s="40">
        <v>2</v>
      </c>
      <c r="E1172" s="9" t="s">
        <v>46</v>
      </c>
      <c r="F1172" s="14" t="s">
        <v>1352</v>
      </c>
      <c r="G1172" s="10">
        <v>1055</v>
      </c>
      <c r="H1172" s="14" t="s">
        <v>62</v>
      </c>
      <c r="I1172" s="41" t="str">
        <f>Assumptions!$I$176</f>
        <v>C</v>
      </c>
      <c r="J1172" s="14" t="str">
        <f>IF(D1172&lt;=Assumptions!$V$176,"Low",IF(D1172&lt;=Assumptions!$W$176,"Mid","High"))</f>
        <v>Low</v>
      </c>
      <c r="K1172" s="15">
        <f>Assumptions!$Q$176</f>
        <v>2633</v>
      </c>
      <c r="L1172" s="42">
        <f>INDEX(Assumptions!$K$61:$K$90,D1172)</f>
        <v>2680.3933649289102</v>
      </c>
      <c r="M1172" s="43">
        <f>IF(D1172&lt;=Assumptions!$G$176,Assumptions!$AK$176,IF(D1172&lt;Assumptions!$AH$176,Assumptions!$AK$176+(Assumptions!$AL$176-Assumptions!$AK$176)*(D1172-Assumptions!$G$176)/(Assumptions!$AH$176-Assumptions!$G$176),IF(D1172&lt;Assumptions!$P$176,Assumptions!$AL$176+(Assumptions!$AM$176-Assumptions!$AL$176)*(D1172-Assumptions!$AH$176)/(Assumptions!$P$176-Assumptions!$AH$176),Assumptions!$AM$176)))</f>
        <v>-50000</v>
      </c>
      <c r="N1172" s="44">
        <f t="shared" si="36"/>
        <v>-47.393364928909953</v>
      </c>
      <c r="O1172" s="45">
        <f t="shared" si="37"/>
        <v>2633</v>
      </c>
      <c r="P1172" s="14" t="str">
        <f>IF(D1172&gt;=Assumptions!$P$176,"High",IF(D1172&gt;=Assumptions!$AH$176,"Mid",IF(D1172&lt;=Assumptions!$G$176,"Low","Loading")))</f>
        <v>Low</v>
      </c>
      <c r="Q1172" s="46">
        <f>MAX(K1172,MIN(Assumptions!$S$176,O1172))</f>
        <v>2633</v>
      </c>
      <c r="R1172" s="12">
        <f>IF(AND(Q1172&lt;=K1172,INDEX(Assumptions!$C$26:$C$36,MATCH(G1172,Assumptions!$A$26:$A$36,0))&lt;&gt;""),INDEX(Assumptions!$C$26:$C$36,MATCH(G1172,Assumptions!$A$26:$A$36,0)),ROUND(G1172*Q1172,-2))</f>
        <v>2777000</v>
      </c>
      <c r="S1172" s="47" t="str">
        <f>TRIM(IF(AND(Assumptions!$L$176&lt;&gt;"",D1172&lt;Assumptions!$L$176),"View blocked / roof in front ("&amp;Assumptions!$M$176&amp;"); view premium still loading until L"&amp;Assumptions!$L$176&amp;". ","")&amp;IF(D1172=Assumptions!$AH$176,"Mid-floor view premium fully loaded. ","")&amp;IF(D1172=Assumptions!$P$176,"High-floor view premium fully loaded. ","")&amp;IF(Q1172&lt;=K1172,"At developer starting price.",""))</f>
        <v>View blocked / roof in front (Drop-off / driveway below (noise, cars entering and exiting)); view premium still loading until L10. At developer starting price.</v>
      </c>
      <c r="T1172" s="48" t="str">
        <f>Assumptions!$AJ$176</f>
        <v>SSE. Landed + nature reserve + city; low floors closest to the drop-off / driveway, premium from L10</v>
      </c>
    </row>
    <row r="1173" spans="1:20" x14ac:dyDescent="0.2">
      <c r="A1173" s="13" t="s">
        <v>1353</v>
      </c>
      <c r="B1173" s="14">
        <v>11</v>
      </c>
      <c r="C1173" s="40">
        <v>51</v>
      </c>
      <c r="D1173" s="40">
        <v>21</v>
      </c>
      <c r="E1173" s="9" t="s">
        <v>46</v>
      </c>
      <c r="F1173" s="14" t="s">
        <v>1354</v>
      </c>
      <c r="G1173" s="10">
        <v>1055</v>
      </c>
      <c r="H1173" s="14" t="s">
        <v>62</v>
      </c>
      <c r="I1173" s="41" t="str">
        <f>Assumptions!$I$177</f>
        <v>C</v>
      </c>
      <c r="J1173" s="14" t="str">
        <f>IF(D1173&lt;=Assumptions!$V$177,"Low",IF(D1173&lt;=Assumptions!$W$177,"Mid","High"))</f>
        <v>High</v>
      </c>
      <c r="K1173" s="15">
        <f>Assumptions!$Q$177</f>
        <v>2633</v>
      </c>
      <c r="L1173" s="42">
        <f>INDEX(Assumptions!$K$61:$K$90,D1173)</f>
        <v>3042.1538461538462</v>
      </c>
      <c r="M1173" s="43">
        <f>IF(D1173&lt;=Assumptions!$G$177,Assumptions!$AK$177,IF(D1173&lt;Assumptions!$AH$177,Assumptions!$AK$177+(Assumptions!$AL$177-Assumptions!$AK$177)*(D1173-Assumptions!$G$177)/(Assumptions!$AH$177-Assumptions!$G$177),IF(D1173&lt;Assumptions!$P$177,Assumptions!$AL$177+(Assumptions!$AM$177-Assumptions!$AL$177)*(D1173-Assumptions!$AH$177)/(Assumptions!$P$177-Assumptions!$AH$177),Assumptions!$AM$177)))</f>
        <v>10000</v>
      </c>
      <c r="N1173" s="44">
        <f t="shared" si="36"/>
        <v>9.4786729857819907</v>
      </c>
      <c r="O1173" s="45">
        <f t="shared" si="37"/>
        <v>3052</v>
      </c>
      <c r="P1173" s="14" t="str">
        <f>IF(D1173&gt;=Assumptions!$P$177,"High",IF(D1173&gt;=Assumptions!$AH$177,"Mid",IF(D1173&lt;=Assumptions!$G$177,"Low","Loading")))</f>
        <v>High</v>
      </c>
      <c r="Q1173" s="46">
        <f>MAX(K1173,MIN(Assumptions!$S$177,O1173),Q1174)</f>
        <v>3052</v>
      </c>
      <c r="R1173" s="12">
        <f>IF(AND(Q1173&lt;=K1173,INDEX(Assumptions!$C$26:$C$36,MATCH(G1173,Assumptions!$A$26:$A$36,0))&lt;&gt;""),INDEX(Assumptions!$C$26:$C$36,MATCH(G1173,Assumptions!$A$26:$A$36,0)),ROUND(G1173*Q1173,-2))</f>
        <v>3219900</v>
      </c>
      <c r="S1173" s="47" t="str">
        <f>TRIM(IF(AND(Assumptions!$L$177&lt;&gt;"",D1173&lt;Assumptions!$L$177),"View blocked / roof in front ("&amp;Assumptions!$M$177&amp;"); view premium still loading until L"&amp;Assumptions!$L$177&amp;". ","")&amp;IF(D1173=Assumptions!$AH$177,"Mid-floor view premium fully loaded. ","")&amp;IF(D1173=Assumptions!$P$177,"High-floor view premium fully loaded. ","")&amp;IF(Q1173&lt;=K1173,"At developer starting price.",""))</f>
        <v/>
      </c>
      <c r="T1173" s="48" t="str">
        <f>Assumptions!$AJ$177</f>
        <v>SE. Landed + nature reserve + city; low floors closest to the drop-off / driveway, premium from L10</v>
      </c>
    </row>
    <row r="1174" spans="1:20" x14ac:dyDescent="0.2">
      <c r="A1174" s="13" t="s">
        <v>1355</v>
      </c>
      <c r="B1174" s="14">
        <v>11</v>
      </c>
      <c r="C1174" s="40">
        <v>51</v>
      </c>
      <c r="D1174" s="40">
        <v>20</v>
      </c>
      <c r="E1174" s="9" t="s">
        <v>46</v>
      </c>
      <c r="F1174" s="14" t="s">
        <v>1354</v>
      </c>
      <c r="G1174" s="10">
        <v>1055</v>
      </c>
      <c r="H1174" s="14" t="s">
        <v>62</v>
      </c>
      <c r="I1174" s="41" t="str">
        <f>Assumptions!$I$177</f>
        <v>C</v>
      </c>
      <c r="J1174" s="14" t="str">
        <f>IF(D1174&lt;=Assumptions!$V$177,"Low",IF(D1174&lt;=Assumptions!$W$177,"Mid","High"))</f>
        <v>High</v>
      </c>
      <c r="K1174" s="15">
        <f>Assumptions!$Q$177</f>
        <v>2633</v>
      </c>
      <c r="L1174" s="42">
        <f>INDEX(Assumptions!$K$61:$K$90,D1174)</f>
        <v>3015.876923076923</v>
      </c>
      <c r="M1174" s="43">
        <f>IF(D1174&lt;=Assumptions!$G$177,Assumptions!$AK$177,IF(D1174&lt;Assumptions!$AH$177,Assumptions!$AK$177+(Assumptions!$AL$177-Assumptions!$AK$177)*(D1174-Assumptions!$G$177)/(Assumptions!$AH$177-Assumptions!$G$177),IF(D1174&lt;Assumptions!$P$177,Assumptions!$AL$177+(Assumptions!$AM$177-Assumptions!$AL$177)*(D1174-Assumptions!$AH$177)/(Assumptions!$P$177-Assumptions!$AH$177),Assumptions!$AM$177)))</f>
        <v>10000</v>
      </c>
      <c r="N1174" s="44">
        <f t="shared" si="36"/>
        <v>9.4786729857819907</v>
      </c>
      <c r="O1174" s="45">
        <f t="shared" si="37"/>
        <v>3025</v>
      </c>
      <c r="P1174" s="14" t="str">
        <f>IF(D1174&gt;=Assumptions!$P$177,"High",IF(D1174&gt;=Assumptions!$AH$177,"Mid",IF(D1174&lt;=Assumptions!$G$177,"Low","Loading")))</f>
        <v>High</v>
      </c>
      <c r="Q1174" s="46">
        <f>MAX(K1174,MIN(Assumptions!$S$177,O1174),Q1175)</f>
        <v>3025</v>
      </c>
      <c r="R1174" s="12">
        <f>IF(AND(Q1174&lt;=K1174,INDEX(Assumptions!$C$26:$C$36,MATCH(G1174,Assumptions!$A$26:$A$36,0))&lt;&gt;""),INDEX(Assumptions!$C$26:$C$36,MATCH(G1174,Assumptions!$A$26:$A$36,0)),ROUND(G1174*Q1174,-2))</f>
        <v>3191400</v>
      </c>
      <c r="S1174" s="47" t="str">
        <f>TRIM(IF(AND(Assumptions!$L$177&lt;&gt;"",D1174&lt;Assumptions!$L$177),"View blocked / roof in front ("&amp;Assumptions!$M$177&amp;"); view premium still loading until L"&amp;Assumptions!$L$177&amp;". ","")&amp;IF(D1174=Assumptions!$AH$177,"Mid-floor view premium fully loaded. ","")&amp;IF(D1174=Assumptions!$P$177,"High-floor view premium fully loaded. ","")&amp;IF(Q1174&lt;=K1174,"At developer starting price.",""))</f>
        <v/>
      </c>
      <c r="T1174" s="48" t="str">
        <f>Assumptions!$AJ$177</f>
        <v>SE. Landed + nature reserve + city; low floors closest to the drop-off / driveway, premium from L10</v>
      </c>
    </row>
    <row r="1175" spans="1:20" x14ac:dyDescent="0.2">
      <c r="A1175" s="13" t="s">
        <v>1356</v>
      </c>
      <c r="B1175" s="14">
        <v>11</v>
      </c>
      <c r="C1175" s="40">
        <v>51</v>
      </c>
      <c r="D1175" s="40">
        <v>19</v>
      </c>
      <c r="E1175" s="9" t="s">
        <v>46</v>
      </c>
      <c r="F1175" s="14" t="s">
        <v>1354</v>
      </c>
      <c r="G1175" s="10">
        <v>1055</v>
      </c>
      <c r="H1175" s="14" t="s">
        <v>62</v>
      </c>
      <c r="I1175" s="41" t="str">
        <f>Assumptions!$I$177</f>
        <v>C</v>
      </c>
      <c r="J1175" s="14" t="str">
        <f>IF(D1175&lt;=Assumptions!$V$177,"Low",IF(D1175&lt;=Assumptions!$W$177,"Mid","High"))</f>
        <v>High</v>
      </c>
      <c r="K1175" s="15">
        <f>Assumptions!$Q$177</f>
        <v>2633</v>
      </c>
      <c r="L1175" s="42">
        <f>INDEX(Assumptions!$K$61:$K$90,D1175)</f>
        <v>2989.6</v>
      </c>
      <c r="M1175" s="43">
        <f>IF(D1175&lt;=Assumptions!$G$177,Assumptions!$AK$177,IF(D1175&lt;Assumptions!$AH$177,Assumptions!$AK$177+(Assumptions!$AL$177-Assumptions!$AK$177)*(D1175-Assumptions!$G$177)/(Assumptions!$AH$177-Assumptions!$G$177),IF(D1175&lt;Assumptions!$P$177,Assumptions!$AL$177+(Assumptions!$AM$177-Assumptions!$AL$177)*(D1175-Assumptions!$AH$177)/(Assumptions!$P$177-Assumptions!$AH$177),Assumptions!$AM$177)))</f>
        <v>10000</v>
      </c>
      <c r="N1175" s="44">
        <f t="shared" si="36"/>
        <v>9.4786729857819907</v>
      </c>
      <c r="O1175" s="45">
        <f t="shared" si="37"/>
        <v>2999</v>
      </c>
      <c r="P1175" s="14" t="str">
        <f>IF(D1175&gt;=Assumptions!$P$177,"High",IF(D1175&gt;=Assumptions!$AH$177,"Mid",IF(D1175&lt;=Assumptions!$G$177,"Low","Loading")))</f>
        <v>High</v>
      </c>
      <c r="Q1175" s="46">
        <f>MAX(K1175,MIN(Assumptions!$S$177,O1175),Q1176)</f>
        <v>2999</v>
      </c>
      <c r="R1175" s="12">
        <f>IF(AND(Q1175&lt;=K1175,INDEX(Assumptions!$C$26:$C$36,MATCH(G1175,Assumptions!$A$26:$A$36,0))&lt;&gt;""),INDEX(Assumptions!$C$26:$C$36,MATCH(G1175,Assumptions!$A$26:$A$36,0)),ROUND(G1175*Q1175,-2))</f>
        <v>3163900</v>
      </c>
      <c r="S1175" s="47" t="str">
        <f>TRIM(IF(AND(Assumptions!$L$177&lt;&gt;"",D1175&lt;Assumptions!$L$177),"View blocked / roof in front ("&amp;Assumptions!$M$177&amp;"); view premium still loading until L"&amp;Assumptions!$L$177&amp;". ","")&amp;IF(D1175=Assumptions!$AH$177,"Mid-floor view premium fully loaded. ","")&amp;IF(D1175=Assumptions!$P$177,"High-floor view premium fully loaded. ","")&amp;IF(Q1175&lt;=K1175,"At developer starting price.",""))</f>
        <v/>
      </c>
      <c r="T1175" s="48" t="str">
        <f>Assumptions!$AJ$177</f>
        <v>SE. Landed + nature reserve + city; low floors closest to the drop-off / driveway, premium from L10</v>
      </c>
    </row>
    <row r="1176" spans="1:20" x14ac:dyDescent="0.2">
      <c r="A1176" s="13" t="s">
        <v>1357</v>
      </c>
      <c r="B1176" s="14">
        <v>11</v>
      </c>
      <c r="C1176" s="40">
        <v>51</v>
      </c>
      <c r="D1176" s="40">
        <v>18</v>
      </c>
      <c r="E1176" s="9" t="s">
        <v>46</v>
      </c>
      <c r="F1176" s="14" t="s">
        <v>1354</v>
      </c>
      <c r="G1176" s="10">
        <v>1055</v>
      </c>
      <c r="H1176" s="14" t="s">
        <v>62</v>
      </c>
      <c r="I1176" s="41" t="str">
        <f>Assumptions!$I$177</f>
        <v>C</v>
      </c>
      <c r="J1176" s="14" t="str">
        <f>IF(D1176&lt;=Assumptions!$V$177,"Low",IF(D1176&lt;=Assumptions!$W$177,"Mid","High"))</f>
        <v>High</v>
      </c>
      <c r="K1176" s="15">
        <f>Assumptions!$Q$177</f>
        <v>2633</v>
      </c>
      <c r="L1176" s="42">
        <f>INDEX(Assumptions!$K$61:$K$90,D1176)</f>
        <v>2963.3230769230768</v>
      </c>
      <c r="M1176" s="43">
        <f>IF(D1176&lt;=Assumptions!$G$177,Assumptions!$AK$177,IF(D1176&lt;Assumptions!$AH$177,Assumptions!$AK$177+(Assumptions!$AL$177-Assumptions!$AK$177)*(D1176-Assumptions!$G$177)/(Assumptions!$AH$177-Assumptions!$G$177),IF(D1176&lt;Assumptions!$P$177,Assumptions!$AL$177+(Assumptions!$AM$177-Assumptions!$AL$177)*(D1176-Assumptions!$AH$177)/(Assumptions!$P$177-Assumptions!$AH$177),Assumptions!$AM$177)))</f>
        <v>10000</v>
      </c>
      <c r="N1176" s="44">
        <f t="shared" si="36"/>
        <v>9.4786729857819907</v>
      </c>
      <c r="O1176" s="45">
        <f t="shared" si="37"/>
        <v>2973</v>
      </c>
      <c r="P1176" s="14" t="str">
        <f>IF(D1176&gt;=Assumptions!$P$177,"High",IF(D1176&gt;=Assumptions!$AH$177,"Mid",IF(D1176&lt;=Assumptions!$G$177,"Low","Loading")))</f>
        <v>High</v>
      </c>
      <c r="Q1176" s="46">
        <f>MAX(K1176,MIN(Assumptions!$S$177,O1176),Q1177)</f>
        <v>2973</v>
      </c>
      <c r="R1176" s="12">
        <f>IF(AND(Q1176&lt;=K1176,INDEX(Assumptions!$C$26:$C$36,MATCH(G1176,Assumptions!$A$26:$A$36,0))&lt;&gt;""),INDEX(Assumptions!$C$26:$C$36,MATCH(G1176,Assumptions!$A$26:$A$36,0)),ROUND(G1176*Q1176,-2))</f>
        <v>3136500</v>
      </c>
      <c r="S1176" s="47" t="str">
        <f>TRIM(IF(AND(Assumptions!$L$177&lt;&gt;"",D1176&lt;Assumptions!$L$177),"View blocked / roof in front ("&amp;Assumptions!$M$177&amp;"); view premium still loading until L"&amp;Assumptions!$L$177&amp;". ","")&amp;IF(D1176=Assumptions!$AH$177,"Mid-floor view premium fully loaded. ","")&amp;IF(D1176=Assumptions!$P$177,"High-floor view premium fully loaded. ","")&amp;IF(Q1176&lt;=K1176,"At developer starting price.",""))</f>
        <v/>
      </c>
      <c r="T1176" s="48" t="str">
        <f>Assumptions!$AJ$177</f>
        <v>SE. Landed + nature reserve + city; low floors closest to the drop-off / driveway, premium from L10</v>
      </c>
    </row>
    <row r="1177" spans="1:20" x14ac:dyDescent="0.2">
      <c r="A1177" s="13" t="s">
        <v>1358</v>
      </c>
      <c r="B1177" s="14">
        <v>11</v>
      </c>
      <c r="C1177" s="40">
        <v>51</v>
      </c>
      <c r="D1177" s="40">
        <v>17</v>
      </c>
      <c r="E1177" s="9" t="s">
        <v>46</v>
      </c>
      <c r="F1177" s="14" t="s">
        <v>1354</v>
      </c>
      <c r="G1177" s="10">
        <v>1055</v>
      </c>
      <c r="H1177" s="14" t="s">
        <v>62</v>
      </c>
      <c r="I1177" s="41" t="str">
        <f>Assumptions!$I$177</f>
        <v>C</v>
      </c>
      <c r="J1177" s="14" t="str">
        <f>IF(D1177&lt;=Assumptions!$V$177,"Low",IF(D1177&lt;=Assumptions!$W$177,"Mid","High"))</f>
        <v>High</v>
      </c>
      <c r="K1177" s="15">
        <f>Assumptions!$Q$177</f>
        <v>2633</v>
      </c>
      <c r="L1177" s="42">
        <f>INDEX(Assumptions!$K$61:$K$90,D1177)</f>
        <v>2937.0461538461536</v>
      </c>
      <c r="M1177" s="43">
        <f>IF(D1177&lt;=Assumptions!$G$177,Assumptions!$AK$177,IF(D1177&lt;Assumptions!$AH$177,Assumptions!$AK$177+(Assumptions!$AL$177-Assumptions!$AK$177)*(D1177-Assumptions!$G$177)/(Assumptions!$AH$177-Assumptions!$G$177),IF(D1177&lt;Assumptions!$P$177,Assumptions!$AL$177+(Assumptions!$AM$177-Assumptions!$AL$177)*(D1177-Assumptions!$AH$177)/(Assumptions!$P$177-Assumptions!$AH$177),Assumptions!$AM$177)))</f>
        <v>10000</v>
      </c>
      <c r="N1177" s="44">
        <f t="shared" si="36"/>
        <v>9.4786729857819907</v>
      </c>
      <c r="O1177" s="45">
        <f t="shared" si="37"/>
        <v>2947</v>
      </c>
      <c r="P1177" s="14" t="str">
        <f>IF(D1177&gt;=Assumptions!$P$177,"High",IF(D1177&gt;=Assumptions!$AH$177,"Mid",IF(D1177&lt;=Assumptions!$G$177,"Low","Loading")))</f>
        <v>High</v>
      </c>
      <c r="Q1177" s="46">
        <f>MAX(K1177,MIN(Assumptions!$S$177,O1177),Q1178)</f>
        <v>2947</v>
      </c>
      <c r="R1177" s="12">
        <f>IF(AND(Q1177&lt;=K1177,INDEX(Assumptions!$C$26:$C$36,MATCH(G1177,Assumptions!$A$26:$A$36,0))&lt;&gt;""),INDEX(Assumptions!$C$26:$C$36,MATCH(G1177,Assumptions!$A$26:$A$36,0)),ROUND(G1177*Q1177,-2))</f>
        <v>3109100</v>
      </c>
      <c r="S1177" s="47" t="str">
        <f>TRIM(IF(AND(Assumptions!$L$177&lt;&gt;"",D1177&lt;Assumptions!$L$177),"View blocked / roof in front ("&amp;Assumptions!$M$177&amp;"); view premium still loading until L"&amp;Assumptions!$L$177&amp;". ","")&amp;IF(D1177=Assumptions!$AH$177,"Mid-floor view premium fully loaded. ","")&amp;IF(D1177=Assumptions!$P$177,"High-floor view premium fully loaded. ","")&amp;IF(Q1177&lt;=K1177,"At developer starting price.",""))</f>
        <v>High-floor view premium fully loaded.</v>
      </c>
      <c r="T1177" s="48" t="str">
        <f>Assumptions!$AJ$177</f>
        <v>SE. Landed + nature reserve + city; low floors closest to the drop-off / driveway, premium from L10</v>
      </c>
    </row>
    <row r="1178" spans="1:20" x14ac:dyDescent="0.2">
      <c r="A1178" s="13" t="s">
        <v>1359</v>
      </c>
      <c r="B1178" s="14">
        <v>11</v>
      </c>
      <c r="C1178" s="40">
        <v>51</v>
      </c>
      <c r="D1178" s="40">
        <v>16</v>
      </c>
      <c r="E1178" s="9" t="s">
        <v>46</v>
      </c>
      <c r="F1178" s="14" t="s">
        <v>1354</v>
      </c>
      <c r="G1178" s="10">
        <v>1055</v>
      </c>
      <c r="H1178" s="14" t="s">
        <v>62</v>
      </c>
      <c r="I1178" s="41" t="str">
        <f>Assumptions!$I$177</f>
        <v>C</v>
      </c>
      <c r="J1178" s="14" t="str">
        <f>IF(D1178&lt;=Assumptions!$V$177,"Low",IF(D1178&lt;=Assumptions!$W$177,"Mid","High"))</f>
        <v>Mid</v>
      </c>
      <c r="K1178" s="15">
        <f>Assumptions!$Q$177</f>
        <v>2633</v>
      </c>
      <c r="L1178" s="42">
        <f>INDEX(Assumptions!$K$61:$K$90,D1178)</f>
        <v>2910.7692307692309</v>
      </c>
      <c r="M1178" s="43">
        <f>IF(D1178&lt;=Assumptions!$G$177,Assumptions!$AK$177,IF(D1178&lt;Assumptions!$AH$177,Assumptions!$AK$177+(Assumptions!$AL$177-Assumptions!$AK$177)*(D1178-Assumptions!$G$177)/(Assumptions!$AH$177-Assumptions!$G$177),IF(D1178&lt;Assumptions!$P$177,Assumptions!$AL$177+(Assumptions!$AM$177-Assumptions!$AL$177)*(D1178-Assumptions!$AH$177)/(Assumptions!$P$177-Assumptions!$AH$177),Assumptions!$AM$177)))</f>
        <v>13116.883116883117</v>
      </c>
      <c r="N1178" s="44">
        <f t="shared" si="36"/>
        <v>12.433064565765987</v>
      </c>
      <c r="O1178" s="45">
        <f t="shared" si="37"/>
        <v>2923</v>
      </c>
      <c r="P1178" s="14" t="str">
        <f>IF(D1178&gt;=Assumptions!$P$177,"High",IF(D1178&gt;=Assumptions!$AH$177,"Mid",IF(D1178&lt;=Assumptions!$G$177,"Low","Loading")))</f>
        <v>Mid</v>
      </c>
      <c r="Q1178" s="46">
        <f>MAX(K1178,MIN(Assumptions!$S$177,O1178),Q1179)</f>
        <v>2923</v>
      </c>
      <c r="R1178" s="12">
        <f>IF(AND(Q1178&lt;=K1178,INDEX(Assumptions!$C$26:$C$36,MATCH(G1178,Assumptions!$A$26:$A$36,0))&lt;&gt;""),INDEX(Assumptions!$C$26:$C$36,MATCH(G1178,Assumptions!$A$26:$A$36,0)),ROUND(G1178*Q1178,-2))</f>
        <v>3083800</v>
      </c>
      <c r="S1178" s="47" t="str">
        <f>TRIM(IF(AND(Assumptions!$L$177&lt;&gt;"",D1178&lt;Assumptions!$L$177),"View blocked / roof in front ("&amp;Assumptions!$M$177&amp;"); view premium still loading until L"&amp;Assumptions!$L$177&amp;". ","")&amp;IF(D1178=Assumptions!$AH$177,"Mid-floor view premium fully loaded. ","")&amp;IF(D1178=Assumptions!$P$177,"High-floor view premium fully loaded. ","")&amp;IF(Q1178&lt;=K1178,"At developer starting price.",""))</f>
        <v/>
      </c>
      <c r="T1178" s="48" t="str">
        <f>Assumptions!$AJ$177</f>
        <v>SE. Landed + nature reserve + city; low floors closest to the drop-off / driveway, premium from L10</v>
      </c>
    </row>
    <row r="1179" spans="1:20" x14ac:dyDescent="0.2">
      <c r="A1179" s="13" t="s">
        <v>1360</v>
      </c>
      <c r="B1179" s="14">
        <v>11</v>
      </c>
      <c r="C1179" s="40">
        <v>51</v>
      </c>
      <c r="D1179" s="40">
        <v>15</v>
      </c>
      <c r="E1179" s="9" t="s">
        <v>46</v>
      </c>
      <c r="F1179" s="14" t="s">
        <v>1354</v>
      </c>
      <c r="G1179" s="10">
        <v>1055</v>
      </c>
      <c r="H1179" s="14" t="s">
        <v>62</v>
      </c>
      <c r="I1179" s="41" t="str">
        <f>Assumptions!$I$177</f>
        <v>C</v>
      </c>
      <c r="J1179" s="14" t="str">
        <f>IF(D1179&lt;=Assumptions!$V$177,"Low",IF(D1179&lt;=Assumptions!$W$177,"Mid","High"))</f>
        <v>Mid</v>
      </c>
      <c r="K1179" s="15">
        <f>Assumptions!$Q$177</f>
        <v>2633</v>
      </c>
      <c r="L1179" s="42">
        <f>INDEX(Assumptions!$K$61:$K$90,D1179)</f>
        <v>2884.4923076923078</v>
      </c>
      <c r="M1179" s="43">
        <f>IF(D1179&lt;=Assumptions!$G$177,Assumptions!$AK$177,IF(D1179&lt;Assumptions!$AH$177,Assumptions!$AK$177+(Assumptions!$AL$177-Assumptions!$AK$177)*(D1179-Assumptions!$G$177)/(Assumptions!$AH$177-Assumptions!$G$177),IF(D1179&lt;Assumptions!$P$177,Assumptions!$AL$177+(Assumptions!$AM$177-Assumptions!$AL$177)*(D1179-Assumptions!$AH$177)/(Assumptions!$P$177-Assumptions!$AH$177),Assumptions!$AM$177)))</f>
        <v>16233.766233766235</v>
      </c>
      <c r="N1179" s="44">
        <f t="shared" si="36"/>
        <v>15.387456145749987</v>
      </c>
      <c r="O1179" s="45">
        <f t="shared" si="37"/>
        <v>2900</v>
      </c>
      <c r="P1179" s="14" t="str">
        <f>IF(D1179&gt;=Assumptions!$P$177,"High",IF(D1179&gt;=Assumptions!$AH$177,"Mid",IF(D1179&lt;=Assumptions!$G$177,"Low","Loading")))</f>
        <v>Mid</v>
      </c>
      <c r="Q1179" s="46">
        <f>MAX(K1179,MIN(Assumptions!$S$177,O1179),Q1180)</f>
        <v>2900</v>
      </c>
      <c r="R1179" s="12">
        <f>IF(AND(Q1179&lt;=K1179,INDEX(Assumptions!$C$26:$C$36,MATCH(G1179,Assumptions!$A$26:$A$36,0))&lt;&gt;""),INDEX(Assumptions!$C$26:$C$36,MATCH(G1179,Assumptions!$A$26:$A$36,0)),ROUND(G1179*Q1179,-2))</f>
        <v>3059500</v>
      </c>
      <c r="S1179" s="47" t="str">
        <f>TRIM(IF(AND(Assumptions!$L$177&lt;&gt;"",D1179&lt;Assumptions!$L$177),"View blocked / roof in front ("&amp;Assumptions!$M$177&amp;"); view premium still loading until L"&amp;Assumptions!$L$177&amp;". ","")&amp;IF(D1179=Assumptions!$AH$177,"Mid-floor view premium fully loaded. ","")&amp;IF(D1179=Assumptions!$P$177,"High-floor view premium fully loaded. ","")&amp;IF(Q1179&lt;=K1179,"At developer starting price.",""))</f>
        <v/>
      </c>
      <c r="T1179" s="48" t="str">
        <f>Assumptions!$AJ$177</f>
        <v>SE. Landed + nature reserve + city; low floors closest to the drop-off / driveway, premium from L10</v>
      </c>
    </row>
    <row r="1180" spans="1:20" x14ac:dyDescent="0.2">
      <c r="A1180" s="13" t="s">
        <v>1361</v>
      </c>
      <c r="B1180" s="14">
        <v>11</v>
      </c>
      <c r="C1180" s="40">
        <v>51</v>
      </c>
      <c r="D1180" s="40">
        <v>14</v>
      </c>
      <c r="E1180" s="9" t="s">
        <v>46</v>
      </c>
      <c r="F1180" s="14" t="s">
        <v>1354</v>
      </c>
      <c r="G1180" s="10">
        <v>1055</v>
      </c>
      <c r="H1180" s="14" t="s">
        <v>62</v>
      </c>
      <c r="I1180" s="41" t="str">
        <f>Assumptions!$I$177</f>
        <v>C</v>
      </c>
      <c r="J1180" s="14" t="str">
        <f>IF(D1180&lt;=Assumptions!$V$177,"Low",IF(D1180&lt;=Assumptions!$W$177,"Mid","High"))</f>
        <v>Mid</v>
      </c>
      <c r="K1180" s="15">
        <f>Assumptions!$Q$177</f>
        <v>2633</v>
      </c>
      <c r="L1180" s="42">
        <f>INDEX(Assumptions!$K$61:$K$90,D1180)</f>
        <v>2858.2153846153847</v>
      </c>
      <c r="M1180" s="43">
        <f>IF(D1180&lt;=Assumptions!$G$177,Assumptions!$AK$177,IF(D1180&lt;Assumptions!$AH$177,Assumptions!$AK$177+(Assumptions!$AL$177-Assumptions!$AK$177)*(D1180-Assumptions!$G$177)/(Assumptions!$AH$177-Assumptions!$G$177),IF(D1180&lt;Assumptions!$P$177,Assumptions!$AL$177+(Assumptions!$AM$177-Assumptions!$AL$177)*(D1180-Assumptions!$AH$177)/(Assumptions!$P$177-Assumptions!$AH$177),Assumptions!$AM$177)))</f>
        <v>19350.649350649353</v>
      </c>
      <c r="N1180" s="44">
        <f t="shared" si="36"/>
        <v>18.341847725733984</v>
      </c>
      <c r="O1180" s="45">
        <f t="shared" si="37"/>
        <v>2877</v>
      </c>
      <c r="P1180" s="14" t="str">
        <f>IF(D1180&gt;=Assumptions!$P$177,"High",IF(D1180&gt;=Assumptions!$AH$177,"Mid",IF(D1180&lt;=Assumptions!$G$177,"Low","Loading")))</f>
        <v>Mid</v>
      </c>
      <c r="Q1180" s="46">
        <f>MAX(K1180,MIN(Assumptions!$S$177,O1180),Q1181)</f>
        <v>2877</v>
      </c>
      <c r="R1180" s="12">
        <f>IF(AND(Q1180&lt;=K1180,INDEX(Assumptions!$C$26:$C$36,MATCH(G1180,Assumptions!$A$26:$A$36,0))&lt;&gt;""),INDEX(Assumptions!$C$26:$C$36,MATCH(G1180,Assumptions!$A$26:$A$36,0)),ROUND(G1180*Q1180,-2))</f>
        <v>3035200</v>
      </c>
      <c r="S1180" s="47" t="str">
        <f>TRIM(IF(AND(Assumptions!$L$177&lt;&gt;"",D1180&lt;Assumptions!$L$177),"View blocked / roof in front ("&amp;Assumptions!$M$177&amp;"); view premium still loading until L"&amp;Assumptions!$L$177&amp;". ","")&amp;IF(D1180=Assumptions!$AH$177,"Mid-floor view premium fully loaded. ","")&amp;IF(D1180=Assumptions!$P$177,"High-floor view premium fully loaded. ","")&amp;IF(Q1180&lt;=K1180,"At developer starting price.",""))</f>
        <v/>
      </c>
      <c r="T1180" s="48" t="str">
        <f>Assumptions!$AJ$177</f>
        <v>SE. Landed + nature reserve + city; low floors closest to the drop-off / driveway, premium from L10</v>
      </c>
    </row>
    <row r="1181" spans="1:20" x14ac:dyDescent="0.2">
      <c r="A1181" s="13" t="s">
        <v>1362</v>
      </c>
      <c r="B1181" s="14">
        <v>11</v>
      </c>
      <c r="C1181" s="40">
        <v>51</v>
      </c>
      <c r="D1181" s="40">
        <v>13</v>
      </c>
      <c r="E1181" s="9" t="s">
        <v>46</v>
      </c>
      <c r="F1181" s="14" t="s">
        <v>1354</v>
      </c>
      <c r="G1181" s="10">
        <v>1055</v>
      </c>
      <c r="H1181" s="14" t="s">
        <v>62</v>
      </c>
      <c r="I1181" s="41" t="str">
        <f>Assumptions!$I$177</f>
        <v>C</v>
      </c>
      <c r="J1181" s="14" t="str">
        <f>IF(D1181&lt;=Assumptions!$V$177,"Low",IF(D1181&lt;=Assumptions!$W$177,"Mid","High"))</f>
        <v>Mid</v>
      </c>
      <c r="K1181" s="15">
        <f>Assumptions!$Q$177</f>
        <v>2633</v>
      </c>
      <c r="L1181" s="42">
        <f>INDEX(Assumptions!$K$61:$K$90,D1181)</f>
        <v>2831.9384615384615</v>
      </c>
      <c r="M1181" s="43">
        <f>IF(D1181&lt;=Assumptions!$G$177,Assumptions!$AK$177,IF(D1181&lt;Assumptions!$AH$177,Assumptions!$AK$177+(Assumptions!$AL$177-Assumptions!$AK$177)*(D1181-Assumptions!$G$177)/(Assumptions!$AH$177-Assumptions!$G$177),IF(D1181&lt;Assumptions!$P$177,Assumptions!$AL$177+(Assumptions!$AM$177-Assumptions!$AL$177)*(D1181-Assumptions!$AH$177)/(Assumptions!$P$177-Assumptions!$AH$177),Assumptions!$AM$177)))</f>
        <v>22467.53246753247</v>
      </c>
      <c r="N1181" s="44">
        <f t="shared" si="36"/>
        <v>21.296239305717982</v>
      </c>
      <c r="O1181" s="45">
        <f t="shared" si="37"/>
        <v>2853</v>
      </c>
      <c r="P1181" s="14" t="str">
        <f>IF(D1181&gt;=Assumptions!$P$177,"High",IF(D1181&gt;=Assumptions!$AH$177,"Mid",IF(D1181&lt;=Assumptions!$G$177,"Low","Loading")))</f>
        <v>Mid</v>
      </c>
      <c r="Q1181" s="46">
        <f>MAX(K1181,MIN(Assumptions!$S$177,O1181),Q1182)</f>
        <v>2853</v>
      </c>
      <c r="R1181" s="12">
        <f>IF(AND(Q1181&lt;=K1181,INDEX(Assumptions!$C$26:$C$36,MATCH(G1181,Assumptions!$A$26:$A$36,0))&lt;&gt;""),INDEX(Assumptions!$C$26:$C$36,MATCH(G1181,Assumptions!$A$26:$A$36,0)),ROUND(G1181*Q1181,-2))</f>
        <v>3009900</v>
      </c>
      <c r="S1181" s="47" t="str">
        <f>TRIM(IF(AND(Assumptions!$L$177&lt;&gt;"",D1181&lt;Assumptions!$L$177),"View blocked / roof in front ("&amp;Assumptions!$M$177&amp;"); view premium still loading until L"&amp;Assumptions!$L$177&amp;". ","")&amp;IF(D1181=Assumptions!$AH$177,"Mid-floor view premium fully loaded. ","")&amp;IF(D1181=Assumptions!$P$177,"High-floor view premium fully loaded. ","")&amp;IF(Q1181&lt;=K1181,"At developer starting price.",""))</f>
        <v/>
      </c>
      <c r="T1181" s="48" t="str">
        <f>Assumptions!$AJ$177</f>
        <v>SE. Landed + nature reserve + city; low floors closest to the drop-off / driveway, premium from L10</v>
      </c>
    </row>
    <row r="1182" spans="1:20" x14ac:dyDescent="0.2">
      <c r="A1182" s="13" t="s">
        <v>1363</v>
      </c>
      <c r="B1182" s="14">
        <v>11</v>
      </c>
      <c r="C1182" s="40">
        <v>51</v>
      </c>
      <c r="D1182" s="40">
        <v>12</v>
      </c>
      <c r="E1182" s="9" t="s">
        <v>46</v>
      </c>
      <c r="F1182" s="14" t="s">
        <v>1354</v>
      </c>
      <c r="G1182" s="10">
        <v>1055</v>
      </c>
      <c r="H1182" s="14" t="s">
        <v>62</v>
      </c>
      <c r="I1182" s="41" t="str">
        <f>Assumptions!$I$177</f>
        <v>C</v>
      </c>
      <c r="J1182" s="14" t="str">
        <f>IF(D1182&lt;=Assumptions!$V$177,"Low",IF(D1182&lt;=Assumptions!$W$177,"Mid","High"))</f>
        <v>Mid</v>
      </c>
      <c r="K1182" s="15">
        <f>Assumptions!$Q$177</f>
        <v>2633</v>
      </c>
      <c r="L1182" s="42">
        <f>INDEX(Assumptions!$K$61:$K$90,D1182)</f>
        <v>2812.209207853758</v>
      </c>
      <c r="M1182" s="43">
        <f>IF(D1182&lt;=Assumptions!$G$177,Assumptions!$AK$177,IF(D1182&lt;Assumptions!$AH$177,Assumptions!$AK$177+(Assumptions!$AL$177-Assumptions!$AK$177)*(D1182-Assumptions!$G$177)/(Assumptions!$AH$177-Assumptions!$G$177),IF(D1182&lt;Assumptions!$P$177,Assumptions!$AL$177+(Assumptions!$AM$177-Assumptions!$AL$177)*(D1182-Assumptions!$AH$177)/(Assumptions!$P$177-Assumptions!$AH$177),Assumptions!$AM$177)))</f>
        <v>25584.41558441559</v>
      </c>
      <c r="N1182" s="44">
        <f t="shared" si="36"/>
        <v>24.25063088570198</v>
      </c>
      <c r="O1182" s="45">
        <f t="shared" si="37"/>
        <v>2836</v>
      </c>
      <c r="P1182" s="14" t="str">
        <f>IF(D1182&gt;=Assumptions!$P$177,"High",IF(D1182&gt;=Assumptions!$AH$177,"Mid",IF(D1182&lt;=Assumptions!$G$177,"Low","Loading")))</f>
        <v>Mid</v>
      </c>
      <c r="Q1182" s="46">
        <f>MAX(K1182,MIN(Assumptions!$S$177,O1182),Q1183)</f>
        <v>2836</v>
      </c>
      <c r="R1182" s="12">
        <f>IF(AND(Q1182&lt;=K1182,INDEX(Assumptions!$C$26:$C$36,MATCH(G1182,Assumptions!$A$26:$A$36,0))&lt;&gt;""),INDEX(Assumptions!$C$26:$C$36,MATCH(G1182,Assumptions!$A$26:$A$36,0)),ROUND(G1182*Q1182,-2))</f>
        <v>2992000</v>
      </c>
      <c r="S1182" s="47" t="str">
        <f>TRIM(IF(AND(Assumptions!$L$177&lt;&gt;"",D1182&lt;Assumptions!$L$177),"View blocked / roof in front ("&amp;Assumptions!$M$177&amp;"); view premium still loading until L"&amp;Assumptions!$L$177&amp;". ","")&amp;IF(D1182=Assumptions!$AH$177,"Mid-floor view premium fully loaded. ","")&amp;IF(D1182=Assumptions!$P$177,"High-floor view premium fully loaded. ","")&amp;IF(Q1182&lt;=K1182,"At developer starting price.",""))</f>
        <v/>
      </c>
      <c r="T1182" s="48" t="str">
        <f>Assumptions!$AJ$177</f>
        <v>SE. Landed + nature reserve + city; low floors closest to the drop-off / driveway, premium from L10</v>
      </c>
    </row>
    <row r="1183" spans="1:20" x14ac:dyDescent="0.2">
      <c r="A1183" s="13" t="s">
        <v>1364</v>
      </c>
      <c r="B1183" s="14">
        <v>11</v>
      </c>
      <c r="C1183" s="40">
        <v>51</v>
      </c>
      <c r="D1183" s="40">
        <v>11</v>
      </c>
      <c r="E1183" s="9" t="s">
        <v>46</v>
      </c>
      <c r="F1183" s="14" t="s">
        <v>1354</v>
      </c>
      <c r="G1183" s="10">
        <v>1055</v>
      </c>
      <c r="H1183" s="14" t="s">
        <v>62</v>
      </c>
      <c r="I1183" s="41" t="str">
        <f>Assumptions!$I$177</f>
        <v>C</v>
      </c>
      <c r="J1183" s="14" t="str">
        <f>IF(D1183&lt;=Assumptions!$V$177,"Low",IF(D1183&lt;=Assumptions!$W$177,"Mid","High"))</f>
        <v>Mid</v>
      </c>
      <c r="K1183" s="15">
        <f>Assumptions!$Q$177</f>
        <v>2633</v>
      </c>
      <c r="L1183" s="42">
        <f>INDEX(Assumptions!$K$61:$K$90,D1183)</f>
        <v>2799.0276235612732</v>
      </c>
      <c r="M1183" s="43">
        <f>IF(D1183&lt;=Assumptions!$G$177,Assumptions!$AK$177,IF(D1183&lt;Assumptions!$AH$177,Assumptions!$AK$177+(Assumptions!$AL$177-Assumptions!$AK$177)*(D1183-Assumptions!$G$177)/(Assumptions!$AH$177-Assumptions!$G$177),IF(D1183&lt;Assumptions!$P$177,Assumptions!$AL$177+(Assumptions!$AM$177-Assumptions!$AL$177)*(D1183-Assumptions!$AH$177)/(Assumptions!$P$177-Assumptions!$AH$177),Assumptions!$AM$177)))</f>
        <v>28701.298701298707</v>
      </c>
      <c r="N1183" s="44">
        <f t="shared" si="36"/>
        <v>27.205022465685978</v>
      </c>
      <c r="O1183" s="45">
        <f t="shared" si="37"/>
        <v>2826</v>
      </c>
      <c r="P1183" s="14" t="str">
        <f>IF(D1183&gt;=Assumptions!$P$177,"High",IF(D1183&gt;=Assumptions!$AH$177,"Mid",IF(D1183&lt;=Assumptions!$G$177,"Low","Loading")))</f>
        <v>Mid</v>
      </c>
      <c r="Q1183" s="46">
        <f>MAX(K1183,MIN(Assumptions!$S$177,O1183),Q1184)</f>
        <v>2826</v>
      </c>
      <c r="R1183" s="12">
        <f>IF(AND(Q1183&lt;=K1183,INDEX(Assumptions!$C$26:$C$36,MATCH(G1183,Assumptions!$A$26:$A$36,0))&lt;&gt;""),INDEX(Assumptions!$C$26:$C$36,MATCH(G1183,Assumptions!$A$26:$A$36,0)),ROUND(G1183*Q1183,-2))</f>
        <v>2981400</v>
      </c>
      <c r="S1183" s="47" t="str">
        <f>TRIM(IF(AND(Assumptions!$L$177&lt;&gt;"",D1183&lt;Assumptions!$L$177),"View blocked / roof in front ("&amp;Assumptions!$M$177&amp;"); view premium still loading until L"&amp;Assumptions!$L$177&amp;". ","")&amp;IF(D1183=Assumptions!$AH$177,"Mid-floor view premium fully loaded. ","")&amp;IF(D1183=Assumptions!$P$177,"High-floor view premium fully loaded. ","")&amp;IF(Q1183&lt;=K1183,"At developer starting price.",""))</f>
        <v/>
      </c>
      <c r="T1183" s="48" t="str">
        <f>Assumptions!$AJ$177</f>
        <v>SE. Landed + nature reserve + city; low floors closest to the drop-off / driveway, premium from L10</v>
      </c>
    </row>
    <row r="1184" spans="1:20" x14ac:dyDescent="0.2">
      <c r="A1184" s="13" t="s">
        <v>1365</v>
      </c>
      <c r="B1184" s="14">
        <v>11</v>
      </c>
      <c r="C1184" s="40">
        <v>51</v>
      </c>
      <c r="D1184" s="40">
        <v>10</v>
      </c>
      <c r="E1184" s="9" t="s">
        <v>46</v>
      </c>
      <c r="F1184" s="14" t="s">
        <v>1354</v>
      </c>
      <c r="G1184" s="10">
        <v>1055</v>
      </c>
      <c r="H1184" s="14" t="s">
        <v>62</v>
      </c>
      <c r="I1184" s="41" t="str">
        <f>Assumptions!$I$177</f>
        <v>C</v>
      </c>
      <c r="J1184" s="14" t="str">
        <f>IF(D1184&lt;=Assumptions!$V$177,"Low",IF(D1184&lt;=Assumptions!$W$177,"Mid","High"))</f>
        <v>Mid</v>
      </c>
      <c r="K1184" s="15">
        <f>Assumptions!$Q$177</f>
        <v>2633</v>
      </c>
      <c r="L1184" s="42">
        <f>INDEX(Assumptions!$K$61:$K$90,D1184)</f>
        <v>2785.8460392687884</v>
      </c>
      <c r="M1184" s="43">
        <f>IF(D1184&lt;=Assumptions!$G$177,Assumptions!$AK$177,IF(D1184&lt;Assumptions!$AH$177,Assumptions!$AK$177+(Assumptions!$AL$177-Assumptions!$AK$177)*(D1184-Assumptions!$G$177)/(Assumptions!$AH$177-Assumptions!$G$177),IF(D1184&lt;Assumptions!$P$177,Assumptions!$AL$177+(Assumptions!$AM$177-Assumptions!$AL$177)*(D1184-Assumptions!$AH$177)/(Assumptions!$P$177-Assumptions!$AH$177),Assumptions!$AM$177)))</f>
        <v>31818.181818181823</v>
      </c>
      <c r="N1184" s="44">
        <f t="shared" si="36"/>
        <v>30.159414045669976</v>
      </c>
      <c r="O1184" s="45">
        <f t="shared" si="37"/>
        <v>2816</v>
      </c>
      <c r="P1184" s="14" t="str">
        <f>IF(D1184&gt;=Assumptions!$P$177,"High",IF(D1184&gt;=Assumptions!$AH$177,"Mid",IF(D1184&lt;=Assumptions!$G$177,"Low","Loading")))</f>
        <v>Mid</v>
      </c>
      <c r="Q1184" s="46">
        <f>MAX(K1184,MIN(Assumptions!$S$177,O1184),Q1185)</f>
        <v>2816</v>
      </c>
      <c r="R1184" s="12">
        <f>IF(AND(Q1184&lt;=K1184,INDEX(Assumptions!$C$26:$C$36,MATCH(G1184,Assumptions!$A$26:$A$36,0))&lt;&gt;""),INDEX(Assumptions!$C$26:$C$36,MATCH(G1184,Assumptions!$A$26:$A$36,0)),ROUND(G1184*Q1184,-2))</f>
        <v>2970900</v>
      </c>
      <c r="S1184" s="47" t="str">
        <f>TRIM(IF(AND(Assumptions!$L$177&lt;&gt;"",D1184&lt;Assumptions!$L$177),"View blocked / roof in front ("&amp;Assumptions!$M$177&amp;"); view premium still loading until L"&amp;Assumptions!$L$177&amp;". ","")&amp;IF(D1184=Assumptions!$AH$177,"Mid-floor view premium fully loaded. ","")&amp;IF(D1184=Assumptions!$P$177,"High-floor view premium fully loaded. ","")&amp;IF(Q1184&lt;=K1184,"At developer starting price.",""))</f>
        <v>Mid-floor view premium fully loaded.</v>
      </c>
      <c r="T1184" s="48" t="str">
        <f>Assumptions!$AJ$177</f>
        <v>SE. Landed + nature reserve + city; low floors closest to the drop-off / driveway, premium from L10</v>
      </c>
    </row>
    <row r="1185" spans="1:20" x14ac:dyDescent="0.2">
      <c r="A1185" s="13" t="s">
        <v>1366</v>
      </c>
      <c r="B1185" s="14">
        <v>11</v>
      </c>
      <c r="C1185" s="40">
        <v>51</v>
      </c>
      <c r="D1185" s="40">
        <v>9</v>
      </c>
      <c r="E1185" s="9" t="s">
        <v>46</v>
      </c>
      <c r="F1185" s="14" t="s">
        <v>1354</v>
      </c>
      <c r="G1185" s="10">
        <v>1055</v>
      </c>
      <c r="H1185" s="14" t="s">
        <v>62</v>
      </c>
      <c r="I1185" s="41" t="str">
        <f>Assumptions!$I$177</f>
        <v>C</v>
      </c>
      <c r="J1185" s="14" t="str">
        <f>IF(D1185&lt;=Assumptions!$V$177,"Low",IF(D1185&lt;=Assumptions!$W$177,"Mid","High"))</f>
        <v>Mid</v>
      </c>
      <c r="K1185" s="15">
        <f>Assumptions!$Q$177</f>
        <v>2633</v>
      </c>
      <c r="L1185" s="42">
        <f>INDEX(Assumptions!$K$61:$K$90,D1185)</f>
        <v>2772.6644549763037</v>
      </c>
      <c r="M1185" s="43">
        <f>IF(D1185&lt;=Assumptions!$G$177,Assumptions!$AK$177,IF(D1185&lt;Assumptions!$AH$177,Assumptions!$AK$177+(Assumptions!$AL$177-Assumptions!$AK$177)*(D1185-Assumptions!$G$177)/(Assumptions!$AH$177-Assumptions!$G$177),IF(D1185&lt;Assumptions!$P$177,Assumptions!$AL$177+(Assumptions!$AM$177-Assumptions!$AL$177)*(D1185-Assumptions!$AH$177)/(Assumptions!$P$177-Assumptions!$AH$177),Assumptions!$AM$177)))</f>
        <v>21590.909090909088</v>
      </c>
      <c r="N1185" s="44">
        <f t="shared" si="36"/>
        <v>20.465316673847479</v>
      </c>
      <c r="O1185" s="45">
        <f t="shared" si="37"/>
        <v>2793</v>
      </c>
      <c r="P1185" s="14" t="str">
        <f>IF(D1185&gt;=Assumptions!$P$177,"High",IF(D1185&gt;=Assumptions!$AH$177,"Mid",IF(D1185&lt;=Assumptions!$G$177,"Low","Loading")))</f>
        <v>Loading</v>
      </c>
      <c r="Q1185" s="46">
        <f>MAX(K1185,MIN(Assumptions!$S$177,O1185),Q1186)</f>
        <v>2793</v>
      </c>
      <c r="R1185" s="12">
        <f>IF(AND(Q1185&lt;=K1185,INDEX(Assumptions!$C$26:$C$36,MATCH(G1185,Assumptions!$A$26:$A$36,0))&lt;&gt;""),INDEX(Assumptions!$C$26:$C$36,MATCH(G1185,Assumptions!$A$26:$A$36,0)),ROUND(G1185*Q1185,-2))</f>
        <v>2946600</v>
      </c>
      <c r="S1185" s="47" t="str">
        <f>TRIM(IF(AND(Assumptions!$L$177&lt;&gt;"",D1185&lt;Assumptions!$L$177),"View blocked / roof in front ("&amp;Assumptions!$M$177&amp;"); view premium still loading until L"&amp;Assumptions!$L$177&amp;". ","")&amp;IF(D1185=Assumptions!$AH$177,"Mid-floor view premium fully loaded. ","")&amp;IF(D1185=Assumptions!$P$177,"High-floor view premium fully loaded. ","")&amp;IF(Q1185&lt;=K1185,"At developer starting price.",""))</f>
        <v>View blocked / roof in front (Drop-off / driveway below (noise, cars entering and exiting)); view premium still loading until L10.</v>
      </c>
      <c r="T1185" s="48" t="str">
        <f>Assumptions!$AJ$177</f>
        <v>SE. Landed + nature reserve + city; low floors closest to the drop-off / driveway, premium from L10</v>
      </c>
    </row>
    <row r="1186" spans="1:20" x14ac:dyDescent="0.2">
      <c r="A1186" s="13" t="s">
        <v>1367</v>
      </c>
      <c r="B1186" s="14">
        <v>11</v>
      </c>
      <c r="C1186" s="40">
        <v>51</v>
      </c>
      <c r="D1186" s="40">
        <v>8</v>
      </c>
      <c r="E1186" s="9" t="s">
        <v>46</v>
      </c>
      <c r="F1186" s="14" t="s">
        <v>1354</v>
      </c>
      <c r="G1186" s="10">
        <v>1055</v>
      </c>
      <c r="H1186" s="14" t="s">
        <v>62</v>
      </c>
      <c r="I1186" s="41" t="str">
        <f>Assumptions!$I$177</f>
        <v>C</v>
      </c>
      <c r="J1186" s="14" t="str">
        <f>IF(D1186&lt;=Assumptions!$V$177,"Low",IF(D1186&lt;=Assumptions!$W$177,"Mid","High"))</f>
        <v>Low</v>
      </c>
      <c r="K1186" s="15">
        <f>Assumptions!$Q$177</f>
        <v>2633</v>
      </c>
      <c r="L1186" s="42">
        <f>INDEX(Assumptions!$K$61:$K$90,D1186)</f>
        <v>2759.4828706838189</v>
      </c>
      <c r="M1186" s="43">
        <f>IF(D1186&lt;=Assumptions!$G$177,Assumptions!$AK$177,IF(D1186&lt;Assumptions!$AH$177,Assumptions!$AK$177+(Assumptions!$AL$177-Assumptions!$AK$177)*(D1186-Assumptions!$G$177)/(Assumptions!$AH$177-Assumptions!$G$177),IF(D1186&lt;Assumptions!$P$177,Assumptions!$AL$177+(Assumptions!$AM$177-Assumptions!$AL$177)*(D1186-Assumptions!$AH$177)/(Assumptions!$P$177-Assumptions!$AH$177),Assumptions!$AM$177)))</f>
        <v>11363.636363636368</v>
      </c>
      <c r="N1186" s="44">
        <f t="shared" si="36"/>
        <v>10.771219302024994</v>
      </c>
      <c r="O1186" s="45">
        <f t="shared" si="37"/>
        <v>2770</v>
      </c>
      <c r="P1186" s="14" t="str">
        <f>IF(D1186&gt;=Assumptions!$P$177,"High",IF(D1186&gt;=Assumptions!$AH$177,"Mid",IF(D1186&lt;=Assumptions!$G$177,"Low","Loading")))</f>
        <v>Loading</v>
      </c>
      <c r="Q1186" s="46">
        <f>MAX(K1186,MIN(Assumptions!$S$177,O1186),Q1187)</f>
        <v>2770</v>
      </c>
      <c r="R1186" s="12">
        <f>IF(AND(Q1186&lt;=K1186,INDEX(Assumptions!$C$26:$C$36,MATCH(G1186,Assumptions!$A$26:$A$36,0))&lt;&gt;""),INDEX(Assumptions!$C$26:$C$36,MATCH(G1186,Assumptions!$A$26:$A$36,0)),ROUND(G1186*Q1186,-2))</f>
        <v>2922400</v>
      </c>
      <c r="S1186" s="47" t="str">
        <f>TRIM(IF(AND(Assumptions!$L$177&lt;&gt;"",D1186&lt;Assumptions!$L$177),"View blocked / roof in front ("&amp;Assumptions!$M$177&amp;"); view premium still loading until L"&amp;Assumptions!$L$177&amp;". ","")&amp;IF(D1186=Assumptions!$AH$177,"Mid-floor view premium fully loaded. ","")&amp;IF(D1186=Assumptions!$P$177,"High-floor view premium fully loaded. ","")&amp;IF(Q1186&lt;=K1186,"At developer starting price.",""))</f>
        <v>View blocked / roof in front (Drop-off / driveway below (noise, cars entering and exiting)); view premium still loading until L10.</v>
      </c>
      <c r="T1186" s="48" t="str">
        <f>Assumptions!$AJ$177</f>
        <v>SE. Landed + nature reserve + city; low floors closest to the drop-off / driveway, premium from L10</v>
      </c>
    </row>
    <row r="1187" spans="1:20" x14ac:dyDescent="0.2">
      <c r="A1187" s="13" t="s">
        <v>1368</v>
      </c>
      <c r="B1187" s="14">
        <v>11</v>
      </c>
      <c r="C1187" s="40">
        <v>51</v>
      </c>
      <c r="D1187" s="40">
        <v>7</v>
      </c>
      <c r="E1187" s="9" t="s">
        <v>46</v>
      </c>
      <c r="F1187" s="14" t="s">
        <v>1354</v>
      </c>
      <c r="G1187" s="10">
        <v>1055</v>
      </c>
      <c r="H1187" s="14" t="s">
        <v>62</v>
      </c>
      <c r="I1187" s="41" t="str">
        <f>Assumptions!$I$177</f>
        <v>C</v>
      </c>
      <c r="J1187" s="14" t="str">
        <f>IF(D1187&lt;=Assumptions!$V$177,"Low",IF(D1187&lt;=Assumptions!$W$177,"Mid","High"))</f>
        <v>Low</v>
      </c>
      <c r="K1187" s="15">
        <f>Assumptions!$Q$177</f>
        <v>2633</v>
      </c>
      <c r="L1187" s="42">
        <f>INDEX(Assumptions!$K$61:$K$90,D1187)</f>
        <v>2746.3012863913341</v>
      </c>
      <c r="M1187" s="43">
        <f>IF(D1187&lt;=Assumptions!$G$177,Assumptions!$AK$177,IF(D1187&lt;Assumptions!$AH$177,Assumptions!$AK$177+(Assumptions!$AL$177-Assumptions!$AK$177)*(D1187-Assumptions!$G$177)/(Assumptions!$AH$177-Assumptions!$G$177),IF(D1187&lt;Assumptions!$P$177,Assumptions!$AL$177+(Assumptions!$AM$177-Assumptions!$AL$177)*(D1187-Assumptions!$AH$177)/(Assumptions!$P$177-Assumptions!$AH$177),Assumptions!$AM$177)))</f>
        <v>1136.3636363636397</v>
      </c>
      <c r="N1187" s="44">
        <f t="shared" si="36"/>
        <v>1.0771219302025021</v>
      </c>
      <c r="O1187" s="45">
        <f t="shared" si="37"/>
        <v>2747</v>
      </c>
      <c r="P1187" s="14" t="str">
        <f>IF(D1187&gt;=Assumptions!$P$177,"High",IF(D1187&gt;=Assumptions!$AH$177,"Mid",IF(D1187&lt;=Assumptions!$G$177,"Low","Loading")))</f>
        <v>Loading</v>
      </c>
      <c r="Q1187" s="46">
        <f>MAX(K1187,MIN(Assumptions!$S$177,O1187),Q1188)</f>
        <v>2747</v>
      </c>
      <c r="R1187" s="12">
        <f>IF(AND(Q1187&lt;=K1187,INDEX(Assumptions!$C$26:$C$36,MATCH(G1187,Assumptions!$A$26:$A$36,0))&lt;&gt;""),INDEX(Assumptions!$C$26:$C$36,MATCH(G1187,Assumptions!$A$26:$A$36,0)),ROUND(G1187*Q1187,-2))</f>
        <v>2898100</v>
      </c>
      <c r="S1187" s="47" t="str">
        <f>TRIM(IF(AND(Assumptions!$L$177&lt;&gt;"",D1187&lt;Assumptions!$L$177),"View blocked / roof in front ("&amp;Assumptions!$M$177&amp;"); view premium still loading until L"&amp;Assumptions!$L$177&amp;". ","")&amp;IF(D1187=Assumptions!$AH$177,"Mid-floor view premium fully loaded. ","")&amp;IF(D1187=Assumptions!$P$177,"High-floor view premium fully loaded. ","")&amp;IF(Q1187&lt;=K1187,"At developer starting price.",""))</f>
        <v>View blocked / roof in front (Drop-off / driveway below (noise, cars entering and exiting)); view premium still loading until L10.</v>
      </c>
      <c r="T1187" s="48" t="str">
        <f>Assumptions!$AJ$177</f>
        <v>SE. Landed + nature reserve + city; low floors closest to the drop-off / driveway, premium from L10</v>
      </c>
    </row>
    <row r="1188" spans="1:20" x14ac:dyDescent="0.2">
      <c r="A1188" s="13" t="s">
        <v>1369</v>
      </c>
      <c r="B1188" s="14">
        <v>11</v>
      </c>
      <c r="C1188" s="40">
        <v>51</v>
      </c>
      <c r="D1188" s="40">
        <v>6</v>
      </c>
      <c r="E1188" s="9" t="s">
        <v>46</v>
      </c>
      <c r="F1188" s="14" t="s">
        <v>1354</v>
      </c>
      <c r="G1188" s="10">
        <v>1055</v>
      </c>
      <c r="H1188" s="14" t="s">
        <v>62</v>
      </c>
      <c r="I1188" s="41" t="str">
        <f>Assumptions!$I$177</f>
        <v>C</v>
      </c>
      <c r="J1188" s="14" t="str">
        <f>IF(D1188&lt;=Assumptions!$V$177,"Low",IF(D1188&lt;=Assumptions!$W$177,"Mid","High"))</f>
        <v>Low</v>
      </c>
      <c r="K1188" s="15">
        <f>Assumptions!$Q$177</f>
        <v>2633</v>
      </c>
      <c r="L1188" s="42">
        <f>INDEX(Assumptions!$K$61:$K$90,D1188)</f>
        <v>2733.1197020988493</v>
      </c>
      <c r="M1188" s="43">
        <f>IF(D1188&lt;=Assumptions!$G$177,Assumptions!$AK$177,IF(D1188&lt;Assumptions!$AH$177,Assumptions!$AK$177+(Assumptions!$AL$177-Assumptions!$AK$177)*(D1188-Assumptions!$G$177)/(Assumptions!$AH$177-Assumptions!$G$177),IF(D1188&lt;Assumptions!$P$177,Assumptions!$AL$177+(Assumptions!$AM$177-Assumptions!$AL$177)*(D1188-Assumptions!$AH$177)/(Assumptions!$P$177-Assumptions!$AH$177),Assumptions!$AM$177)))</f>
        <v>-9090.9090909090883</v>
      </c>
      <c r="N1188" s="44">
        <f t="shared" si="36"/>
        <v>-8.6169754416199886</v>
      </c>
      <c r="O1188" s="45">
        <f t="shared" si="37"/>
        <v>2725</v>
      </c>
      <c r="P1188" s="14" t="str">
        <f>IF(D1188&gt;=Assumptions!$P$177,"High",IF(D1188&gt;=Assumptions!$AH$177,"Mid",IF(D1188&lt;=Assumptions!$G$177,"Low","Loading")))</f>
        <v>Loading</v>
      </c>
      <c r="Q1188" s="46">
        <f>MAX(K1188,MIN(Assumptions!$S$177,O1188),Q1189)</f>
        <v>2725</v>
      </c>
      <c r="R1188" s="12">
        <f>IF(AND(Q1188&lt;=K1188,INDEX(Assumptions!$C$26:$C$36,MATCH(G1188,Assumptions!$A$26:$A$36,0))&lt;&gt;""),INDEX(Assumptions!$C$26:$C$36,MATCH(G1188,Assumptions!$A$26:$A$36,0)),ROUND(G1188*Q1188,-2))</f>
        <v>2874900</v>
      </c>
      <c r="S1188" s="47" t="str">
        <f>TRIM(IF(AND(Assumptions!$L$177&lt;&gt;"",D1188&lt;Assumptions!$L$177),"View blocked / roof in front ("&amp;Assumptions!$M$177&amp;"); view premium still loading until L"&amp;Assumptions!$L$177&amp;". ","")&amp;IF(D1188=Assumptions!$AH$177,"Mid-floor view premium fully loaded. ","")&amp;IF(D1188=Assumptions!$P$177,"High-floor view premium fully loaded. ","")&amp;IF(Q1188&lt;=K1188,"At developer starting price.",""))</f>
        <v>View blocked / roof in front (Drop-off / driveway below (noise, cars entering and exiting)); view premium still loading until L10.</v>
      </c>
      <c r="T1188" s="48" t="str">
        <f>Assumptions!$AJ$177</f>
        <v>SE. Landed + nature reserve + city; low floors closest to the drop-off / driveway, premium from L10</v>
      </c>
    </row>
    <row r="1189" spans="1:20" x14ac:dyDescent="0.2">
      <c r="A1189" s="13" t="s">
        <v>1370</v>
      </c>
      <c r="B1189" s="14">
        <v>11</v>
      </c>
      <c r="C1189" s="40">
        <v>51</v>
      </c>
      <c r="D1189" s="40">
        <v>5</v>
      </c>
      <c r="E1189" s="9" t="s">
        <v>46</v>
      </c>
      <c r="F1189" s="14" t="s">
        <v>1354</v>
      </c>
      <c r="G1189" s="10">
        <v>1055</v>
      </c>
      <c r="H1189" s="14" t="s">
        <v>62</v>
      </c>
      <c r="I1189" s="41" t="str">
        <f>Assumptions!$I$177</f>
        <v>C</v>
      </c>
      <c r="J1189" s="14" t="str">
        <f>IF(D1189&lt;=Assumptions!$V$177,"Low",IF(D1189&lt;=Assumptions!$W$177,"Mid","High"))</f>
        <v>Low</v>
      </c>
      <c r="K1189" s="15">
        <f>Assumptions!$Q$177</f>
        <v>2633</v>
      </c>
      <c r="L1189" s="42">
        <f>INDEX(Assumptions!$K$61:$K$90,D1189)</f>
        <v>2719.9381178063645</v>
      </c>
      <c r="M1189" s="43">
        <f>IF(D1189&lt;=Assumptions!$G$177,Assumptions!$AK$177,IF(D1189&lt;Assumptions!$AH$177,Assumptions!$AK$177+(Assumptions!$AL$177-Assumptions!$AK$177)*(D1189-Assumptions!$G$177)/(Assumptions!$AH$177-Assumptions!$G$177),IF(D1189&lt;Assumptions!$P$177,Assumptions!$AL$177+(Assumptions!$AM$177-Assumptions!$AL$177)*(D1189-Assumptions!$AH$177)/(Assumptions!$P$177-Assumptions!$AH$177),Assumptions!$AM$177)))</f>
        <v>-19318.181818181816</v>
      </c>
      <c r="N1189" s="44">
        <f t="shared" si="36"/>
        <v>-18.311072813442479</v>
      </c>
      <c r="O1189" s="45">
        <f t="shared" si="37"/>
        <v>2702</v>
      </c>
      <c r="P1189" s="14" t="str">
        <f>IF(D1189&gt;=Assumptions!$P$177,"High",IF(D1189&gt;=Assumptions!$AH$177,"Mid",IF(D1189&lt;=Assumptions!$G$177,"Low","Loading")))</f>
        <v>Loading</v>
      </c>
      <c r="Q1189" s="46">
        <f>MAX(K1189,MIN(Assumptions!$S$177,O1189),Q1190)</f>
        <v>2702</v>
      </c>
      <c r="R1189" s="12">
        <f>IF(AND(Q1189&lt;=K1189,INDEX(Assumptions!$C$26:$C$36,MATCH(G1189,Assumptions!$A$26:$A$36,0))&lt;&gt;""),INDEX(Assumptions!$C$26:$C$36,MATCH(G1189,Assumptions!$A$26:$A$36,0)),ROUND(G1189*Q1189,-2))</f>
        <v>2850600</v>
      </c>
      <c r="S1189" s="47" t="str">
        <f>TRIM(IF(AND(Assumptions!$L$177&lt;&gt;"",D1189&lt;Assumptions!$L$177),"View blocked / roof in front ("&amp;Assumptions!$M$177&amp;"); view premium still loading until L"&amp;Assumptions!$L$177&amp;". ","")&amp;IF(D1189=Assumptions!$AH$177,"Mid-floor view premium fully loaded. ","")&amp;IF(D1189=Assumptions!$P$177,"High-floor view premium fully loaded. ","")&amp;IF(Q1189&lt;=K1189,"At developer starting price.",""))</f>
        <v>View blocked / roof in front (Drop-off / driveway below (noise, cars entering and exiting)); view premium still loading until L10.</v>
      </c>
      <c r="T1189" s="48" t="str">
        <f>Assumptions!$AJ$177</f>
        <v>SE. Landed + nature reserve + city; low floors closest to the drop-off / driveway, premium from L10</v>
      </c>
    </row>
    <row r="1190" spans="1:20" x14ac:dyDescent="0.2">
      <c r="A1190" s="13" t="s">
        <v>1371</v>
      </c>
      <c r="B1190" s="14">
        <v>11</v>
      </c>
      <c r="C1190" s="40">
        <v>51</v>
      </c>
      <c r="D1190" s="40">
        <v>4</v>
      </c>
      <c r="E1190" s="9" t="s">
        <v>46</v>
      </c>
      <c r="F1190" s="14" t="s">
        <v>1354</v>
      </c>
      <c r="G1190" s="10">
        <v>1055</v>
      </c>
      <c r="H1190" s="14" t="s">
        <v>62</v>
      </c>
      <c r="I1190" s="41" t="str">
        <f>Assumptions!$I$177</f>
        <v>C</v>
      </c>
      <c r="J1190" s="14" t="str">
        <f>IF(D1190&lt;=Assumptions!$V$177,"Low",IF(D1190&lt;=Assumptions!$W$177,"Mid","High"))</f>
        <v>Low</v>
      </c>
      <c r="K1190" s="15">
        <f>Assumptions!$Q$177</f>
        <v>2633</v>
      </c>
      <c r="L1190" s="42">
        <f>INDEX(Assumptions!$K$61:$K$90,D1190)</f>
        <v>2706.7565335138797</v>
      </c>
      <c r="M1190" s="43">
        <f>IF(D1190&lt;=Assumptions!$G$177,Assumptions!$AK$177,IF(D1190&lt;Assumptions!$AH$177,Assumptions!$AK$177+(Assumptions!$AL$177-Assumptions!$AK$177)*(D1190-Assumptions!$G$177)/(Assumptions!$AH$177-Assumptions!$G$177),IF(D1190&lt;Assumptions!$P$177,Assumptions!$AL$177+(Assumptions!$AM$177-Assumptions!$AL$177)*(D1190-Assumptions!$AH$177)/(Assumptions!$P$177-Assumptions!$AH$177),Assumptions!$AM$177)))</f>
        <v>-29545.454545454544</v>
      </c>
      <c r="N1190" s="44">
        <f t="shared" si="36"/>
        <v>-28.005170185264969</v>
      </c>
      <c r="O1190" s="45">
        <f t="shared" si="37"/>
        <v>2679</v>
      </c>
      <c r="P1190" s="14" t="str">
        <f>IF(D1190&gt;=Assumptions!$P$177,"High",IF(D1190&gt;=Assumptions!$AH$177,"Mid",IF(D1190&lt;=Assumptions!$G$177,"Low","Loading")))</f>
        <v>Loading</v>
      </c>
      <c r="Q1190" s="46">
        <f>MAX(K1190,MIN(Assumptions!$S$177,O1190),Q1191)</f>
        <v>2679</v>
      </c>
      <c r="R1190" s="12">
        <f>IF(AND(Q1190&lt;=K1190,INDEX(Assumptions!$C$26:$C$36,MATCH(G1190,Assumptions!$A$26:$A$36,0))&lt;&gt;""),INDEX(Assumptions!$C$26:$C$36,MATCH(G1190,Assumptions!$A$26:$A$36,0)),ROUND(G1190*Q1190,-2))</f>
        <v>2826300</v>
      </c>
      <c r="S1190" s="47" t="str">
        <f>TRIM(IF(AND(Assumptions!$L$177&lt;&gt;"",D1190&lt;Assumptions!$L$177),"View blocked / roof in front ("&amp;Assumptions!$M$177&amp;"); view premium still loading until L"&amp;Assumptions!$L$177&amp;". ","")&amp;IF(D1190=Assumptions!$AH$177,"Mid-floor view premium fully loaded. ","")&amp;IF(D1190=Assumptions!$P$177,"High-floor view premium fully loaded. ","")&amp;IF(Q1190&lt;=K1190,"At developer starting price.",""))</f>
        <v>View blocked / roof in front (Drop-off / driveway below (noise, cars entering and exiting)); view premium still loading until L10.</v>
      </c>
      <c r="T1190" s="48" t="str">
        <f>Assumptions!$AJ$177</f>
        <v>SE. Landed + nature reserve + city; low floors closest to the drop-off / driveway, premium from L10</v>
      </c>
    </row>
    <row r="1191" spans="1:20" x14ac:dyDescent="0.2">
      <c r="A1191" s="13" t="s">
        <v>1372</v>
      </c>
      <c r="B1191" s="14">
        <v>11</v>
      </c>
      <c r="C1191" s="40">
        <v>51</v>
      </c>
      <c r="D1191" s="40">
        <v>3</v>
      </c>
      <c r="E1191" s="9" t="s">
        <v>46</v>
      </c>
      <c r="F1191" s="14" t="s">
        <v>1354</v>
      </c>
      <c r="G1191" s="10">
        <v>1055</v>
      </c>
      <c r="H1191" s="14" t="s">
        <v>62</v>
      </c>
      <c r="I1191" s="41" t="str">
        <f>Assumptions!$I$177</f>
        <v>C</v>
      </c>
      <c r="J1191" s="14" t="str">
        <f>IF(D1191&lt;=Assumptions!$V$177,"Low",IF(D1191&lt;=Assumptions!$W$177,"Mid","High"))</f>
        <v>Low</v>
      </c>
      <c r="K1191" s="15">
        <f>Assumptions!$Q$177</f>
        <v>2633</v>
      </c>
      <c r="L1191" s="42">
        <f>INDEX(Assumptions!$K$61:$K$90,D1191)</f>
        <v>2693.5749492213949</v>
      </c>
      <c r="M1191" s="43">
        <f>IF(D1191&lt;=Assumptions!$G$177,Assumptions!$AK$177,IF(D1191&lt;Assumptions!$AH$177,Assumptions!$AK$177+(Assumptions!$AL$177-Assumptions!$AK$177)*(D1191-Assumptions!$G$177)/(Assumptions!$AH$177-Assumptions!$G$177),IF(D1191&lt;Assumptions!$P$177,Assumptions!$AL$177+(Assumptions!$AM$177-Assumptions!$AL$177)*(D1191-Assumptions!$AH$177)/(Assumptions!$P$177-Assumptions!$AH$177),Assumptions!$AM$177)))</f>
        <v>-39772.727272727272</v>
      </c>
      <c r="N1191" s="44">
        <f t="shared" si="36"/>
        <v>-37.69926755708746</v>
      </c>
      <c r="O1191" s="45">
        <f t="shared" si="37"/>
        <v>2656</v>
      </c>
      <c r="P1191" s="14" t="str">
        <f>IF(D1191&gt;=Assumptions!$P$177,"High",IF(D1191&gt;=Assumptions!$AH$177,"Mid",IF(D1191&lt;=Assumptions!$G$177,"Low","Loading")))</f>
        <v>Loading</v>
      </c>
      <c r="Q1191" s="46">
        <f>MAX(K1191,MIN(Assumptions!$S$177,O1191),Q1192)</f>
        <v>2656</v>
      </c>
      <c r="R1191" s="12">
        <f>IF(AND(Q1191&lt;=K1191,INDEX(Assumptions!$C$26:$C$36,MATCH(G1191,Assumptions!$A$26:$A$36,0))&lt;&gt;""),INDEX(Assumptions!$C$26:$C$36,MATCH(G1191,Assumptions!$A$26:$A$36,0)),ROUND(G1191*Q1191,-2))</f>
        <v>2802100</v>
      </c>
      <c r="S1191" s="47" t="str">
        <f>TRIM(IF(AND(Assumptions!$L$177&lt;&gt;"",D1191&lt;Assumptions!$L$177),"View blocked / roof in front ("&amp;Assumptions!$M$177&amp;"); view premium still loading until L"&amp;Assumptions!$L$177&amp;". ","")&amp;IF(D1191=Assumptions!$AH$177,"Mid-floor view premium fully loaded. ","")&amp;IF(D1191=Assumptions!$P$177,"High-floor view premium fully loaded. ","")&amp;IF(Q1191&lt;=K1191,"At developer starting price.",""))</f>
        <v>View blocked / roof in front (Drop-off / driveway below (noise, cars entering and exiting)); view premium still loading until L10.</v>
      </c>
      <c r="T1191" s="48" t="str">
        <f>Assumptions!$AJ$177</f>
        <v>SE. Landed + nature reserve + city; low floors closest to the drop-off / driveway, premium from L10</v>
      </c>
    </row>
    <row r="1192" spans="1:20" x14ac:dyDescent="0.2">
      <c r="A1192" s="13" t="s">
        <v>1373</v>
      </c>
      <c r="B1192" s="14">
        <v>11</v>
      </c>
      <c r="C1192" s="40">
        <v>51</v>
      </c>
      <c r="D1192" s="40">
        <v>2</v>
      </c>
      <c r="E1192" s="9" t="s">
        <v>46</v>
      </c>
      <c r="F1192" s="14" t="s">
        <v>1374</v>
      </c>
      <c r="G1192" s="10">
        <v>1055</v>
      </c>
      <c r="H1192" s="14" t="s">
        <v>62</v>
      </c>
      <c r="I1192" s="41" t="str">
        <f>Assumptions!$I$177</f>
        <v>C</v>
      </c>
      <c r="J1192" s="14" t="str">
        <f>IF(D1192&lt;=Assumptions!$V$177,"Low",IF(D1192&lt;=Assumptions!$W$177,"Mid","High"))</f>
        <v>Low</v>
      </c>
      <c r="K1192" s="15">
        <f>Assumptions!$Q$177</f>
        <v>2633</v>
      </c>
      <c r="L1192" s="42">
        <f>INDEX(Assumptions!$K$61:$K$90,D1192)</f>
        <v>2680.3933649289102</v>
      </c>
      <c r="M1192" s="43">
        <f>IF(D1192&lt;=Assumptions!$G$177,Assumptions!$AK$177,IF(D1192&lt;Assumptions!$AH$177,Assumptions!$AK$177+(Assumptions!$AL$177-Assumptions!$AK$177)*(D1192-Assumptions!$G$177)/(Assumptions!$AH$177-Assumptions!$G$177),IF(D1192&lt;Assumptions!$P$177,Assumptions!$AL$177+(Assumptions!$AM$177-Assumptions!$AL$177)*(D1192-Assumptions!$AH$177)/(Assumptions!$P$177-Assumptions!$AH$177),Assumptions!$AM$177)))</f>
        <v>-50000</v>
      </c>
      <c r="N1192" s="44">
        <f t="shared" si="36"/>
        <v>-47.393364928909953</v>
      </c>
      <c r="O1192" s="45">
        <f t="shared" si="37"/>
        <v>2633</v>
      </c>
      <c r="P1192" s="14" t="str">
        <f>IF(D1192&gt;=Assumptions!$P$177,"High",IF(D1192&gt;=Assumptions!$AH$177,"Mid",IF(D1192&lt;=Assumptions!$G$177,"Low","Loading")))</f>
        <v>Low</v>
      </c>
      <c r="Q1192" s="46">
        <f>MAX(K1192,MIN(Assumptions!$S$177,O1192))</f>
        <v>2633</v>
      </c>
      <c r="R1192" s="12">
        <f>IF(AND(Q1192&lt;=K1192,INDEX(Assumptions!$C$26:$C$36,MATCH(G1192,Assumptions!$A$26:$A$36,0))&lt;&gt;""),INDEX(Assumptions!$C$26:$C$36,MATCH(G1192,Assumptions!$A$26:$A$36,0)),ROUND(G1192*Q1192,-2))</f>
        <v>2777000</v>
      </c>
      <c r="S1192" s="47" t="str">
        <f>TRIM(IF(AND(Assumptions!$L$177&lt;&gt;"",D1192&lt;Assumptions!$L$177),"View blocked / roof in front ("&amp;Assumptions!$M$177&amp;"); view premium still loading until L"&amp;Assumptions!$L$177&amp;". ","")&amp;IF(D1192=Assumptions!$AH$177,"Mid-floor view premium fully loaded. ","")&amp;IF(D1192=Assumptions!$P$177,"High-floor view premium fully loaded. ","")&amp;IF(Q1192&lt;=K1192,"At developer starting price.",""))</f>
        <v>View blocked / roof in front (Drop-off / driveway below (noise, cars entering and exiting)); view premium still loading until L10. At developer starting price.</v>
      </c>
      <c r="T1192" s="48" t="str">
        <f>Assumptions!$AJ$177</f>
        <v>SE. Landed + nature reserve + city; low floors closest to the drop-off / driveway, premium from L10</v>
      </c>
    </row>
    <row r="1193" spans="1:20" x14ac:dyDescent="0.2">
      <c r="A1193" s="13" t="s">
        <v>1375</v>
      </c>
      <c r="B1193" s="14">
        <v>11</v>
      </c>
      <c r="C1193" s="40">
        <v>52</v>
      </c>
      <c r="D1193" s="40">
        <v>21</v>
      </c>
      <c r="E1193" s="9" t="s">
        <v>41</v>
      </c>
      <c r="F1193" s="14" t="s">
        <v>439</v>
      </c>
      <c r="G1193" s="10">
        <v>592</v>
      </c>
      <c r="H1193" s="14" t="s">
        <v>62</v>
      </c>
      <c r="I1193" s="41" t="str">
        <f>Assumptions!$I$178</f>
        <v>B</v>
      </c>
      <c r="J1193" s="14" t="str">
        <f>IF(D1193&lt;=Assumptions!$V$178,"Low",IF(D1193&lt;=Assumptions!$W$178,"Mid","High"))</f>
        <v>High</v>
      </c>
      <c r="K1193" s="15">
        <f>Assumptions!$Q$178</f>
        <v>2608</v>
      </c>
      <c r="L1193" s="42">
        <f>INDEX(Assumptions!$B$61:$B$90,D1193)</f>
        <v>3086.4428571428575</v>
      </c>
      <c r="M1193" s="43">
        <f>IF(D1193&lt;=Assumptions!$G$178,Assumptions!$AK$178,IF(D1193&lt;Assumptions!$AH$178,Assumptions!$AK$178+(Assumptions!$AL$178-Assumptions!$AK$178)*(D1193-Assumptions!$G$178)/(Assumptions!$AH$178-Assumptions!$G$178),IF(D1193&lt;Assumptions!$P$178,Assumptions!$AL$178+(Assumptions!$AM$178-Assumptions!$AL$178)*(D1193-Assumptions!$AH$178)/(Assumptions!$P$178-Assumptions!$AH$178),Assumptions!$AM$178)))</f>
        <v>50000</v>
      </c>
      <c r="N1193" s="44">
        <f t="shared" si="36"/>
        <v>84.459459459459453</v>
      </c>
      <c r="O1193" s="45">
        <f t="shared" si="37"/>
        <v>3171</v>
      </c>
      <c r="P1193" s="14" t="str">
        <f>IF(D1193&gt;=Assumptions!$P$178,"High",IF(D1193&gt;=Assumptions!$AH$178,"Mid",IF(D1193&lt;=Assumptions!$G$178,"Low","Loading")))</f>
        <v>High</v>
      </c>
      <c r="Q1193" s="46">
        <f>MAX(K1193,MIN(Assumptions!$S$178,O1193),Q1194)</f>
        <v>3171</v>
      </c>
      <c r="R1193" s="12">
        <f>IF(AND(Q1193&lt;=K1193,INDEX(Assumptions!$C$26:$C$36,MATCH(G1193,Assumptions!$A$26:$A$36,0))&lt;&gt;""),INDEX(Assumptions!$C$26:$C$36,MATCH(G1193,Assumptions!$A$26:$A$36,0)),ROUND(G1193*Q1193,-2))</f>
        <v>1877200</v>
      </c>
      <c r="S1193" s="47" t="str">
        <f>TRIM(IF(AND(Assumptions!$L$178&lt;&gt;"",D1193&lt;Assumptions!$L$178),"View blocked / roof in front ("&amp;Assumptions!$M$178&amp;"); view premium still loading until L"&amp;Assumptions!$L$178&amp;". ","")&amp;IF(D1193=Assumptions!$AH$178,"Mid-floor view premium fully loaded. ","")&amp;IF(D1193=Assumptions!$P$178,"High-floor view premium fully loaded. ","")&amp;IF(Q1193&lt;=K1193,"At developer starting price.",""))</f>
        <v/>
      </c>
      <c r="T1193" s="48" t="str">
        <f>Assumptions!$AJ$178</f>
        <v>SW. Inner pool &amp; facilities; Island Club in front of low floors; side landed + nature reserve from mid floor</v>
      </c>
    </row>
    <row r="1194" spans="1:20" x14ac:dyDescent="0.2">
      <c r="A1194" s="13" t="s">
        <v>1376</v>
      </c>
      <c r="B1194" s="14">
        <v>11</v>
      </c>
      <c r="C1194" s="40">
        <v>52</v>
      </c>
      <c r="D1194" s="40">
        <v>20</v>
      </c>
      <c r="E1194" s="9" t="s">
        <v>41</v>
      </c>
      <c r="F1194" s="14" t="s">
        <v>439</v>
      </c>
      <c r="G1194" s="10">
        <v>592</v>
      </c>
      <c r="H1194" s="14" t="s">
        <v>62</v>
      </c>
      <c r="I1194" s="41" t="str">
        <f>Assumptions!$I$178</f>
        <v>B</v>
      </c>
      <c r="J1194" s="14" t="str">
        <f>IF(D1194&lt;=Assumptions!$V$178,"Low",IF(D1194&lt;=Assumptions!$W$178,"Mid","High"))</f>
        <v>High</v>
      </c>
      <c r="K1194" s="15">
        <f>Assumptions!$Q$178</f>
        <v>2608</v>
      </c>
      <c r="L1194" s="42">
        <f>INDEX(Assumptions!$B$61:$B$90,D1194)</f>
        <v>3064.3857142857146</v>
      </c>
      <c r="M1194" s="43">
        <f>IF(D1194&lt;=Assumptions!$G$178,Assumptions!$AK$178,IF(D1194&lt;Assumptions!$AH$178,Assumptions!$AK$178+(Assumptions!$AL$178-Assumptions!$AK$178)*(D1194-Assumptions!$G$178)/(Assumptions!$AH$178-Assumptions!$G$178),IF(D1194&lt;Assumptions!$P$178,Assumptions!$AL$178+(Assumptions!$AM$178-Assumptions!$AL$178)*(D1194-Assumptions!$AH$178)/(Assumptions!$P$178-Assumptions!$AH$178),Assumptions!$AM$178)))</f>
        <v>50000</v>
      </c>
      <c r="N1194" s="44">
        <f t="shared" si="36"/>
        <v>84.459459459459453</v>
      </c>
      <c r="O1194" s="45">
        <f t="shared" si="37"/>
        <v>3149</v>
      </c>
      <c r="P1194" s="14" t="str">
        <f>IF(D1194&gt;=Assumptions!$P$178,"High",IF(D1194&gt;=Assumptions!$AH$178,"Mid",IF(D1194&lt;=Assumptions!$G$178,"Low","Loading")))</f>
        <v>High</v>
      </c>
      <c r="Q1194" s="46">
        <f>MAX(K1194,MIN(Assumptions!$S$178,O1194),Q1195)</f>
        <v>3149</v>
      </c>
      <c r="R1194" s="12">
        <f>IF(AND(Q1194&lt;=K1194,INDEX(Assumptions!$C$26:$C$36,MATCH(G1194,Assumptions!$A$26:$A$36,0))&lt;&gt;""),INDEX(Assumptions!$C$26:$C$36,MATCH(G1194,Assumptions!$A$26:$A$36,0)),ROUND(G1194*Q1194,-2))</f>
        <v>1864200</v>
      </c>
      <c r="S1194" s="47" t="str">
        <f>TRIM(IF(AND(Assumptions!$L$178&lt;&gt;"",D1194&lt;Assumptions!$L$178),"View blocked / roof in front ("&amp;Assumptions!$M$178&amp;"); view premium still loading until L"&amp;Assumptions!$L$178&amp;". ","")&amp;IF(D1194=Assumptions!$AH$178,"Mid-floor view premium fully loaded. ","")&amp;IF(D1194=Assumptions!$P$178,"High-floor view premium fully loaded. ","")&amp;IF(Q1194&lt;=K1194,"At developer starting price.",""))</f>
        <v/>
      </c>
      <c r="T1194" s="48" t="str">
        <f>Assumptions!$AJ$178</f>
        <v>SW. Inner pool &amp; facilities; Island Club in front of low floors; side landed + nature reserve from mid floor</v>
      </c>
    </row>
    <row r="1195" spans="1:20" x14ac:dyDescent="0.2">
      <c r="A1195" s="13" t="s">
        <v>1377</v>
      </c>
      <c r="B1195" s="14">
        <v>11</v>
      </c>
      <c r="C1195" s="40">
        <v>52</v>
      </c>
      <c r="D1195" s="40">
        <v>19</v>
      </c>
      <c r="E1195" s="9" t="s">
        <v>41</v>
      </c>
      <c r="F1195" s="14" t="s">
        <v>439</v>
      </c>
      <c r="G1195" s="10">
        <v>592</v>
      </c>
      <c r="H1195" s="14" t="s">
        <v>62</v>
      </c>
      <c r="I1195" s="41" t="str">
        <f>Assumptions!$I$178</f>
        <v>B</v>
      </c>
      <c r="J1195" s="14" t="str">
        <f>IF(D1195&lt;=Assumptions!$V$178,"Low",IF(D1195&lt;=Assumptions!$W$178,"Mid","High"))</f>
        <v>High</v>
      </c>
      <c r="K1195" s="15">
        <f>Assumptions!$Q$178</f>
        <v>2608</v>
      </c>
      <c r="L1195" s="42">
        <f>INDEX(Assumptions!$B$61:$B$90,D1195)</f>
        <v>3042.3285714285716</v>
      </c>
      <c r="M1195" s="43">
        <f>IF(D1195&lt;=Assumptions!$G$178,Assumptions!$AK$178,IF(D1195&lt;Assumptions!$AH$178,Assumptions!$AK$178+(Assumptions!$AL$178-Assumptions!$AK$178)*(D1195-Assumptions!$G$178)/(Assumptions!$AH$178-Assumptions!$G$178),IF(D1195&lt;Assumptions!$P$178,Assumptions!$AL$178+(Assumptions!$AM$178-Assumptions!$AL$178)*(D1195-Assumptions!$AH$178)/(Assumptions!$P$178-Assumptions!$AH$178),Assumptions!$AM$178)))</f>
        <v>50000</v>
      </c>
      <c r="N1195" s="44">
        <f t="shared" si="36"/>
        <v>84.459459459459453</v>
      </c>
      <c r="O1195" s="45">
        <f t="shared" si="37"/>
        <v>3127</v>
      </c>
      <c r="P1195" s="14" t="str">
        <f>IF(D1195&gt;=Assumptions!$P$178,"High",IF(D1195&gt;=Assumptions!$AH$178,"Mid",IF(D1195&lt;=Assumptions!$G$178,"Low","Loading")))</f>
        <v>High</v>
      </c>
      <c r="Q1195" s="46">
        <f>MAX(K1195,MIN(Assumptions!$S$178,O1195),Q1196)</f>
        <v>3127</v>
      </c>
      <c r="R1195" s="12">
        <f>IF(AND(Q1195&lt;=K1195,INDEX(Assumptions!$C$26:$C$36,MATCH(G1195,Assumptions!$A$26:$A$36,0))&lt;&gt;""),INDEX(Assumptions!$C$26:$C$36,MATCH(G1195,Assumptions!$A$26:$A$36,0)),ROUND(G1195*Q1195,-2))</f>
        <v>1851200</v>
      </c>
      <c r="S1195" s="47" t="str">
        <f>TRIM(IF(AND(Assumptions!$L$178&lt;&gt;"",D1195&lt;Assumptions!$L$178),"View blocked / roof in front ("&amp;Assumptions!$M$178&amp;"); view premium still loading until L"&amp;Assumptions!$L$178&amp;". ","")&amp;IF(D1195=Assumptions!$AH$178,"Mid-floor view premium fully loaded. ","")&amp;IF(D1195=Assumptions!$P$178,"High-floor view premium fully loaded. ","")&amp;IF(Q1195&lt;=K1195,"At developer starting price.",""))</f>
        <v/>
      </c>
      <c r="T1195" s="48" t="str">
        <f>Assumptions!$AJ$178</f>
        <v>SW. Inner pool &amp; facilities; Island Club in front of low floors; side landed + nature reserve from mid floor</v>
      </c>
    </row>
    <row r="1196" spans="1:20" x14ac:dyDescent="0.2">
      <c r="A1196" s="13" t="s">
        <v>1378</v>
      </c>
      <c r="B1196" s="14">
        <v>11</v>
      </c>
      <c r="C1196" s="40">
        <v>52</v>
      </c>
      <c r="D1196" s="40">
        <v>18</v>
      </c>
      <c r="E1196" s="9" t="s">
        <v>41</v>
      </c>
      <c r="F1196" s="14" t="s">
        <v>439</v>
      </c>
      <c r="G1196" s="10">
        <v>592</v>
      </c>
      <c r="H1196" s="14" t="s">
        <v>62</v>
      </c>
      <c r="I1196" s="41" t="str">
        <f>Assumptions!$I$178</f>
        <v>B</v>
      </c>
      <c r="J1196" s="14" t="str">
        <f>IF(D1196&lt;=Assumptions!$V$178,"Low",IF(D1196&lt;=Assumptions!$W$178,"Mid","High"))</f>
        <v>High</v>
      </c>
      <c r="K1196" s="15">
        <f>Assumptions!$Q$178</f>
        <v>2608</v>
      </c>
      <c r="L1196" s="42">
        <f>INDEX(Assumptions!$B$61:$B$90,D1196)</f>
        <v>3020.2714285714287</v>
      </c>
      <c r="M1196" s="43">
        <f>IF(D1196&lt;=Assumptions!$G$178,Assumptions!$AK$178,IF(D1196&lt;Assumptions!$AH$178,Assumptions!$AK$178+(Assumptions!$AL$178-Assumptions!$AK$178)*(D1196-Assumptions!$G$178)/(Assumptions!$AH$178-Assumptions!$G$178),IF(D1196&lt;Assumptions!$P$178,Assumptions!$AL$178+(Assumptions!$AM$178-Assumptions!$AL$178)*(D1196-Assumptions!$AH$178)/(Assumptions!$P$178-Assumptions!$AH$178),Assumptions!$AM$178)))</f>
        <v>50000</v>
      </c>
      <c r="N1196" s="44">
        <f t="shared" si="36"/>
        <v>84.459459459459453</v>
      </c>
      <c r="O1196" s="45">
        <f t="shared" si="37"/>
        <v>3105</v>
      </c>
      <c r="P1196" s="14" t="str">
        <f>IF(D1196&gt;=Assumptions!$P$178,"High",IF(D1196&gt;=Assumptions!$AH$178,"Mid",IF(D1196&lt;=Assumptions!$G$178,"Low","Loading")))</f>
        <v>High</v>
      </c>
      <c r="Q1196" s="46">
        <f>MAX(K1196,MIN(Assumptions!$S$178,O1196),Q1197)</f>
        <v>3105</v>
      </c>
      <c r="R1196" s="12">
        <f>IF(AND(Q1196&lt;=K1196,INDEX(Assumptions!$C$26:$C$36,MATCH(G1196,Assumptions!$A$26:$A$36,0))&lt;&gt;""),INDEX(Assumptions!$C$26:$C$36,MATCH(G1196,Assumptions!$A$26:$A$36,0)),ROUND(G1196*Q1196,-2))</f>
        <v>1838200</v>
      </c>
      <c r="S1196" s="47" t="str">
        <f>TRIM(IF(AND(Assumptions!$L$178&lt;&gt;"",D1196&lt;Assumptions!$L$178),"View blocked / roof in front ("&amp;Assumptions!$M$178&amp;"); view premium still loading until L"&amp;Assumptions!$L$178&amp;". ","")&amp;IF(D1196=Assumptions!$AH$178,"Mid-floor view premium fully loaded. ","")&amp;IF(D1196=Assumptions!$P$178,"High-floor view premium fully loaded. ","")&amp;IF(Q1196&lt;=K1196,"At developer starting price.",""))</f>
        <v/>
      </c>
      <c r="T1196" s="48" t="str">
        <f>Assumptions!$AJ$178</f>
        <v>SW. Inner pool &amp; facilities; Island Club in front of low floors; side landed + nature reserve from mid floor</v>
      </c>
    </row>
    <row r="1197" spans="1:20" x14ac:dyDescent="0.2">
      <c r="A1197" s="13" t="s">
        <v>1379</v>
      </c>
      <c r="B1197" s="14">
        <v>11</v>
      </c>
      <c r="C1197" s="40">
        <v>52</v>
      </c>
      <c r="D1197" s="40">
        <v>17</v>
      </c>
      <c r="E1197" s="9" t="s">
        <v>41</v>
      </c>
      <c r="F1197" s="14" t="s">
        <v>439</v>
      </c>
      <c r="G1197" s="10">
        <v>592</v>
      </c>
      <c r="H1197" s="14" t="s">
        <v>62</v>
      </c>
      <c r="I1197" s="41" t="str">
        <f>Assumptions!$I$178</f>
        <v>B</v>
      </c>
      <c r="J1197" s="14" t="str">
        <f>IF(D1197&lt;=Assumptions!$V$178,"Low",IF(D1197&lt;=Assumptions!$W$178,"Mid","High"))</f>
        <v>High</v>
      </c>
      <c r="K1197" s="15">
        <f>Assumptions!$Q$178</f>
        <v>2608</v>
      </c>
      <c r="L1197" s="42">
        <f>INDEX(Assumptions!$B$61:$B$90,D1197)</f>
        <v>2998.2142857142858</v>
      </c>
      <c r="M1197" s="43">
        <f>IF(D1197&lt;=Assumptions!$G$178,Assumptions!$AK$178,IF(D1197&lt;Assumptions!$AH$178,Assumptions!$AK$178+(Assumptions!$AL$178-Assumptions!$AK$178)*(D1197-Assumptions!$G$178)/(Assumptions!$AH$178-Assumptions!$G$178),IF(D1197&lt;Assumptions!$P$178,Assumptions!$AL$178+(Assumptions!$AM$178-Assumptions!$AL$178)*(D1197-Assumptions!$AH$178)/(Assumptions!$P$178-Assumptions!$AH$178),Assumptions!$AM$178)))</f>
        <v>50000</v>
      </c>
      <c r="N1197" s="44">
        <f t="shared" si="36"/>
        <v>84.459459459459453</v>
      </c>
      <c r="O1197" s="45">
        <f t="shared" si="37"/>
        <v>3083</v>
      </c>
      <c r="P1197" s="14" t="str">
        <f>IF(D1197&gt;=Assumptions!$P$178,"High",IF(D1197&gt;=Assumptions!$AH$178,"Mid",IF(D1197&lt;=Assumptions!$G$178,"Low","Loading")))</f>
        <v>High</v>
      </c>
      <c r="Q1197" s="46">
        <f>MAX(K1197,MIN(Assumptions!$S$178,O1197),Q1198)</f>
        <v>3083</v>
      </c>
      <c r="R1197" s="12">
        <f>IF(AND(Q1197&lt;=K1197,INDEX(Assumptions!$C$26:$C$36,MATCH(G1197,Assumptions!$A$26:$A$36,0))&lt;&gt;""),INDEX(Assumptions!$C$26:$C$36,MATCH(G1197,Assumptions!$A$26:$A$36,0)),ROUND(G1197*Q1197,-2))</f>
        <v>1825100</v>
      </c>
      <c r="S1197" s="47" t="str">
        <f>TRIM(IF(AND(Assumptions!$L$178&lt;&gt;"",D1197&lt;Assumptions!$L$178),"View blocked / roof in front ("&amp;Assumptions!$M$178&amp;"); view premium still loading until L"&amp;Assumptions!$L$178&amp;". ","")&amp;IF(D1197=Assumptions!$AH$178,"Mid-floor view premium fully loaded. ","")&amp;IF(D1197=Assumptions!$P$178,"High-floor view premium fully loaded. ","")&amp;IF(Q1197&lt;=K1197,"At developer starting price.",""))</f>
        <v/>
      </c>
      <c r="T1197" s="48" t="str">
        <f>Assumptions!$AJ$178</f>
        <v>SW. Inner pool &amp; facilities; Island Club in front of low floors; side landed + nature reserve from mid floor</v>
      </c>
    </row>
    <row r="1198" spans="1:20" x14ac:dyDescent="0.2">
      <c r="A1198" s="13" t="s">
        <v>1380</v>
      </c>
      <c r="B1198" s="14">
        <v>11</v>
      </c>
      <c r="C1198" s="40">
        <v>52</v>
      </c>
      <c r="D1198" s="40">
        <v>16</v>
      </c>
      <c r="E1198" s="9" t="s">
        <v>41</v>
      </c>
      <c r="F1198" s="14" t="s">
        <v>439</v>
      </c>
      <c r="G1198" s="10">
        <v>592</v>
      </c>
      <c r="H1198" s="14" t="s">
        <v>62</v>
      </c>
      <c r="I1198" s="41" t="str">
        <f>Assumptions!$I$178</f>
        <v>B</v>
      </c>
      <c r="J1198" s="14" t="str">
        <f>IF(D1198&lt;=Assumptions!$V$178,"Low",IF(D1198&lt;=Assumptions!$W$178,"Mid","High"))</f>
        <v>High</v>
      </c>
      <c r="K1198" s="15">
        <f>Assumptions!$Q$178</f>
        <v>2608</v>
      </c>
      <c r="L1198" s="42">
        <f>INDEX(Assumptions!$B$61:$B$90,D1198)</f>
        <v>2976.1571428571428</v>
      </c>
      <c r="M1198" s="43">
        <f>IF(D1198&lt;=Assumptions!$G$178,Assumptions!$AK$178,IF(D1198&lt;Assumptions!$AH$178,Assumptions!$AK$178+(Assumptions!$AL$178-Assumptions!$AK$178)*(D1198-Assumptions!$G$178)/(Assumptions!$AH$178-Assumptions!$G$178),IF(D1198&lt;Assumptions!$P$178,Assumptions!$AL$178+(Assumptions!$AM$178-Assumptions!$AL$178)*(D1198-Assumptions!$AH$178)/(Assumptions!$P$178-Assumptions!$AH$178),Assumptions!$AM$178)))</f>
        <v>50000</v>
      </c>
      <c r="N1198" s="44">
        <f t="shared" si="36"/>
        <v>84.459459459459453</v>
      </c>
      <c r="O1198" s="45">
        <f t="shared" si="37"/>
        <v>3061</v>
      </c>
      <c r="P1198" s="14" t="str">
        <f>IF(D1198&gt;=Assumptions!$P$178,"High",IF(D1198&gt;=Assumptions!$AH$178,"Mid",IF(D1198&lt;=Assumptions!$G$178,"Low","Loading")))</f>
        <v>High</v>
      </c>
      <c r="Q1198" s="46">
        <f>MAX(K1198,MIN(Assumptions!$S$178,O1198),Q1199)</f>
        <v>3061</v>
      </c>
      <c r="R1198" s="12">
        <f>IF(AND(Q1198&lt;=K1198,INDEX(Assumptions!$C$26:$C$36,MATCH(G1198,Assumptions!$A$26:$A$36,0))&lt;&gt;""),INDEX(Assumptions!$C$26:$C$36,MATCH(G1198,Assumptions!$A$26:$A$36,0)),ROUND(G1198*Q1198,-2))</f>
        <v>1812100</v>
      </c>
      <c r="S1198" s="47" t="str">
        <f>TRIM(IF(AND(Assumptions!$L$178&lt;&gt;"",D1198&lt;Assumptions!$L$178),"View blocked / roof in front ("&amp;Assumptions!$M$178&amp;"); view premium still loading until L"&amp;Assumptions!$L$178&amp;". ","")&amp;IF(D1198=Assumptions!$AH$178,"Mid-floor view premium fully loaded. ","")&amp;IF(D1198=Assumptions!$P$178,"High-floor view premium fully loaded. ","")&amp;IF(Q1198&lt;=K1198,"At developer starting price.",""))</f>
        <v>High-floor view premium fully loaded.</v>
      </c>
      <c r="T1198" s="48" t="str">
        <f>Assumptions!$AJ$178</f>
        <v>SW. Inner pool &amp; facilities; Island Club in front of low floors; side landed + nature reserve from mid floor</v>
      </c>
    </row>
    <row r="1199" spans="1:20" x14ac:dyDescent="0.2">
      <c r="A1199" s="13" t="s">
        <v>1381</v>
      </c>
      <c r="B1199" s="14">
        <v>11</v>
      </c>
      <c r="C1199" s="40">
        <v>52</v>
      </c>
      <c r="D1199" s="40">
        <v>15</v>
      </c>
      <c r="E1199" s="9" t="s">
        <v>41</v>
      </c>
      <c r="F1199" s="14" t="s">
        <v>439</v>
      </c>
      <c r="G1199" s="10">
        <v>592</v>
      </c>
      <c r="H1199" s="14" t="s">
        <v>62</v>
      </c>
      <c r="I1199" s="41" t="str">
        <f>Assumptions!$I$178</f>
        <v>B</v>
      </c>
      <c r="J1199" s="14" t="str">
        <f>IF(D1199&lt;=Assumptions!$V$178,"Low",IF(D1199&lt;=Assumptions!$W$178,"Mid","High"))</f>
        <v>Mid</v>
      </c>
      <c r="K1199" s="15">
        <f>Assumptions!$Q$178</f>
        <v>2608</v>
      </c>
      <c r="L1199" s="42">
        <f>INDEX(Assumptions!$B$61:$B$90,D1199)</f>
        <v>2954.1000000000004</v>
      </c>
      <c r="M1199" s="43">
        <f>IF(D1199&lt;=Assumptions!$G$178,Assumptions!$AK$178,IF(D1199&lt;Assumptions!$AH$178,Assumptions!$AK$178+(Assumptions!$AL$178-Assumptions!$AK$178)*(D1199-Assumptions!$G$178)/(Assumptions!$AH$178-Assumptions!$G$178),IF(D1199&lt;Assumptions!$P$178,Assumptions!$AL$178+(Assumptions!$AM$178-Assumptions!$AL$178)*(D1199-Assumptions!$AH$178)/(Assumptions!$P$178-Assumptions!$AH$178),Assumptions!$AM$178)))</f>
        <v>50000</v>
      </c>
      <c r="N1199" s="44">
        <f t="shared" si="36"/>
        <v>84.459459459459453</v>
      </c>
      <c r="O1199" s="45">
        <f t="shared" si="37"/>
        <v>3039</v>
      </c>
      <c r="P1199" s="14" t="str">
        <f>IF(D1199&gt;=Assumptions!$P$178,"High",IF(D1199&gt;=Assumptions!$AH$178,"Mid",IF(D1199&lt;=Assumptions!$G$178,"Low","Loading")))</f>
        <v>Mid</v>
      </c>
      <c r="Q1199" s="46">
        <f>MAX(K1199,MIN(Assumptions!$S$178,O1199),Q1200)</f>
        <v>3039</v>
      </c>
      <c r="R1199" s="12">
        <f>IF(AND(Q1199&lt;=K1199,INDEX(Assumptions!$C$26:$C$36,MATCH(G1199,Assumptions!$A$26:$A$36,0))&lt;&gt;""),INDEX(Assumptions!$C$26:$C$36,MATCH(G1199,Assumptions!$A$26:$A$36,0)),ROUND(G1199*Q1199,-2))</f>
        <v>1799100</v>
      </c>
      <c r="S1199" s="47" t="str">
        <f>TRIM(IF(AND(Assumptions!$L$178&lt;&gt;"",D1199&lt;Assumptions!$L$178),"View blocked / roof in front ("&amp;Assumptions!$M$178&amp;"); view premium still loading until L"&amp;Assumptions!$L$178&amp;". ","")&amp;IF(D1199=Assumptions!$AH$178,"Mid-floor view premium fully loaded. ","")&amp;IF(D1199=Assumptions!$P$178,"High-floor view premium fully loaded. ","")&amp;IF(Q1199&lt;=K1199,"At developer starting price.",""))</f>
        <v/>
      </c>
      <c r="T1199" s="48" t="str">
        <f>Assumptions!$AJ$178</f>
        <v>SW. Inner pool &amp; facilities; Island Club in front of low floors; side landed + nature reserve from mid floor</v>
      </c>
    </row>
    <row r="1200" spans="1:20" x14ac:dyDescent="0.2">
      <c r="A1200" s="13" t="s">
        <v>1382</v>
      </c>
      <c r="B1200" s="14">
        <v>11</v>
      </c>
      <c r="C1200" s="40">
        <v>52</v>
      </c>
      <c r="D1200" s="40">
        <v>14</v>
      </c>
      <c r="E1200" s="9" t="s">
        <v>41</v>
      </c>
      <c r="F1200" s="14" t="s">
        <v>439</v>
      </c>
      <c r="G1200" s="10">
        <v>592</v>
      </c>
      <c r="H1200" s="14" t="s">
        <v>62</v>
      </c>
      <c r="I1200" s="41" t="str">
        <f>Assumptions!$I$178</f>
        <v>B</v>
      </c>
      <c r="J1200" s="14" t="str">
        <f>IF(D1200&lt;=Assumptions!$V$178,"Low",IF(D1200&lt;=Assumptions!$W$178,"Mid","High"))</f>
        <v>Mid</v>
      </c>
      <c r="K1200" s="15">
        <f>Assumptions!$Q$178</f>
        <v>2608</v>
      </c>
      <c r="L1200" s="42">
        <f>INDEX(Assumptions!$B$61:$B$90,D1200)</f>
        <v>2932.0428571428574</v>
      </c>
      <c r="M1200" s="43">
        <f>IF(D1200&lt;=Assumptions!$G$178,Assumptions!$AK$178,IF(D1200&lt;Assumptions!$AH$178,Assumptions!$AK$178+(Assumptions!$AL$178-Assumptions!$AK$178)*(D1200-Assumptions!$G$178)/(Assumptions!$AH$178-Assumptions!$G$178),IF(D1200&lt;Assumptions!$P$178,Assumptions!$AL$178+(Assumptions!$AM$178-Assumptions!$AL$178)*(D1200-Assumptions!$AH$178)/(Assumptions!$P$178-Assumptions!$AH$178),Assumptions!$AM$178)))</f>
        <v>50000</v>
      </c>
      <c r="N1200" s="44">
        <f t="shared" si="36"/>
        <v>84.459459459459453</v>
      </c>
      <c r="O1200" s="45">
        <f t="shared" si="37"/>
        <v>3017</v>
      </c>
      <c r="P1200" s="14" t="str">
        <f>IF(D1200&gt;=Assumptions!$P$178,"High",IF(D1200&gt;=Assumptions!$AH$178,"Mid",IF(D1200&lt;=Assumptions!$G$178,"Low","Loading")))</f>
        <v>Mid</v>
      </c>
      <c r="Q1200" s="46">
        <f>MAX(K1200,MIN(Assumptions!$S$178,O1200),Q1201)</f>
        <v>3017</v>
      </c>
      <c r="R1200" s="12">
        <f>IF(AND(Q1200&lt;=K1200,INDEX(Assumptions!$C$26:$C$36,MATCH(G1200,Assumptions!$A$26:$A$36,0))&lt;&gt;""),INDEX(Assumptions!$C$26:$C$36,MATCH(G1200,Assumptions!$A$26:$A$36,0)),ROUND(G1200*Q1200,-2))</f>
        <v>1786100</v>
      </c>
      <c r="S1200" s="47" t="str">
        <f>TRIM(IF(AND(Assumptions!$L$178&lt;&gt;"",D1200&lt;Assumptions!$L$178),"View blocked / roof in front ("&amp;Assumptions!$M$178&amp;"); view premium still loading until L"&amp;Assumptions!$L$178&amp;". ","")&amp;IF(D1200=Assumptions!$AH$178,"Mid-floor view premium fully loaded. ","")&amp;IF(D1200=Assumptions!$P$178,"High-floor view premium fully loaded. ","")&amp;IF(Q1200&lt;=K1200,"At developer starting price.",""))</f>
        <v/>
      </c>
      <c r="T1200" s="48" t="str">
        <f>Assumptions!$AJ$178</f>
        <v>SW. Inner pool &amp; facilities; Island Club in front of low floors; side landed + nature reserve from mid floor</v>
      </c>
    </row>
    <row r="1201" spans="1:20" x14ac:dyDescent="0.2">
      <c r="A1201" s="13" t="s">
        <v>1383</v>
      </c>
      <c r="B1201" s="14">
        <v>11</v>
      </c>
      <c r="C1201" s="40">
        <v>52</v>
      </c>
      <c r="D1201" s="40">
        <v>13</v>
      </c>
      <c r="E1201" s="9" t="s">
        <v>41</v>
      </c>
      <c r="F1201" s="14" t="s">
        <v>439</v>
      </c>
      <c r="G1201" s="10">
        <v>592</v>
      </c>
      <c r="H1201" s="14" t="s">
        <v>62</v>
      </c>
      <c r="I1201" s="41" t="str">
        <f>Assumptions!$I$178</f>
        <v>B</v>
      </c>
      <c r="J1201" s="14" t="str">
        <f>IF(D1201&lt;=Assumptions!$V$178,"Low",IF(D1201&lt;=Assumptions!$W$178,"Mid","High"))</f>
        <v>Mid</v>
      </c>
      <c r="K1201" s="15">
        <f>Assumptions!$Q$178</f>
        <v>2608</v>
      </c>
      <c r="L1201" s="42">
        <f>INDEX(Assumptions!$B$61:$B$90,D1201)</f>
        <v>2909.9857142857145</v>
      </c>
      <c r="M1201" s="43">
        <f>IF(D1201&lt;=Assumptions!$G$178,Assumptions!$AK$178,IF(D1201&lt;Assumptions!$AH$178,Assumptions!$AK$178+(Assumptions!$AL$178-Assumptions!$AK$178)*(D1201-Assumptions!$G$178)/(Assumptions!$AH$178-Assumptions!$G$178),IF(D1201&lt;Assumptions!$P$178,Assumptions!$AL$178+(Assumptions!$AM$178-Assumptions!$AL$178)*(D1201-Assumptions!$AH$178)/(Assumptions!$P$178-Assumptions!$AH$178),Assumptions!$AM$178)))</f>
        <v>50000</v>
      </c>
      <c r="N1201" s="44">
        <f t="shared" si="36"/>
        <v>84.459459459459453</v>
      </c>
      <c r="O1201" s="45">
        <f t="shared" si="37"/>
        <v>2994</v>
      </c>
      <c r="P1201" s="14" t="str">
        <f>IF(D1201&gt;=Assumptions!$P$178,"High",IF(D1201&gt;=Assumptions!$AH$178,"Mid",IF(D1201&lt;=Assumptions!$G$178,"Low","Loading")))</f>
        <v>Mid</v>
      </c>
      <c r="Q1201" s="46">
        <f>MAX(K1201,MIN(Assumptions!$S$178,O1201),Q1202)</f>
        <v>2994</v>
      </c>
      <c r="R1201" s="12">
        <f>IF(AND(Q1201&lt;=K1201,INDEX(Assumptions!$C$26:$C$36,MATCH(G1201,Assumptions!$A$26:$A$36,0))&lt;&gt;""),INDEX(Assumptions!$C$26:$C$36,MATCH(G1201,Assumptions!$A$26:$A$36,0)),ROUND(G1201*Q1201,-2))</f>
        <v>1772400</v>
      </c>
      <c r="S1201" s="47" t="str">
        <f>TRIM(IF(AND(Assumptions!$L$178&lt;&gt;"",D1201&lt;Assumptions!$L$178),"View blocked / roof in front ("&amp;Assumptions!$M$178&amp;"); view premium still loading until L"&amp;Assumptions!$L$178&amp;". ","")&amp;IF(D1201=Assumptions!$AH$178,"Mid-floor view premium fully loaded. ","")&amp;IF(D1201=Assumptions!$P$178,"High-floor view premium fully loaded. ","")&amp;IF(Q1201&lt;=K1201,"At developer starting price.",""))</f>
        <v/>
      </c>
      <c r="T1201" s="48" t="str">
        <f>Assumptions!$AJ$178</f>
        <v>SW. Inner pool &amp; facilities; Island Club in front of low floors; side landed + nature reserve from mid floor</v>
      </c>
    </row>
    <row r="1202" spans="1:20" x14ac:dyDescent="0.2">
      <c r="A1202" s="13" t="s">
        <v>1384</v>
      </c>
      <c r="B1202" s="14">
        <v>11</v>
      </c>
      <c r="C1202" s="40">
        <v>52</v>
      </c>
      <c r="D1202" s="40">
        <v>12</v>
      </c>
      <c r="E1202" s="9" t="s">
        <v>41</v>
      </c>
      <c r="F1202" s="14" t="s">
        <v>439</v>
      </c>
      <c r="G1202" s="10">
        <v>592</v>
      </c>
      <c r="H1202" s="14" t="s">
        <v>62</v>
      </c>
      <c r="I1202" s="41" t="str">
        <f>Assumptions!$I$178</f>
        <v>B</v>
      </c>
      <c r="J1202" s="14" t="str">
        <f>IF(D1202&lt;=Assumptions!$V$178,"Low",IF(D1202&lt;=Assumptions!$W$178,"Mid","High"))</f>
        <v>Mid</v>
      </c>
      <c r="K1202" s="15">
        <f>Assumptions!$Q$178</f>
        <v>2608</v>
      </c>
      <c r="L1202" s="42">
        <f>INDEX(Assumptions!$B$61:$B$90,D1202)</f>
        <v>2887.9285714285716</v>
      </c>
      <c r="M1202" s="43">
        <f>IF(D1202&lt;=Assumptions!$G$178,Assumptions!$AK$178,IF(D1202&lt;Assumptions!$AH$178,Assumptions!$AK$178+(Assumptions!$AL$178-Assumptions!$AK$178)*(D1202-Assumptions!$G$178)/(Assumptions!$AH$178-Assumptions!$G$178),IF(D1202&lt;Assumptions!$P$178,Assumptions!$AL$178+(Assumptions!$AM$178-Assumptions!$AL$178)*(D1202-Assumptions!$AH$178)/(Assumptions!$P$178-Assumptions!$AH$178),Assumptions!$AM$178)))</f>
        <v>50000</v>
      </c>
      <c r="N1202" s="44">
        <f t="shared" si="36"/>
        <v>84.459459459459453</v>
      </c>
      <c r="O1202" s="45">
        <f t="shared" si="37"/>
        <v>2972</v>
      </c>
      <c r="P1202" s="14" t="str">
        <f>IF(D1202&gt;=Assumptions!$P$178,"High",IF(D1202&gt;=Assumptions!$AH$178,"Mid",IF(D1202&lt;=Assumptions!$G$178,"Low","Loading")))</f>
        <v>Mid</v>
      </c>
      <c r="Q1202" s="46">
        <f>MAX(K1202,MIN(Assumptions!$S$178,O1202),Q1203)</f>
        <v>2972</v>
      </c>
      <c r="R1202" s="12">
        <f>IF(AND(Q1202&lt;=K1202,INDEX(Assumptions!$C$26:$C$36,MATCH(G1202,Assumptions!$A$26:$A$36,0))&lt;&gt;""),INDEX(Assumptions!$C$26:$C$36,MATCH(G1202,Assumptions!$A$26:$A$36,0)),ROUND(G1202*Q1202,-2))</f>
        <v>1759400</v>
      </c>
      <c r="S1202" s="47" t="str">
        <f>TRIM(IF(AND(Assumptions!$L$178&lt;&gt;"",D1202&lt;Assumptions!$L$178),"View blocked / roof in front ("&amp;Assumptions!$M$178&amp;"); view premium still loading until L"&amp;Assumptions!$L$178&amp;". ","")&amp;IF(D1202=Assumptions!$AH$178,"Mid-floor view premium fully loaded. ","")&amp;IF(D1202=Assumptions!$P$178,"High-floor view premium fully loaded. ","")&amp;IF(Q1202&lt;=K1202,"At developer starting price.",""))</f>
        <v/>
      </c>
      <c r="T1202" s="48" t="str">
        <f>Assumptions!$AJ$178</f>
        <v>SW. Inner pool &amp; facilities; Island Club in front of low floors; side landed + nature reserve from mid floor</v>
      </c>
    </row>
    <row r="1203" spans="1:20" x14ac:dyDescent="0.2">
      <c r="A1203" s="13" t="s">
        <v>1385</v>
      </c>
      <c r="B1203" s="14">
        <v>11</v>
      </c>
      <c r="C1203" s="40">
        <v>52</v>
      </c>
      <c r="D1203" s="40">
        <v>11</v>
      </c>
      <c r="E1203" s="9" t="s">
        <v>41</v>
      </c>
      <c r="F1203" s="14" t="s">
        <v>439</v>
      </c>
      <c r="G1203" s="10">
        <v>592</v>
      </c>
      <c r="H1203" s="14" t="s">
        <v>62</v>
      </c>
      <c r="I1203" s="41" t="str">
        <f>Assumptions!$I$178</f>
        <v>B</v>
      </c>
      <c r="J1203" s="14" t="str">
        <f>IF(D1203&lt;=Assumptions!$V$178,"Low",IF(D1203&lt;=Assumptions!$W$178,"Mid","High"))</f>
        <v>Mid</v>
      </c>
      <c r="K1203" s="15">
        <f>Assumptions!$Q$178</f>
        <v>2608</v>
      </c>
      <c r="L1203" s="42">
        <f>INDEX(Assumptions!$B$61:$B$90,D1203)</f>
        <v>2867.1926031294452</v>
      </c>
      <c r="M1203" s="43">
        <f>IF(D1203&lt;=Assumptions!$G$178,Assumptions!$AK$178,IF(D1203&lt;Assumptions!$AH$178,Assumptions!$AK$178+(Assumptions!$AL$178-Assumptions!$AK$178)*(D1203-Assumptions!$G$178)/(Assumptions!$AH$178-Assumptions!$G$178),IF(D1203&lt;Assumptions!$P$178,Assumptions!$AL$178+(Assumptions!$AM$178-Assumptions!$AL$178)*(D1203-Assumptions!$AH$178)/(Assumptions!$P$178-Assumptions!$AH$178),Assumptions!$AM$178)))</f>
        <v>50000</v>
      </c>
      <c r="N1203" s="44">
        <f t="shared" si="36"/>
        <v>84.459459459459453</v>
      </c>
      <c r="O1203" s="45">
        <f t="shared" si="37"/>
        <v>2952</v>
      </c>
      <c r="P1203" s="14" t="str">
        <f>IF(D1203&gt;=Assumptions!$P$178,"High",IF(D1203&gt;=Assumptions!$AH$178,"Mid",IF(D1203&lt;=Assumptions!$G$178,"Low","Loading")))</f>
        <v>Mid</v>
      </c>
      <c r="Q1203" s="46">
        <f>MAX(K1203,MIN(Assumptions!$S$178,O1203),Q1204)</f>
        <v>2952</v>
      </c>
      <c r="R1203" s="12">
        <f>IF(AND(Q1203&lt;=K1203,INDEX(Assumptions!$C$26:$C$36,MATCH(G1203,Assumptions!$A$26:$A$36,0))&lt;&gt;""),INDEX(Assumptions!$C$26:$C$36,MATCH(G1203,Assumptions!$A$26:$A$36,0)),ROUND(G1203*Q1203,-2))</f>
        <v>1747600</v>
      </c>
      <c r="S1203" s="47" t="str">
        <f>TRIM(IF(AND(Assumptions!$L$178&lt;&gt;"",D1203&lt;Assumptions!$L$178),"View blocked / roof in front ("&amp;Assumptions!$M$178&amp;"); view premium still loading until L"&amp;Assumptions!$L$178&amp;". ","")&amp;IF(D1203=Assumptions!$AH$178,"Mid-floor view premium fully loaded. ","")&amp;IF(D1203=Assumptions!$P$178,"High-floor view premium fully loaded. ","")&amp;IF(Q1203&lt;=K1203,"At developer starting price.",""))</f>
        <v/>
      </c>
      <c r="T1203" s="48" t="str">
        <f>Assumptions!$AJ$178</f>
        <v>SW. Inner pool &amp; facilities; Island Club in front of low floors; side landed + nature reserve from mid floor</v>
      </c>
    </row>
    <row r="1204" spans="1:20" x14ac:dyDescent="0.2">
      <c r="A1204" s="13" t="s">
        <v>1386</v>
      </c>
      <c r="B1204" s="14">
        <v>11</v>
      </c>
      <c r="C1204" s="40">
        <v>52</v>
      </c>
      <c r="D1204" s="40">
        <v>10</v>
      </c>
      <c r="E1204" s="9" t="s">
        <v>41</v>
      </c>
      <c r="F1204" s="14" t="s">
        <v>439</v>
      </c>
      <c r="G1204" s="10">
        <v>592</v>
      </c>
      <c r="H1204" s="14" t="s">
        <v>62</v>
      </c>
      <c r="I1204" s="41" t="str">
        <f>Assumptions!$I$178</f>
        <v>B</v>
      </c>
      <c r="J1204" s="14" t="str">
        <f>IF(D1204&lt;=Assumptions!$V$178,"Low",IF(D1204&lt;=Assumptions!$W$178,"Mid","High"))</f>
        <v>Mid</v>
      </c>
      <c r="K1204" s="15">
        <f>Assumptions!$Q$178</f>
        <v>2608</v>
      </c>
      <c r="L1204" s="42">
        <f>INDEX(Assumptions!$B$61:$B$90,D1204)</f>
        <v>2847.7778093883358</v>
      </c>
      <c r="M1204" s="43">
        <f>IF(D1204&lt;=Assumptions!$G$178,Assumptions!$AK$178,IF(D1204&lt;Assumptions!$AH$178,Assumptions!$AK$178+(Assumptions!$AL$178-Assumptions!$AK$178)*(D1204-Assumptions!$G$178)/(Assumptions!$AH$178-Assumptions!$G$178),IF(D1204&lt;Assumptions!$P$178,Assumptions!$AL$178+(Assumptions!$AM$178-Assumptions!$AL$178)*(D1204-Assumptions!$AH$178)/(Assumptions!$P$178-Assumptions!$AH$178),Assumptions!$AM$178)))</f>
        <v>50000</v>
      </c>
      <c r="N1204" s="44">
        <f t="shared" si="36"/>
        <v>84.459459459459453</v>
      </c>
      <c r="O1204" s="45">
        <f t="shared" si="37"/>
        <v>2932</v>
      </c>
      <c r="P1204" s="14" t="str">
        <f>IF(D1204&gt;=Assumptions!$P$178,"High",IF(D1204&gt;=Assumptions!$AH$178,"Mid",IF(D1204&lt;=Assumptions!$G$178,"Low","Loading")))</f>
        <v>Mid</v>
      </c>
      <c r="Q1204" s="46">
        <f>MAX(K1204,MIN(Assumptions!$S$178,O1204),Q1205)</f>
        <v>2932</v>
      </c>
      <c r="R1204" s="12">
        <f>IF(AND(Q1204&lt;=K1204,INDEX(Assumptions!$C$26:$C$36,MATCH(G1204,Assumptions!$A$26:$A$36,0))&lt;&gt;""),INDEX(Assumptions!$C$26:$C$36,MATCH(G1204,Assumptions!$A$26:$A$36,0)),ROUND(G1204*Q1204,-2))</f>
        <v>1735700</v>
      </c>
      <c r="S1204" s="47" t="str">
        <f>TRIM(IF(AND(Assumptions!$L$178&lt;&gt;"",D1204&lt;Assumptions!$L$178),"View blocked / roof in front ("&amp;Assumptions!$M$178&amp;"); view premium still loading until L"&amp;Assumptions!$L$178&amp;". ","")&amp;IF(D1204=Assumptions!$AH$178,"Mid-floor view premium fully loaded. ","")&amp;IF(D1204=Assumptions!$P$178,"High-floor view premium fully loaded. ","")&amp;IF(Q1204&lt;=K1204,"At developer starting price.",""))</f>
        <v/>
      </c>
      <c r="T1204" s="48" t="str">
        <f>Assumptions!$AJ$178</f>
        <v>SW. Inner pool &amp; facilities; Island Club in front of low floors; side landed + nature reserve from mid floor</v>
      </c>
    </row>
    <row r="1205" spans="1:20" x14ac:dyDescent="0.2">
      <c r="A1205" s="13" t="s">
        <v>1387</v>
      </c>
      <c r="B1205" s="14">
        <v>11</v>
      </c>
      <c r="C1205" s="40">
        <v>52</v>
      </c>
      <c r="D1205" s="40">
        <v>9</v>
      </c>
      <c r="E1205" s="9" t="s">
        <v>41</v>
      </c>
      <c r="F1205" s="14" t="s">
        <v>439</v>
      </c>
      <c r="G1205" s="10">
        <v>592</v>
      </c>
      <c r="H1205" s="14" t="s">
        <v>62</v>
      </c>
      <c r="I1205" s="41" t="str">
        <f>Assumptions!$I$178</f>
        <v>B</v>
      </c>
      <c r="J1205" s="14" t="str">
        <f>IF(D1205&lt;=Assumptions!$V$178,"Low",IF(D1205&lt;=Assumptions!$W$178,"Mid","High"))</f>
        <v>Mid</v>
      </c>
      <c r="K1205" s="15">
        <f>Assumptions!$Q$178</f>
        <v>2608</v>
      </c>
      <c r="L1205" s="42">
        <f>INDEX(Assumptions!$B$61:$B$90,D1205)</f>
        <v>2828.3630156472263</v>
      </c>
      <c r="M1205" s="43">
        <f>IF(D1205&lt;=Assumptions!$G$178,Assumptions!$AK$178,IF(D1205&lt;Assumptions!$AH$178,Assumptions!$AK$178+(Assumptions!$AL$178-Assumptions!$AK$178)*(D1205-Assumptions!$G$178)/(Assumptions!$AH$178-Assumptions!$G$178),IF(D1205&lt;Assumptions!$P$178,Assumptions!$AL$178+(Assumptions!$AM$178-Assumptions!$AL$178)*(D1205-Assumptions!$AH$178)/(Assumptions!$P$178-Assumptions!$AH$178),Assumptions!$AM$178)))</f>
        <v>50000</v>
      </c>
      <c r="N1205" s="44">
        <f t="shared" si="36"/>
        <v>84.459459459459453</v>
      </c>
      <c r="O1205" s="45">
        <f t="shared" si="37"/>
        <v>2913</v>
      </c>
      <c r="P1205" s="14" t="str">
        <f>IF(D1205&gt;=Assumptions!$P$178,"High",IF(D1205&gt;=Assumptions!$AH$178,"Mid",IF(D1205&lt;=Assumptions!$G$178,"Low","Loading")))</f>
        <v>Mid</v>
      </c>
      <c r="Q1205" s="46">
        <f>MAX(K1205,MIN(Assumptions!$S$178,O1205),Q1206)</f>
        <v>2913</v>
      </c>
      <c r="R1205" s="12">
        <f>IF(AND(Q1205&lt;=K1205,INDEX(Assumptions!$C$26:$C$36,MATCH(G1205,Assumptions!$A$26:$A$36,0))&lt;&gt;""),INDEX(Assumptions!$C$26:$C$36,MATCH(G1205,Assumptions!$A$26:$A$36,0)),ROUND(G1205*Q1205,-2))</f>
        <v>1724500</v>
      </c>
      <c r="S1205" s="47" t="str">
        <f>TRIM(IF(AND(Assumptions!$L$178&lt;&gt;"",D1205&lt;Assumptions!$L$178),"View blocked / roof in front ("&amp;Assumptions!$M$178&amp;"); view premium still loading until L"&amp;Assumptions!$L$178&amp;". ","")&amp;IF(D1205=Assumptions!$AH$178,"Mid-floor view premium fully loaded. ","")&amp;IF(D1205=Assumptions!$P$178,"High-floor view premium fully loaded. ","")&amp;IF(Q1205&lt;=K1205,"At developer starting price.",""))</f>
        <v/>
      </c>
      <c r="T1205" s="48" t="str">
        <f>Assumptions!$AJ$178</f>
        <v>SW. Inner pool &amp; facilities; Island Club in front of low floors; side landed + nature reserve from mid floor</v>
      </c>
    </row>
    <row r="1206" spans="1:20" x14ac:dyDescent="0.2">
      <c r="A1206" s="13" t="s">
        <v>1388</v>
      </c>
      <c r="B1206" s="14">
        <v>11</v>
      </c>
      <c r="C1206" s="40">
        <v>52</v>
      </c>
      <c r="D1206" s="40">
        <v>8</v>
      </c>
      <c r="E1206" s="9" t="s">
        <v>41</v>
      </c>
      <c r="F1206" s="14" t="s">
        <v>439</v>
      </c>
      <c r="G1206" s="10">
        <v>592</v>
      </c>
      <c r="H1206" s="14" t="s">
        <v>62</v>
      </c>
      <c r="I1206" s="41" t="str">
        <f>Assumptions!$I$178</f>
        <v>B</v>
      </c>
      <c r="J1206" s="14" t="str">
        <f>IF(D1206&lt;=Assumptions!$V$178,"Low",IF(D1206&lt;=Assumptions!$W$178,"Mid","High"))</f>
        <v>Mid</v>
      </c>
      <c r="K1206" s="15">
        <f>Assumptions!$Q$178</f>
        <v>2608</v>
      </c>
      <c r="L1206" s="42">
        <f>INDEX(Assumptions!$B$61:$B$90,D1206)</f>
        <v>2808.9482219061169</v>
      </c>
      <c r="M1206" s="43">
        <f>IF(D1206&lt;=Assumptions!$G$178,Assumptions!$AK$178,IF(D1206&lt;Assumptions!$AH$178,Assumptions!$AK$178+(Assumptions!$AL$178-Assumptions!$AK$178)*(D1206-Assumptions!$G$178)/(Assumptions!$AH$178-Assumptions!$G$178),IF(D1206&lt;Assumptions!$P$178,Assumptions!$AL$178+(Assumptions!$AM$178-Assumptions!$AL$178)*(D1206-Assumptions!$AH$178)/(Assumptions!$P$178-Assumptions!$AH$178),Assumptions!$AM$178)))</f>
        <v>50000</v>
      </c>
      <c r="N1206" s="44">
        <f t="shared" si="36"/>
        <v>84.459459459459453</v>
      </c>
      <c r="O1206" s="45">
        <f t="shared" si="37"/>
        <v>2893</v>
      </c>
      <c r="P1206" s="14" t="str">
        <f>IF(D1206&gt;=Assumptions!$P$178,"High",IF(D1206&gt;=Assumptions!$AH$178,"Mid",IF(D1206&lt;=Assumptions!$G$178,"Low","Loading")))</f>
        <v>Mid</v>
      </c>
      <c r="Q1206" s="46">
        <f>MAX(K1206,MIN(Assumptions!$S$178,O1206),Q1207)</f>
        <v>2893</v>
      </c>
      <c r="R1206" s="12">
        <f>IF(AND(Q1206&lt;=K1206,INDEX(Assumptions!$C$26:$C$36,MATCH(G1206,Assumptions!$A$26:$A$36,0))&lt;&gt;""),INDEX(Assumptions!$C$26:$C$36,MATCH(G1206,Assumptions!$A$26:$A$36,0)),ROUND(G1206*Q1206,-2))</f>
        <v>1712700</v>
      </c>
      <c r="S1206" s="47" t="str">
        <f>TRIM(IF(AND(Assumptions!$L$178&lt;&gt;"",D1206&lt;Assumptions!$L$178),"View blocked / roof in front ("&amp;Assumptions!$M$178&amp;"); view premium still loading until L"&amp;Assumptions!$L$178&amp;". ","")&amp;IF(D1206=Assumptions!$AH$178,"Mid-floor view premium fully loaded. ","")&amp;IF(D1206=Assumptions!$P$178,"High-floor view premium fully loaded. ","")&amp;IF(Q1206&lt;=K1206,"At developer starting price.",""))</f>
        <v/>
      </c>
      <c r="T1206" s="48" t="str">
        <f>Assumptions!$AJ$178</f>
        <v>SW. Inner pool &amp; facilities; Island Club in front of low floors; side landed + nature reserve from mid floor</v>
      </c>
    </row>
    <row r="1207" spans="1:20" x14ac:dyDescent="0.2">
      <c r="A1207" s="13" t="s">
        <v>1389</v>
      </c>
      <c r="B1207" s="14">
        <v>11</v>
      </c>
      <c r="C1207" s="40">
        <v>52</v>
      </c>
      <c r="D1207" s="40">
        <v>7</v>
      </c>
      <c r="E1207" s="9" t="s">
        <v>41</v>
      </c>
      <c r="F1207" s="14" t="s">
        <v>439</v>
      </c>
      <c r="G1207" s="10">
        <v>592</v>
      </c>
      <c r="H1207" s="14" t="s">
        <v>62</v>
      </c>
      <c r="I1207" s="41" t="str">
        <f>Assumptions!$I$178</f>
        <v>B</v>
      </c>
      <c r="J1207" s="14" t="str">
        <f>IF(D1207&lt;=Assumptions!$V$178,"Low",IF(D1207&lt;=Assumptions!$W$178,"Mid","High"))</f>
        <v>Low</v>
      </c>
      <c r="K1207" s="15">
        <f>Assumptions!$Q$178</f>
        <v>2608</v>
      </c>
      <c r="L1207" s="42">
        <f>INDEX(Assumptions!$B$61:$B$90,D1207)</f>
        <v>2789.5334281650071</v>
      </c>
      <c r="M1207" s="43">
        <f>IF(D1207&lt;=Assumptions!$G$178,Assumptions!$AK$178,IF(D1207&lt;Assumptions!$AH$178,Assumptions!$AK$178+(Assumptions!$AL$178-Assumptions!$AK$178)*(D1207-Assumptions!$G$178)/(Assumptions!$AH$178-Assumptions!$G$178),IF(D1207&lt;Assumptions!$P$178,Assumptions!$AL$178+(Assumptions!$AM$178-Assumptions!$AL$178)*(D1207-Assumptions!$AH$178)/(Assumptions!$P$178-Assumptions!$AH$178),Assumptions!$AM$178)))</f>
        <v>50000</v>
      </c>
      <c r="N1207" s="44">
        <f t="shared" si="36"/>
        <v>84.459459459459453</v>
      </c>
      <c r="O1207" s="45">
        <f t="shared" si="37"/>
        <v>2874</v>
      </c>
      <c r="P1207" s="14" t="str">
        <f>IF(D1207&gt;=Assumptions!$P$178,"High",IF(D1207&gt;=Assumptions!$AH$178,"Mid",IF(D1207&lt;=Assumptions!$G$178,"Low","Loading")))</f>
        <v>Mid</v>
      </c>
      <c r="Q1207" s="46">
        <f>MAX(K1207,MIN(Assumptions!$S$178,O1207),Q1208)</f>
        <v>2874</v>
      </c>
      <c r="R1207" s="12">
        <f>IF(AND(Q1207&lt;=K1207,INDEX(Assumptions!$C$26:$C$36,MATCH(G1207,Assumptions!$A$26:$A$36,0))&lt;&gt;""),INDEX(Assumptions!$C$26:$C$36,MATCH(G1207,Assumptions!$A$26:$A$36,0)),ROUND(G1207*Q1207,-2))</f>
        <v>1701400</v>
      </c>
      <c r="S1207" s="47" t="str">
        <f>TRIM(IF(AND(Assumptions!$L$178&lt;&gt;"",D1207&lt;Assumptions!$L$178),"View blocked / roof in front ("&amp;Assumptions!$M$178&amp;"); view premium still loading until L"&amp;Assumptions!$L$178&amp;". ","")&amp;IF(D1207=Assumptions!$AH$178,"Mid-floor view premium fully loaded. ","")&amp;IF(D1207=Assumptions!$P$178,"High-floor view premium fully loaded. ","")&amp;IF(Q1207&lt;=K1207,"At developer starting price.",""))</f>
        <v>Mid-floor view premium fully loaded.</v>
      </c>
      <c r="T1207" s="48" t="str">
        <f>Assumptions!$AJ$178</f>
        <v>SW. Inner pool &amp; facilities; Island Club in front of low floors; side landed + nature reserve from mid floor</v>
      </c>
    </row>
    <row r="1208" spans="1:20" x14ac:dyDescent="0.2">
      <c r="A1208" s="13" t="s">
        <v>1390</v>
      </c>
      <c r="B1208" s="14">
        <v>11</v>
      </c>
      <c r="C1208" s="40">
        <v>52</v>
      </c>
      <c r="D1208" s="40">
        <v>6</v>
      </c>
      <c r="E1208" s="9" t="s">
        <v>41</v>
      </c>
      <c r="F1208" s="14" t="s">
        <v>439</v>
      </c>
      <c r="G1208" s="10">
        <v>592</v>
      </c>
      <c r="H1208" s="14" t="s">
        <v>62</v>
      </c>
      <c r="I1208" s="41" t="str">
        <f>Assumptions!$I$178</f>
        <v>B</v>
      </c>
      <c r="J1208" s="14" t="str">
        <f>IF(D1208&lt;=Assumptions!$V$178,"Low",IF(D1208&lt;=Assumptions!$W$178,"Mid","High"))</f>
        <v>Low</v>
      </c>
      <c r="K1208" s="15">
        <f>Assumptions!$Q$178</f>
        <v>2608</v>
      </c>
      <c r="L1208" s="42">
        <f>INDEX(Assumptions!$B$61:$B$90,D1208)</f>
        <v>2770.1186344238977</v>
      </c>
      <c r="M1208" s="43">
        <f>IF(D1208&lt;=Assumptions!$G$178,Assumptions!$AK$178,IF(D1208&lt;Assumptions!$AH$178,Assumptions!$AK$178+(Assumptions!$AL$178-Assumptions!$AK$178)*(D1208-Assumptions!$G$178)/(Assumptions!$AH$178-Assumptions!$G$178),IF(D1208&lt;Assumptions!$P$178,Assumptions!$AL$178+(Assumptions!$AM$178-Assumptions!$AL$178)*(D1208-Assumptions!$AH$178)/(Assumptions!$P$178-Assumptions!$AH$178),Assumptions!$AM$178)))</f>
        <v>30000</v>
      </c>
      <c r="N1208" s="44">
        <f t="shared" si="36"/>
        <v>50.675675675675677</v>
      </c>
      <c r="O1208" s="45">
        <f t="shared" si="37"/>
        <v>2821</v>
      </c>
      <c r="P1208" s="14" t="str">
        <f>IF(D1208&gt;=Assumptions!$P$178,"High",IF(D1208&gt;=Assumptions!$AH$178,"Mid",IF(D1208&lt;=Assumptions!$G$178,"Low","Loading")))</f>
        <v>Loading</v>
      </c>
      <c r="Q1208" s="46">
        <f>MAX(K1208,MIN(Assumptions!$S$178,O1208),Q1209)</f>
        <v>2821</v>
      </c>
      <c r="R1208" s="12">
        <f>IF(AND(Q1208&lt;=K1208,INDEX(Assumptions!$C$26:$C$36,MATCH(G1208,Assumptions!$A$26:$A$36,0))&lt;&gt;""),INDEX(Assumptions!$C$26:$C$36,MATCH(G1208,Assumptions!$A$26:$A$36,0)),ROUND(G1208*Q1208,-2))</f>
        <v>1670000</v>
      </c>
      <c r="S1208" s="47" t="str">
        <f>TRIM(IF(AND(Assumptions!$L$178&lt;&gt;"",D1208&lt;Assumptions!$L$178),"View blocked / roof in front ("&amp;Assumptions!$M$178&amp;"); view premium still loading until L"&amp;Assumptions!$L$178&amp;". ","")&amp;IF(D1208=Assumptions!$AH$178,"Mid-floor view premium fully loaded. ","")&amp;IF(D1208=Assumptions!$P$178,"High-floor view premium fully loaded. ","")&amp;IF(Q1208&lt;=K1208,"At developer starting price.",""))</f>
        <v>View blocked / roof in front (Island Club: 87% of view, 35.9 to 51.6m away); view premium still loading until L7.</v>
      </c>
      <c r="T1208" s="48" t="str">
        <f>Assumptions!$AJ$178</f>
        <v>SW. Inner pool &amp; facilities; Island Club in front of low floors; side landed + nature reserve from mid floor</v>
      </c>
    </row>
    <row r="1209" spans="1:20" x14ac:dyDescent="0.2">
      <c r="A1209" s="13" t="s">
        <v>1391</v>
      </c>
      <c r="B1209" s="14">
        <v>11</v>
      </c>
      <c r="C1209" s="40">
        <v>52</v>
      </c>
      <c r="D1209" s="40">
        <v>5</v>
      </c>
      <c r="E1209" s="9" t="s">
        <v>41</v>
      </c>
      <c r="F1209" s="14" t="s">
        <v>439</v>
      </c>
      <c r="G1209" s="10">
        <v>592</v>
      </c>
      <c r="H1209" s="14" t="s">
        <v>62</v>
      </c>
      <c r="I1209" s="41" t="str">
        <f>Assumptions!$I$178</f>
        <v>B</v>
      </c>
      <c r="J1209" s="14" t="str">
        <f>IF(D1209&lt;=Assumptions!$V$178,"Low",IF(D1209&lt;=Assumptions!$W$178,"Mid","High"))</f>
        <v>Low</v>
      </c>
      <c r="K1209" s="15">
        <f>Assumptions!$Q$178</f>
        <v>2608</v>
      </c>
      <c r="L1209" s="42">
        <f>INDEX(Assumptions!$B$61:$B$90,D1209)</f>
        <v>2750.7038406827883</v>
      </c>
      <c r="M1209" s="43">
        <f>IF(D1209&lt;=Assumptions!$G$178,Assumptions!$AK$178,IF(D1209&lt;Assumptions!$AH$178,Assumptions!$AK$178+(Assumptions!$AL$178-Assumptions!$AK$178)*(D1209-Assumptions!$G$178)/(Assumptions!$AH$178-Assumptions!$G$178),IF(D1209&lt;Assumptions!$P$178,Assumptions!$AL$178+(Assumptions!$AM$178-Assumptions!$AL$178)*(D1209-Assumptions!$AH$178)/(Assumptions!$P$178-Assumptions!$AH$178),Assumptions!$AM$178)))</f>
        <v>10000</v>
      </c>
      <c r="N1209" s="44">
        <f t="shared" si="36"/>
        <v>16.891891891891891</v>
      </c>
      <c r="O1209" s="45">
        <f t="shared" si="37"/>
        <v>2768</v>
      </c>
      <c r="P1209" s="14" t="str">
        <f>IF(D1209&gt;=Assumptions!$P$178,"High",IF(D1209&gt;=Assumptions!$AH$178,"Mid",IF(D1209&lt;=Assumptions!$G$178,"Low","Loading")))</f>
        <v>Loading</v>
      </c>
      <c r="Q1209" s="46">
        <f>MAX(K1209,MIN(Assumptions!$S$178,O1209),Q1210)</f>
        <v>2768</v>
      </c>
      <c r="R1209" s="12">
        <f>IF(AND(Q1209&lt;=K1209,INDEX(Assumptions!$C$26:$C$36,MATCH(G1209,Assumptions!$A$26:$A$36,0))&lt;&gt;""),INDEX(Assumptions!$C$26:$C$36,MATCH(G1209,Assumptions!$A$26:$A$36,0)),ROUND(G1209*Q1209,-2))</f>
        <v>1638700</v>
      </c>
      <c r="S1209" s="47" t="str">
        <f>TRIM(IF(AND(Assumptions!$L$178&lt;&gt;"",D1209&lt;Assumptions!$L$178),"View blocked / roof in front ("&amp;Assumptions!$M$178&amp;"); view premium still loading until L"&amp;Assumptions!$L$178&amp;". ","")&amp;IF(D1209=Assumptions!$AH$178,"Mid-floor view premium fully loaded. ","")&amp;IF(D1209=Assumptions!$P$178,"High-floor view premium fully loaded. ","")&amp;IF(Q1209&lt;=K1209,"At developer starting price.",""))</f>
        <v>View blocked / roof in front (Island Club: 87% of view, 35.9 to 51.6m away); view premium still loading until L7.</v>
      </c>
      <c r="T1209" s="48" t="str">
        <f>Assumptions!$AJ$178</f>
        <v>SW. Inner pool &amp; facilities; Island Club in front of low floors; side landed + nature reserve from mid floor</v>
      </c>
    </row>
    <row r="1210" spans="1:20" x14ac:dyDescent="0.2">
      <c r="A1210" s="13" t="s">
        <v>1392</v>
      </c>
      <c r="B1210" s="14">
        <v>11</v>
      </c>
      <c r="C1210" s="40">
        <v>52</v>
      </c>
      <c r="D1210" s="40">
        <v>4</v>
      </c>
      <c r="E1210" s="9" t="s">
        <v>41</v>
      </c>
      <c r="F1210" s="14" t="s">
        <v>439</v>
      </c>
      <c r="G1210" s="10">
        <v>592</v>
      </c>
      <c r="H1210" s="14" t="s">
        <v>62</v>
      </c>
      <c r="I1210" s="41" t="str">
        <f>Assumptions!$I$178</f>
        <v>B</v>
      </c>
      <c r="J1210" s="14" t="str">
        <f>IF(D1210&lt;=Assumptions!$V$178,"Low",IF(D1210&lt;=Assumptions!$W$178,"Mid","High"))</f>
        <v>Low</v>
      </c>
      <c r="K1210" s="15">
        <f>Assumptions!$Q$178</f>
        <v>2608</v>
      </c>
      <c r="L1210" s="42">
        <f>INDEX(Assumptions!$B$61:$B$90,D1210)</f>
        <v>2731.2890469416789</v>
      </c>
      <c r="M1210" s="43">
        <f>IF(D1210&lt;=Assumptions!$G$178,Assumptions!$AK$178,IF(D1210&lt;Assumptions!$AH$178,Assumptions!$AK$178+(Assumptions!$AL$178-Assumptions!$AK$178)*(D1210-Assumptions!$G$178)/(Assumptions!$AH$178-Assumptions!$G$178),IF(D1210&lt;Assumptions!$P$178,Assumptions!$AL$178+(Assumptions!$AM$178-Assumptions!$AL$178)*(D1210-Assumptions!$AH$178)/(Assumptions!$P$178-Assumptions!$AH$178),Assumptions!$AM$178)))</f>
        <v>-10000</v>
      </c>
      <c r="N1210" s="44">
        <f t="shared" si="36"/>
        <v>-16.891891891891891</v>
      </c>
      <c r="O1210" s="45">
        <f t="shared" si="37"/>
        <v>2714</v>
      </c>
      <c r="P1210" s="14" t="str">
        <f>IF(D1210&gt;=Assumptions!$P$178,"High",IF(D1210&gt;=Assumptions!$AH$178,"Mid",IF(D1210&lt;=Assumptions!$G$178,"Low","Loading")))</f>
        <v>Loading</v>
      </c>
      <c r="Q1210" s="46">
        <f>MAX(K1210,MIN(Assumptions!$S$178,O1210),Q1211)</f>
        <v>2714</v>
      </c>
      <c r="R1210" s="12">
        <f>IF(AND(Q1210&lt;=K1210,INDEX(Assumptions!$C$26:$C$36,MATCH(G1210,Assumptions!$A$26:$A$36,0))&lt;&gt;""),INDEX(Assumptions!$C$26:$C$36,MATCH(G1210,Assumptions!$A$26:$A$36,0)),ROUND(G1210*Q1210,-2))</f>
        <v>1606700</v>
      </c>
      <c r="S1210" s="47" t="str">
        <f>TRIM(IF(AND(Assumptions!$L$178&lt;&gt;"",D1210&lt;Assumptions!$L$178),"View blocked / roof in front ("&amp;Assumptions!$M$178&amp;"); view premium still loading until L"&amp;Assumptions!$L$178&amp;". ","")&amp;IF(D1210=Assumptions!$AH$178,"Mid-floor view premium fully loaded. ","")&amp;IF(D1210=Assumptions!$P$178,"High-floor view premium fully loaded. ","")&amp;IF(Q1210&lt;=K1210,"At developer starting price.",""))</f>
        <v>View blocked / roof in front (Island Club: 87% of view, 35.9 to 51.6m away); view premium still loading until L7.</v>
      </c>
      <c r="T1210" s="48" t="str">
        <f>Assumptions!$AJ$178</f>
        <v>SW. Inner pool &amp; facilities; Island Club in front of low floors; side landed + nature reserve from mid floor</v>
      </c>
    </row>
    <row r="1211" spans="1:20" x14ac:dyDescent="0.2">
      <c r="A1211" s="13" t="s">
        <v>1393</v>
      </c>
      <c r="B1211" s="14">
        <v>11</v>
      </c>
      <c r="C1211" s="40">
        <v>52</v>
      </c>
      <c r="D1211" s="40">
        <v>3</v>
      </c>
      <c r="E1211" s="9" t="s">
        <v>41</v>
      </c>
      <c r="F1211" s="14" t="s">
        <v>439</v>
      </c>
      <c r="G1211" s="10">
        <v>592</v>
      </c>
      <c r="H1211" s="14" t="s">
        <v>62</v>
      </c>
      <c r="I1211" s="41" t="str">
        <f>Assumptions!$I$178</f>
        <v>B</v>
      </c>
      <c r="J1211" s="14" t="str">
        <f>IF(D1211&lt;=Assumptions!$V$178,"Low",IF(D1211&lt;=Assumptions!$W$178,"Mid","High"))</f>
        <v>Low</v>
      </c>
      <c r="K1211" s="15">
        <f>Assumptions!$Q$178</f>
        <v>2608</v>
      </c>
      <c r="L1211" s="42">
        <f>INDEX(Assumptions!$B$61:$B$90,D1211)</f>
        <v>2711.874253200569</v>
      </c>
      <c r="M1211" s="43">
        <f>IF(D1211&lt;=Assumptions!$G$178,Assumptions!$AK$178,IF(D1211&lt;Assumptions!$AH$178,Assumptions!$AK$178+(Assumptions!$AL$178-Assumptions!$AK$178)*(D1211-Assumptions!$G$178)/(Assumptions!$AH$178-Assumptions!$G$178),IF(D1211&lt;Assumptions!$P$178,Assumptions!$AL$178+(Assumptions!$AM$178-Assumptions!$AL$178)*(D1211-Assumptions!$AH$178)/(Assumptions!$P$178-Assumptions!$AH$178),Assumptions!$AM$178)))</f>
        <v>-30000</v>
      </c>
      <c r="N1211" s="44">
        <f t="shared" si="36"/>
        <v>-50.675675675675677</v>
      </c>
      <c r="O1211" s="45">
        <f t="shared" si="37"/>
        <v>2661</v>
      </c>
      <c r="P1211" s="14" t="str">
        <f>IF(D1211&gt;=Assumptions!$P$178,"High",IF(D1211&gt;=Assumptions!$AH$178,"Mid",IF(D1211&lt;=Assumptions!$G$178,"Low","Loading")))</f>
        <v>Loading</v>
      </c>
      <c r="Q1211" s="46">
        <f>MAX(K1211,MIN(Assumptions!$S$178,O1211),Q1212)</f>
        <v>2661</v>
      </c>
      <c r="R1211" s="12">
        <f>IF(AND(Q1211&lt;=K1211,INDEX(Assumptions!$C$26:$C$36,MATCH(G1211,Assumptions!$A$26:$A$36,0))&lt;&gt;""),INDEX(Assumptions!$C$26:$C$36,MATCH(G1211,Assumptions!$A$26:$A$36,0)),ROUND(G1211*Q1211,-2))</f>
        <v>1575300</v>
      </c>
      <c r="S1211" s="47" t="str">
        <f>TRIM(IF(AND(Assumptions!$L$178&lt;&gt;"",D1211&lt;Assumptions!$L$178),"View blocked / roof in front ("&amp;Assumptions!$M$178&amp;"); view premium still loading until L"&amp;Assumptions!$L$178&amp;". ","")&amp;IF(D1211=Assumptions!$AH$178,"Mid-floor view premium fully loaded. ","")&amp;IF(D1211=Assumptions!$P$178,"High-floor view premium fully loaded. ","")&amp;IF(Q1211&lt;=K1211,"At developer starting price.",""))</f>
        <v>View blocked / roof in front (Island Club: 87% of view, 35.9 to 51.6m away); view premium still loading until L7.</v>
      </c>
      <c r="T1211" s="48" t="str">
        <f>Assumptions!$AJ$178</f>
        <v>SW. Inner pool &amp; facilities; Island Club in front of low floors; side landed + nature reserve from mid floor</v>
      </c>
    </row>
    <row r="1212" spans="1:20" x14ac:dyDescent="0.2">
      <c r="A1212" s="13" t="s">
        <v>1394</v>
      </c>
      <c r="B1212" s="14">
        <v>11</v>
      </c>
      <c r="C1212" s="40">
        <v>52</v>
      </c>
      <c r="D1212" s="40">
        <v>2</v>
      </c>
      <c r="E1212" s="9" t="s">
        <v>41</v>
      </c>
      <c r="F1212" s="14" t="s">
        <v>459</v>
      </c>
      <c r="G1212" s="10">
        <v>592</v>
      </c>
      <c r="H1212" s="14" t="s">
        <v>62</v>
      </c>
      <c r="I1212" s="41" t="str">
        <f>Assumptions!$I$178</f>
        <v>B</v>
      </c>
      <c r="J1212" s="14" t="str">
        <f>IF(D1212&lt;=Assumptions!$V$178,"Low",IF(D1212&lt;=Assumptions!$W$178,"Mid","High"))</f>
        <v>Low</v>
      </c>
      <c r="K1212" s="15">
        <f>Assumptions!$Q$178</f>
        <v>2608</v>
      </c>
      <c r="L1212" s="42">
        <f>INDEX(Assumptions!$B$61:$B$90,D1212)</f>
        <v>2692.4594594594596</v>
      </c>
      <c r="M1212" s="43">
        <f>IF(D1212&lt;=Assumptions!$G$178,Assumptions!$AK$178,IF(D1212&lt;Assumptions!$AH$178,Assumptions!$AK$178+(Assumptions!$AL$178-Assumptions!$AK$178)*(D1212-Assumptions!$G$178)/(Assumptions!$AH$178-Assumptions!$G$178),IF(D1212&lt;Assumptions!$P$178,Assumptions!$AL$178+(Assumptions!$AM$178-Assumptions!$AL$178)*(D1212-Assumptions!$AH$178)/(Assumptions!$P$178-Assumptions!$AH$178),Assumptions!$AM$178)))</f>
        <v>-50000</v>
      </c>
      <c r="N1212" s="44">
        <f t="shared" si="36"/>
        <v>-84.459459459459453</v>
      </c>
      <c r="O1212" s="45">
        <f t="shared" si="37"/>
        <v>2608</v>
      </c>
      <c r="P1212" s="14" t="str">
        <f>IF(D1212&gt;=Assumptions!$P$178,"High",IF(D1212&gt;=Assumptions!$AH$178,"Mid",IF(D1212&lt;=Assumptions!$G$178,"Low","Loading")))</f>
        <v>Low</v>
      </c>
      <c r="Q1212" s="46">
        <f>MAX(K1212,MIN(Assumptions!$S$178,O1212))</f>
        <v>2608</v>
      </c>
      <c r="R1212" s="12">
        <f>IF(AND(Q1212&lt;=K1212,INDEX(Assumptions!$C$26:$C$36,MATCH(G1212,Assumptions!$A$26:$A$36,0))&lt;&gt;""),INDEX(Assumptions!$C$26:$C$36,MATCH(G1212,Assumptions!$A$26:$A$36,0)),ROUND(G1212*Q1212,-2))</f>
        <v>1544000</v>
      </c>
      <c r="S1212" s="47" t="str">
        <f>TRIM(IF(AND(Assumptions!$L$178&lt;&gt;"",D1212&lt;Assumptions!$L$178),"View blocked / roof in front ("&amp;Assumptions!$M$178&amp;"); view premium still loading until L"&amp;Assumptions!$L$178&amp;". ","")&amp;IF(D1212=Assumptions!$AH$178,"Mid-floor view premium fully loaded. ","")&amp;IF(D1212=Assumptions!$P$178,"High-floor view premium fully loaded. ","")&amp;IF(Q1212&lt;=K1212,"At developer starting price.",""))</f>
        <v>View blocked / roof in front (Island Club: 87% of view, 35.9 to 51.6m away); view premium still loading until L7. At developer starting price.</v>
      </c>
      <c r="T1212" s="48" t="str">
        <f>Assumptions!$AJ$178</f>
        <v>SW. Inner pool &amp; facilities; Island Club in front of low floors; side landed + nature reserve from mid floor</v>
      </c>
    </row>
    <row r="1213" spans="1:20" x14ac:dyDescent="0.2">
      <c r="A1213" s="13" t="s">
        <v>1395</v>
      </c>
      <c r="B1213" s="14">
        <v>11</v>
      </c>
      <c r="C1213" s="40">
        <v>53</v>
      </c>
      <c r="D1213" s="40">
        <v>21</v>
      </c>
      <c r="E1213" s="9" t="s">
        <v>43</v>
      </c>
      <c r="F1213" s="14" t="s">
        <v>1396</v>
      </c>
      <c r="G1213" s="10">
        <v>678</v>
      </c>
      <c r="H1213" s="14" t="s">
        <v>62</v>
      </c>
      <c r="I1213" s="41" t="str">
        <f>Assumptions!$I$179</f>
        <v>B</v>
      </c>
      <c r="J1213" s="14" t="str">
        <f>IF(D1213&lt;=Assumptions!$V$179,"Low",IF(D1213&lt;=Assumptions!$W$179,"Mid","High"))</f>
        <v>High</v>
      </c>
      <c r="K1213" s="15">
        <f>Assumptions!$Q$179</f>
        <v>2613</v>
      </c>
      <c r="L1213" s="42">
        <f>INDEX(Assumptions!$C$61:$C$90,D1213)</f>
        <v>3050.8642857142859</v>
      </c>
      <c r="M1213" s="43">
        <f>IF(D1213&lt;=Assumptions!$G$179,Assumptions!$AK$179,IF(D1213&lt;Assumptions!$AH$179,Assumptions!$AK$179+(Assumptions!$AL$179-Assumptions!$AK$179)*(D1213-Assumptions!$G$179)/(Assumptions!$AH$179-Assumptions!$G$179),IF(D1213&lt;Assumptions!$P$179,Assumptions!$AL$179+(Assumptions!$AM$179-Assumptions!$AL$179)*(D1213-Assumptions!$AH$179)/(Assumptions!$P$179-Assumptions!$AH$179),Assumptions!$AM$179)))</f>
        <v>12500</v>
      </c>
      <c r="N1213" s="44">
        <f t="shared" si="36"/>
        <v>18.436578171091444</v>
      </c>
      <c r="O1213" s="45">
        <f t="shared" si="37"/>
        <v>3069</v>
      </c>
      <c r="P1213" s="14" t="str">
        <f>IF(D1213&gt;=Assumptions!$P$179,"High",IF(D1213&gt;=Assumptions!$AH$179,"Mid",IF(D1213&lt;=Assumptions!$G$179,"Low","Loading")))</f>
        <v>High</v>
      </c>
      <c r="Q1213" s="46">
        <f>MAX(K1213,MIN(Assumptions!$S$179,O1213),Q1214)</f>
        <v>3069</v>
      </c>
      <c r="R1213" s="12">
        <f>IF(AND(Q1213&lt;=K1213,INDEX(Assumptions!$C$26:$C$36,MATCH(G1213,Assumptions!$A$26:$A$36,0))&lt;&gt;""),INDEX(Assumptions!$C$26:$C$36,MATCH(G1213,Assumptions!$A$26:$A$36,0)),ROUND(G1213*Q1213,-2))</f>
        <v>2080800</v>
      </c>
      <c r="S1213" s="47" t="str">
        <f>TRIM(IF(AND(Assumptions!$L$179&lt;&gt;"",D1213&lt;Assumptions!$L$179),"View blocked / roof in front ("&amp;Assumptions!$M$179&amp;"); view premium still loading until L"&amp;Assumptions!$L$179&amp;". ","")&amp;IF(D1213=Assumptions!$AH$179,"Mid-floor view premium fully loaded. ","")&amp;IF(D1213=Assumptions!$P$179,"High-floor view premium fully loaded. ","")&amp;IF(Q1213&lt;=K1213,"At developer starting price.",""))</f>
        <v/>
      </c>
      <c r="T1213" s="48" t="str">
        <f>Assumptions!$AJ$179</f>
        <v>SW. Internal pool view; Island Club in front of low floors</v>
      </c>
    </row>
    <row r="1214" spans="1:20" x14ac:dyDescent="0.2">
      <c r="A1214" s="13" t="s">
        <v>1397</v>
      </c>
      <c r="B1214" s="14">
        <v>11</v>
      </c>
      <c r="C1214" s="40">
        <v>53</v>
      </c>
      <c r="D1214" s="40">
        <v>20</v>
      </c>
      <c r="E1214" s="9" t="s">
        <v>43</v>
      </c>
      <c r="F1214" s="14" t="s">
        <v>1396</v>
      </c>
      <c r="G1214" s="10">
        <v>678</v>
      </c>
      <c r="H1214" s="14" t="s">
        <v>62</v>
      </c>
      <c r="I1214" s="41" t="str">
        <f>Assumptions!$I$179</f>
        <v>B</v>
      </c>
      <c r="J1214" s="14" t="str">
        <f>IF(D1214&lt;=Assumptions!$V$179,"Low",IF(D1214&lt;=Assumptions!$W$179,"Mid","High"))</f>
        <v>High</v>
      </c>
      <c r="K1214" s="15">
        <f>Assumptions!$Q$179</f>
        <v>2613</v>
      </c>
      <c r="L1214" s="42">
        <f>INDEX(Assumptions!$C$61:$C$90,D1214)</f>
        <v>3028.0785714285716</v>
      </c>
      <c r="M1214" s="43">
        <f>IF(D1214&lt;=Assumptions!$G$179,Assumptions!$AK$179,IF(D1214&lt;Assumptions!$AH$179,Assumptions!$AK$179+(Assumptions!$AL$179-Assumptions!$AK$179)*(D1214-Assumptions!$G$179)/(Assumptions!$AH$179-Assumptions!$G$179),IF(D1214&lt;Assumptions!$P$179,Assumptions!$AL$179+(Assumptions!$AM$179-Assumptions!$AL$179)*(D1214-Assumptions!$AH$179)/(Assumptions!$P$179-Assumptions!$AH$179),Assumptions!$AM$179)))</f>
        <v>12500</v>
      </c>
      <c r="N1214" s="44">
        <f t="shared" si="36"/>
        <v>18.436578171091444</v>
      </c>
      <c r="O1214" s="45">
        <f t="shared" si="37"/>
        <v>3047</v>
      </c>
      <c r="P1214" s="14" t="str">
        <f>IF(D1214&gt;=Assumptions!$P$179,"High",IF(D1214&gt;=Assumptions!$AH$179,"Mid",IF(D1214&lt;=Assumptions!$G$179,"Low","Loading")))</f>
        <v>High</v>
      </c>
      <c r="Q1214" s="46">
        <f>MAX(K1214,MIN(Assumptions!$S$179,O1214),Q1215)</f>
        <v>3047</v>
      </c>
      <c r="R1214" s="12">
        <f>IF(AND(Q1214&lt;=K1214,INDEX(Assumptions!$C$26:$C$36,MATCH(G1214,Assumptions!$A$26:$A$36,0))&lt;&gt;""),INDEX(Assumptions!$C$26:$C$36,MATCH(G1214,Assumptions!$A$26:$A$36,0)),ROUND(G1214*Q1214,-2))</f>
        <v>2065900</v>
      </c>
      <c r="S1214" s="47" t="str">
        <f>TRIM(IF(AND(Assumptions!$L$179&lt;&gt;"",D1214&lt;Assumptions!$L$179),"View blocked / roof in front ("&amp;Assumptions!$M$179&amp;"); view premium still loading until L"&amp;Assumptions!$L$179&amp;". ","")&amp;IF(D1214=Assumptions!$AH$179,"Mid-floor view premium fully loaded. ","")&amp;IF(D1214=Assumptions!$P$179,"High-floor view premium fully loaded. ","")&amp;IF(Q1214&lt;=K1214,"At developer starting price.",""))</f>
        <v/>
      </c>
      <c r="T1214" s="48" t="str">
        <f>Assumptions!$AJ$179</f>
        <v>SW. Internal pool view; Island Club in front of low floors</v>
      </c>
    </row>
    <row r="1215" spans="1:20" x14ac:dyDescent="0.2">
      <c r="A1215" s="13" t="s">
        <v>1398</v>
      </c>
      <c r="B1215" s="14">
        <v>11</v>
      </c>
      <c r="C1215" s="40">
        <v>53</v>
      </c>
      <c r="D1215" s="40">
        <v>19</v>
      </c>
      <c r="E1215" s="9" t="s">
        <v>43</v>
      </c>
      <c r="F1215" s="14" t="s">
        <v>1396</v>
      </c>
      <c r="G1215" s="10">
        <v>678</v>
      </c>
      <c r="H1215" s="14" t="s">
        <v>62</v>
      </c>
      <c r="I1215" s="41" t="str">
        <f>Assumptions!$I$179</f>
        <v>B</v>
      </c>
      <c r="J1215" s="14" t="str">
        <f>IF(D1215&lt;=Assumptions!$V$179,"Low",IF(D1215&lt;=Assumptions!$W$179,"Mid","High"))</f>
        <v>High</v>
      </c>
      <c r="K1215" s="15">
        <f>Assumptions!$Q$179</f>
        <v>2613</v>
      </c>
      <c r="L1215" s="42">
        <f>INDEX(Assumptions!$C$61:$C$90,D1215)</f>
        <v>3005.2928571428574</v>
      </c>
      <c r="M1215" s="43">
        <f>IF(D1215&lt;=Assumptions!$G$179,Assumptions!$AK$179,IF(D1215&lt;Assumptions!$AH$179,Assumptions!$AK$179+(Assumptions!$AL$179-Assumptions!$AK$179)*(D1215-Assumptions!$G$179)/(Assumptions!$AH$179-Assumptions!$G$179),IF(D1215&lt;Assumptions!$P$179,Assumptions!$AL$179+(Assumptions!$AM$179-Assumptions!$AL$179)*(D1215-Assumptions!$AH$179)/(Assumptions!$P$179-Assumptions!$AH$179),Assumptions!$AM$179)))</f>
        <v>12500</v>
      </c>
      <c r="N1215" s="44">
        <f t="shared" si="36"/>
        <v>18.436578171091444</v>
      </c>
      <c r="O1215" s="45">
        <f t="shared" si="37"/>
        <v>3024</v>
      </c>
      <c r="P1215" s="14" t="str">
        <f>IF(D1215&gt;=Assumptions!$P$179,"High",IF(D1215&gt;=Assumptions!$AH$179,"Mid",IF(D1215&lt;=Assumptions!$G$179,"Low","Loading")))</f>
        <v>High</v>
      </c>
      <c r="Q1215" s="46">
        <f>MAX(K1215,MIN(Assumptions!$S$179,O1215),Q1216)</f>
        <v>3024</v>
      </c>
      <c r="R1215" s="12">
        <f>IF(AND(Q1215&lt;=K1215,INDEX(Assumptions!$C$26:$C$36,MATCH(G1215,Assumptions!$A$26:$A$36,0))&lt;&gt;""),INDEX(Assumptions!$C$26:$C$36,MATCH(G1215,Assumptions!$A$26:$A$36,0)),ROUND(G1215*Q1215,-2))</f>
        <v>2050300</v>
      </c>
      <c r="S1215" s="47" t="str">
        <f>TRIM(IF(AND(Assumptions!$L$179&lt;&gt;"",D1215&lt;Assumptions!$L$179),"View blocked / roof in front ("&amp;Assumptions!$M$179&amp;"); view premium still loading until L"&amp;Assumptions!$L$179&amp;". ","")&amp;IF(D1215=Assumptions!$AH$179,"Mid-floor view premium fully loaded. ","")&amp;IF(D1215=Assumptions!$P$179,"High-floor view premium fully loaded. ","")&amp;IF(Q1215&lt;=K1215,"At developer starting price.",""))</f>
        <v/>
      </c>
      <c r="T1215" s="48" t="str">
        <f>Assumptions!$AJ$179</f>
        <v>SW. Internal pool view; Island Club in front of low floors</v>
      </c>
    </row>
    <row r="1216" spans="1:20" x14ac:dyDescent="0.2">
      <c r="A1216" s="13" t="s">
        <v>1399</v>
      </c>
      <c r="B1216" s="14">
        <v>11</v>
      </c>
      <c r="C1216" s="40">
        <v>53</v>
      </c>
      <c r="D1216" s="40">
        <v>18</v>
      </c>
      <c r="E1216" s="9" t="s">
        <v>43</v>
      </c>
      <c r="F1216" s="14" t="s">
        <v>1396</v>
      </c>
      <c r="G1216" s="10">
        <v>678</v>
      </c>
      <c r="H1216" s="14" t="s">
        <v>62</v>
      </c>
      <c r="I1216" s="41" t="str">
        <f>Assumptions!$I$179</f>
        <v>B</v>
      </c>
      <c r="J1216" s="14" t="str">
        <f>IF(D1216&lt;=Assumptions!$V$179,"Low",IF(D1216&lt;=Assumptions!$W$179,"Mid","High"))</f>
        <v>High</v>
      </c>
      <c r="K1216" s="15">
        <f>Assumptions!$Q$179</f>
        <v>2613</v>
      </c>
      <c r="L1216" s="42">
        <f>INDEX(Assumptions!$C$61:$C$90,D1216)</f>
        <v>2982.5071428571428</v>
      </c>
      <c r="M1216" s="43">
        <f>IF(D1216&lt;=Assumptions!$G$179,Assumptions!$AK$179,IF(D1216&lt;Assumptions!$AH$179,Assumptions!$AK$179+(Assumptions!$AL$179-Assumptions!$AK$179)*(D1216-Assumptions!$G$179)/(Assumptions!$AH$179-Assumptions!$G$179),IF(D1216&lt;Assumptions!$P$179,Assumptions!$AL$179+(Assumptions!$AM$179-Assumptions!$AL$179)*(D1216-Assumptions!$AH$179)/(Assumptions!$P$179-Assumptions!$AH$179),Assumptions!$AM$179)))</f>
        <v>12500</v>
      </c>
      <c r="N1216" s="44">
        <f t="shared" si="36"/>
        <v>18.436578171091444</v>
      </c>
      <c r="O1216" s="45">
        <f t="shared" si="37"/>
        <v>3001</v>
      </c>
      <c r="P1216" s="14" t="str">
        <f>IF(D1216&gt;=Assumptions!$P$179,"High",IF(D1216&gt;=Assumptions!$AH$179,"Mid",IF(D1216&lt;=Assumptions!$G$179,"Low","Loading")))</f>
        <v>High</v>
      </c>
      <c r="Q1216" s="46">
        <f>MAX(K1216,MIN(Assumptions!$S$179,O1216),Q1217)</f>
        <v>3001</v>
      </c>
      <c r="R1216" s="12">
        <f>IF(AND(Q1216&lt;=K1216,INDEX(Assumptions!$C$26:$C$36,MATCH(G1216,Assumptions!$A$26:$A$36,0))&lt;&gt;""),INDEX(Assumptions!$C$26:$C$36,MATCH(G1216,Assumptions!$A$26:$A$36,0)),ROUND(G1216*Q1216,-2))</f>
        <v>2034700</v>
      </c>
      <c r="S1216" s="47" t="str">
        <f>TRIM(IF(AND(Assumptions!$L$179&lt;&gt;"",D1216&lt;Assumptions!$L$179),"View blocked / roof in front ("&amp;Assumptions!$M$179&amp;"); view premium still loading until L"&amp;Assumptions!$L$179&amp;". ","")&amp;IF(D1216=Assumptions!$AH$179,"Mid-floor view premium fully loaded. ","")&amp;IF(D1216=Assumptions!$P$179,"High-floor view premium fully loaded. ","")&amp;IF(Q1216&lt;=K1216,"At developer starting price.",""))</f>
        <v/>
      </c>
      <c r="T1216" s="48" t="str">
        <f>Assumptions!$AJ$179</f>
        <v>SW. Internal pool view; Island Club in front of low floors</v>
      </c>
    </row>
    <row r="1217" spans="1:20" x14ac:dyDescent="0.2">
      <c r="A1217" s="13" t="s">
        <v>1400</v>
      </c>
      <c r="B1217" s="14">
        <v>11</v>
      </c>
      <c r="C1217" s="40">
        <v>53</v>
      </c>
      <c r="D1217" s="40">
        <v>17</v>
      </c>
      <c r="E1217" s="9" t="s">
        <v>43</v>
      </c>
      <c r="F1217" s="14" t="s">
        <v>1396</v>
      </c>
      <c r="G1217" s="10">
        <v>678</v>
      </c>
      <c r="H1217" s="14" t="s">
        <v>62</v>
      </c>
      <c r="I1217" s="41" t="str">
        <f>Assumptions!$I$179</f>
        <v>B</v>
      </c>
      <c r="J1217" s="14" t="str">
        <f>IF(D1217&lt;=Assumptions!$V$179,"Low",IF(D1217&lt;=Assumptions!$W$179,"Mid","High"))</f>
        <v>High</v>
      </c>
      <c r="K1217" s="15">
        <f>Assumptions!$Q$179</f>
        <v>2613</v>
      </c>
      <c r="L1217" s="42">
        <f>INDEX(Assumptions!$C$61:$C$90,D1217)</f>
        <v>2959.7214285714285</v>
      </c>
      <c r="M1217" s="43">
        <f>IF(D1217&lt;=Assumptions!$G$179,Assumptions!$AK$179,IF(D1217&lt;Assumptions!$AH$179,Assumptions!$AK$179+(Assumptions!$AL$179-Assumptions!$AK$179)*(D1217-Assumptions!$G$179)/(Assumptions!$AH$179-Assumptions!$G$179),IF(D1217&lt;Assumptions!$P$179,Assumptions!$AL$179+(Assumptions!$AM$179-Assumptions!$AL$179)*(D1217-Assumptions!$AH$179)/(Assumptions!$P$179-Assumptions!$AH$179),Assumptions!$AM$179)))</f>
        <v>12500</v>
      </c>
      <c r="N1217" s="44">
        <f t="shared" si="36"/>
        <v>18.436578171091444</v>
      </c>
      <c r="O1217" s="45">
        <f t="shared" si="37"/>
        <v>2978</v>
      </c>
      <c r="P1217" s="14" t="str">
        <f>IF(D1217&gt;=Assumptions!$P$179,"High",IF(D1217&gt;=Assumptions!$AH$179,"Mid",IF(D1217&lt;=Assumptions!$G$179,"Low","Loading")))</f>
        <v>High</v>
      </c>
      <c r="Q1217" s="46">
        <f>MAX(K1217,MIN(Assumptions!$S$179,O1217),Q1218)</f>
        <v>2978</v>
      </c>
      <c r="R1217" s="12">
        <f>IF(AND(Q1217&lt;=K1217,INDEX(Assumptions!$C$26:$C$36,MATCH(G1217,Assumptions!$A$26:$A$36,0))&lt;&gt;""),INDEX(Assumptions!$C$26:$C$36,MATCH(G1217,Assumptions!$A$26:$A$36,0)),ROUND(G1217*Q1217,-2))</f>
        <v>2019100</v>
      </c>
      <c r="S1217" s="47" t="str">
        <f>TRIM(IF(AND(Assumptions!$L$179&lt;&gt;"",D1217&lt;Assumptions!$L$179),"View blocked / roof in front ("&amp;Assumptions!$M$179&amp;"); view premium still loading until L"&amp;Assumptions!$L$179&amp;". ","")&amp;IF(D1217=Assumptions!$AH$179,"Mid-floor view premium fully loaded. ","")&amp;IF(D1217=Assumptions!$P$179,"High-floor view premium fully loaded. ","")&amp;IF(Q1217&lt;=K1217,"At developer starting price.",""))</f>
        <v/>
      </c>
      <c r="T1217" s="48" t="str">
        <f>Assumptions!$AJ$179</f>
        <v>SW. Internal pool view; Island Club in front of low floors</v>
      </c>
    </row>
    <row r="1218" spans="1:20" x14ac:dyDescent="0.2">
      <c r="A1218" s="13" t="s">
        <v>1401</v>
      </c>
      <c r="B1218" s="14">
        <v>11</v>
      </c>
      <c r="C1218" s="40">
        <v>53</v>
      </c>
      <c r="D1218" s="40">
        <v>16</v>
      </c>
      <c r="E1218" s="9" t="s">
        <v>43</v>
      </c>
      <c r="F1218" s="14" t="s">
        <v>1396</v>
      </c>
      <c r="G1218" s="10">
        <v>678</v>
      </c>
      <c r="H1218" s="14" t="s">
        <v>62</v>
      </c>
      <c r="I1218" s="41" t="str">
        <f>Assumptions!$I$179</f>
        <v>B</v>
      </c>
      <c r="J1218" s="14" t="str">
        <f>IF(D1218&lt;=Assumptions!$V$179,"Low",IF(D1218&lt;=Assumptions!$W$179,"Mid","High"))</f>
        <v>High</v>
      </c>
      <c r="K1218" s="15">
        <f>Assumptions!$Q$179</f>
        <v>2613</v>
      </c>
      <c r="L1218" s="42">
        <f>INDEX(Assumptions!$C$61:$C$90,D1218)</f>
        <v>2936.9357142857143</v>
      </c>
      <c r="M1218" s="43">
        <f>IF(D1218&lt;=Assumptions!$G$179,Assumptions!$AK$179,IF(D1218&lt;Assumptions!$AH$179,Assumptions!$AK$179+(Assumptions!$AL$179-Assumptions!$AK$179)*(D1218-Assumptions!$G$179)/(Assumptions!$AH$179-Assumptions!$G$179),IF(D1218&lt;Assumptions!$P$179,Assumptions!$AL$179+(Assumptions!$AM$179-Assumptions!$AL$179)*(D1218-Assumptions!$AH$179)/(Assumptions!$P$179-Assumptions!$AH$179),Assumptions!$AM$179)))</f>
        <v>12500</v>
      </c>
      <c r="N1218" s="44">
        <f t="shared" si="36"/>
        <v>18.436578171091444</v>
      </c>
      <c r="O1218" s="45">
        <f t="shared" si="37"/>
        <v>2955</v>
      </c>
      <c r="P1218" s="14" t="str">
        <f>IF(D1218&gt;=Assumptions!$P$179,"High",IF(D1218&gt;=Assumptions!$AH$179,"Mid",IF(D1218&lt;=Assumptions!$G$179,"Low","Loading")))</f>
        <v>High</v>
      </c>
      <c r="Q1218" s="46">
        <f>MAX(K1218,MIN(Assumptions!$S$179,O1218),Q1219)</f>
        <v>2955</v>
      </c>
      <c r="R1218" s="12">
        <f>IF(AND(Q1218&lt;=K1218,INDEX(Assumptions!$C$26:$C$36,MATCH(G1218,Assumptions!$A$26:$A$36,0))&lt;&gt;""),INDEX(Assumptions!$C$26:$C$36,MATCH(G1218,Assumptions!$A$26:$A$36,0)),ROUND(G1218*Q1218,-2))</f>
        <v>2003500</v>
      </c>
      <c r="S1218" s="47" t="str">
        <f>TRIM(IF(AND(Assumptions!$L$179&lt;&gt;"",D1218&lt;Assumptions!$L$179),"View blocked / roof in front ("&amp;Assumptions!$M$179&amp;"); view premium still loading until L"&amp;Assumptions!$L$179&amp;". ","")&amp;IF(D1218=Assumptions!$AH$179,"Mid-floor view premium fully loaded. ","")&amp;IF(D1218=Assumptions!$P$179,"High-floor view premium fully loaded. ","")&amp;IF(Q1218&lt;=K1218,"At developer starting price.",""))</f>
        <v>High-floor view premium fully loaded.</v>
      </c>
      <c r="T1218" s="48" t="str">
        <f>Assumptions!$AJ$179</f>
        <v>SW. Internal pool view; Island Club in front of low floors</v>
      </c>
    </row>
    <row r="1219" spans="1:20" x14ac:dyDescent="0.2">
      <c r="A1219" s="13" t="s">
        <v>1402</v>
      </c>
      <c r="B1219" s="14">
        <v>11</v>
      </c>
      <c r="C1219" s="40">
        <v>53</v>
      </c>
      <c r="D1219" s="40">
        <v>15</v>
      </c>
      <c r="E1219" s="9" t="s">
        <v>43</v>
      </c>
      <c r="F1219" s="14" t="s">
        <v>1396</v>
      </c>
      <c r="G1219" s="10">
        <v>678</v>
      </c>
      <c r="H1219" s="14" t="s">
        <v>62</v>
      </c>
      <c r="I1219" s="41" t="str">
        <f>Assumptions!$I$179</f>
        <v>B</v>
      </c>
      <c r="J1219" s="14" t="str">
        <f>IF(D1219&lt;=Assumptions!$V$179,"Low",IF(D1219&lt;=Assumptions!$W$179,"Mid","High"))</f>
        <v>Mid</v>
      </c>
      <c r="K1219" s="15">
        <f>Assumptions!$Q$179</f>
        <v>2613</v>
      </c>
      <c r="L1219" s="42">
        <f>INDEX(Assumptions!$C$61:$C$90,D1219)</f>
        <v>2914.15</v>
      </c>
      <c r="M1219" s="43">
        <f>IF(D1219&lt;=Assumptions!$G$179,Assumptions!$AK$179,IF(D1219&lt;Assumptions!$AH$179,Assumptions!$AK$179+(Assumptions!$AL$179-Assumptions!$AK$179)*(D1219-Assumptions!$G$179)/(Assumptions!$AH$179-Assumptions!$G$179),IF(D1219&lt;Assumptions!$P$179,Assumptions!$AL$179+(Assumptions!$AM$179-Assumptions!$AL$179)*(D1219-Assumptions!$AH$179)/(Assumptions!$P$179-Assumptions!$AH$179),Assumptions!$AM$179)))</f>
        <v>13888.888888888889</v>
      </c>
      <c r="N1219" s="44">
        <f t="shared" si="36"/>
        <v>20.485086856768273</v>
      </c>
      <c r="O1219" s="45">
        <f t="shared" si="37"/>
        <v>2935</v>
      </c>
      <c r="P1219" s="14" t="str">
        <f>IF(D1219&gt;=Assumptions!$P$179,"High",IF(D1219&gt;=Assumptions!$AH$179,"Mid",IF(D1219&lt;=Assumptions!$G$179,"Low","Loading")))</f>
        <v>Mid</v>
      </c>
      <c r="Q1219" s="46">
        <f>MAX(K1219,MIN(Assumptions!$S$179,O1219),Q1220)</f>
        <v>2935</v>
      </c>
      <c r="R1219" s="12">
        <f>IF(AND(Q1219&lt;=K1219,INDEX(Assumptions!$C$26:$C$36,MATCH(G1219,Assumptions!$A$26:$A$36,0))&lt;&gt;""),INDEX(Assumptions!$C$26:$C$36,MATCH(G1219,Assumptions!$A$26:$A$36,0)),ROUND(G1219*Q1219,-2))</f>
        <v>1989900</v>
      </c>
      <c r="S1219" s="47" t="str">
        <f>TRIM(IF(AND(Assumptions!$L$179&lt;&gt;"",D1219&lt;Assumptions!$L$179),"View blocked / roof in front ("&amp;Assumptions!$M$179&amp;"); view premium still loading until L"&amp;Assumptions!$L$179&amp;". ","")&amp;IF(D1219=Assumptions!$AH$179,"Mid-floor view premium fully loaded. ","")&amp;IF(D1219=Assumptions!$P$179,"High-floor view premium fully loaded. ","")&amp;IF(Q1219&lt;=K1219,"At developer starting price.",""))</f>
        <v/>
      </c>
      <c r="T1219" s="48" t="str">
        <f>Assumptions!$AJ$179</f>
        <v>SW. Internal pool view; Island Club in front of low floors</v>
      </c>
    </row>
    <row r="1220" spans="1:20" x14ac:dyDescent="0.2">
      <c r="A1220" s="13" t="s">
        <v>1403</v>
      </c>
      <c r="B1220" s="14">
        <v>11</v>
      </c>
      <c r="C1220" s="40">
        <v>53</v>
      </c>
      <c r="D1220" s="40">
        <v>14</v>
      </c>
      <c r="E1220" s="9" t="s">
        <v>43</v>
      </c>
      <c r="F1220" s="14" t="s">
        <v>1396</v>
      </c>
      <c r="G1220" s="10">
        <v>678</v>
      </c>
      <c r="H1220" s="14" t="s">
        <v>62</v>
      </c>
      <c r="I1220" s="41" t="str">
        <f>Assumptions!$I$179</f>
        <v>B</v>
      </c>
      <c r="J1220" s="14" t="str">
        <f>IF(D1220&lt;=Assumptions!$V$179,"Low",IF(D1220&lt;=Assumptions!$W$179,"Mid","High"))</f>
        <v>Mid</v>
      </c>
      <c r="K1220" s="15">
        <f>Assumptions!$Q$179</f>
        <v>2613</v>
      </c>
      <c r="L1220" s="42">
        <f>INDEX(Assumptions!$C$61:$C$90,D1220)</f>
        <v>2891.3642857142859</v>
      </c>
      <c r="M1220" s="43">
        <f>IF(D1220&lt;=Assumptions!$G$179,Assumptions!$AK$179,IF(D1220&lt;Assumptions!$AH$179,Assumptions!$AK$179+(Assumptions!$AL$179-Assumptions!$AK$179)*(D1220-Assumptions!$G$179)/(Assumptions!$AH$179-Assumptions!$G$179),IF(D1220&lt;Assumptions!$P$179,Assumptions!$AL$179+(Assumptions!$AM$179-Assumptions!$AL$179)*(D1220-Assumptions!$AH$179)/(Assumptions!$P$179-Assumptions!$AH$179),Assumptions!$AM$179)))</f>
        <v>15277.777777777777</v>
      </c>
      <c r="N1220" s="44">
        <f t="shared" si="36"/>
        <v>22.533595542445099</v>
      </c>
      <c r="O1220" s="45">
        <f t="shared" si="37"/>
        <v>2914</v>
      </c>
      <c r="P1220" s="14" t="str">
        <f>IF(D1220&gt;=Assumptions!$P$179,"High",IF(D1220&gt;=Assumptions!$AH$179,"Mid",IF(D1220&lt;=Assumptions!$G$179,"Low","Loading")))</f>
        <v>Mid</v>
      </c>
      <c r="Q1220" s="46">
        <f>MAX(K1220,MIN(Assumptions!$S$179,O1220),Q1221)</f>
        <v>2914</v>
      </c>
      <c r="R1220" s="12">
        <f>IF(AND(Q1220&lt;=K1220,INDEX(Assumptions!$C$26:$C$36,MATCH(G1220,Assumptions!$A$26:$A$36,0))&lt;&gt;""),INDEX(Assumptions!$C$26:$C$36,MATCH(G1220,Assumptions!$A$26:$A$36,0)),ROUND(G1220*Q1220,-2))</f>
        <v>1975700</v>
      </c>
      <c r="S1220" s="47" t="str">
        <f>TRIM(IF(AND(Assumptions!$L$179&lt;&gt;"",D1220&lt;Assumptions!$L$179),"View blocked / roof in front ("&amp;Assumptions!$M$179&amp;"); view premium still loading until L"&amp;Assumptions!$L$179&amp;". ","")&amp;IF(D1220=Assumptions!$AH$179,"Mid-floor view premium fully loaded. ","")&amp;IF(D1220=Assumptions!$P$179,"High-floor view premium fully loaded. ","")&amp;IF(Q1220&lt;=K1220,"At developer starting price.",""))</f>
        <v/>
      </c>
      <c r="T1220" s="48" t="str">
        <f>Assumptions!$AJ$179</f>
        <v>SW. Internal pool view; Island Club in front of low floors</v>
      </c>
    </row>
    <row r="1221" spans="1:20" x14ac:dyDescent="0.2">
      <c r="A1221" s="13" t="s">
        <v>1404</v>
      </c>
      <c r="B1221" s="14">
        <v>11</v>
      </c>
      <c r="C1221" s="40">
        <v>53</v>
      </c>
      <c r="D1221" s="40">
        <v>13</v>
      </c>
      <c r="E1221" s="9" t="s">
        <v>43</v>
      </c>
      <c r="F1221" s="14" t="s">
        <v>1396</v>
      </c>
      <c r="G1221" s="10">
        <v>678</v>
      </c>
      <c r="H1221" s="14" t="s">
        <v>62</v>
      </c>
      <c r="I1221" s="41" t="str">
        <f>Assumptions!$I$179</f>
        <v>B</v>
      </c>
      <c r="J1221" s="14" t="str">
        <f>IF(D1221&lt;=Assumptions!$V$179,"Low",IF(D1221&lt;=Assumptions!$W$179,"Mid","High"))</f>
        <v>Mid</v>
      </c>
      <c r="K1221" s="15">
        <f>Assumptions!$Q$179</f>
        <v>2613</v>
      </c>
      <c r="L1221" s="42">
        <f>INDEX(Assumptions!$C$61:$C$90,D1221)</f>
        <v>2868.5785714285716</v>
      </c>
      <c r="M1221" s="43">
        <f>IF(D1221&lt;=Assumptions!$G$179,Assumptions!$AK$179,IF(D1221&lt;Assumptions!$AH$179,Assumptions!$AK$179+(Assumptions!$AL$179-Assumptions!$AK$179)*(D1221-Assumptions!$G$179)/(Assumptions!$AH$179-Assumptions!$G$179),IF(D1221&lt;Assumptions!$P$179,Assumptions!$AL$179+(Assumptions!$AM$179-Assumptions!$AL$179)*(D1221-Assumptions!$AH$179)/(Assumptions!$P$179-Assumptions!$AH$179),Assumptions!$AM$179)))</f>
        <v>16666.666666666664</v>
      </c>
      <c r="N1221" s="44">
        <f t="shared" ref="N1221:N1272" si="38">M1221/G1221</f>
        <v>24.582104228121924</v>
      </c>
      <c r="O1221" s="45">
        <f t="shared" ref="O1221:O1272" si="39">ROUND(L1221+N1221,0)</f>
        <v>2893</v>
      </c>
      <c r="P1221" s="14" t="str">
        <f>IF(D1221&gt;=Assumptions!$P$179,"High",IF(D1221&gt;=Assumptions!$AH$179,"Mid",IF(D1221&lt;=Assumptions!$G$179,"Low","Loading")))</f>
        <v>Mid</v>
      </c>
      <c r="Q1221" s="46">
        <f>MAX(K1221,MIN(Assumptions!$S$179,O1221),Q1222)</f>
        <v>2893</v>
      </c>
      <c r="R1221" s="12">
        <f>IF(AND(Q1221&lt;=K1221,INDEX(Assumptions!$C$26:$C$36,MATCH(G1221,Assumptions!$A$26:$A$36,0))&lt;&gt;""),INDEX(Assumptions!$C$26:$C$36,MATCH(G1221,Assumptions!$A$26:$A$36,0)),ROUND(G1221*Q1221,-2))</f>
        <v>1961500</v>
      </c>
      <c r="S1221" s="47" t="str">
        <f>TRIM(IF(AND(Assumptions!$L$179&lt;&gt;"",D1221&lt;Assumptions!$L$179),"View blocked / roof in front ("&amp;Assumptions!$M$179&amp;"); view premium still loading until L"&amp;Assumptions!$L$179&amp;". ","")&amp;IF(D1221=Assumptions!$AH$179,"Mid-floor view premium fully loaded. ","")&amp;IF(D1221=Assumptions!$P$179,"High-floor view premium fully loaded. ","")&amp;IF(Q1221&lt;=K1221,"At developer starting price.",""))</f>
        <v/>
      </c>
      <c r="T1221" s="48" t="str">
        <f>Assumptions!$AJ$179</f>
        <v>SW. Internal pool view; Island Club in front of low floors</v>
      </c>
    </row>
    <row r="1222" spans="1:20" x14ac:dyDescent="0.2">
      <c r="A1222" s="13" t="s">
        <v>1405</v>
      </c>
      <c r="B1222" s="14">
        <v>11</v>
      </c>
      <c r="C1222" s="40">
        <v>53</v>
      </c>
      <c r="D1222" s="40">
        <v>12</v>
      </c>
      <c r="E1222" s="9" t="s">
        <v>43</v>
      </c>
      <c r="F1222" s="14" t="s">
        <v>1396</v>
      </c>
      <c r="G1222" s="10">
        <v>678</v>
      </c>
      <c r="H1222" s="14" t="s">
        <v>62</v>
      </c>
      <c r="I1222" s="41" t="str">
        <f>Assumptions!$I$179</f>
        <v>B</v>
      </c>
      <c r="J1222" s="14" t="str">
        <f>IF(D1222&lt;=Assumptions!$V$179,"Low",IF(D1222&lt;=Assumptions!$W$179,"Mid","High"))</f>
        <v>Mid</v>
      </c>
      <c r="K1222" s="15">
        <f>Assumptions!$Q$179</f>
        <v>2613</v>
      </c>
      <c r="L1222" s="42">
        <f>INDEX(Assumptions!$C$61:$C$90,D1222)</f>
        <v>2845.7928571428574</v>
      </c>
      <c r="M1222" s="43">
        <f>IF(D1222&lt;=Assumptions!$G$179,Assumptions!$AK$179,IF(D1222&lt;Assumptions!$AH$179,Assumptions!$AK$179+(Assumptions!$AL$179-Assumptions!$AK$179)*(D1222-Assumptions!$G$179)/(Assumptions!$AH$179-Assumptions!$G$179),IF(D1222&lt;Assumptions!$P$179,Assumptions!$AL$179+(Assumptions!$AM$179-Assumptions!$AL$179)*(D1222-Assumptions!$AH$179)/(Assumptions!$P$179-Assumptions!$AH$179),Assumptions!$AM$179)))</f>
        <v>18055.555555555555</v>
      </c>
      <c r="N1222" s="44">
        <f t="shared" si="38"/>
        <v>26.630612913798753</v>
      </c>
      <c r="O1222" s="45">
        <f t="shared" si="39"/>
        <v>2872</v>
      </c>
      <c r="P1222" s="14" t="str">
        <f>IF(D1222&gt;=Assumptions!$P$179,"High",IF(D1222&gt;=Assumptions!$AH$179,"Mid",IF(D1222&lt;=Assumptions!$G$179,"Low","Loading")))</f>
        <v>Mid</v>
      </c>
      <c r="Q1222" s="46">
        <f>MAX(K1222,MIN(Assumptions!$S$179,O1222),Q1223)</f>
        <v>2872</v>
      </c>
      <c r="R1222" s="12">
        <f>IF(AND(Q1222&lt;=K1222,INDEX(Assumptions!$C$26:$C$36,MATCH(G1222,Assumptions!$A$26:$A$36,0))&lt;&gt;""),INDEX(Assumptions!$C$26:$C$36,MATCH(G1222,Assumptions!$A$26:$A$36,0)),ROUND(G1222*Q1222,-2))</f>
        <v>1947200</v>
      </c>
      <c r="S1222" s="47" t="str">
        <f>TRIM(IF(AND(Assumptions!$L$179&lt;&gt;"",D1222&lt;Assumptions!$L$179),"View blocked / roof in front ("&amp;Assumptions!$M$179&amp;"); view premium still loading until L"&amp;Assumptions!$L$179&amp;". ","")&amp;IF(D1222=Assumptions!$AH$179,"Mid-floor view premium fully loaded. ","")&amp;IF(D1222=Assumptions!$P$179,"High-floor view premium fully loaded. ","")&amp;IF(Q1222&lt;=K1222,"At developer starting price.",""))</f>
        <v/>
      </c>
      <c r="T1222" s="48" t="str">
        <f>Assumptions!$AJ$179</f>
        <v>SW. Internal pool view; Island Club in front of low floors</v>
      </c>
    </row>
    <row r="1223" spans="1:20" x14ac:dyDescent="0.2">
      <c r="A1223" s="13" t="s">
        <v>1406</v>
      </c>
      <c r="B1223" s="14">
        <v>11</v>
      </c>
      <c r="C1223" s="40">
        <v>53</v>
      </c>
      <c r="D1223" s="40">
        <v>11</v>
      </c>
      <c r="E1223" s="9" t="s">
        <v>43</v>
      </c>
      <c r="F1223" s="14" t="s">
        <v>1396</v>
      </c>
      <c r="G1223" s="10">
        <v>678</v>
      </c>
      <c r="H1223" s="14" t="s">
        <v>62</v>
      </c>
      <c r="I1223" s="41" t="str">
        <f>Assumptions!$I$179</f>
        <v>B</v>
      </c>
      <c r="J1223" s="14" t="str">
        <f>IF(D1223&lt;=Assumptions!$V$179,"Low",IF(D1223&lt;=Assumptions!$W$179,"Mid","High"))</f>
        <v>Mid</v>
      </c>
      <c r="K1223" s="15">
        <f>Assumptions!$Q$179</f>
        <v>2613</v>
      </c>
      <c r="L1223" s="42">
        <f>INDEX(Assumptions!$C$61:$C$90,D1223)</f>
        <v>2826.6287532991773</v>
      </c>
      <c r="M1223" s="43">
        <f>IF(D1223&lt;=Assumptions!$G$179,Assumptions!$AK$179,IF(D1223&lt;Assumptions!$AH$179,Assumptions!$AK$179+(Assumptions!$AL$179-Assumptions!$AK$179)*(D1223-Assumptions!$G$179)/(Assumptions!$AH$179-Assumptions!$G$179),IF(D1223&lt;Assumptions!$P$179,Assumptions!$AL$179+(Assumptions!$AM$179-Assumptions!$AL$179)*(D1223-Assumptions!$AH$179)/(Assumptions!$P$179-Assumptions!$AH$179),Assumptions!$AM$179)))</f>
        <v>19444.444444444445</v>
      </c>
      <c r="N1223" s="44">
        <f t="shared" si="38"/>
        <v>28.679121599475582</v>
      </c>
      <c r="O1223" s="45">
        <f t="shared" si="39"/>
        <v>2855</v>
      </c>
      <c r="P1223" s="14" t="str">
        <f>IF(D1223&gt;=Assumptions!$P$179,"High",IF(D1223&gt;=Assumptions!$AH$179,"Mid",IF(D1223&lt;=Assumptions!$G$179,"Low","Loading")))</f>
        <v>Mid</v>
      </c>
      <c r="Q1223" s="46">
        <f>MAX(K1223,MIN(Assumptions!$S$179,O1223),Q1224)</f>
        <v>2855</v>
      </c>
      <c r="R1223" s="12">
        <f>IF(AND(Q1223&lt;=K1223,INDEX(Assumptions!$C$26:$C$36,MATCH(G1223,Assumptions!$A$26:$A$36,0))&lt;&gt;""),INDEX(Assumptions!$C$26:$C$36,MATCH(G1223,Assumptions!$A$26:$A$36,0)),ROUND(G1223*Q1223,-2))</f>
        <v>1935700</v>
      </c>
      <c r="S1223" s="47" t="str">
        <f>TRIM(IF(AND(Assumptions!$L$179&lt;&gt;"",D1223&lt;Assumptions!$L$179),"View blocked / roof in front ("&amp;Assumptions!$M$179&amp;"); view premium still loading until L"&amp;Assumptions!$L$179&amp;". ","")&amp;IF(D1223=Assumptions!$AH$179,"Mid-floor view premium fully loaded. ","")&amp;IF(D1223=Assumptions!$P$179,"High-floor view premium fully loaded. ","")&amp;IF(Q1223&lt;=K1223,"At developer starting price.",""))</f>
        <v/>
      </c>
      <c r="T1223" s="48" t="str">
        <f>Assumptions!$AJ$179</f>
        <v>SW. Internal pool view; Island Club in front of low floors</v>
      </c>
    </row>
    <row r="1224" spans="1:20" x14ac:dyDescent="0.2">
      <c r="A1224" s="13" t="s">
        <v>1407</v>
      </c>
      <c r="B1224" s="14">
        <v>11</v>
      </c>
      <c r="C1224" s="40">
        <v>53</v>
      </c>
      <c r="D1224" s="40">
        <v>10</v>
      </c>
      <c r="E1224" s="9" t="s">
        <v>43</v>
      </c>
      <c r="F1224" s="14" t="s">
        <v>1396</v>
      </c>
      <c r="G1224" s="10">
        <v>678</v>
      </c>
      <c r="H1224" s="14" t="s">
        <v>62</v>
      </c>
      <c r="I1224" s="41" t="str">
        <f>Assumptions!$I$179</f>
        <v>B</v>
      </c>
      <c r="J1224" s="14" t="str">
        <f>IF(D1224&lt;=Assumptions!$V$179,"Low",IF(D1224&lt;=Assumptions!$W$179,"Mid","High"))</f>
        <v>Mid</v>
      </c>
      <c r="K1224" s="15">
        <f>Assumptions!$Q$179</f>
        <v>2613</v>
      </c>
      <c r="L1224" s="42">
        <f>INDEX(Assumptions!$C$61:$C$90,D1224)</f>
        <v>2811.0862598975314</v>
      </c>
      <c r="M1224" s="43">
        <f>IF(D1224&lt;=Assumptions!$G$179,Assumptions!$AK$179,IF(D1224&lt;Assumptions!$AH$179,Assumptions!$AK$179+(Assumptions!$AL$179-Assumptions!$AK$179)*(D1224-Assumptions!$G$179)/(Assumptions!$AH$179-Assumptions!$G$179),IF(D1224&lt;Assumptions!$P$179,Assumptions!$AL$179+(Assumptions!$AM$179-Assumptions!$AL$179)*(D1224-Assumptions!$AH$179)/(Assumptions!$P$179-Assumptions!$AH$179),Assumptions!$AM$179)))</f>
        <v>20833.333333333332</v>
      </c>
      <c r="N1224" s="44">
        <f t="shared" si="38"/>
        <v>30.727630285152408</v>
      </c>
      <c r="O1224" s="45">
        <f t="shared" si="39"/>
        <v>2842</v>
      </c>
      <c r="P1224" s="14" t="str">
        <f>IF(D1224&gt;=Assumptions!$P$179,"High",IF(D1224&gt;=Assumptions!$AH$179,"Mid",IF(D1224&lt;=Assumptions!$G$179,"Low","Loading")))</f>
        <v>Mid</v>
      </c>
      <c r="Q1224" s="46">
        <f>MAX(K1224,MIN(Assumptions!$S$179,O1224),Q1225)</f>
        <v>2842</v>
      </c>
      <c r="R1224" s="12">
        <f>IF(AND(Q1224&lt;=K1224,INDEX(Assumptions!$C$26:$C$36,MATCH(G1224,Assumptions!$A$26:$A$36,0))&lt;&gt;""),INDEX(Assumptions!$C$26:$C$36,MATCH(G1224,Assumptions!$A$26:$A$36,0)),ROUND(G1224*Q1224,-2))</f>
        <v>1926900</v>
      </c>
      <c r="S1224" s="47" t="str">
        <f>TRIM(IF(AND(Assumptions!$L$179&lt;&gt;"",D1224&lt;Assumptions!$L$179),"View blocked / roof in front ("&amp;Assumptions!$M$179&amp;"); view premium still loading until L"&amp;Assumptions!$L$179&amp;". ","")&amp;IF(D1224=Assumptions!$AH$179,"Mid-floor view premium fully loaded. ","")&amp;IF(D1224=Assumptions!$P$179,"High-floor view premium fully loaded. ","")&amp;IF(Q1224&lt;=K1224,"At developer starting price.",""))</f>
        <v/>
      </c>
      <c r="T1224" s="48" t="str">
        <f>Assumptions!$AJ$179</f>
        <v>SW. Internal pool view; Island Club in front of low floors</v>
      </c>
    </row>
    <row r="1225" spans="1:20" x14ac:dyDescent="0.2">
      <c r="A1225" s="13" t="s">
        <v>1408</v>
      </c>
      <c r="B1225" s="14">
        <v>11</v>
      </c>
      <c r="C1225" s="40">
        <v>53</v>
      </c>
      <c r="D1225" s="40">
        <v>9</v>
      </c>
      <c r="E1225" s="9" t="s">
        <v>43</v>
      </c>
      <c r="F1225" s="14" t="s">
        <v>1396</v>
      </c>
      <c r="G1225" s="10">
        <v>678</v>
      </c>
      <c r="H1225" s="14" t="s">
        <v>62</v>
      </c>
      <c r="I1225" s="41" t="str">
        <f>Assumptions!$I$179</f>
        <v>B</v>
      </c>
      <c r="J1225" s="14" t="str">
        <f>IF(D1225&lt;=Assumptions!$V$179,"Low",IF(D1225&lt;=Assumptions!$W$179,"Mid","High"))</f>
        <v>Mid</v>
      </c>
      <c r="K1225" s="15">
        <f>Assumptions!$Q$179</f>
        <v>2613</v>
      </c>
      <c r="L1225" s="42">
        <f>INDEX(Assumptions!$C$61:$C$90,D1225)</f>
        <v>2795.5437664958858</v>
      </c>
      <c r="M1225" s="43">
        <f>IF(D1225&lt;=Assumptions!$G$179,Assumptions!$AK$179,IF(D1225&lt;Assumptions!$AH$179,Assumptions!$AK$179+(Assumptions!$AL$179-Assumptions!$AK$179)*(D1225-Assumptions!$G$179)/(Assumptions!$AH$179-Assumptions!$G$179),IF(D1225&lt;Assumptions!$P$179,Assumptions!$AL$179+(Assumptions!$AM$179-Assumptions!$AL$179)*(D1225-Assumptions!$AH$179)/(Assumptions!$P$179-Assumptions!$AH$179),Assumptions!$AM$179)))</f>
        <v>22222.222222222223</v>
      </c>
      <c r="N1225" s="44">
        <f t="shared" si="38"/>
        <v>32.776138970829237</v>
      </c>
      <c r="O1225" s="45">
        <f t="shared" si="39"/>
        <v>2828</v>
      </c>
      <c r="P1225" s="14" t="str">
        <f>IF(D1225&gt;=Assumptions!$P$179,"High",IF(D1225&gt;=Assumptions!$AH$179,"Mid",IF(D1225&lt;=Assumptions!$G$179,"Low","Loading")))</f>
        <v>Mid</v>
      </c>
      <c r="Q1225" s="46">
        <f>MAX(K1225,MIN(Assumptions!$S$179,O1225),Q1226)</f>
        <v>2828</v>
      </c>
      <c r="R1225" s="12">
        <f>IF(AND(Q1225&lt;=K1225,INDEX(Assumptions!$C$26:$C$36,MATCH(G1225,Assumptions!$A$26:$A$36,0))&lt;&gt;""),INDEX(Assumptions!$C$26:$C$36,MATCH(G1225,Assumptions!$A$26:$A$36,0)),ROUND(G1225*Q1225,-2))</f>
        <v>1917400</v>
      </c>
      <c r="S1225" s="47" t="str">
        <f>TRIM(IF(AND(Assumptions!$L$179&lt;&gt;"",D1225&lt;Assumptions!$L$179),"View blocked / roof in front ("&amp;Assumptions!$M$179&amp;"); view premium still loading until L"&amp;Assumptions!$L$179&amp;". ","")&amp;IF(D1225=Assumptions!$AH$179,"Mid-floor view premium fully loaded. ","")&amp;IF(D1225=Assumptions!$P$179,"High-floor view premium fully loaded. ","")&amp;IF(Q1225&lt;=K1225,"At developer starting price.",""))</f>
        <v/>
      </c>
      <c r="T1225" s="48" t="str">
        <f>Assumptions!$AJ$179</f>
        <v>SW. Internal pool view; Island Club in front of low floors</v>
      </c>
    </row>
    <row r="1226" spans="1:20" x14ac:dyDescent="0.2">
      <c r="A1226" s="13" t="s">
        <v>1409</v>
      </c>
      <c r="B1226" s="14">
        <v>11</v>
      </c>
      <c r="C1226" s="40">
        <v>53</v>
      </c>
      <c r="D1226" s="40">
        <v>8</v>
      </c>
      <c r="E1226" s="9" t="s">
        <v>43</v>
      </c>
      <c r="F1226" s="14" t="s">
        <v>1396</v>
      </c>
      <c r="G1226" s="10">
        <v>678</v>
      </c>
      <c r="H1226" s="14" t="s">
        <v>62</v>
      </c>
      <c r="I1226" s="41" t="str">
        <f>Assumptions!$I$179</f>
        <v>B</v>
      </c>
      <c r="J1226" s="14" t="str">
        <f>IF(D1226&lt;=Assumptions!$V$179,"Low",IF(D1226&lt;=Assumptions!$W$179,"Mid","High"))</f>
        <v>Mid</v>
      </c>
      <c r="K1226" s="15">
        <f>Assumptions!$Q$179</f>
        <v>2613</v>
      </c>
      <c r="L1226" s="42">
        <f>INDEX(Assumptions!$C$61:$C$90,D1226)</f>
        <v>2780.0012730942403</v>
      </c>
      <c r="M1226" s="43">
        <f>IF(D1226&lt;=Assumptions!$G$179,Assumptions!$AK$179,IF(D1226&lt;Assumptions!$AH$179,Assumptions!$AK$179+(Assumptions!$AL$179-Assumptions!$AK$179)*(D1226-Assumptions!$G$179)/(Assumptions!$AH$179-Assumptions!$G$179),IF(D1226&lt;Assumptions!$P$179,Assumptions!$AL$179+(Assumptions!$AM$179-Assumptions!$AL$179)*(D1226-Assumptions!$AH$179)/(Assumptions!$P$179-Assumptions!$AH$179),Assumptions!$AM$179)))</f>
        <v>23611.111111111109</v>
      </c>
      <c r="N1226" s="44">
        <f t="shared" si="38"/>
        <v>34.824647656506059</v>
      </c>
      <c r="O1226" s="45">
        <f t="shared" si="39"/>
        <v>2815</v>
      </c>
      <c r="P1226" s="14" t="str">
        <f>IF(D1226&gt;=Assumptions!$P$179,"High",IF(D1226&gt;=Assumptions!$AH$179,"Mid",IF(D1226&lt;=Assumptions!$G$179,"Low","Loading")))</f>
        <v>Mid</v>
      </c>
      <c r="Q1226" s="46">
        <f>MAX(K1226,MIN(Assumptions!$S$179,O1226),Q1227)</f>
        <v>2815</v>
      </c>
      <c r="R1226" s="12">
        <f>IF(AND(Q1226&lt;=K1226,INDEX(Assumptions!$C$26:$C$36,MATCH(G1226,Assumptions!$A$26:$A$36,0))&lt;&gt;""),INDEX(Assumptions!$C$26:$C$36,MATCH(G1226,Assumptions!$A$26:$A$36,0)),ROUND(G1226*Q1226,-2))</f>
        <v>1908600</v>
      </c>
      <c r="S1226" s="47" t="str">
        <f>TRIM(IF(AND(Assumptions!$L$179&lt;&gt;"",D1226&lt;Assumptions!$L$179),"View blocked / roof in front ("&amp;Assumptions!$M$179&amp;"); view premium still loading until L"&amp;Assumptions!$L$179&amp;". ","")&amp;IF(D1226=Assumptions!$AH$179,"Mid-floor view premium fully loaded. ","")&amp;IF(D1226=Assumptions!$P$179,"High-floor view premium fully loaded. ","")&amp;IF(Q1226&lt;=K1226,"At developer starting price.",""))</f>
        <v/>
      </c>
      <c r="T1226" s="48" t="str">
        <f>Assumptions!$AJ$179</f>
        <v>SW. Internal pool view; Island Club in front of low floors</v>
      </c>
    </row>
    <row r="1227" spans="1:20" x14ac:dyDescent="0.2">
      <c r="A1227" s="13" t="s">
        <v>1410</v>
      </c>
      <c r="B1227" s="14">
        <v>11</v>
      </c>
      <c r="C1227" s="40">
        <v>53</v>
      </c>
      <c r="D1227" s="40">
        <v>7</v>
      </c>
      <c r="E1227" s="9" t="s">
        <v>43</v>
      </c>
      <c r="F1227" s="14" t="s">
        <v>1396</v>
      </c>
      <c r="G1227" s="10">
        <v>678</v>
      </c>
      <c r="H1227" s="14" t="s">
        <v>62</v>
      </c>
      <c r="I1227" s="41" t="str">
        <f>Assumptions!$I$179</f>
        <v>B</v>
      </c>
      <c r="J1227" s="14" t="str">
        <f>IF(D1227&lt;=Assumptions!$V$179,"Low",IF(D1227&lt;=Assumptions!$W$179,"Mid","High"))</f>
        <v>Low</v>
      </c>
      <c r="K1227" s="15">
        <f>Assumptions!$Q$179</f>
        <v>2613</v>
      </c>
      <c r="L1227" s="42">
        <f>INDEX(Assumptions!$C$61:$C$90,D1227)</f>
        <v>2764.4587796925944</v>
      </c>
      <c r="M1227" s="43">
        <f>IF(D1227&lt;=Assumptions!$G$179,Assumptions!$AK$179,IF(D1227&lt;Assumptions!$AH$179,Assumptions!$AK$179+(Assumptions!$AL$179-Assumptions!$AK$179)*(D1227-Assumptions!$G$179)/(Assumptions!$AH$179-Assumptions!$G$179),IF(D1227&lt;Assumptions!$P$179,Assumptions!$AL$179+(Assumptions!$AM$179-Assumptions!$AL$179)*(D1227-Assumptions!$AH$179)/(Assumptions!$P$179-Assumptions!$AH$179),Assumptions!$AM$179)))</f>
        <v>25000</v>
      </c>
      <c r="N1227" s="44">
        <f t="shared" si="38"/>
        <v>36.873156342182888</v>
      </c>
      <c r="O1227" s="45">
        <f t="shared" si="39"/>
        <v>2801</v>
      </c>
      <c r="P1227" s="14" t="str">
        <f>IF(D1227&gt;=Assumptions!$P$179,"High",IF(D1227&gt;=Assumptions!$AH$179,"Mid",IF(D1227&lt;=Assumptions!$G$179,"Low","Loading")))</f>
        <v>Mid</v>
      </c>
      <c r="Q1227" s="46">
        <f>MAX(K1227,MIN(Assumptions!$S$179,O1227),Q1228)</f>
        <v>2801</v>
      </c>
      <c r="R1227" s="12">
        <f>IF(AND(Q1227&lt;=K1227,INDEX(Assumptions!$C$26:$C$36,MATCH(G1227,Assumptions!$A$26:$A$36,0))&lt;&gt;""),INDEX(Assumptions!$C$26:$C$36,MATCH(G1227,Assumptions!$A$26:$A$36,0)),ROUND(G1227*Q1227,-2))</f>
        <v>1899100</v>
      </c>
      <c r="S1227" s="47" t="str">
        <f>TRIM(IF(AND(Assumptions!$L$179&lt;&gt;"",D1227&lt;Assumptions!$L$179),"View blocked / roof in front ("&amp;Assumptions!$M$179&amp;"); view premium still loading until L"&amp;Assumptions!$L$179&amp;". ","")&amp;IF(D1227=Assumptions!$AH$179,"Mid-floor view premium fully loaded. ","")&amp;IF(D1227=Assumptions!$P$179,"High-floor view premium fully loaded. ","")&amp;IF(Q1227&lt;=K1227,"At developer starting price.",""))</f>
        <v>Mid-floor view premium fully loaded.</v>
      </c>
      <c r="T1227" s="48" t="str">
        <f>Assumptions!$AJ$179</f>
        <v>SW. Internal pool view; Island Club in front of low floors</v>
      </c>
    </row>
    <row r="1228" spans="1:20" x14ac:dyDescent="0.2">
      <c r="A1228" s="13" t="s">
        <v>1411</v>
      </c>
      <c r="B1228" s="14">
        <v>11</v>
      </c>
      <c r="C1228" s="40">
        <v>53</v>
      </c>
      <c r="D1228" s="40">
        <v>6</v>
      </c>
      <c r="E1228" s="9" t="s">
        <v>43</v>
      </c>
      <c r="F1228" s="14" t="s">
        <v>1396</v>
      </c>
      <c r="G1228" s="10">
        <v>678</v>
      </c>
      <c r="H1228" s="14" t="s">
        <v>62</v>
      </c>
      <c r="I1228" s="41" t="str">
        <f>Assumptions!$I$179</f>
        <v>B</v>
      </c>
      <c r="J1228" s="14" t="str">
        <f>IF(D1228&lt;=Assumptions!$V$179,"Low",IF(D1228&lt;=Assumptions!$W$179,"Mid","High"))</f>
        <v>Low</v>
      </c>
      <c r="K1228" s="15">
        <f>Assumptions!$Q$179</f>
        <v>2613</v>
      </c>
      <c r="L1228" s="42">
        <f>INDEX(Assumptions!$C$61:$C$90,D1228)</f>
        <v>2748.9162862909488</v>
      </c>
      <c r="M1228" s="43">
        <f>IF(D1228&lt;=Assumptions!$G$179,Assumptions!$AK$179,IF(D1228&lt;Assumptions!$AH$179,Assumptions!$AK$179+(Assumptions!$AL$179-Assumptions!$AK$179)*(D1228-Assumptions!$G$179)/(Assumptions!$AH$179-Assumptions!$G$179),IF(D1228&lt;Assumptions!$P$179,Assumptions!$AL$179+(Assumptions!$AM$179-Assumptions!$AL$179)*(D1228-Assumptions!$AH$179)/(Assumptions!$P$179-Assumptions!$AH$179),Assumptions!$AM$179)))</f>
        <v>10000</v>
      </c>
      <c r="N1228" s="44">
        <f t="shared" si="38"/>
        <v>14.749262536873156</v>
      </c>
      <c r="O1228" s="45">
        <f t="shared" si="39"/>
        <v>2764</v>
      </c>
      <c r="P1228" s="14" t="str">
        <f>IF(D1228&gt;=Assumptions!$P$179,"High",IF(D1228&gt;=Assumptions!$AH$179,"Mid",IF(D1228&lt;=Assumptions!$G$179,"Low","Loading")))</f>
        <v>Loading</v>
      </c>
      <c r="Q1228" s="46">
        <f>MAX(K1228,MIN(Assumptions!$S$179,O1228),Q1229)</f>
        <v>2764</v>
      </c>
      <c r="R1228" s="12">
        <f>IF(AND(Q1228&lt;=K1228,INDEX(Assumptions!$C$26:$C$36,MATCH(G1228,Assumptions!$A$26:$A$36,0))&lt;&gt;""),INDEX(Assumptions!$C$26:$C$36,MATCH(G1228,Assumptions!$A$26:$A$36,0)),ROUND(G1228*Q1228,-2))</f>
        <v>1874000</v>
      </c>
      <c r="S1228" s="47" t="str">
        <f>TRIM(IF(AND(Assumptions!$L$179&lt;&gt;"",D1228&lt;Assumptions!$L$179),"View blocked / roof in front ("&amp;Assumptions!$M$179&amp;"); view premium still loading until L"&amp;Assumptions!$L$179&amp;". ","")&amp;IF(D1228=Assumptions!$AH$179,"Mid-floor view premium fully loaded. ","")&amp;IF(D1228=Assumptions!$P$179,"High-floor view premium fully loaded. ","")&amp;IF(Q1228&lt;=K1228,"At developer starting price.",""))</f>
        <v>View blocked / roof in front (Island Club: 98% of view, 33.5 to 55.2m away); view premium still loading until L7.</v>
      </c>
      <c r="T1228" s="48" t="str">
        <f>Assumptions!$AJ$179</f>
        <v>SW. Internal pool view; Island Club in front of low floors</v>
      </c>
    </row>
    <row r="1229" spans="1:20" x14ac:dyDescent="0.2">
      <c r="A1229" s="13" t="s">
        <v>1412</v>
      </c>
      <c r="B1229" s="14">
        <v>11</v>
      </c>
      <c r="C1229" s="40">
        <v>53</v>
      </c>
      <c r="D1229" s="40">
        <v>5</v>
      </c>
      <c r="E1229" s="9" t="s">
        <v>43</v>
      </c>
      <c r="F1229" s="14" t="s">
        <v>1396</v>
      </c>
      <c r="G1229" s="10">
        <v>678</v>
      </c>
      <c r="H1229" s="14" t="s">
        <v>62</v>
      </c>
      <c r="I1229" s="41" t="str">
        <f>Assumptions!$I$179</f>
        <v>B</v>
      </c>
      <c r="J1229" s="14" t="str">
        <f>IF(D1229&lt;=Assumptions!$V$179,"Low",IF(D1229&lt;=Assumptions!$W$179,"Mid","High"))</f>
        <v>Low</v>
      </c>
      <c r="K1229" s="15">
        <f>Assumptions!$Q$179</f>
        <v>2613</v>
      </c>
      <c r="L1229" s="42">
        <f>INDEX(Assumptions!$C$61:$C$90,D1229)</f>
        <v>2733.3737928893029</v>
      </c>
      <c r="M1229" s="43">
        <f>IF(D1229&lt;=Assumptions!$G$179,Assumptions!$AK$179,IF(D1229&lt;Assumptions!$AH$179,Assumptions!$AK$179+(Assumptions!$AL$179-Assumptions!$AK$179)*(D1229-Assumptions!$G$179)/(Assumptions!$AH$179-Assumptions!$G$179),IF(D1229&lt;Assumptions!$P$179,Assumptions!$AL$179+(Assumptions!$AM$179-Assumptions!$AL$179)*(D1229-Assumptions!$AH$179)/(Assumptions!$P$179-Assumptions!$AH$179),Assumptions!$AM$179)))</f>
        <v>-5000</v>
      </c>
      <c r="N1229" s="44">
        <f t="shared" si="38"/>
        <v>-7.3746312684365778</v>
      </c>
      <c r="O1229" s="45">
        <f t="shared" si="39"/>
        <v>2726</v>
      </c>
      <c r="P1229" s="14" t="str">
        <f>IF(D1229&gt;=Assumptions!$P$179,"High",IF(D1229&gt;=Assumptions!$AH$179,"Mid",IF(D1229&lt;=Assumptions!$G$179,"Low","Loading")))</f>
        <v>Loading</v>
      </c>
      <c r="Q1229" s="46">
        <f>MAX(K1229,MIN(Assumptions!$S$179,O1229),Q1230)</f>
        <v>2726</v>
      </c>
      <c r="R1229" s="12">
        <f>IF(AND(Q1229&lt;=K1229,INDEX(Assumptions!$C$26:$C$36,MATCH(G1229,Assumptions!$A$26:$A$36,0))&lt;&gt;""),INDEX(Assumptions!$C$26:$C$36,MATCH(G1229,Assumptions!$A$26:$A$36,0)),ROUND(G1229*Q1229,-2))</f>
        <v>1848200</v>
      </c>
      <c r="S1229" s="47" t="str">
        <f>TRIM(IF(AND(Assumptions!$L$179&lt;&gt;"",D1229&lt;Assumptions!$L$179),"View blocked / roof in front ("&amp;Assumptions!$M$179&amp;"); view premium still loading until L"&amp;Assumptions!$L$179&amp;". ","")&amp;IF(D1229=Assumptions!$AH$179,"Mid-floor view premium fully loaded. ","")&amp;IF(D1229=Assumptions!$P$179,"High-floor view premium fully loaded. ","")&amp;IF(Q1229&lt;=K1229,"At developer starting price.",""))</f>
        <v>View blocked / roof in front (Island Club: 98% of view, 33.5 to 55.2m away); view premium still loading until L7.</v>
      </c>
      <c r="T1229" s="48" t="str">
        <f>Assumptions!$AJ$179</f>
        <v>SW. Internal pool view; Island Club in front of low floors</v>
      </c>
    </row>
    <row r="1230" spans="1:20" x14ac:dyDescent="0.2">
      <c r="A1230" s="13" t="s">
        <v>1413</v>
      </c>
      <c r="B1230" s="14">
        <v>11</v>
      </c>
      <c r="C1230" s="40">
        <v>53</v>
      </c>
      <c r="D1230" s="40">
        <v>4</v>
      </c>
      <c r="E1230" s="9" t="s">
        <v>43</v>
      </c>
      <c r="F1230" s="14" t="s">
        <v>1396</v>
      </c>
      <c r="G1230" s="10">
        <v>678</v>
      </c>
      <c r="H1230" s="14" t="s">
        <v>62</v>
      </c>
      <c r="I1230" s="41" t="str">
        <f>Assumptions!$I$179</f>
        <v>B</v>
      </c>
      <c r="J1230" s="14" t="str">
        <f>IF(D1230&lt;=Assumptions!$V$179,"Low",IF(D1230&lt;=Assumptions!$W$179,"Mid","High"))</f>
        <v>Low</v>
      </c>
      <c r="K1230" s="15">
        <f>Assumptions!$Q$179</f>
        <v>2613</v>
      </c>
      <c r="L1230" s="42">
        <f>INDEX(Assumptions!$C$61:$C$90,D1230)</f>
        <v>2717.8312994876574</v>
      </c>
      <c r="M1230" s="43">
        <f>IF(D1230&lt;=Assumptions!$G$179,Assumptions!$AK$179,IF(D1230&lt;Assumptions!$AH$179,Assumptions!$AK$179+(Assumptions!$AL$179-Assumptions!$AK$179)*(D1230-Assumptions!$G$179)/(Assumptions!$AH$179-Assumptions!$G$179),IF(D1230&lt;Assumptions!$P$179,Assumptions!$AL$179+(Assumptions!$AM$179-Assumptions!$AL$179)*(D1230-Assumptions!$AH$179)/(Assumptions!$P$179-Assumptions!$AH$179),Assumptions!$AM$179)))</f>
        <v>-20000</v>
      </c>
      <c r="N1230" s="44">
        <f t="shared" si="38"/>
        <v>-29.498525073746311</v>
      </c>
      <c r="O1230" s="45">
        <f t="shared" si="39"/>
        <v>2688</v>
      </c>
      <c r="P1230" s="14" t="str">
        <f>IF(D1230&gt;=Assumptions!$P$179,"High",IF(D1230&gt;=Assumptions!$AH$179,"Mid",IF(D1230&lt;=Assumptions!$G$179,"Low","Loading")))</f>
        <v>Loading</v>
      </c>
      <c r="Q1230" s="46">
        <f>MAX(K1230,MIN(Assumptions!$S$179,O1230),Q1231)</f>
        <v>2688</v>
      </c>
      <c r="R1230" s="12">
        <f>IF(AND(Q1230&lt;=K1230,INDEX(Assumptions!$C$26:$C$36,MATCH(G1230,Assumptions!$A$26:$A$36,0))&lt;&gt;""),INDEX(Assumptions!$C$26:$C$36,MATCH(G1230,Assumptions!$A$26:$A$36,0)),ROUND(G1230*Q1230,-2))</f>
        <v>1822500</v>
      </c>
      <c r="S1230" s="47" t="str">
        <f>TRIM(IF(AND(Assumptions!$L$179&lt;&gt;"",D1230&lt;Assumptions!$L$179),"View blocked / roof in front ("&amp;Assumptions!$M$179&amp;"); view premium still loading until L"&amp;Assumptions!$L$179&amp;". ","")&amp;IF(D1230=Assumptions!$AH$179,"Mid-floor view premium fully loaded. ","")&amp;IF(D1230=Assumptions!$P$179,"High-floor view premium fully loaded. ","")&amp;IF(Q1230&lt;=K1230,"At developer starting price.",""))</f>
        <v>View blocked / roof in front (Island Club: 98% of view, 33.5 to 55.2m away); view premium still loading until L7.</v>
      </c>
      <c r="T1230" s="48" t="str">
        <f>Assumptions!$AJ$179</f>
        <v>SW. Internal pool view; Island Club in front of low floors</v>
      </c>
    </row>
    <row r="1231" spans="1:20" x14ac:dyDescent="0.2">
      <c r="A1231" s="13" t="s">
        <v>1414</v>
      </c>
      <c r="B1231" s="14">
        <v>11</v>
      </c>
      <c r="C1231" s="40">
        <v>53</v>
      </c>
      <c r="D1231" s="40">
        <v>3</v>
      </c>
      <c r="E1231" s="9" t="s">
        <v>43</v>
      </c>
      <c r="F1231" s="14" t="s">
        <v>1396</v>
      </c>
      <c r="G1231" s="10">
        <v>678</v>
      </c>
      <c r="H1231" s="14" t="s">
        <v>62</v>
      </c>
      <c r="I1231" s="41" t="str">
        <f>Assumptions!$I$179</f>
        <v>B</v>
      </c>
      <c r="J1231" s="14" t="str">
        <f>IF(D1231&lt;=Assumptions!$V$179,"Low",IF(D1231&lt;=Assumptions!$W$179,"Mid","High"))</f>
        <v>Low</v>
      </c>
      <c r="K1231" s="15">
        <f>Assumptions!$Q$179</f>
        <v>2613</v>
      </c>
      <c r="L1231" s="42">
        <f>INDEX(Assumptions!$C$61:$C$90,D1231)</f>
        <v>2702.2888060860114</v>
      </c>
      <c r="M1231" s="43">
        <f>IF(D1231&lt;=Assumptions!$G$179,Assumptions!$AK$179,IF(D1231&lt;Assumptions!$AH$179,Assumptions!$AK$179+(Assumptions!$AL$179-Assumptions!$AK$179)*(D1231-Assumptions!$G$179)/(Assumptions!$AH$179-Assumptions!$G$179),IF(D1231&lt;Assumptions!$P$179,Assumptions!$AL$179+(Assumptions!$AM$179-Assumptions!$AL$179)*(D1231-Assumptions!$AH$179)/(Assumptions!$P$179-Assumptions!$AH$179),Assumptions!$AM$179)))</f>
        <v>-35000</v>
      </c>
      <c r="N1231" s="44">
        <f t="shared" si="38"/>
        <v>-51.622418879056049</v>
      </c>
      <c r="O1231" s="45">
        <f t="shared" si="39"/>
        <v>2651</v>
      </c>
      <c r="P1231" s="14" t="str">
        <f>IF(D1231&gt;=Assumptions!$P$179,"High",IF(D1231&gt;=Assumptions!$AH$179,"Mid",IF(D1231&lt;=Assumptions!$G$179,"Low","Loading")))</f>
        <v>Loading</v>
      </c>
      <c r="Q1231" s="46">
        <f>MAX(K1231,MIN(Assumptions!$S$179,O1231),Q1232)</f>
        <v>2651</v>
      </c>
      <c r="R1231" s="12">
        <f>IF(AND(Q1231&lt;=K1231,INDEX(Assumptions!$C$26:$C$36,MATCH(G1231,Assumptions!$A$26:$A$36,0))&lt;&gt;""),INDEX(Assumptions!$C$26:$C$36,MATCH(G1231,Assumptions!$A$26:$A$36,0)),ROUND(G1231*Q1231,-2))</f>
        <v>1797400</v>
      </c>
      <c r="S1231" s="47" t="str">
        <f>TRIM(IF(AND(Assumptions!$L$179&lt;&gt;"",D1231&lt;Assumptions!$L$179),"View blocked / roof in front ("&amp;Assumptions!$M$179&amp;"); view premium still loading until L"&amp;Assumptions!$L$179&amp;". ","")&amp;IF(D1231=Assumptions!$AH$179,"Mid-floor view premium fully loaded. ","")&amp;IF(D1231=Assumptions!$P$179,"High-floor view premium fully loaded. ","")&amp;IF(Q1231&lt;=K1231,"At developer starting price.",""))</f>
        <v>View blocked / roof in front (Island Club: 98% of view, 33.5 to 55.2m away); view premium still loading until L7.</v>
      </c>
      <c r="T1231" s="48" t="str">
        <f>Assumptions!$AJ$179</f>
        <v>SW. Internal pool view; Island Club in front of low floors</v>
      </c>
    </row>
    <row r="1232" spans="1:20" x14ac:dyDescent="0.2">
      <c r="A1232" s="13" t="s">
        <v>1415</v>
      </c>
      <c r="B1232" s="14">
        <v>11</v>
      </c>
      <c r="C1232" s="40">
        <v>53</v>
      </c>
      <c r="D1232" s="40">
        <v>2</v>
      </c>
      <c r="E1232" s="9" t="s">
        <v>43</v>
      </c>
      <c r="F1232" s="14" t="s">
        <v>1416</v>
      </c>
      <c r="G1232" s="10">
        <v>678</v>
      </c>
      <c r="H1232" s="14" t="s">
        <v>62</v>
      </c>
      <c r="I1232" s="41" t="str">
        <f>Assumptions!$I$179</f>
        <v>B</v>
      </c>
      <c r="J1232" s="14" t="str">
        <f>IF(D1232&lt;=Assumptions!$V$179,"Low",IF(D1232&lt;=Assumptions!$W$179,"Mid","High"))</f>
        <v>Low</v>
      </c>
      <c r="K1232" s="15">
        <f>Assumptions!$Q$179</f>
        <v>2613</v>
      </c>
      <c r="L1232" s="42">
        <f>INDEX(Assumptions!$C$61:$C$90,D1232)</f>
        <v>2686.7463126843659</v>
      </c>
      <c r="M1232" s="43">
        <f>IF(D1232&lt;=Assumptions!$G$179,Assumptions!$AK$179,IF(D1232&lt;Assumptions!$AH$179,Assumptions!$AK$179+(Assumptions!$AL$179-Assumptions!$AK$179)*(D1232-Assumptions!$G$179)/(Assumptions!$AH$179-Assumptions!$G$179),IF(D1232&lt;Assumptions!$P$179,Assumptions!$AL$179+(Assumptions!$AM$179-Assumptions!$AL$179)*(D1232-Assumptions!$AH$179)/(Assumptions!$P$179-Assumptions!$AH$179),Assumptions!$AM$179)))</f>
        <v>-50000</v>
      </c>
      <c r="N1232" s="44">
        <f t="shared" si="38"/>
        <v>-73.746312684365776</v>
      </c>
      <c r="O1232" s="45">
        <f t="shared" si="39"/>
        <v>2613</v>
      </c>
      <c r="P1232" s="14" t="str">
        <f>IF(D1232&gt;=Assumptions!$P$179,"High",IF(D1232&gt;=Assumptions!$AH$179,"Mid",IF(D1232&lt;=Assumptions!$G$179,"Low","Loading")))</f>
        <v>Low</v>
      </c>
      <c r="Q1232" s="46">
        <f>MAX(K1232,MIN(Assumptions!$S$179,O1232))</f>
        <v>2613</v>
      </c>
      <c r="R1232" s="12">
        <f>IF(AND(Q1232&lt;=K1232,INDEX(Assumptions!$C$26:$C$36,MATCH(G1232,Assumptions!$A$26:$A$36,0))&lt;&gt;""),INDEX(Assumptions!$C$26:$C$36,MATCH(G1232,Assumptions!$A$26:$A$36,0)),ROUND(G1232*Q1232,-2))</f>
        <v>1772000</v>
      </c>
      <c r="S1232" s="47" t="str">
        <f>TRIM(IF(AND(Assumptions!$L$179&lt;&gt;"",D1232&lt;Assumptions!$L$179),"View blocked / roof in front ("&amp;Assumptions!$M$179&amp;"); view premium still loading until L"&amp;Assumptions!$L$179&amp;". ","")&amp;IF(D1232=Assumptions!$AH$179,"Mid-floor view premium fully loaded. ","")&amp;IF(D1232=Assumptions!$P$179,"High-floor view premium fully loaded. ","")&amp;IF(Q1232&lt;=K1232,"At developer starting price.",""))</f>
        <v>View blocked / roof in front (Island Club: 98% of view, 33.5 to 55.2m away); view premium still loading until L7. At developer starting price.</v>
      </c>
      <c r="T1232" s="48" t="str">
        <f>Assumptions!$AJ$179</f>
        <v>SW. Internal pool view; Island Club in front of low floors</v>
      </c>
    </row>
    <row r="1233" spans="1:20" x14ac:dyDescent="0.2">
      <c r="A1233" s="13" t="s">
        <v>1417</v>
      </c>
      <c r="B1233" s="14">
        <v>11</v>
      </c>
      <c r="C1233" s="40">
        <v>54</v>
      </c>
      <c r="D1233" s="40">
        <v>21</v>
      </c>
      <c r="E1233" s="9" t="s">
        <v>44</v>
      </c>
      <c r="F1233" s="14" t="s">
        <v>181</v>
      </c>
      <c r="G1233" s="10">
        <v>732</v>
      </c>
      <c r="H1233" s="14" t="s">
        <v>62</v>
      </c>
      <c r="I1233" s="41" t="str">
        <f>Assumptions!$I$180</f>
        <v>C</v>
      </c>
      <c r="J1233" s="14" t="str">
        <f>IF(D1233&lt;=Assumptions!$V$180,"Low",IF(D1233&lt;=Assumptions!$W$180,"Mid","High"))</f>
        <v>High</v>
      </c>
      <c r="K1233" s="15">
        <f>Assumptions!$Q$180</f>
        <v>2630</v>
      </c>
      <c r="L1233" s="42">
        <f>INDEX(Assumptions!$E$61:$E$90,D1233)</f>
        <v>3080.3785714285714</v>
      </c>
      <c r="M1233" s="43">
        <f>IF(D1233&lt;=Assumptions!$G$180,Assumptions!$AK$180,IF(D1233&lt;Assumptions!$AH$180,Assumptions!$AK$180+(Assumptions!$AL$180-Assumptions!$AK$180)*(D1233-Assumptions!$G$180)/(Assumptions!$AH$180-Assumptions!$G$180),IF(D1233&lt;Assumptions!$P$180,Assumptions!$AL$180+(Assumptions!$AM$180-Assumptions!$AL$180)*(D1233-Assumptions!$AH$180)/(Assumptions!$P$180-Assumptions!$AH$180),Assumptions!$AM$180)))</f>
        <v>-50000</v>
      </c>
      <c r="N1233" s="44">
        <f t="shared" si="38"/>
        <v>-68.306010928961754</v>
      </c>
      <c r="O1233" s="45">
        <f t="shared" si="39"/>
        <v>3012</v>
      </c>
      <c r="P1233" s="14" t="str">
        <f>IF(D1233&gt;=Assumptions!$P$180,"High",IF(D1233&gt;=Assumptions!$AH$180,"Mid",IF(D1233&lt;=Assumptions!$G$180,"Low","Loading")))</f>
        <v>High</v>
      </c>
      <c r="Q1233" s="46">
        <f>MAX(K1233,MIN(Assumptions!$S$180,O1233),Q1234)</f>
        <v>3012</v>
      </c>
      <c r="R1233" s="12">
        <f>IF(AND(Q1233&lt;=K1233,INDEX(Assumptions!$C$26:$C$36,MATCH(G1233,Assumptions!$A$26:$A$36,0))&lt;&gt;""),INDEX(Assumptions!$C$26:$C$36,MATCH(G1233,Assumptions!$A$26:$A$36,0)),ROUND(G1233*Q1233,-2))</f>
        <v>2204800</v>
      </c>
      <c r="S1233" s="47" t="str">
        <f>TRIM(IF(AND(Assumptions!$L$180&lt;&gt;"",D1233&lt;Assumptions!$L$180),"View blocked / roof in front ("&amp;Assumptions!$M$180&amp;"); view premium still loading until L"&amp;Assumptions!$L$180&amp;". ","")&amp;IF(D1233=Assumptions!$AH$180,"Mid-floor view premium fully loaded. ","")&amp;IF(D1233=Assumptions!$P$180,"High-floor view premium fully loaded. ","")&amp;IF(Q1233&lt;=K1233,"At developer starting price.",""))</f>
        <v/>
      </c>
      <c r="T1233" s="48" t="str">
        <f>Assumptions!$AJ$180</f>
        <v>SW. Pocket landscaping &amp; landed; Island Club in front of low floors</v>
      </c>
    </row>
    <row r="1234" spans="1:20" x14ac:dyDescent="0.2">
      <c r="A1234" s="13" t="s">
        <v>1418</v>
      </c>
      <c r="B1234" s="14">
        <v>11</v>
      </c>
      <c r="C1234" s="40">
        <v>54</v>
      </c>
      <c r="D1234" s="40">
        <v>20</v>
      </c>
      <c r="E1234" s="9" t="s">
        <v>44</v>
      </c>
      <c r="F1234" s="14" t="s">
        <v>181</v>
      </c>
      <c r="G1234" s="10">
        <v>732</v>
      </c>
      <c r="H1234" s="14" t="s">
        <v>62</v>
      </c>
      <c r="I1234" s="41" t="str">
        <f>Assumptions!$I$180</f>
        <v>C</v>
      </c>
      <c r="J1234" s="14" t="str">
        <f>IF(D1234&lt;=Assumptions!$V$180,"Low",IF(D1234&lt;=Assumptions!$W$180,"Mid","High"))</f>
        <v>High</v>
      </c>
      <c r="K1234" s="15">
        <f>Assumptions!$Q$180</f>
        <v>2630</v>
      </c>
      <c r="L1234" s="42">
        <f>INDEX(Assumptions!$E$61:$E$90,D1234)</f>
        <v>3057.3071428571425</v>
      </c>
      <c r="M1234" s="43">
        <f>IF(D1234&lt;=Assumptions!$G$180,Assumptions!$AK$180,IF(D1234&lt;Assumptions!$AH$180,Assumptions!$AK$180+(Assumptions!$AL$180-Assumptions!$AK$180)*(D1234-Assumptions!$G$180)/(Assumptions!$AH$180-Assumptions!$G$180),IF(D1234&lt;Assumptions!$P$180,Assumptions!$AL$180+(Assumptions!$AM$180-Assumptions!$AL$180)*(D1234-Assumptions!$AH$180)/(Assumptions!$P$180-Assumptions!$AH$180),Assumptions!$AM$180)))</f>
        <v>-50000</v>
      </c>
      <c r="N1234" s="44">
        <f t="shared" si="38"/>
        <v>-68.306010928961754</v>
      </c>
      <c r="O1234" s="45">
        <f t="shared" si="39"/>
        <v>2989</v>
      </c>
      <c r="P1234" s="14" t="str">
        <f>IF(D1234&gt;=Assumptions!$P$180,"High",IF(D1234&gt;=Assumptions!$AH$180,"Mid",IF(D1234&lt;=Assumptions!$G$180,"Low","Loading")))</f>
        <v>High</v>
      </c>
      <c r="Q1234" s="46">
        <f>MAX(K1234,MIN(Assumptions!$S$180,O1234),Q1235)</f>
        <v>2989</v>
      </c>
      <c r="R1234" s="12">
        <f>IF(AND(Q1234&lt;=K1234,INDEX(Assumptions!$C$26:$C$36,MATCH(G1234,Assumptions!$A$26:$A$36,0))&lt;&gt;""),INDEX(Assumptions!$C$26:$C$36,MATCH(G1234,Assumptions!$A$26:$A$36,0)),ROUND(G1234*Q1234,-2))</f>
        <v>2187900</v>
      </c>
      <c r="S1234" s="47" t="str">
        <f>TRIM(IF(AND(Assumptions!$L$180&lt;&gt;"",D1234&lt;Assumptions!$L$180),"View blocked / roof in front ("&amp;Assumptions!$M$180&amp;"); view premium still loading until L"&amp;Assumptions!$L$180&amp;". ","")&amp;IF(D1234=Assumptions!$AH$180,"Mid-floor view premium fully loaded. ","")&amp;IF(D1234=Assumptions!$P$180,"High-floor view premium fully loaded. ","")&amp;IF(Q1234&lt;=K1234,"At developer starting price.",""))</f>
        <v/>
      </c>
      <c r="T1234" s="48" t="str">
        <f>Assumptions!$AJ$180</f>
        <v>SW. Pocket landscaping &amp; landed; Island Club in front of low floors</v>
      </c>
    </row>
    <row r="1235" spans="1:20" x14ac:dyDescent="0.2">
      <c r="A1235" s="13" t="s">
        <v>1419</v>
      </c>
      <c r="B1235" s="14">
        <v>11</v>
      </c>
      <c r="C1235" s="40">
        <v>54</v>
      </c>
      <c r="D1235" s="40">
        <v>19</v>
      </c>
      <c r="E1235" s="9" t="s">
        <v>44</v>
      </c>
      <c r="F1235" s="14" t="s">
        <v>181</v>
      </c>
      <c r="G1235" s="10">
        <v>732</v>
      </c>
      <c r="H1235" s="14" t="s">
        <v>62</v>
      </c>
      <c r="I1235" s="41" t="str">
        <f>Assumptions!$I$180</f>
        <v>C</v>
      </c>
      <c r="J1235" s="14" t="str">
        <f>IF(D1235&lt;=Assumptions!$V$180,"Low",IF(D1235&lt;=Assumptions!$W$180,"Mid","High"))</f>
        <v>High</v>
      </c>
      <c r="K1235" s="15">
        <f>Assumptions!$Q$180</f>
        <v>2630</v>
      </c>
      <c r="L1235" s="42">
        <f>INDEX(Assumptions!$E$61:$E$90,D1235)</f>
        <v>3034.235714285714</v>
      </c>
      <c r="M1235" s="43">
        <f>IF(D1235&lt;=Assumptions!$G$180,Assumptions!$AK$180,IF(D1235&lt;Assumptions!$AH$180,Assumptions!$AK$180+(Assumptions!$AL$180-Assumptions!$AK$180)*(D1235-Assumptions!$G$180)/(Assumptions!$AH$180-Assumptions!$G$180),IF(D1235&lt;Assumptions!$P$180,Assumptions!$AL$180+(Assumptions!$AM$180-Assumptions!$AL$180)*(D1235-Assumptions!$AH$180)/(Assumptions!$P$180-Assumptions!$AH$180),Assumptions!$AM$180)))</f>
        <v>-50000</v>
      </c>
      <c r="N1235" s="44">
        <f t="shared" si="38"/>
        <v>-68.306010928961754</v>
      </c>
      <c r="O1235" s="45">
        <f t="shared" si="39"/>
        <v>2966</v>
      </c>
      <c r="P1235" s="14" t="str">
        <f>IF(D1235&gt;=Assumptions!$P$180,"High",IF(D1235&gt;=Assumptions!$AH$180,"Mid",IF(D1235&lt;=Assumptions!$G$180,"Low","Loading")))</f>
        <v>High</v>
      </c>
      <c r="Q1235" s="46">
        <f>MAX(K1235,MIN(Assumptions!$S$180,O1235),Q1236)</f>
        <v>2966</v>
      </c>
      <c r="R1235" s="12">
        <f>IF(AND(Q1235&lt;=K1235,INDEX(Assumptions!$C$26:$C$36,MATCH(G1235,Assumptions!$A$26:$A$36,0))&lt;&gt;""),INDEX(Assumptions!$C$26:$C$36,MATCH(G1235,Assumptions!$A$26:$A$36,0)),ROUND(G1235*Q1235,-2))</f>
        <v>2171100</v>
      </c>
      <c r="S1235" s="47" t="str">
        <f>TRIM(IF(AND(Assumptions!$L$180&lt;&gt;"",D1235&lt;Assumptions!$L$180),"View blocked / roof in front ("&amp;Assumptions!$M$180&amp;"); view premium still loading until L"&amp;Assumptions!$L$180&amp;". ","")&amp;IF(D1235=Assumptions!$AH$180,"Mid-floor view premium fully loaded. ","")&amp;IF(D1235=Assumptions!$P$180,"High-floor view premium fully loaded. ","")&amp;IF(Q1235&lt;=K1235,"At developer starting price.",""))</f>
        <v/>
      </c>
      <c r="T1235" s="48" t="str">
        <f>Assumptions!$AJ$180</f>
        <v>SW. Pocket landscaping &amp; landed; Island Club in front of low floors</v>
      </c>
    </row>
    <row r="1236" spans="1:20" x14ac:dyDescent="0.2">
      <c r="A1236" s="13" t="s">
        <v>1420</v>
      </c>
      <c r="B1236" s="14">
        <v>11</v>
      </c>
      <c r="C1236" s="40">
        <v>54</v>
      </c>
      <c r="D1236" s="40">
        <v>18</v>
      </c>
      <c r="E1236" s="9" t="s">
        <v>44</v>
      </c>
      <c r="F1236" s="14" t="s">
        <v>181</v>
      </c>
      <c r="G1236" s="10">
        <v>732</v>
      </c>
      <c r="H1236" s="14" t="s">
        <v>62</v>
      </c>
      <c r="I1236" s="41" t="str">
        <f>Assumptions!$I$180</f>
        <v>C</v>
      </c>
      <c r="J1236" s="14" t="str">
        <f>IF(D1236&lt;=Assumptions!$V$180,"Low",IF(D1236&lt;=Assumptions!$W$180,"Mid","High"))</f>
        <v>High</v>
      </c>
      <c r="K1236" s="15">
        <f>Assumptions!$Q$180</f>
        <v>2630</v>
      </c>
      <c r="L1236" s="42">
        <f>INDEX(Assumptions!$E$61:$E$90,D1236)</f>
        <v>3011.1642857142856</v>
      </c>
      <c r="M1236" s="43">
        <f>IF(D1236&lt;=Assumptions!$G$180,Assumptions!$AK$180,IF(D1236&lt;Assumptions!$AH$180,Assumptions!$AK$180+(Assumptions!$AL$180-Assumptions!$AK$180)*(D1236-Assumptions!$G$180)/(Assumptions!$AH$180-Assumptions!$G$180),IF(D1236&lt;Assumptions!$P$180,Assumptions!$AL$180+(Assumptions!$AM$180-Assumptions!$AL$180)*(D1236-Assumptions!$AH$180)/(Assumptions!$P$180-Assumptions!$AH$180),Assumptions!$AM$180)))</f>
        <v>-50000</v>
      </c>
      <c r="N1236" s="44">
        <f t="shared" si="38"/>
        <v>-68.306010928961754</v>
      </c>
      <c r="O1236" s="45">
        <f t="shared" si="39"/>
        <v>2943</v>
      </c>
      <c r="P1236" s="14" t="str">
        <f>IF(D1236&gt;=Assumptions!$P$180,"High",IF(D1236&gt;=Assumptions!$AH$180,"Mid",IF(D1236&lt;=Assumptions!$G$180,"Low","Loading")))</f>
        <v>High</v>
      </c>
      <c r="Q1236" s="46">
        <f>MAX(K1236,MIN(Assumptions!$S$180,O1236),Q1237)</f>
        <v>2943</v>
      </c>
      <c r="R1236" s="12">
        <f>IF(AND(Q1236&lt;=K1236,INDEX(Assumptions!$C$26:$C$36,MATCH(G1236,Assumptions!$A$26:$A$36,0))&lt;&gt;""),INDEX(Assumptions!$C$26:$C$36,MATCH(G1236,Assumptions!$A$26:$A$36,0)),ROUND(G1236*Q1236,-2))</f>
        <v>2154300</v>
      </c>
      <c r="S1236" s="47" t="str">
        <f>TRIM(IF(AND(Assumptions!$L$180&lt;&gt;"",D1236&lt;Assumptions!$L$180),"View blocked / roof in front ("&amp;Assumptions!$M$180&amp;"); view premium still loading until L"&amp;Assumptions!$L$180&amp;". ","")&amp;IF(D1236=Assumptions!$AH$180,"Mid-floor view premium fully loaded. ","")&amp;IF(D1236=Assumptions!$P$180,"High-floor view premium fully loaded. ","")&amp;IF(Q1236&lt;=K1236,"At developer starting price.",""))</f>
        <v/>
      </c>
      <c r="T1236" s="48" t="str">
        <f>Assumptions!$AJ$180</f>
        <v>SW. Pocket landscaping &amp; landed; Island Club in front of low floors</v>
      </c>
    </row>
    <row r="1237" spans="1:20" x14ac:dyDescent="0.2">
      <c r="A1237" s="13" t="s">
        <v>1421</v>
      </c>
      <c r="B1237" s="14">
        <v>11</v>
      </c>
      <c r="C1237" s="40">
        <v>54</v>
      </c>
      <c r="D1237" s="40">
        <v>17</v>
      </c>
      <c r="E1237" s="9" t="s">
        <v>44</v>
      </c>
      <c r="F1237" s="14" t="s">
        <v>181</v>
      </c>
      <c r="G1237" s="10">
        <v>732</v>
      </c>
      <c r="H1237" s="14" t="s">
        <v>62</v>
      </c>
      <c r="I1237" s="41" t="str">
        <f>Assumptions!$I$180</f>
        <v>C</v>
      </c>
      <c r="J1237" s="14" t="str">
        <f>IF(D1237&lt;=Assumptions!$V$180,"Low",IF(D1237&lt;=Assumptions!$W$180,"Mid","High"))</f>
        <v>High</v>
      </c>
      <c r="K1237" s="15">
        <f>Assumptions!$Q$180</f>
        <v>2630</v>
      </c>
      <c r="L1237" s="42">
        <f>INDEX(Assumptions!$E$61:$E$90,D1237)</f>
        <v>2988.0928571428572</v>
      </c>
      <c r="M1237" s="43">
        <f>IF(D1237&lt;=Assumptions!$G$180,Assumptions!$AK$180,IF(D1237&lt;Assumptions!$AH$180,Assumptions!$AK$180+(Assumptions!$AL$180-Assumptions!$AK$180)*(D1237-Assumptions!$G$180)/(Assumptions!$AH$180-Assumptions!$G$180),IF(D1237&lt;Assumptions!$P$180,Assumptions!$AL$180+(Assumptions!$AM$180-Assumptions!$AL$180)*(D1237-Assumptions!$AH$180)/(Assumptions!$P$180-Assumptions!$AH$180),Assumptions!$AM$180)))</f>
        <v>-50000</v>
      </c>
      <c r="N1237" s="44">
        <f t="shared" si="38"/>
        <v>-68.306010928961754</v>
      </c>
      <c r="O1237" s="45">
        <f t="shared" si="39"/>
        <v>2920</v>
      </c>
      <c r="P1237" s="14" t="str">
        <f>IF(D1237&gt;=Assumptions!$P$180,"High",IF(D1237&gt;=Assumptions!$AH$180,"Mid",IF(D1237&lt;=Assumptions!$G$180,"Low","Loading")))</f>
        <v>High</v>
      </c>
      <c r="Q1237" s="46">
        <f>MAX(K1237,MIN(Assumptions!$S$180,O1237),Q1238)</f>
        <v>2920</v>
      </c>
      <c r="R1237" s="12">
        <f>IF(AND(Q1237&lt;=K1237,INDEX(Assumptions!$C$26:$C$36,MATCH(G1237,Assumptions!$A$26:$A$36,0))&lt;&gt;""),INDEX(Assumptions!$C$26:$C$36,MATCH(G1237,Assumptions!$A$26:$A$36,0)),ROUND(G1237*Q1237,-2))</f>
        <v>2137400</v>
      </c>
      <c r="S1237" s="47" t="str">
        <f>TRIM(IF(AND(Assumptions!$L$180&lt;&gt;"",D1237&lt;Assumptions!$L$180),"View blocked / roof in front ("&amp;Assumptions!$M$180&amp;"); view premium still loading until L"&amp;Assumptions!$L$180&amp;". ","")&amp;IF(D1237=Assumptions!$AH$180,"Mid-floor view premium fully loaded. ","")&amp;IF(D1237=Assumptions!$P$180,"High-floor view premium fully loaded. ","")&amp;IF(Q1237&lt;=K1237,"At developer starting price.",""))</f>
        <v/>
      </c>
      <c r="T1237" s="48" t="str">
        <f>Assumptions!$AJ$180</f>
        <v>SW. Pocket landscaping &amp; landed; Island Club in front of low floors</v>
      </c>
    </row>
    <row r="1238" spans="1:20" x14ac:dyDescent="0.2">
      <c r="A1238" s="13" t="s">
        <v>1422</v>
      </c>
      <c r="B1238" s="14">
        <v>11</v>
      </c>
      <c r="C1238" s="40">
        <v>54</v>
      </c>
      <c r="D1238" s="40">
        <v>16</v>
      </c>
      <c r="E1238" s="9" t="s">
        <v>44</v>
      </c>
      <c r="F1238" s="14" t="s">
        <v>181</v>
      </c>
      <c r="G1238" s="10">
        <v>732</v>
      </c>
      <c r="H1238" s="14" t="s">
        <v>62</v>
      </c>
      <c r="I1238" s="41" t="str">
        <f>Assumptions!$I$180</f>
        <v>C</v>
      </c>
      <c r="J1238" s="14" t="str">
        <f>IF(D1238&lt;=Assumptions!$V$180,"Low",IF(D1238&lt;=Assumptions!$W$180,"Mid","High"))</f>
        <v>High</v>
      </c>
      <c r="K1238" s="15">
        <f>Assumptions!$Q$180</f>
        <v>2630</v>
      </c>
      <c r="L1238" s="42">
        <f>INDEX(Assumptions!$E$61:$E$90,D1238)</f>
        <v>2965.0214285714283</v>
      </c>
      <c r="M1238" s="43">
        <f>IF(D1238&lt;=Assumptions!$G$180,Assumptions!$AK$180,IF(D1238&lt;Assumptions!$AH$180,Assumptions!$AK$180+(Assumptions!$AL$180-Assumptions!$AK$180)*(D1238-Assumptions!$G$180)/(Assumptions!$AH$180-Assumptions!$G$180),IF(D1238&lt;Assumptions!$P$180,Assumptions!$AL$180+(Assumptions!$AM$180-Assumptions!$AL$180)*(D1238-Assumptions!$AH$180)/(Assumptions!$P$180-Assumptions!$AH$180),Assumptions!$AM$180)))</f>
        <v>-50000</v>
      </c>
      <c r="N1238" s="44">
        <f t="shared" si="38"/>
        <v>-68.306010928961754</v>
      </c>
      <c r="O1238" s="45">
        <f t="shared" si="39"/>
        <v>2897</v>
      </c>
      <c r="P1238" s="14" t="str">
        <f>IF(D1238&gt;=Assumptions!$P$180,"High",IF(D1238&gt;=Assumptions!$AH$180,"Mid",IF(D1238&lt;=Assumptions!$G$180,"Low","Loading")))</f>
        <v>High</v>
      </c>
      <c r="Q1238" s="46">
        <f>MAX(K1238,MIN(Assumptions!$S$180,O1238),Q1239)</f>
        <v>2897</v>
      </c>
      <c r="R1238" s="12">
        <f>IF(AND(Q1238&lt;=K1238,INDEX(Assumptions!$C$26:$C$36,MATCH(G1238,Assumptions!$A$26:$A$36,0))&lt;&gt;""),INDEX(Assumptions!$C$26:$C$36,MATCH(G1238,Assumptions!$A$26:$A$36,0)),ROUND(G1238*Q1238,-2))</f>
        <v>2120600</v>
      </c>
      <c r="S1238" s="47" t="str">
        <f>TRIM(IF(AND(Assumptions!$L$180&lt;&gt;"",D1238&lt;Assumptions!$L$180),"View blocked / roof in front ("&amp;Assumptions!$M$180&amp;"); view premium still loading until L"&amp;Assumptions!$L$180&amp;". ","")&amp;IF(D1238=Assumptions!$AH$180,"Mid-floor view premium fully loaded. ","")&amp;IF(D1238=Assumptions!$P$180,"High-floor view premium fully loaded. ","")&amp;IF(Q1238&lt;=K1238,"At developer starting price.",""))</f>
        <v>High-floor view premium fully loaded.</v>
      </c>
      <c r="T1238" s="48" t="str">
        <f>Assumptions!$AJ$180</f>
        <v>SW. Pocket landscaping &amp; landed; Island Club in front of low floors</v>
      </c>
    </row>
    <row r="1239" spans="1:20" x14ac:dyDescent="0.2">
      <c r="A1239" s="13" t="s">
        <v>1423</v>
      </c>
      <c r="B1239" s="14">
        <v>11</v>
      </c>
      <c r="C1239" s="40">
        <v>54</v>
      </c>
      <c r="D1239" s="40">
        <v>15</v>
      </c>
      <c r="E1239" s="9" t="s">
        <v>44</v>
      </c>
      <c r="F1239" s="14" t="s">
        <v>181</v>
      </c>
      <c r="G1239" s="10">
        <v>732</v>
      </c>
      <c r="H1239" s="14" t="s">
        <v>62</v>
      </c>
      <c r="I1239" s="41" t="str">
        <f>Assumptions!$I$180</f>
        <v>C</v>
      </c>
      <c r="J1239" s="14" t="str">
        <f>IF(D1239&lt;=Assumptions!$V$180,"Low",IF(D1239&lt;=Assumptions!$W$180,"Mid","High"))</f>
        <v>Mid</v>
      </c>
      <c r="K1239" s="15">
        <f>Assumptions!$Q$180</f>
        <v>2630</v>
      </c>
      <c r="L1239" s="42">
        <f>INDEX(Assumptions!$E$61:$E$90,D1239)</f>
        <v>2941.95</v>
      </c>
      <c r="M1239" s="43">
        <f>IF(D1239&lt;=Assumptions!$G$180,Assumptions!$AK$180,IF(D1239&lt;Assumptions!$AH$180,Assumptions!$AK$180+(Assumptions!$AL$180-Assumptions!$AK$180)*(D1239-Assumptions!$G$180)/(Assumptions!$AH$180-Assumptions!$G$180),IF(D1239&lt;Assumptions!$P$180,Assumptions!$AL$180+(Assumptions!$AM$180-Assumptions!$AL$180)*(D1239-Assumptions!$AH$180)/(Assumptions!$P$180-Assumptions!$AH$180),Assumptions!$AM$180)))</f>
        <v>-47222.222222222219</v>
      </c>
      <c r="N1239" s="44">
        <f t="shared" si="38"/>
        <v>-64.511232544019421</v>
      </c>
      <c r="O1239" s="45">
        <f t="shared" si="39"/>
        <v>2877</v>
      </c>
      <c r="P1239" s="14" t="str">
        <f>IF(D1239&gt;=Assumptions!$P$180,"High",IF(D1239&gt;=Assumptions!$AH$180,"Mid",IF(D1239&lt;=Assumptions!$G$180,"Low","Loading")))</f>
        <v>Mid</v>
      </c>
      <c r="Q1239" s="46">
        <f>MAX(K1239,MIN(Assumptions!$S$180,O1239),Q1240)</f>
        <v>2877</v>
      </c>
      <c r="R1239" s="12">
        <f>IF(AND(Q1239&lt;=K1239,INDEX(Assumptions!$C$26:$C$36,MATCH(G1239,Assumptions!$A$26:$A$36,0))&lt;&gt;""),INDEX(Assumptions!$C$26:$C$36,MATCH(G1239,Assumptions!$A$26:$A$36,0)),ROUND(G1239*Q1239,-2))</f>
        <v>2106000</v>
      </c>
      <c r="S1239" s="47" t="str">
        <f>TRIM(IF(AND(Assumptions!$L$180&lt;&gt;"",D1239&lt;Assumptions!$L$180),"View blocked / roof in front ("&amp;Assumptions!$M$180&amp;"); view premium still loading until L"&amp;Assumptions!$L$180&amp;". ","")&amp;IF(D1239=Assumptions!$AH$180,"Mid-floor view premium fully loaded. ","")&amp;IF(D1239=Assumptions!$P$180,"High-floor view premium fully loaded. ","")&amp;IF(Q1239&lt;=K1239,"At developer starting price.",""))</f>
        <v/>
      </c>
      <c r="T1239" s="48" t="str">
        <f>Assumptions!$AJ$180</f>
        <v>SW. Pocket landscaping &amp; landed; Island Club in front of low floors</v>
      </c>
    </row>
    <row r="1240" spans="1:20" x14ac:dyDescent="0.2">
      <c r="A1240" s="13" t="s">
        <v>1424</v>
      </c>
      <c r="B1240" s="14">
        <v>11</v>
      </c>
      <c r="C1240" s="40">
        <v>54</v>
      </c>
      <c r="D1240" s="40">
        <v>14</v>
      </c>
      <c r="E1240" s="9" t="s">
        <v>44</v>
      </c>
      <c r="F1240" s="14" t="s">
        <v>181</v>
      </c>
      <c r="G1240" s="10">
        <v>732</v>
      </c>
      <c r="H1240" s="14" t="s">
        <v>62</v>
      </c>
      <c r="I1240" s="41" t="str">
        <f>Assumptions!$I$180</f>
        <v>C</v>
      </c>
      <c r="J1240" s="14" t="str">
        <f>IF(D1240&lt;=Assumptions!$V$180,"Low",IF(D1240&lt;=Assumptions!$W$180,"Mid","High"))</f>
        <v>Mid</v>
      </c>
      <c r="K1240" s="15">
        <f>Assumptions!$Q$180</f>
        <v>2630</v>
      </c>
      <c r="L1240" s="42">
        <f>INDEX(Assumptions!$E$61:$E$90,D1240)</f>
        <v>2918.8785714285714</v>
      </c>
      <c r="M1240" s="43">
        <f>IF(D1240&lt;=Assumptions!$G$180,Assumptions!$AK$180,IF(D1240&lt;Assumptions!$AH$180,Assumptions!$AK$180+(Assumptions!$AL$180-Assumptions!$AK$180)*(D1240-Assumptions!$G$180)/(Assumptions!$AH$180-Assumptions!$G$180),IF(D1240&lt;Assumptions!$P$180,Assumptions!$AL$180+(Assumptions!$AM$180-Assumptions!$AL$180)*(D1240-Assumptions!$AH$180)/(Assumptions!$P$180-Assumptions!$AH$180),Assumptions!$AM$180)))</f>
        <v>-44444.444444444445</v>
      </c>
      <c r="N1240" s="44">
        <f t="shared" si="38"/>
        <v>-60.716454159077109</v>
      </c>
      <c r="O1240" s="45">
        <f t="shared" si="39"/>
        <v>2858</v>
      </c>
      <c r="P1240" s="14" t="str">
        <f>IF(D1240&gt;=Assumptions!$P$180,"High",IF(D1240&gt;=Assumptions!$AH$180,"Mid",IF(D1240&lt;=Assumptions!$G$180,"Low","Loading")))</f>
        <v>Mid</v>
      </c>
      <c r="Q1240" s="46">
        <f>MAX(K1240,MIN(Assumptions!$S$180,O1240),Q1241)</f>
        <v>2858</v>
      </c>
      <c r="R1240" s="12">
        <f>IF(AND(Q1240&lt;=K1240,INDEX(Assumptions!$C$26:$C$36,MATCH(G1240,Assumptions!$A$26:$A$36,0))&lt;&gt;""),INDEX(Assumptions!$C$26:$C$36,MATCH(G1240,Assumptions!$A$26:$A$36,0)),ROUND(G1240*Q1240,-2))</f>
        <v>2092100</v>
      </c>
      <c r="S1240" s="47" t="str">
        <f>TRIM(IF(AND(Assumptions!$L$180&lt;&gt;"",D1240&lt;Assumptions!$L$180),"View blocked / roof in front ("&amp;Assumptions!$M$180&amp;"); view premium still loading until L"&amp;Assumptions!$L$180&amp;". ","")&amp;IF(D1240=Assumptions!$AH$180,"Mid-floor view premium fully loaded. ","")&amp;IF(D1240=Assumptions!$P$180,"High-floor view premium fully loaded. ","")&amp;IF(Q1240&lt;=K1240,"At developer starting price.",""))</f>
        <v/>
      </c>
      <c r="T1240" s="48" t="str">
        <f>Assumptions!$AJ$180</f>
        <v>SW. Pocket landscaping &amp; landed; Island Club in front of low floors</v>
      </c>
    </row>
    <row r="1241" spans="1:20" x14ac:dyDescent="0.2">
      <c r="A1241" s="13" t="s">
        <v>1425</v>
      </c>
      <c r="B1241" s="14">
        <v>11</v>
      </c>
      <c r="C1241" s="40">
        <v>54</v>
      </c>
      <c r="D1241" s="40">
        <v>13</v>
      </c>
      <c r="E1241" s="9" t="s">
        <v>44</v>
      </c>
      <c r="F1241" s="14" t="s">
        <v>181</v>
      </c>
      <c r="G1241" s="10">
        <v>732</v>
      </c>
      <c r="H1241" s="14" t="s">
        <v>62</v>
      </c>
      <c r="I1241" s="41" t="str">
        <f>Assumptions!$I$180</f>
        <v>C</v>
      </c>
      <c r="J1241" s="14" t="str">
        <f>IF(D1241&lt;=Assumptions!$V$180,"Low",IF(D1241&lt;=Assumptions!$W$180,"Mid","High"))</f>
        <v>Mid</v>
      </c>
      <c r="K1241" s="15">
        <f>Assumptions!$Q$180</f>
        <v>2630</v>
      </c>
      <c r="L1241" s="42">
        <f>INDEX(Assumptions!$E$61:$E$90,D1241)</f>
        <v>2895.8071428571425</v>
      </c>
      <c r="M1241" s="43">
        <f>IF(D1241&lt;=Assumptions!$G$180,Assumptions!$AK$180,IF(D1241&lt;Assumptions!$AH$180,Assumptions!$AK$180+(Assumptions!$AL$180-Assumptions!$AK$180)*(D1241-Assumptions!$G$180)/(Assumptions!$AH$180-Assumptions!$G$180),IF(D1241&lt;Assumptions!$P$180,Assumptions!$AL$180+(Assumptions!$AM$180-Assumptions!$AL$180)*(D1241-Assumptions!$AH$180)/(Assumptions!$P$180-Assumptions!$AH$180),Assumptions!$AM$180)))</f>
        <v>-41666.666666666672</v>
      </c>
      <c r="N1241" s="44">
        <f t="shared" si="38"/>
        <v>-56.921675774134798</v>
      </c>
      <c r="O1241" s="45">
        <f t="shared" si="39"/>
        <v>2839</v>
      </c>
      <c r="P1241" s="14" t="str">
        <f>IF(D1241&gt;=Assumptions!$P$180,"High",IF(D1241&gt;=Assumptions!$AH$180,"Mid",IF(D1241&lt;=Assumptions!$G$180,"Low","Loading")))</f>
        <v>Mid</v>
      </c>
      <c r="Q1241" s="46">
        <f>MAX(K1241,MIN(Assumptions!$S$180,O1241),Q1242)</f>
        <v>2839</v>
      </c>
      <c r="R1241" s="12">
        <f>IF(AND(Q1241&lt;=K1241,INDEX(Assumptions!$C$26:$C$36,MATCH(G1241,Assumptions!$A$26:$A$36,0))&lt;&gt;""),INDEX(Assumptions!$C$26:$C$36,MATCH(G1241,Assumptions!$A$26:$A$36,0)),ROUND(G1241*Q1241,-2))</f>
        <v>2078100</v>
      </c>
      <c r="S1241" s="47" t="str">
        <f>TRIM(IF(AND(Assumptions!$L$180&lt;&gt;"",D1241&lt;Assumptions!$L$180),"View blocked / roof in front ("&amp;Assumptions!$M$180&amp;"); view premium still loading until L"&amp;Assumptions!$L$180&amp;". ","")&amp;IF(D1241=Assumptions!$AH$180,"Mid-floor view premium fully loaded. ","")&amp;IF(D1241=Assumptions!$P$180,"High-floor view premium fully loaded. ","")&amp;IF(Q1241&lt;=K1241,"At developer starting price.",""))</f>
        <v/>
      </c>
      <c r="T1241" s="48" t="str">
        <f>Assumptions!$AJ$180</f>
        <v>SW. Pocket landscaping &amp; landed; Island Club in front of low floors</v>
      </c>
    </row>
    <row r="1242" spans="1:20" x14ac:dyDescent="0.2">
      <c r="A1242" s="13" t="s">
        <v>1426</v>
      </c>
      <c r="B1242" s="14">
        <v>11</v>
      </c>
      <c r="C1242" s="40">
        <v>54</v>
      </c>
      <c r="D1242" s="40">
        <v>12</v>
      </c>
      <c r="E1242" s="9" t="s">
        <v>44</v>
      </c>
      <c r="F1242" s="14" t="s">
        <v>181</v>
      </c>
      <c r="G1242" s="10">
        <v>732</v>
      </c>
      <c r="H1242" s="14" t="s">
        <v>62</v>
      </c>
      <c r="I1242" s="41" t="str">
        <f>Assumptions!$I$180</f>
        <v>C</v>
      </c>
      <c r="J1242" s="14" t="str">
        <f>IF(D1242&lt;=Assumptions!$V$180,"Low",IF(D1242&lt;=Assumptions!$W$180,"Mid","High"))</f>
        <v>Mid</v>
      </c>
      <c r="K1242" s="15">
        <f>Assumptions!$Q$180</f>
        <v>2630</v>
      </c>
      <c r="L1242" s="42">
        <f>INDEX(Assumptions!$E$61:$E$90,D1242)</f>
        <v>2872.735714285714</v>
      </c>
      <c r="M1242" s="43">
        <f>IF(D1242&lt;=Assumptions!$G$180,Assumptions!$AK$180,IF(D1242&lt;Assumptions!$AH$180,Assumptions!$AK$180+(Assumptions!$AL$180-Assumptions!$AK$180)*(D1242-Assumptions!$G$180)/(Assumptions!$AH$180-Assumptions!$G$180),IF(D1242&lt;Assumptions!$P$180,Assumptions!$AL$180+(Assumptions!$AM$180-Assumptions!$AL$180)*(D1242-Assumptions!$AH$180)/(Assumptions!$P$180-Assumptions!$AH$180),Assumptions!$AM$180)))</f>
        <v>-38888.888888888891</v>
      </c>
      <c r="N1242" s="44">
        <f t="shared" si="38"/>
        <v>-53.126897389192472</v>
      </c>
      <c r="O1242" s="45">
        <f t="shared" si="39"/>
        <v>2820</v>
      </c>
      <c r="P1242" s="14" t="str">
        <f>IF(D1242&gt;=Assumptions!$P$180,"High",IF(D1242&gt;=Assumptions!$AH$180,"Mid",IF(D1242&lt;=Assumptions!$G$180,"Low","Loading")))</f>
        <v>Mid</v>
      </c>
      <c r="Q1242" s="46">
        <f>MAX(K1242,MIN(Assumptions!$S$180,O1242),Q1243)</f>
        <v>2820</v>
      </c>
      <c r="R1242" s="12">
        <f>IF(AND(Q1242&lt;=K1242,INDEX(Assumptions!$C$26:$C$36,MATCH(G1242,Assumptions!$A$26:$A$36,0))&lt;&gt;""),INDEX(Assumptions!$C$26:$C$36,MATCH(G1242,Assumptions!$A$26:$A$36,0)),ROUND(G1242*Q1242,-2))</f>
        <v>2064200</v>
      </c>
      <c r="S1242" s="47" t="str">
        <f>TRIM(IF(AND(Assumptions!$L$180&lt;&gt;"",D1242&lt;Assumptions!$L$180),"View blocked / roof in front ("&amp;Assumptions!$M$180&amp;"); view premium still loading until L"&amp;Assumptions!$L$180&amp;". ","")&amp;IF(D1242=Assumptions!$AH$180,"Mid-floor view premium fully loaded. ","")&amp;IF(D1242=Assumptions!$P$180,"High-floor view premium fully loaded. ","")&amp;IF(Q1242&lt;=K1242,"At developer starting price.",""))</f>
        <v/>
      </c>
      <c r="T1242" s="48" t="str">
        <f>Assumptions!$AJ$180</f>
        <v>SW. Pocket landscaping &amp; landed; Island Club in front of low floors</v>
      </c>
    </row>
    <row r="1243" spans="1:20" x14ac:dyDescent="0.2">
      <c r="A1243" s="13" t="s">
        <v>1427</v>
      </c>
      <c r="B1243" s="14">
        <v>11</v>
      </c>
      <c r="C1243" s="40">
        <v>54</v>
      </c>
      <c r="D1243" s="40">
        <v>11</v>
      </c>
      <c r="E1243" s="9" t="s">
        <v>44</v>
      </c>
      <c r="F1243" s="14" t="s">
        <v>181</v>
      </c>
      <c r="G1243" s="10">
        <v>732</v>
      </c>
      <c r="H1243" s="14" t="s">
        <v>62</v>
      </c>
      <c r="I1243" s="41" t="str">
        <f>Assumptions!$I$180</f>
        <v>C</v>
      </c>
      <c r="J1243" s="14" t="str">
        <f>IF(D1243&lt;=Assumptions!$V$180,"Low",IF(D1243&lt;=Assumptions!$W$180,"Mid","High"))</f>
        <v>Mid</v>
      </c>
      <c r="K1243" s="15">
        <f>Assumptions!$Q$180</f>
        <v>2630</v>
      </c>
      <c r="L1243" s="42">
        <f>INDEX(Assumptions!$E$61:$E$90,D1243)</f>
        <v>2852.6266321541557</v>
      </c>
      <c r="M1243" s="43">
        <f>IF(D1243&lt;=Assumptions!$G$180,Assumptions!$AK$180,IF(D1243&lt;Assumptions!$AH$180,Assumptions!$AK$180+(Assumptions!$AL$180-Assumptions!$AK$180)*(D1243-Assumptions!$G$180)/(Assumptions!$AH$180-Assumptions!$G$180),IF(D1243&lt;Assumptions!$P$180,Assumptions!$AL$180+(Assumptions!$AM$180-Assumptions!$AL$180)*(D1243-Assumptions!$AH$180)/(Assumptions!$P$180-Assumptions!$AH$180),Assumptions!$AM$180)))</f>
        <v>-36111.111111111109</v>
      </c>
      <c r="N1243" s="44">
        <f t="shared" si="38"/>
        <v>-49.332119004250153</v>
      </c>
      <c r="O1243" s="45">
        <f t="shared" si="39"/>
        <v>2803</v>
      </c>
      <c r="P1243" s="14" t="str">
        <f>IF(D1243&gt;=Assumptions!$P$180,"High",IF(D1243&gt;=Assumptions!$AH$180,"Mid",IF(D1243&lt;=Assumptions!$G$180,"Low","Loading")))</f>
        <v>Mid</v>
      </c>
      <c r="Q1243" s="46">
        <f>MAX(K1243,MIN(Assumptions!$S$180,O1243),Q1244)</f>
        <v>2803</v>
      </c>
      <c r="R1243" s="12">
        <f>IF(AND(Q1243&lt;=K1243,INDEX(Assumptions!$C$26:$C$36,MATCH(G1243,Assumptions!$A$26:$A$36,0))&lt;&gt;""),INDEX(Assumptions!$C$26:$C$36,MATCH(G1243,Assumptions!$A$26:$A$36,0)),ROUND(G1243*Q1243,-2))</f>
        <v>2051800</v>
      </c>
      <c r="S1243" s="47" t="str">
        <f>TRIM(IF(AND(Assumptions!$L$180&lt;&gt;"",D1243&lt;Assumptions!$L$180),"View blocked / roof in front ("&amp;Assumptions!$M$180&amp;"); view premium still loading until L"&amp;Assumptions!$L$180&amp;". ","")&amp;IF(D1243=Assumptions!$AH$180,"Mid-floor view premium fully loaded. ","")&amp;IF(D1243=Assumptions!$P$180,"High-floor view premium fully loaded. ","")&amp;IF(Q1243&lt;=K1243,"At developer starting price.",""))</f>
        <v/>
      </c>
      <c r="T1243" s="48" t="str">
        <f>Assumptions!$AJ$180</f>
        <v>SW. Pocket landscaping &amp; landed; Island Club in front of low floors</v>
      </c>
    </row>
    <row r="1244" spans="1:20" x14ac:dyDescent="0.2">
      <c r="A1244" s="13" t="s">
        <v>1428</v>
      </c>
      <c r="B1244" s="14">
        <v>11</v>
      </c>
      <c r="C1244" s="40">
        <v>54</v>
      </c>
      <c r="D1244" s="40">
        <v>10</v>
      </c>
      <c r="E1244" s="9" t="s">
        <v>44</v>
      </c>
      <c r="F1244" s="14" t="s">
        <v>181</v>
      </c>
      <c r="G1244" s="10">
        <v>732</v>
      </c>
      <c r="H1244" s="14" t="s">
        <v>62</v>
      </c>
      <c r="I1244" s="41" t="str">
        <f>Assumptions!$I$180</f>
        <v>C</v>
      </c>
      <c r="J1244" s="14" t="str">
        <f>IF(D1244&lt;=Assumptions!$V$180,"Low",IF(D1244&lt;=Assumptions!$W$180,"Mid","High"))</f>
        <v>Mid</v>
      </c>
      <c r="K1244" s="15">
        <f>Assumptions!$Q$180</f>
        <v>2630</v>
      </c>
      <c r="L1244" s="42">
        <f>INDEX(Assumptions!$E$61:$E$90,D1244)</f>
        <v>2835.4798964624674</v>
      </c>
      <c r="M1244" s="43">
        <f>IF(D1244&lt;=Assumptions!$G$180,Assumptions!$AK$180,IF(D1244&lt;Assumptions!$AH$180,Assumptions!$AK$180+(Assumptions!$AL$180-Assumptions!$AK$180)*(D1244-Assumptions!$G$180)/(Assumptions!$AH$180-Assumptions!$G$180),IF(D1244&lt;Assumptions!$P$180,Assumptions!$AL$180+(Assumptions!$AM$180-Assumptions!$AL$180)*(D1244-Assumptions!$AH$180)/(Assumptions!$P$180-Assumptions!$AH$180),Assumptions!$AM$180)))</f>
        <v>-33333.333333333336</v>
      </c>
      <c r="N1244" s="44">
        <f t="shared" si="38"/>
        <v>-45.537340619307834</v>
      </c>
      <c r="O1244" s="45">
        <f t="shared" si="39"/>
        <v>2790</v>
      </c>
      <c r="P1244" s="14" t="str">
        <f>IF(D1244&gt;=Assumptions!$P$180,"High",IF(D1244&gt;=Assumptions!$AH$180,"Mid",IF(D1244&lt;=Assumptions!$G$180,"Low","Loading")))</f>
        <v>Mid</v>
      </c>
      <c r="Q1244" s="46">
        <f>MAX(K1244,MIN(Assumptions!$S$180,O1244),Q1245)</f>
        <v>2790</v>
      </c>
      <c r="R1244" s="12">
        <f>IF(AND(Q1244&lt;=K1244,INDEX(Assumptions!$C$26:$C$36,MATCH(G1244,Assumptions!$A$26:$A$36,0))&lt;&gt;""),INDEX(Assumptions!$C$26:$C$36,MATCH(G1244,Assumptions!$A$26:$A$36,0)),ROUND(G1244*Q1244,-2))</f>
        <v>2042300</v>
      </c>
      <c r="S1244" s="47" t="str">
        <f>TRIM(IF(AND(Assumptions!$L$180&lt;&gt;"",D1244&lt;Assumptions!$L$180),"View blocked / roof in front ("&amp;Assumptions!$M$180&amp;"); view premium still loading until L"&amp;Assumptions!$L$180&amp;". ","")&amp;IF(D1244=Assumptions!$AH$180,"Mid-floor view premium fully loaded. ","")&amp;IF(D1244=Assumptions!$P$180,"High-floor view premium fully loaded. ","")&amp;IF(Q1244&lt;=K1244,"At developer starting price.",""))</f>
        <v/>
      </c>
      <c r="T1244" s="48" t="str">
        <f>Assumptions!$AJ$180</f>
        <v>SW. Pocket landscaping &amp; landed; Island Club in front of low floors</v>
      </c>
    </row>
    <row r="1245" spans="1:20" x14ac:dyDescent="0.2">
      <c r="A1245" s="13" t="s">
        <v>1429</v>
      </c>
      <c r="B1245" s="14">
        <v>11</v>
      </c>
      <c r="C1245" s="40">
        <v>54</v>
      </c>
      <c r="D1245" s="40">
        <v>9</v>
      </c>
      <c r="E1245" s="9" t="s">
        <v>44</v>
      </c>
      <c r="F1245" s="14" t="s">
        <v>181</v>
      </c>
      <c r="G1245" s="10">
        <v>732</v>
      </c>
      <c r="H1245" s="14" t="s">
        <v>62</v>
      </c>
      <c r="I1245" s="41" t="str">
        <f>Assumptions!$I$180</f>
        <v>C</v>
      </c>
      <c r="J1245" s="14" t="str">
        <f>IF(D1245&lt;=Assumptions!$V$180,"Low",IF(D1245&lt;=Assumptions!$W$180,"Mid","High"))</f>
        <v>Mid</v>
      </c>
      <c r="K1245" s="15">
        <f>Assumptions!$Q$180</f>
        <v>2630</v>
      </c>
      <c r="L1245" s="42">
        <f>INDEX(Assumptions!$E$61:$E$90,D1245)</f>
        <v>2818.3331607707792</v>
      </c>
      <c r="M1245" s="43">
        <f>IF(D1245&lt;=Assumptions!$G$180,Assumptions!$AK$180,IF(D1245&lt;Assumptions!$AH$180,Assumptions!$AK$180+(Assumptions!$AL$180-Assumptions!$AK$180)*(D1245-Assumptions!$G$180)/(Assumptions!$AH$180-Assumptions!$G$180),IF(D1245&lt;Assumptions!$P$180,Assumptions!$AL$180+(Assumptions!$AM$180-Assumptions!$AL$180)*(D1245-Assumptions!$AH$180)/(Assumptions!$P$180-Assumptions!$AH$180),Assumptions!$AM$180)))</f>
        <v>-30555.555555555555</v>
      </c>
      <c r="N1245" s="44">
        <f t="shared" si="38"/>
        <v>-41.742562234365515</v>
      </c>
      <c r="O1245" s="45">
        <f t="shared" si="39"/>
        <v>2777</v>
      </c>
      <c r="P1245" s="14" t="str">
        <f>IF(D1245&gt;=Assumptions!$P$180,"High",IF(D1245&gt;=Assumptions!$AH$180,"Mid",IF(D1245&lt;=Assumptions!$G$180,"Low","Loading")))</f>
        <v>Mid</v>
      </c>
      <c r="Q1245" s="46">
        <f>MAX(K1245,MIN(Assumptions!$S$180,O1245),Q1246)</f>
        <v>2777</v>
      </c>
      <c r="R1245" s="12">
        <f>IF(AND(Q1245&lt;=K1245,INDEX(Assumptions!$C$26:$C$36,MATCH(G1245,Assumptions!$A$26:$A$36,0))&lt;&gt;""),INDEX(Assumptions!$C$26:$C$36,MATCH(G1245,Assumptions!$A$26:$A$36,0)),ROUND(G1245*Q1245,-2))</f>
        <v>2032800</v>
      </c>
      <c r="S1245" s="47" t="str">
        <f>TRIM(IF(AND(Assumptions!$L$180&lt;&gt;"",D1245&lt;Assumptions!$L$180),"View blocked / roof in front ("&amp;Assumptions!$M$180&amp;"); view premium still loading until L"&amp;Assumptions!$L$180&amp;". ","")&amp;IF(D1245=Assumptions!$AH$180,"Mid-floor view premium fully loaded. ","")&amp;IF(D1245=Assumptions!$P$180,"High-floor view premium fully loaded. ","")&amp;IF(Q1245&lt;=K1245,"At developer starting price.",""))</f>
        <v/>
      </c>
      <c r="T1245" s="48" t="str">
        <f>Assumptions!$AJ$180</f>
        <v>SW. Pocket landscaping &amp; landed; Island Club in front of low floors</v>
      </c>
    </row>
    <row r="1246" spans="1:20" x14ac:dyDescent="0.2">
      <c r="A1246" s="13" t="s">
        <v>1430</v>
      </c>
      <c r="B1246" s="14">
        <v>11</v>
      </c>
      <c r="C1246" s="40">
        <v>54</v>
      </c>
      <c r="D1246" s="40">
        <v>8</v>
      </c>
      <c r="E1246" s="9" t="s">
        <v>44</v>
      </c>
      <c r="F1246" s="14" t="s">
        <v>181</v>
      </c>
      <c r="G1246" s="10">
        <v>732</v>
      </c>
      <c r="H1246" s="14" t="s">
        <v>62</v>
      </c>
      <c r="I1246" s="41" t="str">
        <f>Assumptions!$I$180</f>
        <v>C</v>
      </c>
      <c r="J1246" s="14" t="str">
        <f>IF(D1246&lt;=Assumptions!$V$180,"Low",IF(D1246&lt;=Assumptions!$W$180,"Mid","High"))</f>
        <v>Mid</v>
      </c>
      <c r="K1246" s="15">
        <f>Assumptions!$Q$180</f>
        <v>2630</v>
      </c>
      <c r="L1246" s="42">
        <f>INDEX(Assumptions!$E$61:$E$90,D1246)</f>
        <v>2801.1864250790909</v>
      </c>
      <c r="M1246" s="43">
        <f>IF(D1246&lt;=Assumptions!$G$180,Assumptions!$AK$180,IF(D1246&lt;Assumptions!$AH$180,Assumptions!$AK$180+(Assumptions!$AL$180-Assumptions!$AK$180)*(D1246-Assumptions!$G$180)/(Assumptions!$AH$180-Assumptions!$G$180),IF(D1246&lt;Assumptions!$P$180,Assumptions!$AL$180+(Assumptions!$AM$180-Assumptions!$AL$180)*(D1246-Assumptions!$AH$180)/(Assumptions!$P$180-Assumptions!$AH$180),Assumptions!$AM$180)))</f>
        <v>-27777.777777777777</v>
      </c>
      <c r="N1246" s="44">
        <f t="shared" si="38"/>
        <v>-37.947783849423196</v>
      </c>
      <c r="O1246" s="45">
        <f t="shared" si="39"/>
        <v>2763</v>
      </c>
      <c r="P1246" s="14" t="str">
        <f>IF(D1246&gt;=Assumptions!$P$180,"High",IF(D1246&gt;=Assumptions!$AH$180,"Mid",IF(D1246&lt;=Assumptions!$G$180,"Low","Loading")))</f>
        <v>Mid</v>
      </c>
      <c r="Q1246" s="46">
        <f>MAX(K1246,MIN(Assumptions!$S$180,O1246),Q1247)</f>
        <v>2763</v>
      </c>
      <c r="R1246" s="12">
        <f>IF(AND(Q1246&lt;=K1246,INDEX(Assumptions!$C$26:$C$36,MATCH(G1246,Assumptions!$A$26:$A$36,0))&lt;&gt;""),INDEX(Assumptions!$C$26:$C$36,MATCH(G1246,Assumptions!$A$26:$A$36,0)),ROUND(G1246*Q1246,-2))</f>
        <v>2022500</v>
      </c>
      <c r="S1246" s="47" t="str">
        <f>TRIM(IF(AND(Assumptions!$L$180&lt;&gt;"",D1246&lt;Assumptions!$L$180),"View blocked / roof in front ("&amp;Assumptions!$M$180&amp;"); view premium still loading until L"&amp;Assumptions!$L$180&amp;". ","")&amp;IF(D1246=Assumptions!$AH$180,"Mid-floor view premium fully loaded. ","")&amp;IF(D1246=Assumptions!$P$180,"High-floor view premium fully loaded. ","")&amp;IF(Q1246&lt;=K1246,"At developer starting price.",""))</f>
        <v/>
      </c>
      <c r="T1246" s="48" t="str">
        <f>Assumptions!$AJ$180</f>
        <v>SW. Pocket landscaping &amp; landed; Island Club in front of low floors</v>
      </c>
    </row>
    <row r="1247" spans="1:20" x14ac:dyDescent="0.2">
      <c r="A1247" s="13" t="s">
        <v>1431</v>
      </c>
      <c r="B1247" s="14">
        <v>11</v>
      </c>
      <c r="C1247" s="40">
        <v>54</v>
      </c>
      <c r="D1247" s="40">
        <v>7</v>
      </c>
      <c r="E1247" s="9" t="s">
        <v>44</v>
      </c>
      <c r="F1247" s="14" t="s">
        <v>181</v>
      </c>
      <c r="G1247" s="10">
        <v>732</v>
      </c>
      <c r="H1247" s="14" t="s">
        <v>62</v>
      </c>
      <c r="I1247" s="41" t="str">
        <f>Assumptions!$I$180</f>
        <v>C</v>
      </c>
      <c r="J1247" s="14" t="str">
        <f>IF(D1247&lt;=Assumptions!$V$180,"Low",IF(D1247&lt;=Assumptions!$W$180,"Mid","High"))</f>
        <v>Low</v>
      </c>
      <c r="K1247" s="15">
        <f>Assumptions!$Q$180</f>
        <v>2630</v>
      </c>
      <c r="L1247" s="42">
        <f>INDEX(Assumptions!$E$61:$E$90,D1247)</f>
        <v>2784.0396893874026</v>
      </c>
      <c r="M1247" s="43">
        <f>IF(D1247&lt;=Assumptions!$G$180,Assumptions!$AK$180,IF(D1247&lt;Assumptions!$AH$180,Assumptions!$AK$180+(Assumptions!$AL$180-Assumptions!$AK$180)*(D1247-Assumptions!$G$180)/(Assumptions!$AH$180-Assumptions!$G$180),IF(D1247&lt;Assumptions!$P$180,Assumptions!$AL$180+(Assumptions!$AM$180-Assumptions!$AL$180)*(D1247-Assumptions!$AH$180)/(Assumptions!$P$180-Assumptions!$AH$180),Assumptions!$AM$180)))</f>
        <v>-25000</v>
      </c>
      <c r="N1247" s="44">
        <f t="shared" si="38"/>
        <v>-34.153005464480877</v>
      </c>
      <c r="O1247" s="45">
        <f t="shared" si="39"/>
        <v>2750</v>
      </c>
      <c r="P1247" s="14" t="str">
        <f>IF(D1247&gt;=Assumptions!$P$180,"High",IF(D1247&gt;=Assumptions!$AH$180,"Mid",IF(D1247&lt;=Assumptions!$G$180,"Low","Loading")))</f>
        <v>Mid</v>
      </c>
      <c r="Q1247" s="46">
        <f>MAX(K1247,MIN(Assumptions!$S$180,O1247),Q1248)</f>
        <v>2750</v>
      </c>
      <c r="R1247" s="12">
        <f>IF(AND(Q1247&lt;=K1247,INDEX(Assumptions!$C$26:$C$36,MATCH(G1247,Assumptions!$A$26:$A$36,0))&lt;&gt;""),INDEX(Assumptions!$C$26:$C$36,MATCH(G1247,Assumptions!$A$26:$A$36,0)),ROUND(G1247*Q1247,-2))</f>
        <v>2013000</v>
      </c>
      <c r="S1247" s="47" t="str">
        <f>TRIM(IF(AND(Assumptions!$L$180&lt;&gt;"",D1247&lt;Assumptions!$L$180),"View blocked / roof in front ("&amp;Assumptions!$M$180&amp;"); view premium still loading until L"&amp;Assumptions!$L$180&amp;". ","")&amp;IF(D1247=Assumptions!$AH$180,"Mid-floor view premium fully loaded. ","")&amp;IF(D1247=Assumptions!$P$180,"High-floor view premium fully loaded. ","")&amp;IF(Q1247&lt;=K1247,"At developer starting price.",""))</f>
        <v>Mid-floor view premium fully loaded.</v>
      </c>
      <c r="T1247" s="48" t="str">
        <f>Assumptions!$AJ$180</f>
        <v>SW. Pocket landscaping &amp; landed; Island Club in front of low floors</v>
      </c>
    </row>
    <row r="1248" spans="1:20" x14ac:dyDescent="0.2">
      <c r="A1248" s="13" t="s">
        <v>1432</v>
      </c>
      <c r="B1248" s="14">
        <v>11</v>
      </c>
      <c r="C1248" s="40">
        <v>54</v>
      </c>
      <c r="D1248" s="40">
        <v>6</v>
      </c>
      <c r="E1248" s="9" t="s">
        <v>44</v>
      </c>
      <c r="F1248" s="14" t="s">
        <v>181</v>
      </c>
      <c r="G1248" s="10">
        <v>732</v>
      </c>
      <c r="H1248" s="14" t="s">
        <v>62</v>
      </c>
      <c r="I1248" s="41" t="str">
        <f>Assumptions!$I$180</f>
        <v>C</v>
      </c>
      <c r="J1248" s="14" t="str">
        <f>IF(D1248&lt;=Assumptions!$V$180,"Low",IF(D1248&lt;=Assumptions!$W$180,"Mid","High"))</f>
        <v>Low</v>
      </c>
      <c r="K1248" s="15">
        <f>Assumptions!$Q$180</f>
        <v>2630</v>
      </c>
      <c r="L1248" s="42">
        <f>INDEX(Assumptions!$E$61:$E$90,D1248)</f>
        <v>2766.8929536957148</v>
      </c>
      <c r="M1248" s="43">
        <f>IF(D1248&lt;=Assumptions!$G$180,Assumptions!$AK$180,IF(D1248&lt;Assumptions!$AH$180,Assumptions!$AK$180+(Assumptions!$AL$180-Assumptions!$AK$180)*(D1248-Assumptions!$G$180)/(Assumptions!$AH$180-Assumptions!$G$180),IF(D1248&lt;Assumptions!$P$180,Assumptions!$AL$180+(Assumptions!$AM$180-Assumptions!$AL$180)*(D1248-Assumptions!$AH$180)/(Assumptions!$P$180-Assumptions!$AH$180),Assumptions!$AM$180)))</f>
        <v>-30000</v>
      </c>
      <c r="N1248" s="44">
        <f t="shared" si="38"/>
        <v>-40.983606557377051</v>
      </c>
      <c r="O1248" s="45">
        <f t="shared" si="39"/>
        <v>2726</v>
      </c>
      <c r="P1248" s="14" t="str">
        <f>IF(D1248&gt;=Assumptions!$P$180,"High",IF(D1248&gt;=Assumptions!$AH$180,"Mid",IF(D1248&lt;=Assumptions!$G$180,"Low","Loading")))</f>
        <v>Loading</v>
      </c>
      <c r="Q1248" s="46">
        <f>MAX(K1248,MIN(Assumptions!$S$180,O1248),Q1249)</f>
        <v>2726</v>
      </c>
      <c r="R1248" s="12">
        <f>IF(AND(Q1248&lt;=K1248,INDEX(Assumptions!$C$26:$C$36,MATCH(G1248,Assumptions!$A$26:$A$36,0))&lt;&gt;""),INDEX(Assumptions!$C$26:$C$36,MATCH(G1248,Assumptions!$A$26:$A$36,0)),ROUND(G1248*Q1248,-2))</f>
        <v>1995400</v>
      </c>
      <c r="S1248" s="47" t="str">
        <f>TRIM(IF(AND(Assumptions!$L$180&lt;&gt;"",D1248&lt;Assumptions!$L$180),"View blocked / roof in front ("&amp;Assumptions!$M$180&amp;"); view premium still loading until L"&amp;Assumptions!$L$180&amp;". ","")&amp;IF(D1248=Assumptions!$AH$180,"Mid-floor view premium fully loaded. ","")&amp;IF(D1248=Assumptions!$P$180,"High-floor view premium fully loaded. ","")&amp;IF(Q1248&lt;=K1248,"At developer starting price.",""))</f>
        <v>View blocked / roof in front (Island Club: 62% of view, 28.9 to 40m away); view premium still loading until L7.</v>
      </c>
      <c r="T1248" s="48" t="str">
        <f>Assumptions!$AJ$180</f>
        <v>SW. Pocket landscaping &amp; landed; Island Club in front of low floors</v>
      </c>
    </row>
    <row r="1249" spans="1:20" x14ac:dyDescent="0.2">
      <c r="A1249" s="13" t="s">
        <v>1433</v>
      </c>
      <c r="B1249" s="14">
        <v>11</v>
      </c>
      <c r="C1249" s="40">
        <v>54</v>
      </c>
      <c r="D1249" s="40">
        <v>5</v>
      </c>
      <c r="E1249" s="9" t="s">
        <v>44</v>
      </c>
      <c r="F1249" s="14" t="s">
        <v>181</v>
      </c>
      <c r="G1249" s="10">
        <v>732</v>
      </c>
      <c r="H1249" s="14" t="s">
        <v>62</v>
      </c>
      <c r="I1249" s="41" t="str">
        <f>Assumptions!$I$180</f>
        <v>C</v>
      </c>
      <c r="J1249" s="14" t="str">
        <f>IF(D1249&lt;=Assumptions!$V$180,"Low",IF(D1249&lt;=Assumptions!$W$180,"Mid","High"))</f>
        <v>Low</v>
      </c>
      <c r="K1249" s="15">
        <f>Assumptions!$Q$180</f>
        <v>2630</v>
      </c>
      <c r="L1249" s="42">
        <f>INDEX(Assumptions!$E$61:$E$90,D1249)</f>
        <v>2749.7462180040266</v>
      </c>
      <c r="M1249" s="43">
        <f>IF(D1249&lt;=Assumptions!$G$180,Assumptions!$AK$180,IF(D1249&lt;Assumptions!$AH$180,Assumptions!$AK$180+(Assumptions!$AL$180-Assumptions!$AK$180)*(D1249-Assumptions!$G$180)/(Assumptions!$AH$180-Assumptions!$G$180),IF(D1249&lt;Assumptions!$P$180,Assumptions!$AL$180+(Assumptions!$AM$180-Assumptions!$AL$180)*(D1249-Assumptions!$AH$180)/(Assumptions!$P$180-Assumptions!$AH$180),Assumptions!$AM$180)))</f>
        <v>-35000</v>
      </c>
      <c r="N1249" s="44">
        <f t="shared" si="38"/>
        <v>-47.814207650273225</v>
      </c>
      <c r="O1249" s="45">
        <f t="shared" si="39"/>
        <v>2702</v>
      </c>
      <c r="P1249" s="14" t="str">
        <f>IF(D1249&gt;=Assumptions!$P$180,"High",IF(D1249&gt;=Assumptions!$AH$180,"Mid",IF(D1249&lt;=Assumptions!$G$180,"Low","Loading")))</f>
        <v>Loading</v>
      </c>
      <c r="Q1249" s="46">
        <f>MAX(K1249,MIN(Assumptions!$S$180,O1249),Q1250)</f>
        <v>2702</v>
      </c>
      <c r="R1249" s="12">
        <f>IF(AND(Q1249&lt;=K1249,INDEX(Assumptions!$C$26:$C$36,MATCH(G1249,Assumptions!$A$26:$A$36,0))&lt;&gt;""),INDEX(Assumptions!$C$26:$C$36,MATCH(G1249,Assumptions!$A$26:$A$36,0)),ROUND(G1249*Q1249,-2))</f>
        <v>1977900</v>
      </c>
      <c r="S1249" s="47" t="str">
        <f>TRIM(IF(AND(Assumptions!$L$180&lt;&gt;"",D1249&lt;Assumptions!$L$180),"View blocked / roof in front ("&amp;Assumptions!$M$180&amp;"); view premium still loading until L"&amp;Assumptions!$L$180&amp;". ","")&amp;IF(D1249=Assumptions!$AH$180,"Mid-floor view premium fully loaded. ","")&amp;IF(D1249=Assumptions!$P$180,"High-floor view premium fully loaded. ","")&amp;IF(Q1249&lt;=K1249,"At developer starting price.",""))</f>
        <v>View blocked / roof in front (Island Club: 62% of view, 28.9 to 40m away); view premium still loading until L7.</v>
      </c>
      <c r="T1249" s="48" t="str">
        <f>Assumptions!$AJ$180</f>
        <v>SW. Pocket landscaping &amp; landed; Island Club in front of low floors</v>
      </c>
    </row>
    <row r="1250" spans="1:20" x14ac:dyDescent="0.2">
      <c r="A1250" s="13" t="s">
        <v>1434</v>
      </c>
      <c r="B1250" s="14">
        <v>11</v>
      </c>
      <c r="C1250" s="40">
        <v>54</v>
      </c>
      <c r="D1250" s="40">
        <v>4</v>
      </c>
      <c r="E1250" s="9" t="s">
        <v>44</v>
      </c>
      <c r="F1250" s="14" t="s">
        <v>181</v>
      </c>
      <c r="G1250" s="10">
        <v>732</v>
      </c>
      <c r="H1250" s="14" t="s">
        <v>62</v>
      </c>
      <c r="I1250" s="41" t="str">
        <f>Assumptions!$I$180</f>
        <v>C</v>
      </c>
      <c r="J1250" s="14" t="str">
        <f>IF(D1250&lt;=Assumptions!$V$180,"Low",IF(D1250&lt;=Assumptions!$W$180,"Mid","High"))</f>
        <v>Low</v>
      </c>
      <c r="K1250" s="15">
        <f>Assumptions!$Q$180</f>
        <v>2630</v>
      </c>
      <c r="L1250" s="42">
        <f>INDEX(Assumptions!$E$61:$E$90,D1250)</f>
        <v>2732.5994823123383</v>
      </c>
      <c r="M1250" s="43">
        <f>IF(D1250&lt;=Assumptions!$G$180,Assumptions!$AK$180,IF(D1250&lt;Assumptions!$AH$180,Assumptions!$AK$180+(Assumptions!$AL$180-Assumptions!$AK$180)*(D1250-Assumptions!$G$180)/(Assumptions!$AH$180-Assumptions!$G$180),IF(D1250&lt;Assumptions!$P$180,Assumptions!$AL$180+(Assumptions!$AM$180-Assumptions!$AL$180)*(D1250-Assumptions!$AH$180)/(Assumptions!$P$180-Assumptions!$AH$180),Assumptions!$AM$180)))</f>
        <v>-40000</v>
      </c>
      <c r="N1250" s="44">
        <f t="shared" si="38"/>
        <v>-54.644808743169399</v>
      </c>
      <c r="O1250" s="45">
        <f t="shared" si="39"/>
        <v>2678</v>
      </c>
      <c r="P1250" s="14" t="str">
        <f>IF(D1250&gt;=Assumptions!$P$180,"High",IF(D1250&gt;=Assumptions!$AH$180,"Mid",IF(D1250&lt;=Assumptions!$G$180,"Low","Loading")))</f>
        <v>Loading</v>
      </c>
      <c r="Q1250" s="46">
        <f>MAX(K1250,MIN(Assumptions!$S$180,O1250),Q1251)</f>
        <v>2678</v>
      </c>
      <c r="R1250" s="12">
        <f>IF(AND(Q1250&lt;=K1250,INDEX(Assumptions!$C$26:$C$36,MATCH(G1250,Assumptions!$A$26:$A$36,0))&lt;&gt;""),INDEX(Assumptions!$C$26:$C$36,MATCH(G1250,Assumptions!$A$26:$A$36,0)),ROUND(G1250*Q1250,-2))</f>
        <v>1960300</v>
      </c>
      <c r="S1250" s="47" t="str">
        <f>TRIM(IF(AND(Assumptions!$L$180&lt;&gt;"",D1250&lt;Assumptions!$L$180),"View blocked / roof in front ("&amp;Assumptions!$M$180&amp;"); view premium still loading until L"&amp;Assumptions!$L$180&amp;". ","")&amp;IF(D1250=Assumptions!$AH$180,"Mid-floor view premium fully loaded. ","")&amp;IF(D1250=Assumptions!$P$180,"High-floor view premium fully loaded. ","")&amp;IF(Q1250&lt;=K1250,"At developer starting price.",""))</f>
        <v>View blocked / roof in front (Island Club: 62% of view, 28.9 to 40m away); view premium still loading until L7.</v>
      </c>
      <c r="T1250" s="48" t="str">
        <f>Assumptions!$AJ$180</f>
        <v>SW. Pocket landscaping &amp; landed; Island Club in front of low floors</v>
      </c>
    </row>
    <row r="1251" spans="1:20" x14ac:dyDescent="0.2">
      <c r="A1251" s="13" t="s">
        <v>1435</v>
      </c>
      <c r="B1251" s="14">
        <v>11</v>
      </c>
      <c r="C1251" s="40">
        <v>54</v>
      </c>
      <c r="D1251" s="40">
        <v>3</v>
      </c>
      <c r="E1251" s="9" t="s">
        <v>44</v>
      </c>
      <c r="F1251" s="14" t="s">
        <v>181</v>
      </c>
      <c r="G1251" s="10">
        <v>732</v>
      </c>
      <c r="H1251" s="14" t="s">
        <v>62</v>
      </c>
      <c r="I1251" s="41" t="str">
        <f>Assumptions!$I$180</f>
        <v>C</v>
      </c>
      <c r="J1251" s="14" t="str">
        <f>IF(D1251&lt;=Assumptions!$V$180,"Low",IF(D1251&lt;=Assumptions!$W$180,"Mid","High"))</f>
        <v>Low</v>
      </c>
      <c r="K1251" s="15">
        <f>Assumptions!$Q$180</f>
        <v>2630</v>
      </c>
      <c r="L1251" s="42">
        <f>INDEX(Assumptions!$E$61:$E$90,D1251)</f>
        <v>2715.45274662065</v>
      </c>
      <c r="M1251" s="43">
        <f>IF(D1251&lt;=Assumptions!$G$180,Assumptions!$AK$180,IF(D1251&lt;Assumptions!$AH$180,Assumptions!$AK$180+(Assumptions!$AL$180-Assumptions!$AK$180)*(D1251-Assumptions!$G$180)/(Assumptions!$AH$180-Assumptions!$G$180),IF(D1251&lt;Assumptions!$P$180,Assumptions!$AL$180+(Assumptions!$AM$180-Assumptions!$AL$180)*(D1251-Assumptions!$AH$180)/(Assumptions!$P$180-Assumptions!$AH$180),Assumptions!$AM$180)))</f>
        <v>-45000</v>
      </c>
      <c r="N1251" s="44">
        <f t="shared" si="38"/>
        <v>-61.475409836065573</v>
      </c>
      <c r="O1251" s="45">
        <f t="shared" si="39"/>
        <v>2654</v>
      </c>
      <c r="P1251" s="14" t="str">
        <f>IF(D1251&gt;=Assumptions!$P$180,"High",IF(D1251&gt;=Assumptions!$AH$180,"Mid",IF(D1251&lt;=Assumptions!$G$180,"Low","Loading")))</f>
        <v>Loading</v>
      </c>
      <c r="Q1251" s="46">
        <f>MAX(K1251,MIN(Assumptions!$S$180,O1251),Q1252)</f>
        <v>2654</v>
      </c>
      <c r="R1251" s="12">
        <f>IF(AND(Q1251&lt;=K1251,INDEX(Assumptions!$C$26:$C$36,MATCH(G1251,Assumptions!$A$26:$A$36,0))&lt;&gt;""),INDEX(Assumptions!$C$26:$C$36,MATCH(G1251,Assumptions!$A$26:$A$36,0)),ROUND(G1251*Q1251,-2))</f>
        <v>1942700</v>
      </c>
      <c r="S1251" s="47" t="str">
        <f>TRIM(IF(AND(Assumptions!$L$180&lt;&gt;"",D1251&lt;Assumptions!$L$180),"View blocked / roof in front ("&amp;Assumptions!$M$180&amp;"); view premium still loading until L"&amp;Assumptions!$L$180&amp;". ","")&amp;IF(D1251=Assumptions!$AH$180,"Mid-floor view premium fully loaded. ","")&amp;IF(D1251=Assumptions!$P$180,"High-floor view premium fully loaded. ","")&amp;IF(Q1251&lt;=K1251,"At developer starting price.",""))</f>
        <v>View blocked / roof in front (Island Club: 62% of view, 28.9 to 40m away); view premium still loading until L7.</v>
      </c>
      <c r="T1251" s="48" t="str">
        <f>Assumptions!$AJ$180</f>
        <v>SW. Pocket landscaping &amp; landed; Island Club in front of low floors</v>
      </c>
    </row>
    <row r="1252" spans="1:20" x14ac:dyDescent="0.2">
      <c r="A1252" s="13" t="s">
        <v>1436</v>
      </c>
      <c r="B1252" s="14">
        <v>11</v>
      </c>
      <c r="C1252" s="40">
        <v>54</v>
      </c>
      <c r="D1252" s="40">
        <v>2</v>
      </c>
      <c r="E1252" s="9" t="s">
        <v>44</v>
      </c>
      <c r="F1252" s="14" t="s">
        <v>201</v>
      </c>
      <c r="G1252" s="10">
        <v>732</v>
      </c>
      <c r="H1252" s="14" t="s">
        <v>62</v>
      </c>
      <c r="I1252" s="41" t="str">
        <f>Assumptions!$I$180</f>
        <v>C</v>
      </c>
      <c r="J1252" s="14" t="str">
        <f>IF(D1252&lt;=Assumptions!$V$180,"Low",IF(D1252&lt;=Assumptions!$W$180,"Mid","High"))</f>
        <v>Low</v>
      </c>
      <c r="K1252" s="15">
        <f>Assumptions!$Q$180</f>
        <v>2630</v>
      </c>
      <c r="L1252" s="42">
        <f>INDEX(Assumptions!$E$61:$E$90,D1252)</f>
        <v>2698.3060109289618</v>
      </c>
      <c r="M1252" s="43">
        <f>IF(D1252&lt;=Assumptions!$G$180,Assumptions!$AK$180,IF(D1252&lt;Assumptions!$AH$180,Assumptions!$AK$180+(Assumptions!$AL$180-Assumptions!$AK$180)*(D1252-Assumptions!$G$180)/(Assumptions!$AH$180-Assumptions!$G$180),IF(D1252&lt;Assumptions!$P$180,Assumptions!$AL$180+(Assumptions!$AM$180-Assumptions!$AL$180)*(D1252-Assumptions!$AH$180)/(Assumptions!$P$180-Assumptions!$AH$180),Assumptions!$AM$180)))</f>
        <v>-50000</v>
      </c>
      <c r="N1252" s="44">
        <f t="shared" si="38"/>
        <v>-68.306010928961754</v>
      </c>
      <c r="O1252" s="45">
        <f t="shared" si="39"/>
        <v>2630</v>
      </c>
      <c r="P1252" s="14" t="str">
        <f>IF(D1252&gt;=Assumptions!$P$180,"High",IF(D1252&gt;=Assumptions!$AH$180,"Mid",IF(D1252&lt;=Assumptions!$G$180,"Low","Loading")))</f>
        <v>Low</v>
      </c>
      <c r="Q1252" s="46">
        <f>MAX(K1252,MIN(Assumptions!$S$180,O1252))</f>
        <v>2630</v>
      </c>
      <c r="R1252" s="12">
        <f>IF(AND(Q1252&lt;=K1252,INDEX(Assumptions!$C$26:$C$36,MATCH(G1252,Assumptions!$A$26:$A$36,0))&lt;&gt;""),INDEX(Assumptions!$C$26:$C$36,MATCH(G1252,Assumptions!$A$26:$A$36,0)),ROUND(G1252*Q1252,-2))</f>
        <v>1925000</v>
      </c>
      <c r="S1252" s="47" t="str">
        <f>TRIM(IF(AND(Assumptions!$L$180&lt;&gt;"",D1252&lt;Assumptions!$L$180),"View blocked / roof in front ("&amp;Assumptions!$M$180&amp;"); view premium still loading until L"&amp;Assumptions!$L$180&amp;". ","")&amp;IF(D1252=Assumptions!$AH$180,"Mid-floor view premium fully loaded. ","")&amp;IF(D1252=Assumptions!$P$180,"High-floor view premium fully loaded. ","")&amp;IF(Q1252&lt;=K1252,"At developer starting price.",""))</f>
        <v>View blocked / roof in front (Island Club: 62% of view, 28.9 to 40m away); view premium still loading until L7. At developer starting price.</v>
      </c>
      <c r="T1252" s="48" t="str">
        <f>Assumptions!$AJ$180</f>
        <v>SW. Pocket landscaping &amp; landed; Island Club in front of low floors</v>
      </c>
    </row>
    <row r="1253" spans="1:20" x14ac:dyDescent="0.2">
      <c r="A1253" s="13" t="s">
        <v>1437</v>
      </c>
      <c r="B1253" s="14">
        <v>11</v>
      </c>
      <c r="C1253" s="40">
        <v>55</v>
      </c>
      <c r="D1253" s="40">
        <v>21</v>
      </c>
      <c r="E1253" s="9" t="s">
        <v>45</v>
      </c>
      <c r="F1253" s="14" t="s">
        <v>1438</v>
      </c>
      <c r="G1253" s="10">
        <v>947</v>
      </c>
      <c r="H1253" s="14" t="s">
        <v>62</v>
      </c>
      <c r="I1253" s="41" t="str">
        <f>Assumptions!$I$181</f>
        <v>B</v>
      </c>
      <c r="J1253" s="14" t="str">
        <f>IF(D1253&lt;=Assumptions!$V$181,"Low",IF(D1253&lt;=Assumptions!$W$181,"Mid","High"))</f>
        <v>High</v>
      </c>
      <c r="K1253" s="15">
        <f>Assumptions!$Q$181</f>
        <v>2642</v>
      </c>
      <c r="L1253" s="42">
        <f>INDEX(Assumptions!$I$61:$I$90,D1253)</f>
        <v>3065.4538461538464</v>
      </c>
      <c r="M1253" s="43">
        <f>IF(D1253&lt;=Assumptions!$G$181,Assumptions!$AK$181,IF(D1253&lt;Assumptions!$AH$181,Assumptions!$AK$181+(Assumptions!$AL$181-Assumptions!$AK$181)*(D1253-Assumptions!$G$181)/(Assumptions!$AH$181-Assumptions!$G$181),IF(D1253&lt;Assumptions!$P$181,Assumptions!$AL$181+(Assumptions!$AM$181-Assumptions!$AL$181)*(D1253-Assumptions!$AH$181)/(Assumptions!$P$181-Assumptions!$AH$181),Assumptions!$AM$181)))</f>
        <v>50000</v>
      </c>
      <c r="N1253" s="44">
        <f t="shared" si="38"/>
        <v>52.798310454065472</v>
      </c>
      <c r="O1253" s="45">
        <f t="shared" si="39"/>
        <v>3118</v>
      </c>
      <c r="P1253" s="14" t="str">
        <f>IF(D1253&gt;=Assumptions!$P$181,"High",IF(D1253&gt;=Assumptions!$AH$181,"Mid",IF(D1253&lt;=Assumptions!$G$181,"Low","Loading")))</f>
        <v>High</v>
      </c>
      <c r="Q1253" s="46">
        <f>MAX(K1253,MIN(Assumptions!$S$181,O1253),Q1254)</f>
        <v>3118</v>
      </c>
      <c r="R1253" s="12">
        <f>IF(AND(Q1253&lt;=K1253,INDEX(Assumptions!$C$26:$C$36,MATCH(G1253,Assumptions!$A$26:$A$36,0))&lt;&gt;""),INDEX(Assumptions!$C$26:$C$36,MATCH(G1253,Assumptions!$A$26:$A$36,0)),ROUND(G1253*Q1253,-2))</f>
        <v>2952700</v>
      </c>
      <c r="S1253" s="47" t="str">
        <f>TRIM(IF(AND(Assumptions!$L$181&lt;&gt;"",D1253&lt;Assumptions!$L$181),"View blocked / roof in front ("&amp;Assumptions!$M$181&amp;"); view premium still loading until L"&amp;Assumptions!$L$181&amp;". ","")&amp;IF(D1253=Assumptions!$AH$181,"Mid-floor view premium fully loaded. ","")&amp;IF(D1253=Assumptions!$P$181,"High-floor view premium fully loaded. ","")&amp;IF(Q1253&lt;=K1253,"At developer starting price.",""))</f>
        <v/>
      </c>
      <c r="T1253" s="48" t="str">
        <f>Assumptions!$AJ$181</f>
        <v>SW. 77m pool &amp; landscape (Central Lawn, Island Pool); Island Club in front of living room on low floors; nature reserve on higher floors</v>
      </c>
    </row>
    <row r="1254" spans="1:20" x14ac:dyDescent="0.2">
      <c r="A1254" s="13" t="s">
        <v>1439</v>
      </c>
      <c r="B1254" s="14">
        <v>11</v>
      </c>
      <c r="C1254" s="40">
        <v>55</v>
      </c>
      <c r="D1254" s="40">
        <v>20</v>
      </c>
      <c r="E1254" s="9" t="s">
        <v>45</v>
      </c>
      <c r="F1254" s="14" t="s">
        <v>1438</v>
      </c>
      <c r="G1254" s="10">
        <v>947</v>
      </c>
      <c r="H1254" s="14" t="s">
        <v>62</v>
      </c>
      <c r="I1254" s="41" t="str">
        <f>Assumptions!$I$181</f>
        <v>B</v>
      </c>
      <c r="J1254" s="14" t="str">
        <f>IF(D1254&lt;=Assumptions!$V$181,"Low",IF(D1254&lt;=Assumptions!$W$181,"Mid","High"))</f>
        <v>High</v>
      </c>
      <c r="K1254" s="15">
        <f>Assumptions!$Q$181</f>
        <v>2642</v>
      </c>
      <c r="L1254" s="42">
        <f>INDEX(Assumptions!$I$61:$I$90,D1254)</f>
        <v>3040.9923076923078</v>
      </c>
      <c r="M1254" s="43">
        <f>IF(D1254&lt;=Assumptions!$G$181,Assumptions!$AK$181,IF(D1254&lt;Assumptions!$AH$181,Assumptions!$AK$181+(Assumptions!$AL$181-Assumptions!$AK$181)*(D1254-Assumptions!$G$181)/(Assumptions!$AH$181-Assumptions!$G$181),IF(D1254&lt;Assumptions!$P$181,Assumptions!$AL$181+(Assumptions!$AM$181-Assumptions!$AL$181)*(D1254-Assumptions!$AH$181)/(Assumptions!$P$181-Assumptions!$AH$181),Assumptions!$AM$181)))</f>
        <v>50000</v>
      </c>
      <c r="N1254" s="44">
        <f t="shared" si="38"/>
        <v>52.798310454065472</v>
      </c>
      <c r="O1254" s="45">
        <f t="shared" si="39"/>
        <v>3094</v>
      </c>
      <c r="P1254" s="14" t="str">
        <f>IF(D1254&gt;=Assumptions!$P$181,"High",IF(D1254&gt;=Assumptions!$AH$181,"Mid",IF(D1254&lt;=Assumptions!$G$181,"Low","Loading")))</f>
        <v>High</v>
      </c>
      <c r="Q1254" s="46">
        <f>MAX(K1254,MIN(Assumptions!$S$181,O1254),Q1255)</f>
        <v>3094</v>
      </c>
      <c r="R1254" s="12">
        <f>IF(AND(Q1254&lt;=K1254,INDEX(Assumptions!$C$26:$C$36,MATCH(G1254,Assumptions!$A$26:$A$36,0))&lt;&gt;""),INDEX(Assumptions!$C$26:$C$36,MATCH(G1254,Assumptions!$A$26:$A$36,0)),ROUND(G1254*Q1254,-2))</f>
        <v>2930000</v>
      </c>
      <c r="S1254" s="47" t="str">
        <f>TRIM(IF(AND(Assumptions!$L$181&lt;&gt;"",D1254&lt;Assumptions!$L$181),"View blocked / roof in front ("&amp;Assumptions!$M$181&amp;"); view premium still loading until L"&amp;Assumptions!$L$181&amp;". ","")&amp;IF(D1254=Assumptions!$AH$181,"Mid-floor view premium fully loaded. ","")&amp;IF(D1254=Assumptions!$P$181,"High-floor view premium fully loaded. ","")&amp;IF(Q1254&lt;=K1254,"At developer starting price.",""))</f>
        <v/>
      </c>
      <c r="T1254" s="48" t="str">
        <f>Assumptions!$AJ$181</f>
        <v>SW. 77m pool &amp; landscape (Central Lawn, Island Pool); Island Club in front of living room on low floors; nature reserve on higher floors</v>
      </c>
    </row>
    <row r="1255" spans="1:20" x14ac:dyDescent="0.2">
      <c r="A1255" s="13" t="s">
        <v>1440</v>
      </c>
      <c r="B1255" s="14">
        <v>11</v>
      </c>
      <c r="C1255" s="40">
        <v>55</v>
      </c>
      <c r="D1255" s="40">
        <v>19</v>
      </c>
      <c r="E1255" s="9" t="s">
        <v>45</v>
      </c>
      <c r="F1255" s="14" t="s">
        <v>1438</v>
      </c>
      <c r="G1255" s="10">
        <v>947</v>
      </c>
      <c r="H1255" s="14" t="s">
        <v>62</v>
      </c>
      <c r="I1255" s="41" t="str">
        <f>Assumptions!$I$181</f>
        <v>B</v>
      </c>
      <c r="J1255" s="14" t="str">
        <f>IF(D1255&lt;=Assumptions!$V$181,"Low",IF(D1255&lt;=Assumptions!$W$181,"Mid","High"))</f>
        <v>High</v>
      </c>
      <c r="K1255" s="15">
        <f>Assumptions!$Q$181</f>
        <v>2642</v>
      </c>
      <c r="L1255" s="42">
        <f>INDEX(Assumptions!$I$61:$I$90,D1255)</f>
        <v>3016.5307692307692</v>
      </c>
      <c r="M1255" s="43">
        <f>IF(D1255&lt;=Assumptions!$G$181,Assumptions!$AK$181,IF(D1255&lt;Assumptions!$AH$181,Assumptions!$AK$181+(Assumptions!$AL$181-Assumptions!$AK$181)*(D1255-Assumptions!$G$181)/(Assumptions!$AH$181-Assumptions!$G$181),IF(D1255&lt;Assumptions!$P$181,Assumptions!$AL$181+(Assumptions!$AM$181-Assumptions!$AL$181)*(D1255-Assumptions!$AH$181)/(Assumptions!$P$181-Assumptions!$AH$181),Assumptions!$AM$181)))</f>
        <v>50000</v>
      </c>
      <c r="N1255" s="44">
        <f t="shared" si="38"/>
        <v>52.798310454065472</v>
      </c>
      <c r="O1255" s="45">
        <f t="shared" si="39"/>
        <v>3069</v>
      </c>
      <c r="P1255" s="14" t="str">
        <f>IF(D1255&gt;=Assumptions!$P$181,"High",IF(D1255&gt;=Assumptions!$AH$181,"Mid",IF(D1255&lt;=Assumptions!$G$181,"Low","Loading")))</f>
        <v>High</v>
      </c>
      <c r="Q1255" s="46">
        <f>MAX(K1255,MIN(Assumptions!$S$181,O1255),Q1256)</f>
        <v>3069</v>
      </c>
      <c r="R1255" s="12">
        <f>IF(AND(Q1255&lt;=K1255,INDEX(Assumptions!$C$26:$C$36,MATCH(G1255,Assumptions!$A$26:$A$36,0))&lt;&gt;""),INDEX(Assumptions!$C$26:$C$36,MATCH(G1255,Assumptions!$A$26:$A$36,0)),ROUND(G1255*Q1255,-2))</f>
        <v>2906300</v>
      </c>
      <c r="S1255" s="47" t="str">
        <f>TRIM(IF(AND(Assumptions!$L$181&lt;&gt;"",D1255&lt;Assumptions!$L$181),"View blocked / roof in front ("&amp;Assumptions!$M$181&amp;"); view premium still loading until L"&amp;Assumptions!$L$181&amp;". ","")&amp;IF(D1255=Assumptions!$AH$181,"Mid-floor view premium fully loaded. ","")&amp;IF(D1255=Assumptions!$P$181,"High-floor view premium fully loaded. ","")&amp;IF(Q1255&lt;=K1255,"At developer starting price.",""))</f>
        <v/>
      </c>
      <c r="T1255" s="48" t="str">
        <f>Assumptions!$AJ$181</f>
        <v>SW. 77m pool &amp; landscape (Central Lawn, Island Pool); Island Club in front of living room on low floors; nature reserve on higher floors</v>
      </c>
    </row>
    <row r="1256" spans="1:20" x14ac:dyDescent="0.2">
      <c r="A1256" s="13" t="s">
        <v>1441</v>
      </c>
      <c r="B1256" s="14">
        <v>11</v>
      </c>
      <c r="C1256" s="40">
        <v>55</v>
      </c>
      <c r="D1256" s="40">
        <v>18</v>
      </c>
      <c r="E1256" s="9" t="s">
        <v>45</v>
      </c>
      <c r="F1256" s="14" t="s">
        <v>1438</v>
      </c>
      <c r="G1256" s="10">
        <v>947</v>
      </c>
      <c r="H1256" s="14" t="s">
        <v>62</v>
      </c>
      <c r="I1256" s="41" t="str">
        <f>Assumptions!$I$181</f>
        <v>B</v>
      </c>
      <c r="J1256" s="14" t="str">
        <f>IF(D1256&lt;=Assumptions!$V$181,"Low",IF(D1256&lt;=Assumptions!$W$181,"Mid","High"))</f>
        <v>High</v>
      </c>
      <c r="K1256" s="15">
        <f>Assumptions!$Q$181</f>
        <v>2642</v>
      </c>
      <c r="L1256" s="42">
        <f>INDEX(Assumptions!$I$61:$I$90,D1256)</f>
        <v>2992.0692307692311</v>
      </c>
      <c r="M1256" s="43">
        <f>IF(D1256&lt;=Assumptions!$G$181,Assumptions!$AK$181,IF(D1256&lt;Assumptions!$AH$181,Assumptions!$AK$181+(Assumptions!$AL$181-Assumptions!$AK$181)*(D1256-Assumptions!$G$181)/(Assumptions!$AH$181-Assumptions!$G$181),IF(D1256&lt;Assumptions!$P$181,Assumptions!$AL$181+(Assumptions!$AM$181-Assumptions!$AL$181)*(D1256-Assumptions!$AH$181)/(Assumptions!$P$181-Assumptions!$AH$181),Assumptions!$AM$181)))</f>
        <v>50000</v>
      </c>
      <c r="N1256" s="44">
        <f t="shared" si="38"/>
        <v>52.798310454065472</v>
      </c>
      <c r="O1256" s="45">
        <f t="shared" si="39"/>
        <v>3045</v>
      </c>
      <c r="P1256" s="14" t="str">
        <f>IF(D1256&gt;=Assumptions!$P$181,"High",IF(D1256&gt;=Assumptions!$AH$181,"Mid",IF(D1256&lt;=Assumptions!$G$181,"Low","Loading")))</f>
        <v>High</v>
      </c>
      <c r="Q1256" s="46">
        <f>MAX(K1256,MIN(Assumptions!$S$181,O1256),Q1257)</f>
        <v>3045</v>
      </c>
      <c r="R1256" s="12">
        <f>IF(AND(Q1256&lt;=K1256,INDEX(Assumptions!$C$26:$C$36,MATCH(G1256,Assumptions!$A$26:$A$36,0))&lt;&gt;""),INDEX(Assumptions!$C$26:$C$36,MATCH(G1256,Assumptions!$A$26:$A$36,0)),ROUND(G1256*Q1256,-2))</f>
        <v>2883600</v>
      </c>
      <c r="S1256" s="47" t="str">
        <f>TRIM(IF(AND(Assumptions!$L$181&lt;&gt;"",D1256&lt;Assumptions!$L$181),"View blocked / roof in front ("&amp;Assumptions!$M$181&amp;"); view premium still loading until L"&amp;Assumptions!$L$181&amp;". ","")&amp;IF(D1256=Assumptions!$AH$181,"Mid-floor view premium fully loaded. ","")&amp;IF(D1256=Assumptions!$P$181,"High-floor view premium fully loaded. ","")&amp;IF(Q1256&lt;=K1256,"At developer starting price.",""))</f>
        <v/>
      </c>
      <c r="T1256" s="48" t="str">
        <f>Assumptions!$AJ$181</f>
        <v>SW. 77m pool &amp; landscape (Central Lawn, Island Pool); Island Club in front of living room on low floors; nature reserve on higher floors</v>
      </c>
    </row>
    <row r="1257" spans="1:20" x14ac:dyDescent="0.2">
      <c r="A1257" s="13" t="s">
        <v>1442</v>
      </c>
      <c r="B1257" s="14">
        <v>11</v>
      </c>
      <c r="C1257" s="40">
        <v>55</v>
      </c>
      <c r="D1257" s="40">
        <v>17</v>
      </c>
      <c r="E1257" s="9" t="s">
        <v>45</v>
      </c>
      <c r="F1257" s="14" t="s">
        <v>1438</v>
      </c>
      <c r="G1257" s="10">
        <v>947</v>
      </c>
      <c r="H1257" s="14" t="s">
        <v>62</v>
      </c>
      <c r="I1257" s="41" t="str">
        <f>Assumptions!$I$181</f>
        <v>B</v>
      </c>
      <c r="J1257" s="14" t="str">
        <f>IF(D1257&lt;=Assumptions!$V$181,"Low",IF(D1257&lt;=Assumptions!$W$181,"Mid","High"))</f>
        <v>High</v>
      </c>
      <c r="K1257" s="15">
        <f>Assumptions!$Q$181</f>
        <v>2642</v>
      </c>
      <c r="L1257" s="42">
        <f>INDEX(Assumptions!$I$61:$I$90,D1257)</f>
        <v>2967.6076923076926</v>
      </c>
      <c r="M1257" s="43">
        <f>IF(D1257&lt;=Assumptions!$G$181,Assumptions!$AK$181,IF(D1257&lt;Assumptions!$AH$181,Assumptions!$AK$181+(Assumptions!$AL$181-Assumptions!$AK$181)*(D1257-Assumptions!$G$181)/(Assumptions!$AH$181-Assumptions!$G$181),IF(D1257&lt;Assumptions!$P$181,Assumptions!$AL$181+(Assumptions!$AM$181-Assumptions!$AL$181)*(D1257-Assumptions!$AH$181)/(Assumptions!$P$181-Assumptions!$AH$181),Assumptions!$AM$181)))</f>
        <v>50000</v>
      </c>
      <c r="N1257" s="44">
        <f t="shared" si="38"/>
        <v>52.798310454065472</v>
      </c>
      <c r="O1257" s="45">
        <f t="shared" si="39"/>
        <v>3020</v>
      </c>
      <c r="P1257" s="14" t="str">
        <f>IF(D1257&gt;=Assumptions!$P$181,"High",IF(D1257&gt;=Assumptions!$AH$181,"Mid",IF(D1257&lt;=Assumptions!$G$181,"Low","Loading")))</f>
        <v>High</v>
      </c>
      <c r="Q1257" s="46">
        <f>MAX(K1257,MIN(Assumptions!$S$181,O1257),Q1258)</f>
        <v>3020</v>
      </c>
      <c r="R1257" s="12">
        <f>IF(AND(Q1257&lt;=K1257,INDEX(Assumptions!$C$26:$C$36,MATCH(G1257,Assumptions!$A$26:$A$36,0))&lt;&gt;""),INDEX(Assumptions!$C$26:$C$36,MATCH(G1257,Assumptions!$A$26:$A$36,0)),ROUND(G1257*Q1257,-2))</f>
        <v>2859900</v>
      </c>
      <c r="S1257" s="47" t="str">
        <f>TRIM(IF(AND(Assumptions!$L$181&lt;&gt;"",D1257&lt;Assumptions!$L$181),"View blocked / roof in front ("&amp;Assumptions!$M$181&amp;"); view premium still loading until L"&amp;Assumptions!$L$181&amp;". ","")&amp;IF(D1257=Assumptions!$AH$181,"Mid-floor view premium fully loaded. ","")&amp;IF(D1257=Assumptions!$P$181,"High-floor view premium fully loaded. ","")&amp;IF(Q1257&lt;=K1257,"At developer starting price.",""))</f>
        <v/>
      </c>
      <c r="T1257" s="48" t="str">
        <f>Assumptions!$AJ$181</f>
        <v>SW. 77m pool &amp; landscape (Central Lawn, Island Pool); Island Club in front of living room on low floors; nature reserve on higher floors</v>
      </c>
    </row>
    <row r="1258" spans="1:20" x14ac:dyDescent="0.2">
      <c r="A1258" s="13" t="s">
        <v>1443</v>
      </c>
      <c r="B1258" s="14">
        <v>11</v>
      </c>
      <c r="C1258" s="40">
        <v>55</v>
      </c>
      <c r="D1258" s="40">
        <v>16</v>
      </c>
      <c r="E1258" s="9" t="s">
        <v>45</v>
      </c>
      <c r="F1258" s="14" t="s">
        <v>1438</v>
      </c>
      <c r="G1258" s="10">
        <v>947</v>
      </c>
      <c r="H1258" s="14" t="s">
        <v>62</v>
      </c>
      <c r="I1258" s="41" t="str">
        <f>Assumptions!$I$181</f>
        <v>B</v>
      </c>
      <c r="J1258" s="14" t="str">
        <f>IF(D1258&lt;=Assumptions!$V$181,"Low",IF(D1258&lt;=Assumptions!$W$181,"Mid","High"))</f>
        <v>High</v>
      </c>
      <c r="K1258" s="15">
        <f>Assumptions!$Q$181</f>
        <v>2642</v>
      </c>
      <c r="L1258" s="42">
        <f>INDEX(Assumptions!$I$61:$I$90,D1258)</f>
        <v>2943.146153846154</v>
      </c>
      <c r="M1258" s="43">
        <f>IF(D1258&lt;=Assumptions!$G$181,Assumptions!$AK$181,IF(D1258&lt;Assumptions!$AH$181,Assumptions!$AK$181+(Assumptions!$AL$181-Assumptions!$AK$181)*(D1258-Assumptions!$G$181)/(Assumptions!$AH$181-Assumptions!$G$181),IF(D1258&lt;Assumptions!$P$181,Assumptions!$AL$181+(Assumptions!$AM$181-Assumptions!$AL$181)*(D1258-Assumptions!$AH$181)/(Assumptions!$P$181-Assumptions!$AH$181),Assumptions!$AM$181)))</f>
        <v>50000</v>
      </c>
      <c r="N1258" s="44">
        <f t="shared" si="38"/>
        <v>52.798310454065472</v>
      </c>
      <c r="O1258" s="45">
        <f t="shared" si="39"/>
        <v>2996</v>
      </c>
      <c r="P1258" s="14" t="str">
        <f>IF(D1258&gt;=Assumptions!$P$181,"High",IF(D1258&gt;=Assumptions!$AH$181,"Mid",IF(D1258&lt;=Assumptions!$G$181,"Low","Loading")))</f>
        <v>High</v>
      </c>
      <c r="Q1258" s="46">
        <f>MAX(K1258,MIN(Assumptions!$S$181,O1258),Q1259)</f>
        <v>2996</v>
      </c>
      <c r="R1258" s="12">
        <f>IF(AND(Q1258&lt;=K1258,INDEX(Assumptions!$C$26:$C$36,MATCH(G1258,Assumptions!$A$26:$A$36,0))&lt;&gt;""),INDEX(Assumptions!$C$26:$C$36,MATCH(G1258,Assumptions!$A$26:$A$36,0)),ROUND(G1258*Q1258,-2))</f>
        <v>2837200</v>
      </c>
      <c r="S1258" s="47" t="str">
        <f>TRIM(IF(AND(Assumptions!$L$181&lt;&gt;"",D1258&lt;Assumptions!$L$181),"View blocked / roof in front ("&amp;Assumptions!$M$181&amp;"); view premium still loading until L"&amp;Assumptions!$L$181&amp;". ","")&amp;IF(D1258=Assumptions!$AH$181,"Mid-floor view premium fully loaded. ","")&amp;IF(D1258=Assumptions!$P$181,"High-floor view premium fully loaded. ","")&amp;IF(Q1258&lt;=K1258,"At developer starting price.",""))</f>
        <v/>
      </c>
      <c r="T1258" s="48" t="str">
        <f>Assumptions!$AJ$181</f>
        <v>SW. 77m pool &amp; landscape (Central Lawn, Island Pool); Island Club in front of living room on low floors; nature reserve on higher floors</v>
      </c>
    </row>
    <row r="1259" spans="1:20" x14ac:dyDescent="0.2">
      <c r="A1259" s="13" t="s">
        <v>1444</v>
      </c>
      <c r="B1259" s="14">
        <v>11</v>
      </c>
      <c r="C1259" s="40">
        <v>55</v>
      </c>
      <c r="D1259" s="40">
        <v>15</v>
      </c>
      <c r="E1259" s="9" t="s">
        <v>45</v>
      </c>
      <c r="F1259" s="14" t="s">
        <v>1438</v>
      </c>
      <c r="G1259" s="10">
        <v>947</v>
      </c>
      <c r="H1259" s="14" t="s">
        <v>62</v>
      </c>
      <c r="I1259" s="41" t="str">
        <f>Assumptions!$I$181</f>
        <v>B</v>
      </c>
      <c r="J1259" s="14" t="str">
        <f>IF(D1259&lt;=Assumptions!$V$181,"Low",IF(D1259&lt;=Assumptions!$W$181,"Mid","High"))</f>
        <v>Mid</v>
      </c>
      <c r="K1259" s="15">
        <f>Assumptions!$Q$181</f>
        <v>2642</v>
      </c>
      <c r="L1259" s="42">
        <f>INDEX(Assumptions!$I$61:$I$90,D1259)</f>
        <v>2918.6846153846154</v>
      </c>
      <c r="M1259" s="43">
        <f>IF(D1259&lt;=Assumptions!$G$181,Assumptions!$AK$181,IF(D1259&lt;Assumptions!$AH$181,Assumptions!$AK$181+(Assumptions!$AL$181-Assumptions!$AK$181)*(D1259-Assumptions!$G$181)/(Assumptions!$AH$181-Assumptions!$G$181),IF(D1259&lt;Assumptions!$P$181,Assumptions!$AL$181+(Assumptions!$AM$181-Assumptions!$AL$181)*(D1259-Assumptions!$AH$181)/(Assumptions!$P$181-Assumptions!$AH$181),Assumptions!$AM$181)))</f>
        <v>50000</v>
      </c>
      <c r="N1259" s="44">
        <f t="shared" si="38"/>
        <v>52.798310454065472</v>
      </c>
      <c r="O1259" s="45">
        <f t="shared" si="39"/>
        <v>2971</v>
      </c>
      <c r="P1259" s="14" t="str">
        <f>IF(D1259&gt;=Assumptions!$P$181,"High",IF(D1259&gt;=Assumptions!$AH$181,"Mid",IF(D1259&lt;=Assumptions!$G$181,"Low","Loading")))</f>
        <v>High</v>
      </c>
      <c r="Q1259" s="46">
        <f>MAX(K1259,MIN(Assumptions!$S$181,O1259),Q1260)</f>
        <v>2971</v>
      </c>
      <c r="R1259" s="12">
        <f>IF(AND(Q1259&lt;=K1259,INDEX(Assumptions!$C$26:$C$36,MATCH(G1259,Assumptions!$A$26:$A$36,0))&lt;&gt;""),INDEX(Assumptions!$C$26:$C$36,MATCH(G1259,Assumptions!$A$26:$A$36,0)),ROUND(G1259*Q1259,-2))</f>
        <v>2813500</v>
      </c>
      <c r="S1259" s="47" t="str">
        <f>TRIM(IF(AND(Assumptions!$L$181&lt;&gt;"",D1259&lt;Assumptions!$L$181),"View blocked / roof in front ("&amp;Assumptions!$M$181&amp;"); view premium still loading until L"&amp;Assumptions!$L$181&amp;". ","")&amp;IF(D1259=Assumptions!$AH$181,"Mid-floor view premium fully loaded. ","")&amp;IF(D1259=Assumptions!$P$181,"High-floor view premium fully loaded. ","")&amp;IF(Q1259&lt;=K1259,"At developer starting price.",""))</f>
        <v/>
      </c>
      <c r="T1259" s="48" t="str">
        <f>Assumptions!$AJ$181</f>
        <v>SW. 77m pool &amp; landscape (Central Lawn, Island Pool); Island Club in front of living room on low floors; nature reserve on higher floors</v>
      </c>
    </row>
    <row r="1260" spans="1:20" x14ac:dyDescent="0.2">
      <c r="A1260" s="13" t="s">
        <v>1445</v>
      </c>
      <c r="B1260" s="14">
        <v>11</v>
      </c>
      <c r="C1260" s="40">
        <v>55</v>
      </c>
      <c r="D1260" s="40">
        <v>14</v>
      </c>
      <c r="E1260" s="9" t="s">
        <v>45</v>
      </c>
      <c r="F1260" s="14" t="s">
        <v>1438</v>
      </c>
      <c r="G1260" s="10">
        <v>947</v>
      </c>
      <c r="H1260" s="14" t="s">
        <v>62</v>
      </c>
      <c r="I1260" s="41" t="str">
        <f>Assumptions!$I$181</f>
        <v>B</v>
      </c>
      <c r="J1260" s="14" t="str">
        <f>IF(D1260&lt;=Assumptions!$V$181,"Low",IF(D1260&lt;=Assumptions!$W$181,"Mid","High"))</f>
        <v>Mid</v>
      </c>
      <c r="K1260" s="15">
        <f>Assumptions!$Q$181</f>
        <v>2642</v>
      </c>
      <c r="L1260" s="42">
        <f>INDEX(Assumptions!$I$61:$I$90,D1260)</f>
        <v>2894.2230769230773</v>
      </c>
      <c r="M1260" s="43">
        <f>IF(D1260&lt;=Assumptions!$G$181,Assumptions!$AK$181,IF(D1260&lt;Assumptions!$AH$181,Assumptions!$AK$181+(Assumptions!$AL$181-Assumptions!$AK$181)*(D1260-Assumptions!$G$181)/(Assumptions!$AH$181-Assumptions!$G$181),IF(D1260&lt;Assumptions!$P$181,Assumptions!$AL$181+(Assumptions!$AM$181-Assumptions!$AL$181)*(D1260-Assumptions!$AH$181)/(Assumptions!$P$181-Assumptions!$AH$181),Assumptions!$AM$181)))</f>
        <v>50000</v>
      </c>
      <c r="N1260" s="44">
        <f t="shared" si="38"/>
        <v>52.798310454065472</v>
      </c>
      <c r="O1260" s="45">
        <f t="shared" si="39"/>
        <v>2947</v>
      </c>
      <c r="P1260" s="14" t="str">
        <f>IF(D1260&gt;=Assumptions!$P$181,"High",IF(D1260&gt;=Assumptions!$AH$181,"Mid",IF(D1260&lt;=Assumptions!$G$181,"Low","Loading")))</f>
        <v>High</v>
      </c>
      <c r="Q1260" s="46">
        <f>MAX(K1260,MIN(Assumptions!$S$181,O1260),Q1261)</f>
        <v>2947</v>
      </c>
      <c r="R1260" s="12">
        <f>IF(AND(Q1260&lt;=K1260,INDEX(Assumptions!$C$26:$C$36,MATCH(G1260,Assumptions!$A$26:$A$36,0))&lt;&gt;""),INDEX(Assumptions!$C$26:$C$36,MATCH(G1260,Assumptions!$A$26:$A$36,0)),ROUND(G1260*Q1260,-2))</f>
        <v>2790800</v>
      </c>
      <c r="S1260" s="47" t="str">
        <f>TRIM(IF(AND(Assumptions!$L$181&lt;&gt;"",D1260&lt;Assumptions!$L$181),"View blocked / roof in front ("&amp;Assumptions!$M$181&amp;"); view premium still loading until L"&amp;Assumptions!$L$181&amp;". ","")&amp;IF(D1260=Assumptions!$AH$181,"Mid-floor view premium fully loaded. ","")&amp;IF(D1260=Assumptions!$P$181,"High-floor view premium fully loaded. ","")&amp;IF(Q1260&lt;=K1260,"At developer starting price.",""))</f>
        <v/>
      </c>
      <c r="T1260" s="48" t="str">
        <f>Assumptions!$AJ$181</f>
        <v>SW. 77m pool &amp; landscape (Central Lawn, Island Pool); Island Club in front of living room on low floors; nature reserve on higher floors</v>
      </c>
    </row>
    <row r="1261" spans="1:20" x14ac:dyDescent="0.2">
      <c r="A1261" s="13" t="s">
        <v>1446</v>
      </c>
      <c r="B1261" s="14">
        <v>11</v>
      </c>
      <c r="C1261" s="40">
        <v>55</v>
      </c>
      <c r="D1261" s="40">
        <v>13</v>
      </c>
      <c r="E1261" s="9" t="s">
        <v>45</v>
      </c>
      <c r="F1261" s="14" t="s">
        <v>1438</v>
      </c>
      <c r="G1261" s="10">
        <v>947</v>
      </c>
      <c r="H1261" s="14" t="s">
        <v>62</v>
      </c>
      <c r="I1261" s="41" t="str">
        <f>Assumptions!$I$181</f>
        <v>B</v>
      </c>
      <c r="J1261" s="14" t="str">
        <f>IF(D1261&lt;=Assumptions!$V$181,"Low",IF(D1261&lt;=Assumptions!$W$181,"Mid","High"))</f>
        <v>Mid</v>
      </c>
      <c r="K1261" s="15">
        <f>Assumptions!$Q$181</f>
        <v>2642</v>
      </c>
      <c r="L1261" s="42">
        <f>INDEX(Assumptions!$I$61:$I$90,D1261)</f>
        <v>2869.7615384615387</v>
      </c>
      <c r="M1261" s="43">
        <f>IF(D1261&lt;=Assumptions!$G$181,Assumptions!$AK$181,IF(D1261&lt;Assumptions!$AH$181,Assumptions!$AK$181+(Assumptions!$AL$181-Assumptions!$AK$181)*(D1261-Assumptions!$G$181)/(Assumptions!$AH$181-Assumptions!$G$181),IF(D1261&lt;Assumptions!$P$181,Assumptions!$AL$181+(Assumptions!$AM$181-Assumptions!$AL$181)*(D1261-Assumptions!$AH$181)/(Assumptions!$P$181-Assumptions!$AH$181),Assumptions!$AM$181)))</f>
        <v>50000</v>
      </c>
      <c r="N1261" s="44">
        <f t="shared" si="38"/>
        <v>52.798310454065472</v>
      </c>
      <c r="O1261" s="45">
        <f t="shared" si="39"/>
        <v>2923</v>
      </c>
      <c r="P1261" s="14" t="str">
        <f>IF(D1261&gt;=Assumptions!$P$181,"High",IF(D1261&gt;=Assumptions!$AH$181,"Mid",IF(D1261&lt;=Assumptions!$G$181,"Low","Loading")))</f>
        <v>High</v>
      </c>
      <c r="Q1261" s="46">
        <f>MAX(K1261,MIN(Assumptions!$S$181,O1261),Q1262)</f>
        <v>2923</v>
      </c>
      <c r="R1261" s="12">
        <f>IF(AND(Q1261&lt;=K1261,INDEX(Assumptions!$C$26:$C$36,MATCH(G1261,Assumptions!$A$26:$A$36,0))&lt;&gt;""),INDEX(Assumptions!$C$26:$C$36,MATCH(G1261,Assumptions!$A$26:$A$36,0)),ROUND(G1261*Q1261,-2))</f>
        <v>2768100</v>
      </c>
      <c r="S1261" s="47" t="str">
        <f>TRIM(IF(AND(Assumptions!$L$181&lt;&gt;"",D1261&lt;Assumptions!$L$181),"View blocked / roof in front ("&amp;Assumptions!$M$181&amp;"); view premium still loading until L"&amp;Assumptions!$L$181&amp;". ","")&amp;IF(D1261=Assumptions!$AH$181,"Mid-floor view premium fully loaded. ","")&amp;IF(D1261=Assumptions!$P$181,"High-floor view premium fully loaded. ","")&amp;IF(Q1261&lt;=K1261,"At developer starting price.",""))</f>
        <v/>
      </c>
      <c r="T1261" s="48" t="str">
        <f>Assumptions!$AJ$181</f>
        <v>SW. 77m pool &amp; landscape (Central Lawn, Island Pool); Island Club in front of living room on low floors; nature reserve on higher floors</v>
      </c>
    </row>
    <row r="1262" spans="1:20" x14ac:dyDescent="0.2">
      <c r="A1262" s="13" t="s">
        <v>1447</v>
      </c>
      <c r="B1262" s="14">
        <v>11</v>
      </c>
      <c r="C1262" s="40">
        <v>55</v>
      </c>
      <c r="D1262" s="40">
        <v>12</v>
      </c>
      <c r="E1262" s="9" t="s">
        <v>45</v>
      </c>
      <c r="F1262" s="14" t="s">
        <v>1438</v>
      </c>
      <c r="G1262" s="10">
        <v>947</v>
      </c>
      <c r="H1262" s="14" t="s">
        <v>62</v>
      </c>
      <c r="I1262" s="41" t="str">
        <f>Assumptions!$I$181</f>
        <v>B</v>
      </c>
      <c r="J1262" s="14" t="str">
        <f>IF(D1262&lt;=Assumptions!$V$181,"Low",IF(D1262&lt;=Assumptions!$W$181,"Mid","High"))</f>
        <v>Mid</v>
      </c>
      <c r="K1262" s="15">
        <f>Assumptions!$Q$181</f>
        <v>2642</v>
      </c>
      <c r="L1262" s="42">
        <f>INDEX(Assumptions!$I$61:$I$90,D1262)</f>
        <v>2845.3</v>
      </c>
      <c r="M1262" s="43">
        <f>IF(D1262&lt;=Assumptions!$G$181,Assumptions!$AK$181,IF(D1262&lt;Assumptions!$AH$181,Assumptions!$AK$181+(Assumptions!$AL$181-Assumptions!$AK$181)*(D1262-Assumptions!$G$181)/(Assumptions!$AH$181-Assumptions!$G$181),IF(D1262&lt;Assumptions!$P$181,Assumptions!$AL$181+(Assumptions!$AM$181-Assumptions!$AL$181)*(D1262-Assumptions!$AH$181)/(Assumptions!$P$181-Assumptions!$AH$181),Assumptions!$AM$181)))</f>
        <v>50000</v>
      </c>
      <c r="N1262" s="44">
        <f t="shared" si="38"/>
        <v>52.798310454065472</v>
      </c>
      <c r="O1262" s="45">
        <f t="shared" si="39"/>
        <v>2898</v>
      </c>
      <c r="P1262" s="14" t="str">
        <f>IF(D1262&gt;=Assumptions!$P$181,"High",IF(D1262&gt;=Assumptions!$AH$181,"Mid",IF(D1262&lt;=Assumptions!$G$181,"Low","Loading")))</f>
        <v>High</v>
      </c>
      <c r="Q1262" s="46">
        <f>MAX(K1262,MIN(Assumptions!$S$181,O1262),Q1263)</f>
        <v>2898</v>
      </c>
      <c r="R1262" s="12">
        <f>IF(AND(Q1262&lt;=K1262,INDEX(Assumptions!$C$26:$C$36,MATCH(G1262,Assumptions!$A$26:$A$36,0))&lt;&gt;""),INDEX(Assumptions!$C$26:$C$36,MATCH(G1262,Assumptions!$A$26:$A$36,0)),ROUND(G1262*Q1262,-2))</f>
        <v>2744400</v>
      </c>
      <c r="S1262" s="47" t="str">
        <f>TRIM(IF(AND(Assumptions!$L$181&lt;&gt;"",D1262&lt;Assumptions!$L$181),"View blocked / roof in front ("&amp;Assumptions!$M$181&amp;"); view premium still loading until L"&amp;Assumptions!$L$181&amp;". ","")&amp;IF(D1262=Assumptions!$AH$181,"Mid-floor view premium fully loaded. ","")&amp;IF(D1262=Assumptions!$P$181,"High-floor view premium fully loaded. ","")&amp;IF(Q1262&lt;=K1262,"At developer starting price.",""))</f>
        <v>High-floor view premium fully loaded.</v>
      </c>
      <c r="T1262" s="48" t="str">
        <f>Assumptions!$AJ$181</f>
        <v>SW. 77m pool &amp; landscape (Central Lawn, Island Pool); Island Club in front of living room on low floors; nature reserve on higher floors</v>
      </c>
    </row>
    <row r="1263" spans="1:20" x14ac:dyDescent="0.2">
      <c r="A1263" s="13" t="s">
        <v>1448</v>
      </c>
      <c r="B1263" s="14">
        <v>11</v>
      </c>
      <c r="C1263" s="40">
        <v>55</v>
      </c>
      <c r="D1263" s="40">
        <v>11</v>
      </c>
      <c r="E1263" s="9" t="s">
        <v>45</v>
      </c>
      <c r="F1263" s="14" t="s">
        <v>1438</v>
      </c>
      <c r="G1263" s="10">
        <v>947</v>
      </c>
      <c r="H1263" s="14" t="s">
        <v>62</v>
      </c>
      <c r="I1263" s="41" t="str">
        <f>Assumptions!$I$181</f>
        <v>B</v>
      </c>
      <c r="J1263" s="14" t="str">
        <f>IF(D1263&lt;=Assumptions!$V$181,"Low",IF(D1263&lt;=Assumptions!$W$181,"Mid","High"))</f>
        <v>Mid</v>
      </c>
      <c r="K1263" s="15">
        <f>Assumptions!$Q$181</f>
        <v>2642</v>
      </c>
      <c r="L1263" s="42">
        <f>INDEX(Assumptions!$I$61:$I$90,D1263)</f>
        <v>2830.2498310454066</v>
      </c>
      <c r="M1263" s="43">
        <f>IF(D1263&lt;=Assumptions!$G$181,Assumptions!$AK$181,IF(D1263&lt;Assumptions!$AH$181,Assumptions!$AK$181+(Assumptions!$AL$181-Assumptions!$AK$181)*(D1263-Assumptions!$G$181)/(Assumptions!$AH$181-Assumptions!$G$181),IF(D1263&lt;Assumptions!$P$181,Assumptions!$AL$181+(Assumptions!$AM$181-Assumptions!$AL$181)*(D1263-Assumptions!$AH$181)/(Assumptions!$P$181-Assumptions!$AH$181),Assumptions!$AM$181)))</f>
        <v>50000</v>
      </c>
      <c r="N1263" s="44">
        <f t="shared" si="38"/>
        <v>52.798310454065472</v>
      </c>
      <c r="O1263" s="45">
        <f t="shared" si="39"/>
        <v>2883</v>
      </c>
      <c r="P1263" s="14" t="str">
        <f>IF(D1263&gt;=Assumptions!$P$181,"High",IF(D1263&gt;=Assumptions!$AH$181,"Mid",IF(D1263&lt;=Assumptions!$G$181,"Low","Loading")))</f>
        <v>Mid</v>
      </c>
      <c r="Q1263" s="46">
        <f>MAX(K1263,MIN(Assumptions!$S$181,O1263),Q1264)</f>
        <v>2883</v>
      </c>
      <c r="R1263" s="12">
        <f>IF(AND(Q1263&lt;=K1263,INDEX(Assumptions!$C$26:$C$36,MATCH(G1263,Assumptions!$A$26:$A$36,0))&lt;&gt;""),INDEX(Assumptions!$C$26:$C$36,MATCH(G1263,Assumptions!$A$26:$A$36,0)),ROUND(G1263*Q1263,-2))</f>
        <v>2730200</v>
      </c>
      <c r="S1263" s="47" t="str">
        <f>TRIM(IF(AND(Assumptions!$L$181&lt;&gt;"",D1263&lt;Assumptions!$L$181),"View blocked / roof in front ("&amp;Assumptions!$M$181&amp;"); view premium still loading until L"&amp;Assumptions!$L$181&amp;". ","")&amp;IF(D1263=Assumptions!$AH$181,"Mid-floor view premium fully loaded. ","")&amp;IF(D1263=Assumptions!$P$181,"High-floor view premium fully loaded. ","")&amp;IF(Q1263&lt;=K1263,"At developer starting price.",""))</f>
        <v/>
      </c>
      <c r="T1263" s="48" t="str">
        <f>Assumptions!$AJ$181</f>
        <v>SW. 77m pool &amp; landscape (Central Lawn, Island Pool); Island Club in front of living room on low floors; nature reserve on higher floors</v>
      </c>
    </row>
    <row r="1264" spans="1:20" x14ac:dyDescent="0.2">
      <c r="A1264" s="13" t="s">
        <v>1449</v>
      </c>
      <c r="B1264" s="14">
        <v>11</v>
      </c>
      <c r="C1264" s="40">
        <v>55</v>
      </c>
      <c r="D1264" s="40">
        <v>10</v>
      </c>
      <c r="E1264" s="9" t="s">
        <v>45</v>
      </c>
      <c r="F1264" s="14" t="s">
        <v>1438</v>
      </c>
      <c r="G1264" s="10">
        <v>947</v>
      </c>
      <c r="H1264" s="14" t="s">
        <v>62</v>
      </c>
      <c r="I1264" s="41" t="str">
        <f>Assumptions!$I$181</f>
        <v>B</v>
      </c>
      <c r="J1264" s="14" t="str">
        <f>IF(D1264&lt;=Assumptions!$V$181,"Low",IF(D1264&lt;=Assumptions!$W$181,"Mid","High"))</f>
        <v>Mid</v>
      </c>
      <c r="K1264" s="15">
        <f>Assumptions!$Q$181</f>
        <v>2642</v>
      </c>
      <c r="L1264" s="42">
        <f>INDEX(Assumptions!$I$61:$I$90,D1264)</f>
        <v>2815.199662090813</v>
      </c>
      <c r="M1264" s="43">
        <f>IF(D1264&lt;=Assumptions!$G$181,Assumptions!$AK$181,IF(D1264&lt;Assumptions!$AH$181,Assumptions!$AK$181+(Assumptions!$AL$181-Assumptions!$AK$181)*(D1264-Assumptions!$G$181)/(Assumptions!$AH$181-Assumptions!$G$181),IF(D1264&lt;Assumptions!$P$181,Assumptions!$AL$181+(Assumptions!$AM$181-Assumptions!$AL$181)*(D1264-Assumptions!$AH$181)/(Assumptions!$P$181-Assumptions!$AH$181),Assumptions!$AM$181)))</f>
        <v>50000</v>
      </c>
      <c r="N1264" s="44">
        <f t="shared" si="38"/>
        <v>52.798310454065472</v>
      </c>
      <c r="O1264" s="45">
        <f t="shared" si="39"/>
        <v>2868</v>
      </c>
      <c r="P1264" s="14" t="str">
        <f>IF(D1264&gt;=Assumptions!$P$181,"High",IF(D1264&gt;=Assumptions!$AH$181,"Mid",IF(D1264&lt;=Assumptions!$G$181,"Low","Loading")))</f>
        <v>Mid</v>
      </c>
      <c r="Q1264" s="46">
        <f>MAX(K1264,MIN(Assumptions!$S$181,O1264),Q1265)</f>
        <v>2868</v>
      </c>
      <c r="R1264" s="12">
        <f>IF(AND(Q1264&lt;=K1264,INDEX(Assumptions!$C$26:$C$36,MATCH(G1264,Assumptions!$A$26:$A$36,0))&lt;&gt;""),INDEX(Assumptions!$C$26:$C$36,MATCH(G1264,Assumptions!$A$26:$A$36,0)),ROUND(G1264*Q1264,-2))</f>
        <v>2716000</v>
      </c>
      <c r="S1264" s="47" t="str">
        <f>TRIM(IF(AND(Assumptions!$L$181&lt;&gt;"",D1264&lt;Assumptions!$L$181),"View blocked / roof in front ("&amp;Assumptions!$M$181&amp;"); view premium still loading until L"&amp;Assumptions!$L$181&amp;". ","")&amp;IF(D1264=Assumptions!$AH$181,"Mid-floor view premium fully loaded. ","")&amp;IF(D1264=Assumptions!$P$181,"High-floor view premium fully loaded. ","")&amp;IF(Q1264&lt;=K1264,"At developer starting price.",""))</f>
        <v/>
      </c>
      <c r="T1264" s="48" t="str">
        <f>Assumptions!$AJ$181</f>
        <v>SW. 77m pool &amp; landscape (Central Lawn, Island Pool); Island Club in front of living room on low floors; nature reserve on higher floors</v>
      </c>
    </row>
    <row r="1265" spans="1:20" x14ac:dyDescent="0.2">
      <c r="A1265" s="13" t="s">
        <v>1450</v>
      </c>
      <c r="B1265" s="14">
        <v>11</v>
      </c>
      <c r="C1265" s="40">
        <v>55</v>
      </c>
      <c r="D1265" s="40">
        <v>9</v>
      </c>
      <c r="E1265" s="9" t="s">
        <v>45</v>
      </c>
      <c r="F1265" s="14" t="s">
        <v>1438</v>
      </c>
      <c r="G1265" s="10">
        <v>947</v>
      </c>
      <c r="H1265" s="14" t="s">
        <v>62</v>
      </c>
      <c r="I1265" s="41" t="str">
        <f>Assumptions!$I$181</f>
        <v>B</v>
      </c>
      <c r="J1265" s="14" t="str">
        <f>IF(D1265&lt;=Assumptions!$V$181,"Low",IF(D1265&lt;=Assumptions!$W$181,"Mid","High"))</f>
        <v>Mid</v>
      </c>
      <c r="K1265" s="15">
        <f>Assumptions!$Q$181</f>
        <v>2642</v>
      </c>
      <c r="L1265" s="42">
        <f>INDEX(Assumptions!$I$61:$I$90,D1265)</f>
        <v>2800.1494931362199</v>
      </c>
      <c r="M1265" s="43">
        <f>IF(D1265&lt;=Assumptions!$G$181,Assumptions!$AK$181,IF(D1265&lt;Assumptions!$AH$181,Assumptions!$AK$181+(Assumptions!$AL$181-Assumptions!$AK$181)*(D1265-Assumptions!$G$181)/(Assumptions!$AH$181-Assumptions!$G$181),IF(D1265&lt;Assumptions!$P$181,Assumptions!$AL$181+(Assumptions!$AM$181-Assumptions!$AL$181)*(D1265-Assumptions!$AH$181)/(Assumptions!$P$181-Assumptions!$AH$181),Assumptions!$AM$181)))</f>
        <v>50000</v>
      </c>
      <c r="N1265" s="44">
        <f t="shared" si="38"/>
        <v>52.798310454065472</v>
      </c>
      <c r="O1265" s="45">
        <f t="shared" si="39"/>
        <v>2853</v>
      </c>
      <c r="P1265" s="14" t="str">
        <f>IF(D1265&gt;=Assumptions!$P$181,"High",IF(D1265&gt;=Assumptions!$AH$181,"Mid",IF(D1265&lt;=Assumptions!$G$181,"Low","Loading")))</f>
        <v>Mid</v>
      </c>
      <c r="Q1265" s="46">
        <f>MAX(K1265,MIN(Assumptions!$S$181,O1265),Q1266)</f>
        <v>2853</v>
      </c>
      <c r="R1265" s="12">
        <f>IF(AND(Q1265&lt;=K1265,INDEX(Assumptions!$C$26:$C$36,MATCH(G1265,Assumptions!$A$26:$A$36,0))&lt;&gt;""),INDEX(Assumptions!$C$26:$C$36,MATCH(G1265,Assumptions!$A$26:$A$36,0)),ROUND(G1265*Q1265,-2))</f>
        <v>2701800</v>
      </c>
      <c r="S1265" s="47" t="str">
        <f>TRIM(IF(AND(Assumptions!$L$181&lt;&gt;"",D1265&lt;Assumptions!$L$181),"View blocked / roof in front ("&amp;Assumptions!$M$181&amp;"); view premium still loading until L"&amp;Assumptions!$L$181&amp;". ","")&amp;IF(D1265=Assumptions!$AH$181,"Mid-floor view premium fully loaded. ","")&amp;IF(D1265=Assumptions!$P$181,"High-floor view premium fully loaded. ","")&amp;IF(Q1265&lt;=K1265,"At developer starting price.",""))</f>
        <v/>
      </c>
      <c r="T1265" s="48" t="str">
        <f>Assumptions!$AJ$181</f>
        <v>SW. 77m pool &amp; landscape (Central Lawn, Island Pool); Island Club in front of living room on low floors; nature reserve on higher floors</v>
      </c>
    </row>
    <row r="1266" spans="1:20" x14ac:dyDescent="0.2">
      <c r="A1266" s="13" t="s">
        <v>1451</v>
      </c>
      <c r="B1266" s="14">
        <v>11</v>
      </c>
      <c r="C1266" s="40">
        <v>55</v>
      </c>
      <c r="D1266" s="40">
        <v>8</v>
      </c>
      <c r="E1266" s="9" t="s">
        <v>45</v>
      </c>
      <c r="F1266" s="14" t="s">
        <v>1438</v>
      </c>
      <c r="G1266" s="10">
        <v>947</v>
      </c>
      <c r="H1266" s="14" t="s">
        <v>62</v>
      </c>
      <c r="I1266" s="41" t="str">
        <f>Assumptions!$I$181</f>
        <v>B</v>
      </c>
      <c r="J1266" s="14" t="str">
        <f>IF(D1266&lt;=Assumptions!$V$181,"Low",IF(D1266&lt;=Assumptions!$W$181,"Mid","High"))</f>
        <v>Low</v>
      </c>
      <c r="K1266" s="15">
        <f>Assumptions!$Q$181</f>
        <v>2642</v>
      </c>
      <c r="L1266" s="42">
        <f>INDEX(Assumptions!$I$61:$I$90,D1266)</f>
        <v>2785.0993241816263</v>
      </c>
      <c r="M1266" s="43">
        <f>IF(D1266&lt;=Assumptions!$G$181,Assumptions!$AK$181,IF(D1266&lt;Assumptions!$AH$181,Assumptions!$AK$181+(Assumptions!$AL$181-Assumptions!$AK$181)*(D1266-Assumptions!$G$181)/(Assumptions!$AH$181-Assumptions!$G$181),IF(D1266&lt;Assumptions!$P$181,Assumptions!$AL$181+(Assumptions!$AM$181-Assumptions!$AL$181)*(D1266-Assumptions!$AH$181)/(Assumptions!$P$181-Assumptions!$AH$181),Assumptions!$AM$181)))</f>
        <v>50000</v>
      </c>
      <c r="N1266" s="44">
        <f t="shared" si="38"/>
        <v>52.798310454065472</v>
      </c>
      <c r="O1266" s="45">
        <f t="shared" si="39"/>
        <v>2838</v>
      </c>
      <c r="P1266" s="14" t="str">
        <f>IF(D1266&gt;=Assumptions!$P$181,"High",IF(D1266&gt;=Assumptions!$AH$181,"Mid",IF(D1266&lt;=Assumptions!$G$181,"Low","Loading")))</f>
        <v>Mid</v>
      </c>
      <c r="Q1266" s="46">
        <f>MAX(K1266,MIN(Assumptions!$S$181,O1266),Q1267)</f>
        <v>2838</v>
      </c>
      <c r="R1266" s="12">
        <f>IF(AND(Q1266&lt;=K1266,INDEX(Assumptions!$C$26:$C$36,MATCH(G1266,Assumptions!$A$26:$A$36,0))&lt;&gt;""),INDEX(Assumptions!$C$26:$C$36,MATCH(G1266,Assumptions!$A$26:$A$36,0)),ROUND(G1266*Q1266,-2))</f>
        <v>2687600</v>
      </c>
      <c r="S1266" s="47" t="str">
        <f>TRIM(IF(AND(Assumptions!$L$181&lt;&gt;"",D1266&lt;Assumptions!$L$181),"View blocked / roof in front ("&amp;Assumptions!$M$181&amp;"); view premium still loading until L"&amp;Assumptions!$L$181&amp;". ","")&amp;IF(D1266=Assumptions!$AH$181,"Mid-floor view premium fully loaded. ","")&amp;IF(D1266=Assumptions!$P$181,"High-floor view premium fully loaded. ","")&amp;IF(Q1266&lt;=K1266,"At developer starting price.",""))</f>
        <v/>
      </c>
      <c r="T1266" s="48" t="str">
        <f>Assumptions!$AJ$181</f>
        <v>SW. 77m pool &amp; landscape (Central Lawn, Island Pool); Island Club in front of living room on low floors; nature reserve on higher floors</v>
      </c>
    </row>
    <row r="1267" spans="1:20" x14ac:dyDescent="0.2">
      <c r="A1267" s="13" t="s">
        <v>1452</v>
      </c>
      <c r="B1267" s="14">
        <v>11</v>
      </c>
      <c r="C1267" s="40">
        <v>55</v>
      </c>
      <c r="D1267" s="40">
        <v>7</v>
      </c>
      <c r="E1267" s="9" t="s">
        <v>45</v>
      </c>
      <c r="F1267" s="14" t="s">
        <v>1438</v>
      </c>
      <c r="G1267" s="10">
        <v>947</v>
      </c>
      <c r="H1267" s="14" t="s">
        <v>62</v>
      </c>
      <c r="I1267" s="41" t="str">
        <f>Assumptions!$I$181</f>
        <v>B</v>
      </c>
      <c r="J1267" s="14" t="str">
        <f>IF(D1267&lt;=Assumptions!$V$181,"Low",IF(D1267&lt;=Assumptions!$W$181,"Mid","High"))</f>
        <v>Low</v>
      </c>
      <c r="K1267" s="15">
        <f>Assumptions!$Q$181</f>
        <v>2642</v>
      </c>
      <c r="L1267" s="42">
        <f>INDEX(Assumptions!$I$61:$I$90,D1267)</f>
        <v>2770.0491552270328</v>
      </c>
      <c r="M1267" s="43">
        <f>IF(D1267&lt;=Assumptions!$G$181,Assumptions!$AK$181,IF(D1267&lt;Assumptions!$AH$181,Assumptions!$AK$181+(Assumptions!$AL$181-Assumptions!$AK$181)*(D1267-Assumptions!$G$181)/(Assumptions!$AH$181-Assumptions!$G$181),IF(D1267&lt;Assumptions!$P$181,Assumptions!$AL$181+(Assumptions!$AM$181-Assumptions!$AL$181)*(D1267-Assumptions!$AH$181)/(Assumptions!$P$181-Assumptions!$AH$181),Assumptions!$AM$181)))</f>
        <v>50000</v>
      </c>
      <c r="N1267" s="44">
        <f t="shared" si="38"/>
        <v>52.798310454065472</v>
      </c>
      <c r="O1267" s="45">
        <f t="shared" si="39"/>
        <v>2823</v>
      </c>
      <c r="P1267" s="14" t="str">
        <f>IF(D1267&gt;=Assumptions!$P$181,"High",IF(D1267&gt;=Assumptions!$AH$181,"Mid",IF(D1267&lt;=Assumptions!$G$181,"Low","Loading")))</f>
        <v>Mid</v>
      </c>
      <c r="Q1267" s="46">
        <f>MAX(K1267,MIN(Assumptions!$S$181,O1267),Q1268)</f>
        <v>2823</v>
      </c>
      <c r="R1267" s="12">
        <f>IF(AND(Q1267&lt;=K1267,INDEX(Assumptions!$C$26:$C$36,MATCH(G1267,Assumptions!$A$26:$A$36,0))&lt;&gt;""),INDEX(Assumptions!$C$26:$C$36,MATCH(G1267,Assumptions!$A$26:$A$36,0)),ROUND(G1267*Q1267,-2))</f>
        <v>2673400</v>
      </c>
      <c r="S1267" s="47" t="str">
        <f>TRIM(IF(AND(Assumptions!$L$181&lt;&gt;"",D1267&lt;Assumptions!$L$181),"View blocked / roof in front ("&amp;Assumptions!$M$181&amp;"); view premium still loading until L"&amp;Assumptions!$L$181&amp;". ","")&amp;IF(D1267=Assumptions!$AH$181,"Mid-floor view premium fully loaded. ","")&amp;IF(D1267=Assumptions!$P$181,"High-floor view premium fully loaded. ","")&amp;IF(Q1267&lt;=K1267,"At developer starting price.",""))</f>
        <v>Mid-floor view premium fully loaded.</v>
      </c>
      <c r="T1267" s="48" t="str">
        <f>Assumptions!$AJ$181</f>
        <v>SW. 77m pool &amp; landscape (Central Lawn, Island Pool); Island Club in front of living room on low floors; nature reserve on higher floors</v>
      </c>
    </row>
    <row r="1268" spans="1:20" x14ac:dyDescent="0.2">
      <c r="A1268" s="13" t="s">
        <v>1453</v>
      </c>
      <c r="B1268" s="14">
        <v>11</v>
      </c>
      <c r="C1268" s="40">
        <v>55</v>
      </c>
      <c r="D1268" s="40">
        <v>6</v>
      </c>
      <c r="E1268" s="9" t="s">
        <v>45</v>
      </c>
      <c r="F1268" s="14" t="s">
        <v>1438</v>
      </c>
      <c r="G1268" s="10">
        <v>947</v>
      </c>
      <c r="H1268" s="14" t="s">
        <v>62</v>
      </c>
      <c r="I1268" s="41" t="str">
        <f>Assumptions!$I$181</f>
        <v>B</v>
      </c>
      <c r="J1268" s="14" t="str">
        <f>IF(D1268&lt;=Assumptions!$V$181,"Low",IF(D1268&lt;=Assumptions!$W$181,"Mid","High"))</f>
        <v>Low</v>
      </c>
      <c r="K1268" s="15">
        <f>Assumptions!$Q$181</f>
        <v>2642</v>
      </c>
      <c r="L1268" s="42">
        <f>INDEX(Assumptions!$I$61:$I$90,D1268)</f>
        <v>2754.9989862724392</v>
      </c>
      <c r="M1268" s="43">
        <f>IF(D1268&lt;=Assumptions!$G$181,Assumptions!$AK$181,IF(D1268&lt;Assumptions!$AH$181,Assumptions!$AK$181+(Assumptions!$AL$181-Assumptions!$AK$181)*(D1268-Assumptions!$G$181)/(Assumptions!$AH$181-Assumptions!$G$181),IF(D1268&lt;Assumptions!$P$181,Assumptions!$AL$181+(Assumptions!$AM$181-Assumptions!$AL$181)*(D1268-Assumptions!$AH$181)/(Assumptions!$P$181-Assumptions!$AH$181),Assumptions!$AM$181)))</f>
        <v>30000</v>
      </c>
      <c r="N1268" s="44">
        <f t="shared" si="38"/>
        <v>31.678986272439282</v>
      </c>
      <c r="O1268" s="45">
        <f t="shared" si="39"/>
        <v>2787</v>
      </c>
      <c r="P1268" s="14" t="str">
        <f>IF(D1268&gt;=Assumptions!$P$181,"High",IF(D1268&gt;=Assumptions!$AH$181,"Mid",IF(D1268&lt;=Assumptions!$G$181,"Low","Loading")))</f>
        <v>Loading</v>
      </c>
      <c r="Q1268" s="46">
        <f>MAX(K1268,MIN(Assumptions!$S$181,O1268),Q1269)</f>
        <v>2787</v>
      </c>
      <c r="R1268" s="12">
        <f>IF(AND(Q1268&lt;=K1268,INDEX(Assumptions!$C$26:$C$36,MATCH(G1268,Assumptions!$A$26:$A$36,0))&lt;&gt;""),INDEX(Assumptions!$C$26:$C$36,MATCH(G1268,Assumptions!$A$26:$A$36,0)),ROUND(G1268*Q1268,-2))</f>
        <v>2639300</v>
      </c>
      <c r="S1268" s="47" t="str">
        <f>TRIM(IF(AND(Assumptions!$L$181&lt;&gt;"",D1268&lt;Assumptions!$L$181),"View blocked / roof in front ("&amp;Assumptions!$M$181&amp;"); view premium still loading until L"&amp;Assumptions!$L$181&amp;". ","")&amp;IF(D1268=Assumptions!$AH$181,"Mid-floor view premium fully loaded. ","")&amp;IF(D1268=Assumptions!$P$181,"High-floor view premium fully loaded. ","")&amp;IF(Q1268&lt;=K1268,"At developer starting price.",""))</f>
        <v>View blocked / roof in front (Island Club (lengthwise, in front of living room &amp; balcony): 67% of view, 32.5 to 63.1m away); view premium still loading until L7.</v>
      </c>
      <c r="T1268" s="48" t="str">
        <f>Assumptions!$AJ$181</f>
        <v>SW. 77m pool &amp; landscape (Central Lawn, Island Pool); Island Club in front of living room on low floors; nature reserve on higher floors</v>
      </c>
    </row>
    <row r="1269" spans="1:20" x14ac:dyDescent="0.2">
      <c r="A1269" s="13" t="s">
        <v>1454</v>
      </c>
      <c r="B1269" s="14">
        <v>11</v>
      </c>
      <c r="C1269" s="40">
        <v>55</v>
      </c>
      <c r="D1269" s="40">
        <v>5</v>
      </c>
      <c r="E1269" s="9" t="s">
        <v>45</v>
      </c>
      <c r="F1269" s="14" t="s">
        <v>1438</v>
      </c>
      <c r="G1269" s="10">
        <v>947</v>
      </c>
      <c r="H1269" s="14" t="s">
        <v>62</v>
      </c>
      <c r="I1269" s="41" t="str">
        <f>Assumptions!$I$181</f>
        <v>B</v>
      </c>
      <c r="J1269" s="14" t="str">
        <f>IF(D1269&lt;=Assumptions!$V$181,"Low",IF(D1269&lt;=Assumptions!$W$181,"Mid","High"))</f>
        <v>Low</v>
      </c>
      <c r="K1269" s="15">
        <f>Assumptions!$Q$181</f>
        <v>2642</v>
      </c>
      <c r="L1269" s="42">
        <f>INDEX(Assumptions!$I$61:$I$90,D1269)</f>
        <v>2739.9488173178456</v>
      </c>
      <c r="M1269" s="43">
        <f>IF(D1269&lt;=Assumptions!$G$181,Assumptions!$AK$181,IF(D1269&lt;Assumptions!$AH$181,Assumptions!$AK$181+(Assumptions!$AL$181-Assumptions!$AK$181)*(D1269-Assumptions!$G$181)/(Assumptions!$AH$181-Assumptions!$G$181),IF(D1269&lt;Assumptions!$P$181,Assumptions!$AL$181+(Assumptions!$AM$181-Assumptions!$AL$181)*(D1269-Assumptions!$AH$181)/(Assumptions!$P$181-Assumptions!$AH$181),Assumptions!$AM$181)))</f>
        <v>10000</v>
      </c>
      <c r="N1269" s="44">
        <f t="shared" si="38"/>
        <v>10.559662090813093</v>
      </c>
      <c r="O1269" s="45">
        <f t="shared" si="39"/>
        <v>2751</v>
      </c>
      <c r="P1269" s="14" t="str">
        <f>IF(D1269&gt;=Assumptions!$P$181,"High",IF(D1269&gt;=Assumptions!$AH$181,"Mid",IF(D1269&lt;=Assumptions!$G$181,"Low","Loading")))</f>
        <v>Loading</v>
      </c>
      <c r="Q1269" s="46">
        <f>MAX(K1269,MIN(Assumptions!$S$181,O1269),Q1270)</f>
        <v>2751</v>
      </c>
      <c r="R1269" s="12">
        <f>IF(AND(Q1269&lt;=K1269,INDEX(Assumptions!$C$26:$C$36,MATCH(G1269,Assumptions!$A$26:$A$36,0))&lt;&gt;""),INDEX(Assumptions!$C$26:$C$36,MATCH(G1269,Assumptions!$A$26:$A$36,0)),ROUND(G1269*Q1269,-2))</f>
        <v>2605200</v>
      </c>
      <c r="S1269" s="47" t="str">
        <f>TRIM(IF(AND(Assumptions!$L$181&lt;&gt;"",D1269&lt;Assumptions!$L$181),"View blocked / roof in front ("&amp;Assumptions!$M$181&amp;"); view premium still loading until L"&amp;Assumptions!$L$181&amp;". ","")&amp;IF(D1269=Assumptions!$AH$181,"Mid-floor view premium fully loaded. ","")&amp;IF(D1269=Assumptions!$P$181,"High-floor view premium fully loaded. ","")&amp;IF(Q1269&lt;=K1269,"At developer starting price.",""))</f>
        <v>View blocked / roof in front (Island Club (lengthwise, in front of living room &amp; balcony): 67% of view, 32.5 to 63.1m away); view premium still loading until L7.</v>
      </c>
      <c r="T1269" s="48" t="str">
        <f>Assumptions!$AJ$181</f>
        <v>SW. 77m pool &amp; landscape (Central Lawn, Island Pool); Island Club in front of living room on low floors; nature reserve on higher floors</v>
      </c>
    </row>
    <row r="1270" spans="1:20" x14ac:dyDescent="0.2">
      <c r="A1270" s="13" t="s">
        <v>1455</v>
      </c>
      <c r="B1270" s="14">
        <v>11</v>
      </c>
      <c r="C1270" s="40">
        <v>55</v>
      </c>
      <c r="D1270" s="40">
        <v>4</v>
      </c>
      <c r="E1270" s="9" t="s">
        <v>45</v>
      </c>
      <c r="F1270" s="14" t="s">
        <v>1438</v>
      </c>
      <c r="G1270" s="10">
        <v>947</v>
      </c>
      <c r="H1270" s="14" t="s">
        <v>62</v>
      </c>
      <c r="I1270" s="41" t="str">
        <f>Assumptions!$I$181</f>
        <v>B</v>
      </c>
      <c r="J1270" s="14" t="str">
        <f>IF(D1270&lt;=Assumptions!$V$181,"Low",IF(D1270&lt;=Assumptions!$W$181,"Mid","High"))</f>
        <v>Low</v>
      </c>
      <c r="K1270" s="15">
        <f>Assumptions!$Q$181</f>
        <v>2642</v>
      </c>
      <c r="L1270" s="42">
        <f>INDEX(Assumptions!$I$61:$I$90,D1270)</f>
        <v>2724.8986483632525</v>
      </c>
      <c r="M1270" s="43">
        <f>IF(D1270&lt;=Assumptions!$G$181,Assumptions!$AK$181,IF(D1270&lt;Assumptions!$AH$181,Assumptions!$AK$181+(Assumptions!$AL$181-Assumptions!$AK$181)*(D1270-Assumptions!$G$181)/(Assumptions!$AH$181-Assumptions!$G$181),IF(D1270&lt;Assumptions!$P$181,Assumptions!$AL$181+(Assumptions!$AM$181-Assumptions!$AL$181)*(D1270-Assumptions!$AH$181)/(Assumptions!$P$181-Assumptions!$AH$181),Assumptions!$AM$181)))</f>
        <v>-10000</v>
      </c>
      <c r="N1270" s="44">
        <f t="shared" si="38"/>
        <v>-10.559662090813093</v>
      </c>
      <c r="O1270" s="45">
        <f t="shared" si="39"/>
        <v>2714</v>
      </c>
      <c r="P1270" s="14" t="str">
        <f>IF(D1270&gt;=Assumptions!$P$181,"High",IF(D1270&gt;=Assumptions!$AH$181,"Mid",IF(D1270&lt;=Assumptions!$G$181,"Low","Loading")))</f>
        <v>Loading</v>
      </c>
      <c r="Q1270" s="46">
        <f>MAX(K1270,MIN(Assumptions!$S$181,O1270),Q1271)</f>
        <v>2714</v>
      </c>
      <c r="R1270" s="12">
        <f>IF(AND(Q1270&lt;=K1270,INDEX(Assumptions!$C$26:$C$36,MATCH(G1270,Assumptions!$A$26:$A$36,0))&lt;&gt;""),INDEX(Assumptions!$C$26:$C$36,MATCH(G1270,Assumptions!$A$26:$A$36,0)),ROUND(G1270*Q1270,-2))</f>
        <v>2570200</v>
      </c>
      <c r="S1270" s="47" t="str">
        <f>TRIM(IF(AND(Assumptions!$L$181&lt;&gt;"",D1270&lt;Assumptions!$L$181),"View blocked / roof in front ("&amp;Assumptions!$M$181&amp;"); view premium still loading until L"&amp;Assumptions!$L$181&amp;". ","")&amp;IF(D1270=Assumptions!$AH$181,"Mid-floor view premium fully loaded. ","")&amp;IF(D1270=Assumptions!$P$181,"High-floor view premium fully loaded. ","")&amp;IF(Q1270&lt;=K1270,"At developer starting price.",""))</f>
        <v>View blocked / roof in front (Island Club (lengthwise, in front of living room &amp; balcony): 67% of view, 32.5 to 63.1m away); view premium still loading until L7.</v>
      </c>
      <c r="T1270" s="48" t="str">
        <f>Assumptions!$AJ$181</f>
        <v>SW. 77m pool &amp; landscape (Central Lawn, Island Pool); Island Club in front of living room on low floors; nature reserve on higher floors</v>
      </c>
    </row>
    <row r="1271" spans="1:20" x14ac:dyDescent="0.2">
      <c r="A1271" s="13" t="s">
        <v>1456</v>
      </c>
      <c r="B1271" s="14">
        <v>11</v>
      </c>
      <c r="C1271" s="40">
        <v>55</v>
      </c>
      <c r="D1271" s="40">
        <v>3</v>
      </c>
      <c r="E1271" s="9" t="s">
        <v>45</v>
      </c>
      <c r="F1271" s="14" t="s">
        <v>1438</v>
      </c>
      <c r="G1271" s="10">
        <v>947</v>
      </c>
      <c r="H1271" s="14" t="s">
        <v>62</v>
      </c>
      <c r="I1271" s="41" t="str">
        <f>Assumptions!$I$181</f>
        <v>B</v>
      </c>
      <c r="J1271" s="14" t="str">
        <f>IF(D1271&lt;=Assumptions!$V$181,"Low",IF(D1271&lt;=Assumptions!$W$181,"Mid","High"))</f>
        <v>Low</v>
      </c>
      <c r="K1271" s="15">
        <f>Assumptions!$Q$181</f>
        <v>2642</v>
      </c>
      <c r="L1271" s="42">
        <f>INDEX(Assumptions!$I$61:$I$90,D1271)</f>
        <v>2709.8484794086589</v>
      </c>
      <c r="M1271" s="43">
        <f>IF(D1271&lt;=Assumptions!$G$181,Assumptions!$AK$181,IF(D1271&lt;Assumptions!$AH$181,Assumptions!$AK$181+(Assumptions!$AL$181-Assumptions!$AK$181)*(D1271-Assumptions!$G$181)/(Assumptions!$AH$181-Assumptions!$G$181),IF(D1271&lt;Assumptions!$P$181,Assumptions!$AL$181+(Assumptions!$AM$181-Assumptions!$AL$181)*(D1271-Assumptions!$AH$181)/(Assumptions!$P$181-Assumptions!$AH$181),Assumptions!$AM$181)))</f>
        <v>-30000</v>
      </c>
      <c r="N1271" s="44">
        <f t="shared" si="38"/>
        <v>-31.678986272439282</v>
      </c>
      <c r="O1271" s="45">
        <f t="shared" si="39"/>
        <v>2678</v>
      </c>
      <c r="P1271" s="14" t="str">
        <f>IF(D1271&gt;=Assumptions!$P$181,"High",IF(D1271&gt;=Assumptions!$AH$181,"Mid",IF(D1271&lt;=Assumptions!$G$181,"Low","Loading")))</f>
        <v>Loading</v>
      </c>
      <c r="Q1271" s="46">
        <f>MAX(K1271,MIN(Assumptions!$S$181,O1271),Q1272)</f>
        <v>2678</v>
      </c>
      <c r="R1271" s="12">
        <f>IF(AND(Q1271&lt;=K1271,INDEX(Assumptions!$C$26:$C$36,MATCH(G1271,Assumptions!$A$26:$A$36,0))&lt;&gt;""),INDEX(Assumptions!$C$26:$C$36,MATCH(G1271,Assumptions!$A$26:$A$36,0)),ROUND(G1271*Q1271,-2))</f>
        <v>2536100</v>
      </c>
      <c r="S1271" s="47" t="str">
        <f>TRIM(IF(AND(Assumptions!$L$181&lt;&gt;"",D1271&lt;Assumptions!$L$181),"View blocked / roof in front ("&amp;Assumptions!$M$181&amp;"); view premium still loading until L"&amp;Assumptions!$L$181&amp;". ","")&amp;IF(D1271=Assumptions!$AH$181,"Mid-floor view premium fully loaded. ","")&amp;IF(D1271=Assumptions!$P$181,"High-floor view premium fully loaded. ","")&amp;IF(Q1271&lt;=K1271,"At developer starting price.",""))</f>
        <v>View blocked / roof in front (Island Club (lengthwise, in front of living room &amp; balcony): 67% of view, 32.5 to 63.1m away); view premium still loading until L7.</v>
      </c>
      <c r="T1271" s="48" t="str">
        <f>Assumptions!$AJ$181</f>
        <v>SW. 77m pool &amp; landscape (Central Lawn, Island Pool); Island Club in front of living room on low floors; nature reserve on higher floors</v>
      </c>
    </row>
    <row r="1272" spans="1:20" x14ac:dyDescent="0.2">
      <c r="A1272" s="13" t="s">
        <v>1457</v>
      </c>
      <c r="B1272" s="14">
        <v>11</v>
      </c>
      <c r="C1272" s="40">
        <v>55</v>
      </c>
      <c r="D1272" s="40">
        <v>2</v>
      </c>
      <c r="E1272" s="9" t="s">
        <v>45</v>
      </c>
      <c r="F1272" s="14" t="s">
        <v>1458</v>
      </c>
      <c r="G1272" s="10">
        <v>947</v>
      </c>
      <c r="H1272" s="14" t="s">
        <v>62</v>
      </c>
      <c r="I1272" s="41" t="str">
        <f>Assumptions!$I$181</f>
        <v>B</v>
      </c>
      <c r="J1272" s="14" t="str">
        <f>IF(D1272&lt;=Assumptions!$V$181,"Low",IF(D1272&lt;=Assumptions!$W$181,"Mid","High"))</f>
        <v>Low</v>
      </c>
      <c r="K1272" s="15">
        <f>Assumptions!$Q$181</f>
        <v>2642</v>
      </c>
      <c r="L1272" s="42">
        <f>INDEX(Assumptions!$I$61:$I$90,D1272)</f>
        <v>2694.7983104540654</v>
      </c>
      <c r="M1272" s="43">
        <f>IF(D1272&lt;=Assumptions!$G$181,Assumptions!$AK$181,IF(D1272&lt;Assumptions!$AH$181,Assumptions!$AK$181+(Assumptions!$AL$181-Assumptions!$AK$181)*(D1272-Assumptions!$G$181)/(Assumptions!$AH$181-Assumptions!$G$181),IF(D1272&lt;Assumptions!$P$181,Assumptions!$AL$181+(Assumptions!$AM$181-Assumptions!$AL$181)*(D1272-Assumptions!$AH$181)/(Assumptions!$P$181-Assumptions!$AH$181),Assumptions!$AM$181)))</f>
        <v>-50000</v>
      </c>
      <c r="N1272" s="44">
        <f t="shared" si="38"/>
        <v>-52.798310454065472</v>
      </c>
      <c r="O1272" s="45">
        <f t="shared" si="39"/>
        <v>2642</v>
      </c>
      <c r="P1272" s="14" t="str">
        <f>IF(D1272&gt;=Assumptions!$P$181,"High",IF(D1272&gt;=Assumptions!$AH$181,"Mid",IF(D1272&lt;=Assumptions!$G$181,"Low","Loading")))</f>
        <v>Low</v>
      </c>
      <c r="Q1272" s="46">
        <f>MAX(K1272,MIN(Assumptions!$S$181,O1272))</f>
        <v>2642</v>
      </c>
      <c r="R1272" s="12">
        <f>IF(AND(Q1272&lt;=K1272,INDEX(Assumptions!$C$26:$C$36,MATCH(G1272,Assumptions!$A$26:$A$36,0))&lt;&gt;""),INDEX(Assumptions!$C$26:$C$36,MATCH(G1272,Assumptions!$A$26:$A$36,0)),ROUND(G1272*Q1272,-2))</f>
        <v>2503000</v>
      </c>
      <c r="S1272" s="47" t="str">
        <f>TRIM(IF(AND(Assumptions!$L$181&lt;&gt;"",D1272&lt;Assumptions!$L$181),"View blocked / roof in front ("&amp;Assumptions!$M$181&amp;"); view premium still loading until L"&amp;Assumptions!$L$181&amp;". ","")&amp;IF(D1272=Assumptions!$AH$181,"Mid-floor view premium fully loaded. ","")&amp;IF(D1272=Assumptions!$P$181,"High-floor view premium fully loaded. ","")&amp;IF(Q1272&lt;=K1272,"At developer starting price.",""))</f>
        <v>View blocked / roof in front (Island Club (lengthwise, in front of living room &amp; balcony): 67% of view, 32.5 to 63.1m away); view premium still loading until L7. At developer starting price.</v>
      </c>
      <c r="T1272" s="48" t="str">
        <f>Assumptions!$AJ$181</f>
        <v>SW. 77m pool &amp; landscape (Central Lawn, Island Pool); Island Club in front of living room on low floors; nature reserve on higher floors</v>
      </c>
    </row>
  </sheetData>
  <autoFilter ref="A4:T1272" xr:uid="{00000000-0009-0000-0000-000002000000}"/>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6E73"/>
    <pageSetUpPr fitToPage="1"/>
  </sheetPr>
  <dimension ref="A1:F82"/>
  <sheetViews>
    <sheetView showGridLines="0" zoomScale="90" zoomScaleNormal="90" workbookViewId="0">
      <pane xSplit="1" ySplit="7" topLeftCell="B13"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6" width="14.5" customWidth="1"/>
  </cols>
  <sheetData>
    <row r="1" spans="1:6" ht="18" x14ac:dyDescent="0.2">
      <c r="A1" s="2" t="s">
        <v>1459</v>
      </c>
    </row>
    <row r="2" spans="1:6" x14ac:dyDescent="0.2">
      <c r="A2" s="3" t="s">
        <v>1460</v>
      </c>
    </row>
    <row r="3" spans="1:6" x14ac:dyDescent="0.2">
      <c r="A3" s="3" t="s">
        <v>1461</v>
      </c>
    </row>
    <row r="5" spans="1:6" x14ac:dyDescent="0.2">
      <c r="A5" s="58" t="s">
        <v>1462</v>
      </c>
      <c r="B5" s="21">
        <v>1</v>
      </c>
      <c r="C5" s="21">
        <v>1</v>
      </c>
      <c r="D5" s="21">
        <v>3</v>
      </c>
      <c r="E5" s="21">
        <v>3</v>
      </c>
      <c r="F5" s="21">
        <v>11</v>
      </c>
    </row>
    <row r="6" spans="1:6" x14ac:dyDescent="0.2">
      <c r="A6" s="58" t="s">
        <v>99</v>
      </c>
      <c r="B6" s="59">
        <v>7</v>
      </c>
      <c r="C6" s="59">
        <v>8</v>
      </c>
      <c r="D6" s="59">
        <v>16</v>
      </c>
      <c r="E6" s="59">
        <v>17</v>
      </c>
      <c r="F6" s="59">
        <v>52</v>
      </c>
    </row>
    <row r="7" spans="1:6" x14ac:dyDescent="0.2">
      <c r="A7" s="58" t="s">
        <v>30</v>
      </c>
      <c r="B7" s="60" t="s">
        <v>247</v>
      </c>
      <c r="C7" s="60" t="s">
        <v>269</v>
      </c>
      <c r="D7" s="60" t="s">
        <v>439</v>
      </c>
      <c r="E7" s="60" t="s">
        <v>247</v>
      </c>
      <c r="F7" s="60" t="s">
        <v>439</v>
      </c>
    </row>
    <row r="8" spans="1:6" x14ac:dyDescent="0.2">
      <c r="A8" s="58" t="s">
        <v>29</v>
      </c>
      <c r="B8" s="20">
        <v>592</v>
      </c>
      <c r="C8" s="20">
        <v>592</v>
      </c>
      <c r="D8" s="20">
        <v>592</v>
      </c>
      <c r="E8" s="20">
        <v>592</v>
      </c>
      <c r="F8" s="20">
        <v>592</v>
      </c>
    </row>
    <row r="9" spans="1:6" x14ac:dyDescent="0.2">
      <c r="A9" s="58" t="s">
        <v>54</v>
      </c>
      <c r="B9" s="21" t="s">
        <v>62</v>
      </c>
      <c r="C9" s="21" t="s">
        <v>62</v>
      </c>
      <c r="D9" s="21" t="s">
        <v>62</v>
      </c>
      <c r="E9" s="21" t="s">
        <v>62</v>
      </c>
      <c r="F9" s="21" t="s">
        <v>62</v>
      </c>
    </row>
    <row r="10" spans="1:6" ht="30" customHeight="1" x14ac:dyDescent="0.2">
      <c r="A10" s="102" t="s">
        <v>1463</v>
      </c>
      <c r="B10" s="61" t="str">
        <f>Assumptions!$I$133&amp;CHAR(10)&amp;TEXT(Assumptions!$AK$133/1000,"+$0;-$0;$0")&amp;"K / "&amp;TEXT(Assumptions!$AL$133/1000,"+$0;-$0;$0")&amp;"K / "&amp;TEXT(Assumptions!$AM$133/1000,"+$0;-$0;$0")&amp;"K"</f>
        <v>D
-$50K / -$50K / -$50K</v>
      </c>
      <c r="C10" s="61" t="str">
        <f>Assumptions!$I$134&amp;CHAR(10)&amp;TEXT(Assumptions!$AK$134/1000,"+$0;-$0;$0")&amp;"K / "&amp;TEXT(Assumptions!$AL$134/1000,"+$0;-$0;$0")&amp;"K / "&amp;TEXT(Assumptions!$AM$134/1000,"+$0;-$0;$0")&amp;"K"</f>
        <v>D
-$50K / -$50K / -$50K</v>
      </c>
      <c r="D10" s="61" t="str">
        <f>Assumptions!$I$142&amp;CHAR(10)&amp;TEXT(Assumptions!$AK$142/1000,"+$0;-$0;$0")&amp;"K / "&amp;TEXT(Assumptions!$AL$142/1000,"+$0;-$0;$0")&amp;"K / "&amp;TEXT(Assumptions!$AM$142/1000,"+$0;-$0;$0")&amp;"K"</f>
        <v>C
+$50K / -$17K / -$21K</v>
      </c>
      <c r="E10" s="61" t="str">
        <f>Assumptions!$I$143&amp;CHAR(10)&amp;TEXT(Assumptions!$AK$143/1000,"+$0;-$0;$0")&amp;"K / "&amp;TEXT(Assumptions!$AL$143/1000,"+$0;-$0;$0")&amp;"K / "&amp;TEXT(Assumptions!$AM$143/1000,"+$0;-$0;$0")&amp;"K"</f>
        <v>C
+$50K / -$17K / -$21K</v>
      </c>
      <c r="F10" s="61" t="str">
        <f>Assumptions!$I$178&amp;CHAR(10)&amp;TEXT(Assumptions!$AK$178/1000,"+$0;-$0;$0")&amp;"K / "&amp;TEXT(Assumptions!$AL$178/1000,"+$0;-$0;$0")&amp;"K / "&amp;TEXT(Assumptions!$AM$178/1000,"+$0;-$0;$0")&amp;"K"</f>
        <v>B
-$50K / +$50K / +$50K</v>
      </c>
    </row>
    <row r="11" spans="1:6" ht="90" customHeight="1" x14ac:dyDescent="0.2">
      <c r="A11" s="102" t="s">
        <v>113</v>
      </c>
      <c r="B11" s="62" t="str">
        <f>Assumptions!$AJ$133</f>
        <v>NNW. Low floors overlook drop-off; Island Club in front; better from mid floor</v>
      </c>
      <c r="C11" s="62" t="str">
        <f>Assumptions!$AJ$134</f>
        <v>NNW. Low floors overlook drop-off; Island Club in front; better from mid floor</v>
      </c>
      <c r="D11" s="62" t="str">
        <f>Assumptions!$AJ$142</f>
        <v>NNE. Shorter pool view (~80m to Blk 11), partly limited by side walls</v>
      </c>
      <c r="E11" s="62" t="str">
        <f>Assumptions!$AJ$143</f>
        <v>NNE. Shorter pool view (~80m to Blk 11), partly limited by side walls</v>
      </c>
      <c r="F11" s="62" t="str">
        <f>Assumptions!$AJ$178</f>
        <v>SW. Inner pool &amp; facilities; Island Club in front of low floors; side landed + nature reserve from mid floor</v>
      </c>
    </row>
    <row r="12" spans="1:6" ht="28" x14ac:dyDescent="0.2">
      <c r="A12" s="102" t="s">
        <v>1464</v>
      </c>
      <c r="B12" s="63">
        <f>IF(Assumptions!$L$133="","",Assumptions!$L$133)</f>
        <v>6</v>
      </c>
      <c r="C12" s="63">
        <f>IF(Assumptions!$L$134="","",Assumptions!$L$134)</f>
        <v>7</v>
      </c>
      <c r="D12" s="63" t="str">
        <f>IF(Assumptions!$L$142="","",Assumptions!$L$142)</f>
        <v/>
      </c>
      <c r="E12" s="63" t="str">
        <f>IF(Assumptions!$L$143="","",Assumptions!$L$143)</f>
        <v/>
      </c>
      <c r="F12" s="63">
        <f>IF(Assumptions!$L$178="","",Assumptions!$L$178)</f>
        <v>7</v>
      </c>
    </row>
    <row r="13" spans="1:6" ht="28" x14ac:dyDescent="0.2">
      <c r="A13" s="102" t="s">
        <v>1465</v>
      </c>
      <c r="B13" s="63">
        <f>IF(Assumptions!$AD$133="","",Assumptions!$AD$133)</f>
        <v>3</v>
      </c>
      <c r="C13" s="63">
        <f>IF(Assumptions!$AD$134="","",Assumptions!$AD$134)</f>
        <v>3</v>
      </c>
      <c r="D13" s="63">
        <f>IF(Assumptions!$AD$142="","",Assumptions!$AD$142)</f>
        <v>3</v>
      </c>
      <c r="E13" s="63">
        <f>IF(Assumptions!$AD$143="","",Assumptions!$AD$143)</f>
        <v>3</v>
      </c>
      <c r="F13" s="63">
        <f>IF(Assumptions!$AD$178="","",Assumptions!$AD$178)</f>
        <v>3</v>
      </c>
    </row>
    <row r="14" spans="1:6" ht="39.75" customHeight="1" x14ac:dyDescent="0.2">
      <c r="A14" s="102" t="s">
        <v>1466</v>
      </c>
      <c r="B14" s="64" t="str">
        <f>IF(Assumptions!$M$133="","",Assumptions!$M$133)</f>
        <v>Island Club: 51% of view, 23.5 to 66m away</v>
      </c>
      <c r="C14" s="64" t="str">
        <f>IF(Assumptions!$M$134="","",Assumptions!$M$134)</f>
        <v>Island Club: 52% of view, 31.7 to 66m away</v>
      </c>
      <c r="D14" s="64" t="str">
        <f>IF(Assumptions!$M$142="","",Assumptions!$M$142)</f>
        <v/>
      </c>
      <c r="E14" s="64" t="str">
        <f>IF(Assumptions!$M$143="","",Assumptions!$M$143)</f>
        <v/>
      </c>
      <c r="F14" s="64" t="str">
        <f>IF(Assumptions!$M$178="","",Assumptions!$M$178)</f>
        <v>Island Club: 87% of view, 35.9 to 51.6m away</v>
      </c>
    </row>
    <row r="15" spans="1:6" ht="28" x14ac:dyDescent="0.2">
      <c r="A15" s="102" t="s">
        <v>1467</v>
      </c>
      <c r="B15" s="65">
        <f>Assumptions!$AH$133</f>
        <v>8</v>
      </c>
      <c r="C15" s="65">
        <f>Assumptions!$AH$134</f>
        <v>8</v>
      </c>
      <c r="D15" s="65">
        <f>Assumptions!$AH$142</f>
        <v>8</v>
      </c>
      <c r="E15" s="65">
        <f>Assumptions!$AH$143</f>
        <v>8</v>
      </c>
      <c r="F15" s="65">
        <f>Assumptions!$AH$178</f>
        <v>7</v>
      </c>
    </row>
    <row r="16" spans="1:6" ht="28" x14ac:dyDescent="0.2">
      <c r="A16" s="102" t="s">
        <v>1468</v>
      </c>
      <c r="B16" s="65">
        <f>Assumptions!$P$133</f>
        <v>16</v>
      </c>
      <c r="C16" s="65">
        <f>Assumptions!$P$134</f>
        <v>16</v>
      </c>
      <c r="D16" s="65">
        <f>Assumptions!$P$142</f>
        <v>16</v>
      </c>
      <c r="E16" s="65">
        <f>Assumptions!$P$143</f>
        <v>16</v>
      </c>
      <c r="F16" s="65">
        <f>Assumptions!$P$178</f>
        <v>16</v>
      </c>
    </row>
    <row r="17" spans="1:6" x14ac:dyDescent="0.2">
      <c r="A17" s="58" t="s">
        <v>1469</v>
      </c>
      <c r="B17" s="66">
        <f>INDEX('All Units'!$R$5:$R$1272,MATCH("#"&amp;TEXT(2,"00")&amp;"-"&amp;TEXT(B$6,"00"),'All Units'!$A$5:$A$1272,0))</f>
        <v>1544000</v>
      </c>
      <c r="C17" s="66">
        <f>INDEX('All Units'!$R$5:$R$1272,MATCH("#"&amp;TEXT(2,"00")&amp;"-"&amp;TEXT(C$6,"00"),'All Units'!$A$5:$A$1272,0))</f>
        <v>1544000</v>
      </c>
      <c r="D17" s="66">
        <f>INDEX('All Units'!$R$5:$R$1272,MATCH("#"&amp;TEXT(2,"00")&amp;"-"&amp;TEXT(D$6,"00"),'All Units'!$A$5:$A$1272,0))</f>
        <v>1644000</v>
      </c>
      <c r="E17" s="66">
        <f>INDEX('All Units'!$R$5:$R$1272,MATCH("#"&amp;TEXT(2,"00")&amp;"-"&amp;TEXT(E$6,"00"),'All Units'!$A$5:$A$1272,0))</f>
        <v>1644000</v>
      </c>
      <c r="F17" s="66">
        <f>INDEX('All Units'!$R$5:$R$1272,MATCH("#"&amp;TEXT(2,"00")&amp;"-"&amp;TEXT(F$6,"00"),'All Units'!$A$5:$A$1272,0))</f>
        <v>1544000</v>
      </c>
    </row>
    <row r="18" spans="1:6" x14ac:dyDescent="0.2">
      <c r="A18" s="58" t="s">
        <v>1470</v>
      </c>
      <c r="B18" s="66">
        <f>INDEX('All Units'!$R$5:$R$1272,MATCH("#"&amp;TEXT(21,"00")&amp;"-"&amp;TEXT(B$6,"00"),'All Units'!$A$5:$A$1272,0))</f>
        <v>1777200</v>
      </c>
      <c r="C18" s="66">
        <f>INDEX('All Units'!$R$5:$R$1272,MATCH("#"&amp;TEXT(21,"00")&amp;"-"&amp;TEXT(C$6,"00"),'All Units'!$A$5:$A$1272,0))</f>
        <v>1777200</v>
      </c>
      <c r="D18" s="66">
        <f>INDEX('All Units'!$R$5:$R$1272,MATCH("#"&amp;TEXT(21,"00")&amp;"-"&amp;TEXT(D$6,"00"),'All Units'!$A$5:$A$1272,0))</f>
        <v>1805600</v>
      </c>
      <c r="E18" s="66">
        <f>INDEX('All Units'!$R$5:$R$1272,MATCH("#"&amp;TEXT(21,"00")&amp;"-"&amp;TEXT(E$6,"00"),'All Units'!$A$5:$A$1272,0))</f>
        <v>1805600</v>
      </c>
      <c r="F18" s="66">
        <f>INDEX('All Units'!$R$5:$R$1272,MATCH("#"&amp;TEXT(21,"00")&amp;"-"&amp;TEXT(F$6,"00"),'All Units'!$A$5:$A$1272,0))</f>
        <v>1877200</v>
      </c>
    </row>
    <row r="20" spans="1:6" x14ac:dyDescent="0.2">
      <c r="A20" s="99" t="s">
        <v>1471</v>
      </c>
      <c r="B20" s="99"/>
      <c r="C20" s="99"/>
      <c r="D20" s="99"/>
      <c r="E20" s="99"/>
      <c r="F20" s="99"/>
    </row>
    <row r="21" spans="1:6" x14ac:dyDescent="0.2">
      <c r="A21" s="67">
        <v>30</v>
      </c>
      <c r="B21" s="68"/>
      <c r="C21" s="68"/>
      <c r="D21" s="68"/>
      <c r="E21" s="68"/>
      <c r="F21" s="68"/>
    </row>
    <row r="22" spans="1:6" x14ac:dyDescent="0.2">
      <c r="A22" s="67">
        <v>29</v>
      </c>
      <c r="B22" s="68"/>
      <c r="C22" s="68"/>
      <c r="D22" s="68"/>
      <c r="E22" s="68"/>
      <c r="F22" s="68"/>
    </row>
    <row r="23" spans="1:6" x14ac:dyDescent="0.2">
      <c r="A23" s="67">
        <v>28</v>
      </c>
      <c r="B23" s="68"/>
      <c r="C23" s="68"/>
      <c r="D23" s="68"/>
      <c r="E23" s="68"/>
      <c r="F23" s="68"/>
    </row>
    <row r="24" spans="1:6" x14ac:dyDescent="0.2">
      <c r="A24" s="67">
        <v>27</v>
      </c>
      <c r="B24" s="68"/>
      <c r="C24" s="68"/>
      <c r="D24" s="68"/>
      <c r="E24" s="68"/>
      <c r="F24" s="68"/>
    </row>
    <row r="25" spans="1:6" x14ac:dyDescent="0.2">
      <c r="A25" s="67">
        <v>26</v>
      </c>
      <c r="B25" s="68"/>
      <c r="C25" s="68"/>
      <c r="D25" s="68"/>
      <c r="E25" s="68"/>
      <c r="F25" s="68"/>
    </row>
    <row r="26" spans="1:6" x14ac:dyDescent="0.2">
      <c r="A26" s="67">
        <v>25</v>
      </c>
      <c r="B26" s="68"/>
      <c r="C26" s="68"/>
      <c r="D26" s="68"/>
      <c r="E26" s="68"/>
      <c r="F26" s="68"/>
    </row>
    <row r="27" spans="1:6" x14ac:dyDescent="0.2">
      <c r="A27" s="67">
        <v>24</v>
      </c>
      <c r="B27" s="68"/>
      <c r="C27" s="68"/>
      <c r="D27" s="68"/>
      <c r="E27" s="68"/>
      <c r="F27" s="68"/>
    </row>
    <row r="28" spans="1:6" x14ac:dyDescent="0.2">
      <c r="A28" s="67">
        <v>23</v>
      </c>
      <c r="B28" s="68"/>
      <c r="C28" s="68"/>
      <c r="D28" s="68"/>
      <c r="E28" s="68"/>
      <c r="F28" s="68"/>
    </row>
    <row r="29" spans="1:6" x14ac:dyDescent="0.2">
      <c r="A29" s="67">
        <v>22</v>
      </c>
      <c r="B29" s="68"/>
      <c r="C29" s="68"/>
      <c r="D29" s="68"/>
      <c r="E29" s="68"/>
      <c r="F29" s="68"/>
    </row>
    <row r="30" spans="1:6" x14ac:dyDescent="0.2">
      <c r="A30" s="67">
        <v>21</v>
      </c>
      <c r="B30" s="66">
        <f>INDEX('All Units'!$R$5:$R$1272,MATCH("#"&amp;TEXT($A30,"00")&amp;"-"&amp;TEXT(B$6,"00"),'All Units'!$A$5:$A$1272,0))</f>
        <v>1777200</v>
      </c>
      <c r="C30" s="66">
        <f>INDEX('All Units'!$R$5:$R$1272,MATCH("#"&amp;TEXT($A30,"00")&amp;"-"&amp;TEXT(C$6,"00"),'All Units'!$A$5:$A$1272,0))</f>
        <v>1777200</v>
      </c>
      <c r="D30" s="66">
        <f>INDEX('All Units'!$R$5:$R$1272,MATCH("#"&amp;TEXT($A30,"00")&amp;"-"&amp;TEXT(D$6,"00"),'All Units'!$A$5:$A$1272,0))</f>
        <v>1805600</v>
      </c>
      <c r="E30" s="66">
        <f>INDEX('All Units'!$R$5:$R$1272,MATCH("#"&amp;TEXT($A30,"00")&amp;"-"&amp;TEXT(E$6,"00"),'All Units'!$A$5:$A$1272,0))</f>
        <v>1805600</v>
      </c>
      <c r="F30" s="66">
        <f>INDEX('All Units'!$R$5:$R$1272,MATCH("#"&amp;TEXT($A30,"00")&amp;"-"&amp;TEXT(F$6,"00"),'All Units'!$A$5:$A$1272,0))</f>
        <v>1877200</v>
      </c>
    </row>
    <row r="31" spans="1:6" x14ac:dyDescent="0.2">
      <c r="A31" s="67">
        <v>20</v>
      </c>
      <c r="B31" s="66">
        <f>INDEX('All Units'!$R$5:$R$1272,MATCH("#"&amp;TEXT($A31,"00")&amp;"-"&amp;TEXT(B$6,"00"),'All Units'!$A$5:$A$1272,0))</f>
        <v>1764200</v>
      </c>
      <c r="C31" s="66">
        <f>INDEX('All Units'!$R$5:$R$1272,MATCH("#"&amp;TEXT($A31,"00")&amp;"-"&amp;TEXT(C$6,"00"),'All Units'!$A$5:$A$1272,0))</f>
        <v>1764200</v>
      </c>
      <c r="D31" s="66">
        <f>INDEX('All Units'!$R$5:$R$1272,MATCH("#"&amp;TEXT($A31,"00")&amp;"-"&amp;TEXT(D$6,"00"),'All Units'!$A$5:$A$1272,0))</f>
        <v>1792600</v>
      </c>
      <c r="E31" s="66">
        <f>INDEX('All Units'!$R$5:$R$1272,MATCH("#"&amp;TEXT($A31,"00")&amp;"-"&amp;TEXT(E$6,"00"),'All Units'!$A$5:$A$1272,0))</f>
        <v>1792600</v>
      </c>
      <c r="F31" s="66">
        <f>INDEX('All Units'!$R$5:$R$1272,MATCH("#"&amp;TEXT($A31,"00")&amp;"-"&amp;TEXT(F$6,"00"),'All Units'!$A$5:$A$1272,0))</f>
        <v>1864200</v>
      </c>
    </row>
    <row r="32" spans="1:6" x14ac:dyDescent="0.2">
      <c r="A32" s="67">
        <v>19</v>
      </c>
      <c r="B32" s="66">
        <f>INDEX('All Units'!$R$5:$R$1272,MATCH("#"&amp;TEXT($A32,"00")&amp;"-"&amp;TEXT(B$6,"00"),'All Units'!$A$5:$A$1272,0))</f>
        <v>1751100</v>
      </c>
      <c r="C32" s="66">
        <f>INDEX('All Units'!$R$5:$R$1272,MATCH("#"&amp;TEXT($A32,"00")&amp;"-"&amp;TEXT(C$6,"00"),'All Units'!$A$5:$A$1272,0))</f>
        <v>1751100</v>
      </c>
      <c r="D32" s="66">
        <f>INDEX('All Units'!$R$5:$R$1272,MATCH("#"&amp;TEXT($A32,"00")&amp;"-"&amp;TEXT(D$6,"00"),'All Units'!$A$5:$A$1272,0))</f>
        <v>1779600</v>
      </c>
      <c r="E32" s="66">
        <f>INDEX('All Units'!$R$5:$R$1272,MATCH("#"&amp;TEXT($A32,"00")&amp;"-"&amp;TEXT(E$6,"00"),'All Units'!$A$5:$A$1272,0))</f>
        <v>1779600</v>
      </c>
      <c r="F32" s="66">
        <f>INDEX('All Units'!$R$5:$R$1272,MATCH("#"&amp;TEXT($A32,"00")&amp;"-"&amp;TEXT(F$6,"00"),'All Units'!$A$5:$A$1272,0))</f>
        <v>1851200</v>
      </c>
    </row>
    <row r="33" spans="1:6" x14ac:dyDescent="0.2">
      <c r="A33" s="67">
        <v>18</v>
      </c>
      <c r="B33" s="66">
        <f>INDEX('All Units'!$R$5:$R$1272,MATCH("#"&amp;TEXT($A33,"00")&amp;"-"&amp;TEXT(B$6,"00"),'All Units'!$A$5:$A$1272,0))</f>
        <v>1738100</v>
      </c>
      <c r="C33" s="66">
        <f>INDEX('All Units'!$R$5:$R$1272,MATCH("#"&amp;TEXT($A33,"00")&amp;"-"&amp;TEXT(C$6,"00"),'All Units'!$A$5:$A$1272,0))</f>
        <v>1738100</v>
      </c>
      <c r="D33" s="66">
        <f>INDEX('All Units'!$R$5:$R$1272,MATCH("#"&amp;TEXT($A33,"00")&amp;"-"&amp;TEXT(D$6,"00"),'All Units'!$A$5:$A$1272,0))</f>
        <v>1766500</v>
      </c>
      <c r="E33" s="66">
        <f>INDEX('All Units'!$R$5:$R$1272,MATCH("#"&amp;TEXT($A33,"00")&amp;"-"&amp;TEXT(E$6,"00"),'All Units'!$A$5:$A$1272,0))</f>
        <v>1766500</v>
      </c>
      <c r="F33" s="66">
        <f>INDEX('All Units'!$R$5:$R$1272,MATCH("#"&amp;TEXT($A33,"00")&amp;"-"&amp;TEXT(F$6,"00"),'All Units'!$A$5:$A$1272,0))</f>
        <v>1838200</v>
      </c>
    </row>
    <row r="34" spans="1:6" x14ac:dyDescent="0.2">
      <c r="A34" s="67">
        <v>17</v>
      </c>
      <c r="B34" s="66">
        <f>INDEX('All Units'!$R$5:$R$1272,MATCH("#"&amp;TEXT($A34,"00")&amp;"-"&amp;TEXT(B$6,"00"),'All Units'!$A$5:$A$1272,0))</f>
        <v>1725100</v>
      </c>
      <c r="C34" s="66">
        <f>INDEX('All Units'!$R$5:$R$1272,MATCH("#"&amp;TEXT($A34,"00")&amp;"-"&amp;TEXT(C$6,"00"),'All Units'!$A$5:$A$1272,0))</f>
        <v>1725100</v>
      </c>
      <c r="D34" s="66">
        <f>INDEX('All Units'!$R$5:$R$1272,MATCH("#"&amp;TEXT($A34,"00")&amp;"-"&amp;TEXT(D$6,"00"),'All Units'!$A$5:$A$1272,0))</f>
        <v>1753500</v>
      </c>
      <c r="E34" s="66">
        <f>INDEX('All Units'!$R$5:$R$1272,MATCH("#"&amp;TEXT($A34,"00")&amp;"-"&amp;TEXT(E$6,"00"),'All Units'!$A$5:$A$1272,0))</f>
        <v>1753500</v>
      </c>
      <c r="F34" s="66">
        <f>INDEX('All Units'!$R$5:$R$1272,MATCH("#"&amp;TEXT($A34,"00")&amp;"-"&amp;TEXT(F$6,"00"),'All Units'!$A$5:$A$1272,0))</f>
        <v>1825100</v>
      </c>
    </row>
    <row r="35" spans="1:6" x14ac:dyDescent="0.2">
      <c r="A35" s="67">
        <v>16</v>
      </c>
      <c r="B35" s="66">
        <f>INDEX('All Units'!$R$5:$R$1272,MATCH("#"&amp;TEXT($A35,"00")&amp;"-"&amp;TEXT(B$6,"00"),'All Units'!$A$5:$A$1272,0))</f>
        <v>1712100</v>
      </c>
      <c r="C35" s="66">
        <f>INDEX('All Units'!$R$5:$R$1272,MATCH("#"&amp;TEXT($A35,"00")&amp;"-"&amp;TEXT(C$6,"00"),'All Units'!$A$5:$A$1272,0))</f>
        <v>1712100</v>
      </c>
      <c r="D35" s="66">
        <f>INDEX('All Units'!$R$5:$R$1272,MATCH("#"&amp;TEXT($A35,"00")&amp;"-"&amp;TEXT(D$6,"00"),'All Units'!$A$5:$A$1272,0))</f>
        <v>1740500</v>
      </c>
      <c r="E35" s="66">
        <f>INDEX('All Units'!$R$5:$R$1272,MATCH("#"&amp;TEXT($A35,"00")&amp;"-"&amp;TEXT(E$6,"00"),'All Units'!$A$5:$A$1272,0))</f>
        <v>1740500</v>
      </c>
      <c r="F35" s="66">
        <f>INDEX('All Units'!$R$5:$R$1272,MATCH("#"&amp;TEXT($A35,"00")&amp;"-"&amp;TEXT(F$6,"00"),'All Units'!$A$5:$A$1272,0))</f>
        <v>1812100</v>
      </c>
    </row>
    <row r="36" spans="1:6" x14ac:dyDescent="0.2">
      <c r="A36" s="67">
        <v>15</v>
      </c>
      <c r="B36" s="66">
        <f>INDEX('All Units'!$R$5:$R$1272,MATCH("#"&amp;TEXT($A36,"00")&amp;"-"&amp;TEXT(B$6,"00"),'All Units'!$A$5:$A$1272,0))</f>
        <v>1699000</v>
      </c>
      <c r="C36" s="66">
        <f>INDEX('All Units'!$R$5:$R$1272,MATCH("#"&amp;TEXT($A36,"00")&amp;"-"&amp;TEXT(C$6,"00"),'All Units'!$A$5:$A$1272,0))</f>
        <v>1699000</v>
      </c>
      <c r="D36" s="66">
        <f>INDEX('All Units'!$R$5:$R$1272,MATCH("#"&amp;TEXT($A36,"00")&amp;"-"&amp;TEXT(D$6,"00"),'All Units'!$A$5:$A$1272,0))</f>
        <v>1728000</v>
      </c>
      <c r="E36" s="66">
        <f>INDEX('All Units'!$R$5:$R$1272,MATCH("#"&amp;TEXT($A36,"00")&amp;"-"&amp;TEXT(E$6,"00"),'All Units'!$A$5:$A$1272,0))</f>
        <v>1728000</v>
      </c>
      <c r="F36" s="66">
        <f>INDEX('All Units'!$R$5:$R$1272,MATCH("#"&amp;TEXT($A36,"00")&amp;"-"&amp;TEXT(F$6,"00"),'All Units'!$A$5:$A$1272,0))</f>
        <v>1799100</v>
      </c>
    </row>
    <row r="37" spans="1:6" x14ac:dyDescent="0.2">
      <c r="A37" s="67">
        <v>14</v>
      </c>
      <c r="B37" s="66">
        <f>INDEX('All Units'!$R$5:$R$1272,MATCH("#"&amp;TEXT($A37,"00")&amp;"-"&amp;TEXT(B$6,"00"),'All Units'!$A$5:$A$1272,0))</f>
        <v>1686000</v>
      </c>
      <c r="C37" s="66">
        <f>INDEX('All Units'!$R$5:$R$1272,MATCH("#"&amp;TEXT($A37,"00")&amp;"-"&amp;TEXT(C$6,"00"),'All Units'!$A$5:$A$1272,0))</f>
        <v>1686000</v>
      </c>
      <c r="D37" s="66">
        <f>INDEX('All Units'!$R$5:$R$1272,MATCH("#"&amp;TEXT($A37,"00")&amp;"-"&amp;TEXT(D$6,"00"),'All Units'!$A$5:$A$1272,0))</f>
        <v>1715600</v>
      </c>
      <c r="E37" s="66">
        <f>INDEX('All Units'!$R$5:$R$1272,MATCH("#"&amp;TEXT($A37,"00")&amp;"-"&amp;TEXT(E$6,"00"),'All Units'!$A$5:$A$1272,0))</f>
        <v>1715600</v>
      </c>
      <c r="F37" s="66">
        <f>INDEX('All Units'!$R$5:$R$1272,MATCH("#"&amp;TEXT($A37,"00")&amp;"-"&amp;TEXT(F$6,"00"),'All Units'!$A$5:$A$1272,0))</f>
        <v>1786100</v>
      </c>
    </row>
    <row r="38" spans="1:6" x14ac:dyDescent="0.2">
      <c r="A38" s="67">
        <v>13</v>
      </c>
      <c r="B38" s="66">
        <f>INDEX('All Units'!$R$5:$R$1272,MATCH("#"&amp;TEXT($A38,"00")&amp;"-"&amp;TEXT(B$6,"00"),'All Units'!$A$5:$A$1272,0))</f>
        <v>1673000</v>
      </c>
      <c r="C38" s="66">
        <f>INDEX('All Units'!$R$5:$R$1272,MATCH("#"&amp;TEXT($A38,"00")&amp;"-"&amp;TEXT(C$6,"00"),'All Units'!$A$5:$A$1272,0))</f>
        <v>1673000</v>
      </c>
      <c r="D38" s="66">
        <f>INDEX('All Units'!$R$5:$R$1272,MATCH("#"&amp;TEXT($A38,"00")&amp;"-"&amp;TEXT(D$6,"00"),'All Units'!$A$5:$A$1272,0))</f>
        <v>1703200</v>
      </c>
      <c r="E38" s="66">
        <f>INDEX('All Units'!$R$5:$R$1272,MATCH("#"&amp;TEXT($A38,"00")&amp;"-"&amp;TEXT(E$6,"00"),'All Units'!$A$5:$A$1272,0))</f>
        <v>1703200</v>
      </c>
      <c r="F38" s="66">
        <f>INDEX('All Units'!$R$5:$R$1272,MATCH("#"&amp;TEXT($A38,"00")&amp;"-"&amp;TEXT(F$6,"00"),'All Units'!$A$5:$A$1272,0))</f>
        <v>1772400</v>
      </c>
    </row>
    <row r="39" spans="1:6" x14ac:dyDescent="0.2">
      <c r="A39" s="67">
        <v>12</v>
      </c>
      <c r="B39" s="66">
        <f>INDEX('All Units'!$R$5:$R$1272,MATCH("#"&amp;TEXT($A39,"00")&amp;"-"&amp;TEXT(B$6,"00"),'All Units'!$A$5:$A$1272,0))</f>
        <v>1659400</v>
      </c>
      <c r="C39" s="66">
        <f>INDEX('All Units'!$R$5:$R$1272,MATCH("#"&amp;TEXT($A39,"00")&amp;"-"&amp;TEXT(C$6,"00"),'All Units'!$A$5:$A$1272,0))</f>
        <v>1659400</v>
      </c>
      <c r="D39" s="66">
        <f>INDEX('All Units'!$R$5:$R$1272,MATCH("#"&amp;TEXT($A39,"00")&amp;"-"&amp;TEXT(D$6,"00"),'All Units'!$A$5:$A$1272,0))</f>
        <v>1690800</v>
      </c>
      <c r="E39" s="66">
        <f>INDEX('All Units'!$R$5:$R$1272,MATCH("#"&amp;TEXT($A39,"00")&amp;"-"&amp;TEXT(E$6,"00"),'All Units'!$A$5:$A$1272,0))</f>
        <v>1690800</v>
      </c>
      <c r="F39" s="66">
        <f>INDEX('All Units'!$R$5:$R$1272,MATCH("#"&amp;TEXT($A39,"00")&amp;"-"&amp;TEXT(F$6,"00"),'All Units'!$A$5:$A$1272,0))</f>
        <v>1759400</v>
      </c>
    </row>
    <row r="40" spans="1:6" x14ac:dyDescent="0.2">
      <c r="A40" s="67">
        <v>11</v>
      </c>
      <c r="B40" s="66">
        <f>INDEX('All Units'!$R$5:$R$1272,MATCH("#"&amp;TEXT($A40,"00")&amp;"-"&amp;TEXT(B$6,"00"),'All Units'!$A$5:$A$1272,0))</f>
        <v>1647500</v>
      </c>
      <c r="C40" s="66">
        <f>INDEX('All Units'!$R$5:$R$1272,MATCH("#"&amp;TEXT($A40,"00")&amp;"-"&amp;TEXT(C$6,"00"),'All Units'!$A$5:$A$1272,0))</f>
        <v>1647500</v>
      </c>
      <c r="D40" s="66">
        <f>INDEX('All Units'!$R$5:$R$1272,MATCH("#"&amp;TEXT($A40,"00")&amp;"-"&amp;TEXT(D$6,"00"),'All Units'!$A$5:$A$1272,0))</f>
        <v>1678900</v>
      </c>
      <c r="E40" s="66">
        <f>INDEX('All Units'!$R$5:$R$1272,MATCH("#"&amp;TEXT($A40,"00")&amp;"-"&amp;TEXT(E$6,"00"),'All Units'!$A$5:$A$1272,0))</f>
        <v>1678900</v>
      </c>
      <c r="F40" s="66">
        <f>INDEX('All Units'!$R$5:$R$1272,MATCH("#"&amp;TEXT($A40,"00")&amp;"-"&amp;TEXT(F$6,"00"),'All Units'!$A$5:$A$1272,0))</f>
        <v>1747600</v>
      </c>
    </row>
    <row r="41" spans="1:6" x14ac:dyDescent="0.2">
      <c r="A41" s="67">
        <v>10</v>
      </c>
      <c r="B41" s="66">
        <f>INDEX('All Units'!$R$5:$R$1272,MATCH("#"&amp;TEXT($A41,"00")&amp;"-"&amp;TEXT(B$6,"00"),'All Units'!$A$5:$A$1272,0))</f>
        <v>1635700</v>
      </c>
      <c r="C41" s="66">
        <f>INDEX('All Units'!$R$5:$R$1272,MATCH("#"&amp;TEXT($A41,"00")&amp;"-"&amp;TEXT(C$6,"00"),'All Units'!$A$5:$A$1272,0))</f>
        <v>1635700</v>
      </c>
      <c r="D41" s="66">
        <f>INDEX('All Units'!$R$5:$R$1272,MATCH("#"&amp;TEXT($A41,"00")&amp;"-"&amp;TEXT(D$6,"00"),'All Units'!$A$5:$A$1272,0))</f>
        <v>1668300</v>
      </c>
      <c r="E41" s="66">
        <f>INDEX('All Units'!$R$5:$R$1272,MATCH("#"&amp;TEXT($A41,"00")&amp;"-"&amp;TEXT(E$6,"00"),'All Units'!$A$5:$A$1272,0))</f>
        <v>1668300</v>
      </c>
      <c r="F41" s="66">
        <f>INDEX('All Units'!$R$5:$R$1272,MATCH("#"&amp;TEXT($A41,"00")&amp;"-"&amp;TEXT(F$6,"00"),'All Units'!$A$5:$A$1272,0))</f>
        <v>1735700</v>
      </c>
    </row>
    <row r="42" spans="1:6" x14ac:dyDescent="0.2">
      <c r="A42" s="67">
        <v>9</v>
      </c>
      <c r="B42" s="66">
        <f>INDEX('All Units'!$R$5:$R$1272,MATCH("#"&amp;TEXT($A42,"00")&amp;"-"&amp;TEXT(B$6,"00"),'All Units'!$A$5:$A$1272,0))</f>
        <v>1624400</v>
      </c>
      <c r="C42" s="66">
        <f>INDEX('All Units'!$R$5:$R$1272,MATCH("#"&amp;TEXT($A42,"00")&amp;"-"&amp;TEXT(C$6,"00"),'All Units'!$A$5:$A$1272,0))</f>
        <v>1624400</v>
      </c>
      <c r="D42" s="66">
        <f>INDEX('All Units'!$R$5:$R$1272,MATCH("#"&amp;TEXT($A42,"00")&amp;"-"&amp;TEXT(D$6,"00"),'All Units'!$A$5:$A$1272,0))</f>
        <v>1657000</v>
      </c>
      <c r="E42" s="66">
        <f>INDEX('All Units'!$R$5:$R$1272,MATCH("#"&amp;TEXT($A42,"00")&amp;"-"&amp;TEXT(E$6,"00"),'All Units'!$A$5:$A$1272,0))</f>
        <v>1657000</v>
      </c>
      <c r="F42" s="66">
        <f>INDEX('All Units'!$R$5:$R$1272,MATCH("#"&amp;TEXT($A42,"00")&amp;"-"&amp;TEXT(F$6,"00"),'All Units'!$A$5:$A$1272,0))</f>
        <v>1724500</v>
      </c>
    </row>
    <row r="43" spans="1:6" x14ac:dyDescent="0.2">
      <c r="A43" s="67">
        <v>8</v>
      </c>
      <c r="B43" s="66">
        <f>INDEX('All Units'!$R$5:$R$1272,MATCH("#"&amp;TEXT($A43,"00")&amp;"-"&amp;TEXT(B$6,"00"),'All Units'!$A$5:$A$1272,0))</f>
        <v>1612600</v>
      </c>
      <c r="C43" s="66">
        <f>INDEX('All Units'!$R$5:$R$1272,MATCH("#"&amp;TEXT($A43,"00")&amp;"-"&amp;TEXT(C$6,"00"),'All Units'!$A$5:$A$1272,0))</f>
        <v>1612600</v>
      </c>
      <c r="D43" s="66">
        <f>INDEX('All Units'!$R$5:$R$1272,MATCH("#"&amp;TEXT($A43,"00")&amp;"-"&amp;TEXT(D$6,"00"),'All Units'!$A$5:$A$1272,0))</f>
        <v>1646400</v>
      </c>
      <c r="E43" s="66">
        <f>INDEX('All Units'!$R$5:$R$1272,MATCH("#"&amp;TEXT($A43,"00")&amp;"-"&amp;TEXT(E$6,"00"),'All Units'!$A$5:$A$1272,0))</f>
        <v>1646400</v>
      </c>
      <c r="F43" s="66">
        <f>INDEX('All Units'!$R$5:$R$1272,MATCH("#"&amp;TEXT($A43,"00")&amp;"-"&amp;TEXT(F$6,"00"),'All Units'!$A$5:$A$1272,0))</f>
        <v>1712700</v>
      </c>
    </row>
    <row r="44" spans="1:6" x14ac:dyDescent="0.2">
      <c r="A44" s="67">
        <v>7</v>
      </c>
      <c r="B44" s="66">
        <f>INDEX('All Units'!$R$5:$R$1272,MATCH("#"&amp;TEXT($A44,"00")&amp;"-"&amp;TEXT(B$6,"00"),'All Units'!$A$5:$A$1272,0))</f>
        <v>1601400</v>
      </c>
      <c r="C44" s="66">
        <f>INDEX('All Units'!$R$5:$R$1272,MATCH("#"&amp;TEXT($A44,"00")&amp;"-"&amp;TEXT(C$6,"00"),'All Units'!$A$5:$A$1272,0))</f>
        <v>1601400</v>
      </c>
      <c r="D44" s="66">
        <f>INDEX('All Units'!$R$5:$R$1272,MATCH("#"&amp;TEXT($A44,"00")&amp;"-"&amp;TEXT(D$6,"00"),'All Units'!$A$5:$A$1272,0))</f>
        <v>1645800</v>
      </c>
      <c r="E44" s="66">
        <f>INDEX('All Units'!$R$5:$R$1272,MATCH("#"&amp;TEXT($A44,"00")&amp;"-"&amp;TEXT(E$6,"00"),'All Units'!$A$5:$A$1272,0))</f>
        <v>1645800</v>
      </c>
      <c r="F44" s="66">
        <f>INDEX('All Units'!$R$5:$R$1272,MATCH("#"&amp;TEXT($A44,"00")&amp;"-"&amp;TEXT(F$6,"00"),'All Units'!$A$5:$A$1272,0))</f>
        <v>1701400</v>
      </c>
    </row>
    <row r="45" spans="1:6" x14ac:dyDescent="0.2">
      <c r="A45" s="67">
        <v>6</v>
      </c>
      <c r="B45" s="66">
        <f>INDEX('All Units'!$R$5:$R$1272,MATCH("#"&amp;TEXT($A45,"00")&amp;"-"&amp;TEXT(B$6,"00"),'All Units'!$A$5:$A$1272,0))</f>
        <v>1590100</v>
      </c>
      <c r="C45" s="66">
        <f>INDEX('All Units'!$R$5:$R$1272,MATCH("#"&amp;TEXT($A45,"00")&amp;"-"&amp;TEXT(C$6,"00"),'All Units'!$A$5:$A$1272,0))</f>
        <v>1590100</v>
      </c>
      <c r="D45" s="66">
        <f>INDEX('All Units'!$R$5:$R$1272,MATCH("#"&amp;TEXT($A45,"00")&amp;"-"&amp;TEXT(D$6,"00"),'All Units'!$A$5:$A$1272,0))</f>
        <v>1645800</v>
      </c>
      <c r="E45" s="66">
        <f>INDEX('All Units'!$R$5:$R$1272,MATCH("#"&amp;TEXT($A45,"00")&amp;"-"&amp;TEXT(E$6,"00"),'All Units'!$A$5:$A$1272,0))</f>
        <v>1645800</v>
      </c>
      <c r="F45" s="66">
        <f>INDEX('All Units'!$R$5:$R$1272,MATCH("#"&amp;TEXT($A45,"00")&amp;"-"&amp;TEXT(F$6,"00"),'All Units'!$A$5:$A$1272,0))</f>
        <v>1670000</v>
      </c>
    </row>
    <row r="46" spans="1:6" x14ac:dyDescent="0.2">
      <c r="A46" s="67">
        <v>5</v>
      </c>
      <c r="B46" s="66">
        <f>INDEX('All Units'!$R$5:$R$1272,MATCH("#"&amp;TEXT($A46,"00")&amp;"-"&amp;TEXT(B$6,"00"),'All Units'!$A$5:$A$1272,0))</f>
        <v>1578300</v>
      </c>
      <c r="C46" s="66">
        <f>INDEX('All Units'!$R$5:$R$1272,MATCH("#"&amp;TEXT($A46,"00")&amp;"-"&amp;TEXT(C$6,"00"),'All Units'!$A$5:$A$1272,0))</f>
        <v>1578300</v>
      </c>
      <c r="D46" s="66">
        <f>INDEX('All Units'!$R$5:$R$1272,MATCH("#"&amp;TEXT($A46,"00")&amp;"-"&amp;TEXT(D$6,"00"),'All Units'!$A$5:$A$1272,0))</f>
        <v>1645200</v>
      </c>
      <c r="E46" s="66">
        <f>INDEX('All Units'!$R$5:$R$1272,MATCH("#"&amp;TEXT($A46,"00")&amp;"-"&amp;TEXT(E$6,"00"),'All Units'!$A$5:$A$1272,0))</f>
        <v>1645200</v>
      </c>
      <c r="F46" s="66">
        <f>INDEX('All Units'!$R$5:$R$1272,MATCH("#"&amp;TEXT($A46,"00")&amp;"-"&amp;TEXT(F$6,"00"),'All Units'!$A$5:$A$1272,0))</f>
        <v>1638700</v>
      </c>
    </row>
    <row r="47" spans="1:6" x14ac:dyDescent="0.2">
      <c r="A47" s="67">
        <v>4</v>
      </c>
      <c r="B47" s="66">
        <f>INDEX('All Units'!$R$5:$R$1272,MATCH("#"&amp;TEXT($A47,"00")&amp;"-"&amp;TEXT(B$6,"00"),'All Units'!$A$5:$A$1272,0))</f>
        <v>1567000</v>
      </c>
      <c r="C47" s="66">
        <f>INDEX('All Units'!$R$5:$R$1272,MATCH("#"&amp;TEXT($A47,"00")&amp;"-"&amp;TEXT(C$6,"00"),'All Units'!$A$5:$A$1272,0))</f>
        <v>1567000</v>
      </c>
      <c r="D47" s="66">
        <f>INDEX('All Units'!$R$5:$R$1272,MATCH("#"&amp;TEXT($A47,"00")&amp;"-"&amp;TEXT(D$6,"00"),'All Units'!$A$5:$A$1272,0))</f>
        <v>1644600</v>
      </c>
      <c r="E47" s="66">
        <f>INDEX('All Units'!$R$5:$R$1272,MATCH("#"&amp;TEXT($A47,"00")&amp;"-"&amp;TEXT(E$6,"00"),'All Units'!$A$5:$A$1272,0))</f>
        <v>1644600</v>
      </c>
      <c r="F47" s="66">
        <f>INDEX('All Units'!$R$5:$R$1272,MATCH("#"&amp;TEXT($A47,"00")&amp;"-"&amp;TEXT(F$6,"00"),'All Units'!$A$5:$A$1272,0))</f>
        <v>1606700</v>
      </c>
    </row>
    <row r="48" spans="1:6" x14ac:dyDescent="0.2">
      <c r="A48" s="67">
        <v>3</v>
      </c>
      <c r="B48" s="66">
        <f>INDEX('All Units'!$R$5:$R$1272,MATCH("#"&amp;TEXT($A48,"00")&amp;"-"&amp;TEXT(B$6,"00"),'All Units'!$A$5:$A$1272,0))</f>
        <v>1555200</v>
      </c>
      <c r="C48" s="66">
        <f>INDEX('All Units'!$R$5:$R$1272,MATCH("#"&amp;TEXT($A48,"00")&amp;"-"&amp;TEXT(C$6,"00"),'All Units'!$A$5:$A$1272,0))</f>
        <v>1555200</v>
      </c>
      <c r="D48" s="66">
        <f>INDEX('All Units'!$R$5:$R$1272,MATCH("#"&amp;TEXT($A48,"00")&amp;"-"&amp;TEXT(D$6,"00"),'All Units'!$A$5:$A$1272,0))</f>
        <v>1644600</v>
      </c>
      <c r="E48" s="66">
        <f>INDEX('All Units'!$R$5:$R$1272,MATCH("#"&amp;TEXT($A48,"00")&amp;"-"&amp;TEXT(E$6,"00"),'All Units'!$A$5:$A$1272,0))</f>
        <v>1644600</v>
      </c>
      <c r="F48" s="66">
        <f>INDEX('All Units'!$R$5:$R$1272,MATCH("#"&amp;TEXT($A48,"00")&amp;"-"&amp;TEXT(F$6,"00"),'All Units'!$A$5:$A$1272,0))</f>
        <v>1575300</v>
      </c>
    </row>
    <row r="49" spans="1:6" x14ac:dyDescent="0.2">
      <c r="A49" s="67">
        <v>2</v>
      </c>
      <c r="B49" s="66">
        <f>INDEX('All Units'!$R$5:$R$1272,MATCH("#"&amp;TEXT($A49,"00")&amp;"-"&amp;TEXT(B$6,"00"),'All Units'!$A$5:$A$1272,0))</f>
        <v>1544000</v>
      </c>
      <c r="C49" s="66">
        <f>INDEX('All Units'!$R$5:$R$1272,MATCH("#"&amp;TEXT($A49,"00")&amp;"-"&amp;TEXT(C$6,"00"),'All Units'!$A$5:$A$1272,0))</f>
        <v>1544000</v>
      </c>
      <c r="D49" s="66">
        <f>INDEX('All Units'!$R$5:$R$1272,MATCH("#"&amp;TEXT($A49,"00")&amp;"-"&amp;TEXT(D$6,"00"),'All Units'!$A$5:$A$1272,0))</f>
        <v>1644000</v>
      </c>
      <c r="E49" s="66">
        <f>INDEX('All Units'!$R$5:$R$1272,MATCH("#"&amp;TEXT($A49,"00")&amp;"-"&amp;TEXT(E$6,"00"),'All Units'!$A$5:$A$1272,0))</f>
        <v>1644000</v>
      </c>
      <c r="F49" s="66">
        <f>INDEX('All Units'!$R$5:$R$1272,MATCH("#"&amp;TEXT($A49,"00")&amp;"-"&amp;TEXT(F$6,"00"),'All Units'!$A$5:$A$1272,0))</f>
        <v>1544000</v>
      </c>
    </row>
    <row r="50" spans="1:6" x14ac:dyDescent="0.2">
      <c r="A50" s="67">
        <v>1</v>
      </c>
      <c r="B50" s="68"/>
      <c r="C50" s="68"/>
      <c r="D50" s="68"/>
      <c r="E50" s="68"/>
      <c r="F50" s="68"/>
    </row>
    <row r="52" spans="1:6" x14ac:dyDescent="0.2">
      <c r="A52" s="99" t="s">
        <v>1472</v>
      </c>
      <c r="B52" s="99"/>
      <c r="C52" s="99"/>
      <c r="D52" s="99"/>
      <c r="E52" s="99"/>
      <c r="F52" s="99"/>
    </row>
    <row r="53" spans="1:6" x14ac:dyDescent="0.2">
      <c r="A53" s="67">
        <v>30</v>
      </c>
      <c r="B53" s="68"/>
      <c r="C53" s="68"/>
      <c r="D53" s="68"/>
      <c r="E53" s="68"/>
      <c r="F53" s="68"/>
    </row>
    <row r="54" spans="1:6" x14ac:dyDescent="0.2">
      <c r="A54" s="67">
        <v>29</v>
      </c>
      <c r="B54" s="68"/>
      <c r="C54" s="68"/>
      <c r="D54" s="68"/>
      <c r="E54" s="68"/>
      <c r="F54" s="68"/>
    </row>
    <row r="55" spans="1:6" x14ac:dyDescent="0.2">
      <c r="A55" s="67">
        <v>28</v>
      </c>
      <c r="B55" s="68"/>
      <c r="C55" s="68"/>
      <c r="D55" s="68"/>
      <c r="E55" s="68"/>
      <c r="F55" s="68"/>
    </row>
    <row r="56" spans="1:6" x14ac:dyDescent="0.2">
      <c r="A56" s="67">
        <v>27</v>
      </c>
      <c r="B56" s="68"/>
      <c r="C56" s="68"/>
      <c r="D56" s="68"/>
      <c r="E56" s="68"/>
      <c r="F56" s="68"/>
    </row>
    <row r="57" spans="1:6" x14ac:dyDescent="0.2">
      <c r="A57" s="67">
        <v>26</v>
      </c>
      <c r="B57" s="68"/>
      <c r="C57" s="68"/>
      <c r="D57" s="68"/>
      <c r="E57" s="68"/>
      <c r="F57" s="68"/>
    </row>
    <row r="58" spans="1:6" x14ac:dyDescent="0.2">
      <c r="A58" s="67">
        <v>25</v>
      </c>
      <c r="B58" s="68"/>
      <c r="C58" s="68"/>
      <c r="D58" s="68"/>
      <c r="E58" s="68"/>
      <c r="F58" s="68"/>
    </row>
    <row r="59" spans="1:6" x14ac:dyDescent="0.2">
      <c r="A59" s="67">
        <v>24</v>
      </c>
      <c r="B59" s="68"/>
      <c r="C59" s="68"/>
      <c r="D59" s="68"/>
      <c r="E59" s="68"/>
      <c r="F59" s="68"/>
    </row>
    <row r="60" spans="1:6" x14ac:dyDescent="0.2">
      <c r="A60" s="67">
        <v>23</v>
      </c>
      <c r="B60" s="68"/>
      <c r="C60" s="68"/>
      <c r="D60" s="68"/>
      <c r="E60" s="68"/>
      <c r="F60" s="68"/>
    </row>
    <row r="61" spans="1:6" x14ac:dyDescent="0.2">
      <c r="A61" s="67">
        <v>22</v>
      </c>
      <c r="B61" s="68"/>
      <c r="C61" s="68"/>
      <c r="D61" s="68"/>
      <c r="E61" s="68"/>
      <c r="F61" s="68"/>
    </row>
    <row r="62" spans="1:6" x14ac:dyDescent="0.2">
      <c r="A62" s="67">
        <v>21</v>
      </c>
      <c r="B62" s="66">
        <f>INDEX('All Units'!$Q$5:$Q$1272,MATCH("#"&amp;TEXT($A62,"00")&amp;"-"&amp;TEXT(B$6,"00"),'All Units'!$A$5:$A$1272,0))</f>
        <v>3002</v>
      </c>
      <c r="C62" s="66">
        <f>INDEX('All Units'!$Q$5:$Q$1272,MATCH("#"&amp;TEXT($A62,"00")&amp;"-"&amp;TEXT(C$6,"00"),'All Units'!$A$5:$A$1272,0))</f>
        <v>3002</v>
      </c>
      <c r="D62" s="66">
        <f>INDEX('All Units'!$Q$5:$Q$1272,MATCH("#"&amp;TEXT($A62,"00")&amp;"-"&amp;TEXT(D$6,"00"),'All Units'!$A$5:$A$1272,0))</f>
        <v>3050</v>
      </c>
      <c r="E62" s="66">
        <f>INDEX('All Units'!$Q$5:$Q$1272,MATCH("#"&amp;TEXT($A62,"00")&amp;"-"&amp;TEXT(E$6,"00"),'All Units'!$A$5:$A$1272,0))</f>
        <v>3050</v>
      </c>
      <c r="F62" s="66">
        <f>INDEX('All Units'!$Q$5:$Q$1272,MATCH("#"&amp;TEXT($A62,"00")&amp;"-"&amp;TEXT(F$6,"00"),'All Units'!$A$5:$A$1272,0))</f>
        <v>3171</v>
      </c>
    </row>
    <row r="63" spans="1:6" x14ac:dyDescent="0.2">
      <c r="A63" s="67">
        <v>20</v>
      </c>
      <c r="B63" s="66">
        <f>INDEX('All Units'!$Q$5:$Q$1272,MATCH("#"&amp;TEXT($A63,"00")&amp;"-"&amp;TEXT(B$6,"00"),'All Units'!$A$5:$A$1272,0))</f>
        <v>2980</v>
      </c>
      <c r="C63" s="66">
        <f>INDEX('All Units'!$Q$5:$Q$1272,MATCH("#"&amp;TEXT($A63,"00")&amp;"-"&amp;TEXT(C$6,"00"),'All Units'!$A$5:$A$1272,0))</f>
        <v>2980</v>
      </c>
      <c r="D63" s="66">
        <f>INDEX('All Units'!$Q$5:$Q$1272,MATCH("#"&amp;TEXT($A63,"00")&amp;"-"&amp;TEXT(D$6,"00"),'All Units'!$A$5:$A$1272,0))</f>
        <v>3028</v>
      </c>
      <c r="E63" s="66">
        <f>INDEX('All Units'!$Q$5:$Q$1272,MATCH("#"&amp;TEXT($A63,"00")&amp;"-"&amp;TEXT(E$6,"00"),'All Units'!$A$5:$A$1272,0))</f>
        <v>3028</v>
      </c>
      <c r="F63" s="66">
        <f>INDEX('All Units'!$Q$5:$Q$1272,MATCH("#"&amp;TEXT($A63,"00")&amp;"-"&amp;TEXT(F$6,"00"),'All Units'!$A$5:$A$1272,0))</f>
        <v>3149</v>
      </c>
    </row>
    <row r="64" spans="1:6" x14ac:dyDescent="0.2">
      <c r="A64" s="67">
        <v>19</v>
      </c>
      <c r="B64" s="66">
        <f>INDEX('All Units'!$Q$5:$Q$1272,MATCH("#"&amp;TEXT($A64,"00")&amp;"-"&amp;TEXT(B$6,"00"),'All Units'!$A$5:$A$1272,0))</f>
        <v>2958</v>
      </c>
      <c r="C64" s="66">
        <f>INDEX('All Units'!$Q$5:$Q$1272,MATCH("#"&amp;TEXT($A64,"00")&amp;"-"&amp;TEXT(C$6,"00"),'All Units'!$A$5:$A$1272,0))</f>
        <v>2958</v>
      </c>
      <c r="D64" s="66">
        <f>INDEX('All Units'!$Q$5:$Q$1272,MATCH("#"&amp;TEXT($A64,"00")&amp;"-"&amp;TEXT(D$6,"00"),'All Units'!$A$5:$A$1272,0))</f>
        <v>3006</v>
      </c>
      <c r="E64" s="66">
        <f>INDEX('All Units'!$Q$5:$Q$1272,MATCH("#"&amp;TEXT($A64,"00")&amp;"-"&amp;TEXT(E$6,"00"),'All Units'!$A$5:$A$1272,0))</f>
        <v>3006</v>
      </c>
      <c r="F64" s="66">
        <f>INDEX('All Units'!$Q$5:$Q$1272,MATCH("#"&amp;TEXT($A64,"00")&amp;"-"&amp;TEXT(F$6,"00"),'All Units'!$A$5:$A$1272,0))</f>
        <v>3127</v>
      </c>
    </row>
    <row r="65" spans="1:6" x14ac:dyDescent="0.2">
      <c r="A65" s="67">
        <v>18</v>
      </c>
      <c r="B65" s="66">
        <f>INDEX('All Units'!$Q$5:$Q$1272,MATCH("#"&amp;TEXT($A65,"00")&amp;"-"&amp;TEXT(B$6,"00"),'All Units'!$A$5:$A$1272,0))</f>
        <v>2936</v>
      </c>
      <c r="C65" s="66">
        <f>INDEX('All Units'!$Q$5:$Q$1272,MATCH("#"&amp;TEXT($A65,"00")&amp;"-"&amp;TEXT(C$6,"00"),'All Units'!$A$5:$A$1272,0))</f>
        <v>2936</v>
      </c>
      <c r="D65" s="66">
        <f>INDEX('All Units'!$Q$5:$Q$1272,MATCH("#"&amp;TEXT($A65,"00")&amp;"-"&amp;TEXT(D$6,"00"),'All Units'!$A$5:$A$1272,0))</f>
        <v>2984</v>
      </c>
      <c r="E65" s="66">
        <f>INDEX('All Units'!$Q$5:$Q$1272,MATCH("#"&amp;TEXT($A65,"00")&amp;"-"&amp;TEXT(E$6,"00"),'All Units'!$A$5:$A$1272,0))</f>
        <v>2984</v>
      </c>
      <c r="F65" s="66">
        <f>INDEX('All Units'!$Q$5:$Q$1272,MATCH("#"&amp;TEXT($A65,"00")&amp;"-"&amp;TEXT(F$6,"00"),'All Units'!$A$5:$A$1272,0))</f>
        <v>3105</v>
      </c>
    </row>
    <row r="66" spans="1:6" x14ac:dyDescent="0.2">
      <c r="A66" s="67">
        <v>17</v>
      </c>
      <c r="B66" s="66">
        <f>INDEX('All Units'!$Q$5:$Q$1272,MATCH("#"&amp;TEXT($A66,"00")&amp;"-"&amp;TEXT(B$6,"00"),'All Units'!$A$5:$A$1272,0))</f>
        <v>2914</v>
      </c>
      <c r="C66" s="66">
        <f>INDEX('All Units'!$Q$5:$Q$1272,MATCH("#"&amp;TEXT($A66,"00")&amp;"-"&amp;TEXT(C$6,"00"),'All Units'!$A$5:$A$1272,0))</f>
        <v>2914</v>
      </c>
      <c r="D66" s="66">
        <f>INDEX('All Units'!$Q$5:$Q$1272,MATCH("#"&amp;TEXT($A66,"00")&amp;"-"&amp;TEXT(D$6,"00"),'All Units'!$A$5:$A$1272,0))</f>
        <v>2962</v>
      </c>
      <c r="E66" s="66">
        <f>INDEX('All Units'!$Q$5:$Q$1272,MATCH("#"&amp;TEXT($A66,"00")&amp;"-"&amp;TEXT(E$6,"00"),'All Units'!$A$5:$A$1272,0))</f>
        <v>2962</v>
      </c>
      <c r="F66" s="66">
        <f>INDEX('All Units'!$Q$5:$Q$1272,MATCH("#"&amp;TEXT($A66,"00")&amp;"-"&amp;TEXT(F$6,"00"),'All Units'!$A$5:$A$1272,0))</f>
        <v>3083</v>
      </c>
    </row>
    <row r="67" spans="1:6" x14ac:dyDescent="0.2">
      <c r="A67" s="67">
        <v>16</v>
      </c>
      <c r="B67" s="66">
        <f>INDEX('All Units'!$Q$5:$Q$1272,MATCH("#"&amp;TEXT($A67,"00")&amp;"-"&amp;TEXT(B$6,"00"),'All Units'!$A$5:$A$1272,0))</f>
        <v>2892</v>
      </c>
      <c r="C67" s="66">
        <f>INDEX('All Units'!$Q$5:$Q$1272,MATCH("#"&amp;TEXT($A67,"00")&amp;"-"&amp;TEXT(C$6,"00"),'All Units'!$A$5:$A$1272,0))</f>
        <v>2892</v>
      </c>
      <c r="D67" s="66">
        <f>INDEX('All Units'!$Q$5:$Q$1272,MATCH("#"&amp;TEXT($A67,"00")&amp;"-"&amp;TEXT(D$6,"00"),'All Units'!$A$5:$A$1272,0))</f>
        <v>2940</v>
      </c>
      <c r="E67" s="66">
        <f>INDEX('All Units'!$Q$5:$Q$1272,MATCH("#"&amp;TEXT($A67,"00")&amp;"-"&amp;TEXT(E$6,"00"),'All Units'!$A$5:$A$1272,0))</f>
        <v>2940</v>
      </c>
      <c r="F67" s="66">
        <f>INDEX('All Units'!$Q$5:$Q$1272,MATCH("#"&amp;TEXT($A67,"00")&amp;"-"&amp;TEXT(F$6,"00"),'All Units'!$A$5:$A$1272,0))</f>
        <v>3061</v>
      </c>
    </row>
    <row r="68" spans="1:6" x14ac:dyDescent="0.2">
      <c r="A68" s="67">
        <v>15</v>
      </c>
      <c r="B68" s="66">
        <f>INDEX('All Units'!$Q$5:$Q$1272,MATCH("#"&amp;TEXT($A68,"00")&amp;"-"&amp;TEXT(B$6,"00"),'All Units'!$A$5:$A$1272,0))</f>
        <v>2870</v>
      </c>
      <c r="C68" s="66">
        <f>INDEX('All Units'!$Q$5:$Q$1272,MATCH("#"&amp;TEXT($A68,"00")&amp;"-"&amp;TEXT(C$6,"00"),'All Units'!$A$5:$A$1272,0))</f>
        <v>2870</v>
      </c>
      <c r="D68" s="66">
        <f>INDEX('All Units'!$Q$5:$Q$1272,MATCH("#"&amp;TEXT($A68,"00")&amp;"-"&amp;TEXT(D$6,"00"),'All Units'!$A$5:$A$1272,0))</f>
        <v>2919</v>
      </c>
      <c r="E68" s="66">
        <f>INDEX('All Units'!$Q$5:$Q$1272,MATCH("#"&amp;TEXT($A68,"00")&amp;"-"&amp;TEXT(E$6,"00"),'All Units'!$A$5:$A$1272,0))</f>
        <v>2919</v>
      </c>
      <c r="F68" s="66">
        <f>INDEX('All Units'!$Q$5:$Q$1272,MATCH("#"&amp;TEXT($A68,"00")&amp;"-"&amp;TEXT(F$6,"00"),'All Units'!$A$5:$A$1272,0))</f>
        <v>3039</v>
      </c>
    </row>
    <row r="69" spans="1:6" x14ac:dyDescent="0.2">
      <c r="A69" s="67">
        <v>14</v>
      </c>
      <c r="B69" s="66">
        <f>INDEX('All Units'!$Q$5:$Q$1272,MATCH("#"&amp;TEXT($A69,"00")&amp;"-"&amp;TEXT(B$6,"00"),'All Units'!$A$5:$A$1272,0))</f>
        <v>2848</v>
      </c>
      <c r="C69" s="66">
        <f>INDEX('All Units'!$Q$5:$Q$1272,MATCH("#"&amp;TEXT($A69,"00")&amp;"-"&amp;TEXT(C$6,"00"),'All Units'!$A$5:$A$1272,0))</f>
        <v>2848</v>
      </c>
      <c r="D69" s="66">
        <f>INDEX('All Units'!$Q$5:$Q$1272,MATCH("#"&amp;TEXT($A69,"00")&amp;"-"&amp;TEXT(D$6,"00"),'All Units'!$A$5:$A$1272,0))</f>
        <v>2898</v>
      </c>
      <c r="E69" s="66">
        <f>INDEX('All Units'!$Q$5:$Q$1272,MATCH("#"&amp;TEXT($A69,"00")&amp;"-"&amp;TEXT(E$6,"00"),'All Units'!$A$5:$A$1272,0))</f>
        <v>2898</v>
      </c>
      <c r="F69" s="66">
        <f>INDEX('All Units'!$Q$5:$Q$1272,MATCH("#"&amp;TEXT($A69,"00")&amp;"-"&amp;TEXT(F$6,"00"),'All Units'!$A$5:$A$1272,0))</f>
        <v>3017</v>
      </c>
    </row>
    <row r="70" spans="1:6" x14ac:dyDescent="0.2">
      <c r="A70" s="67">
        <v>13</v>
      </c>
      <c r="B70" s="66">
        <f>INDEX('All Units'!$Q$5:$Q$1272,MATCH("#"&amp;TEXT($A70,"00")&amp;"-"&amp;TEXT(B$6,"00"),'All Units'!$A$5:$A$1272,0))</f>
        <v>2826</v>
      </c>
      <c r="C70" s="66">
        <f>INDEX('All Units'!$Q$5:$Q$1272,MATCH("#"&amp;TEXT($A70,"00")&amp;"-"&amp;TEXT(C$6,"00"),'All Units'!$A$5:$A$1272,0))</f>
        <v>2826</v>
      </c>
      <c r="D70" s="66">
        <f>INDEX('All Units'!$Q$5:$Q$1272,MATCH("#"&amp;TEXT($A70,"00")&amp;"-"&amp;TEXT(D$6,"00"),'All Units'!$A$5:$A$1272,0))</f>
        <v>2877</v>
      </c>
      <c r="E70" s="66">
        <f>INDEX('All Units'!$Q$5:$Q$1272,MATCH("#"&amp;TEXT($A70,"00")&amp;"-"&amp;TEXT(E$6,"00"),'All Units'!$A$5:$A$1272,0))</f>
        <v>2877</v>
      </c>
      <c r="F70" s="66">
        <f>INDEX('All Units'!$Q$5:$Q$1272,MATCH("#"&amp;TEXT($A70,"00")&amp;"-"&amp;TEXT(F$6,"00"),'All Units'!$A$5:$A$1272,0))</f>
        <v>2994</v>
      </c>
    </row>
    <row r="71" spans="1:6" x14ac:dyDescent="0.2">
      <c r="A71" s="67">
        <v>12</v>
      </c>
      <c r="B71" s="66">
        <f>INDEX('All Units'!$Q$5:$Q$1272,MATCH("#"&amp;TEXT($A71,"00")&amp;"-"&amp;TEXT(B$6,"00"),'All Units'!$A$5:$A$1272,0))</f>
        <v>2803</v>
      </c>
      <c r="C71" s="66">
        <f>INDEX('All Units'!$Q$5:$Q$1272,MATCH("#"&amp;TEXT($A71,"00")&amp;"-"&amp;TEXT(C$6,"00"),'All Units'!$A$5:$A$1272,0))</f>
        <v>2803</v>
      </c>
      <c r="D71" s="66">
        <f>INDEX('All Units'!$Q$5:$Q$1272,MATCH("#"&amp;TEXT($A71,"00")&amp;"-"&amp;TEXT(D$6,"00"),'All Units'!$A$5:$A$1272,0))</f>
        <v>2856</v>
      </c>
      <c r="E71" s="66">
        <f>INDEX('All Units'!$Q$5:$Q$1272,MATCH("#"&amp;TEXT($A71,"00")&amp;"-"&amp;TEXT(E$6,"00"),'All Units'!$A$5:$A$1272,0))</f>
        <v>2856</v>
      </c>
      <c r="F71" s="66">
        <f>INDEX('All Units'!$Q$5:$Q$1272,MATCH("#"&amp;TEXT($A71,"00")&amp;"-"&amp;TEXT(F$6,"00"),'All Units'!$A$5:$A$1272,0))</f>
        <v>2972</v>
      </c>
    </row>
    <row r="72" spans="1:6" x14ac:dyDescent="0.2">
      <c r="A72" s="67">
        <v>11</v>
      </c>
      <c r="B72" s="66">
        <f>INDEX('All Units'!$Q$5:$Q$1272,MATCH("#"&amp;TEXT($A72,"00")&amp;"-"&amp;TEXT(B$6,"00"),'All Units'!$A$5:$A$1272,0))</f>
        <v>2783</v>
      </c>
      <c r="C72" s="66">
        <f>INDEX('All Units'!$Q$5:$Q$1272,MATCH("#"&amp;TEXT($A72,"00")&amp;"-"&amp;TEXT(C$6,"00"),'All Units'!$A$5:$A$1272,0))</f>
        <v>2783</v>
      </c>
      <c r="D72" s="66">
        <f>INDEX('All Units'!$Q$5:$Q$1272,MATCH("#"&amp;TEXT($A72,"00")&amp;"-"&amp;TEXT(D$6,"00"),'All Units'!$A$5:$A$1272,0))</f>
        <v>2836</v>
      </c>
      <c r="E72" s="66">
        <f>INDEX('All Units'!$Q$5:$Q$1272,MATCH("#"&amp;TEXT($A72,"00")&amp;"-"&amp;TEXT(E$6,"00"),'All Units'!$A$5:$A$1272,0))</f>
        <v>2836</v>
      </c>
      <c r="F72" s="66">
        <f>INDEX('All Units'!$Q$5:$Q$1272,MATCH("#"&amp;TEXT($A72,"00")&amp;"-"&amp;TEXT(F$6,"00"),'All Units'!$A$5:$A$1272,0))</f>
        <v>2952</v>
      </c>
    </row>
    <row r="73" spans="1:6" x14ac:dyDescent="0.2">
      <c r="A73" s="67">
        <v>10</v>
      </c>
      <c r="B73" s="66">
        <f>INDEX('All Units'!$Q$5:$Q$1272,MATCH("#"&amp;TEXT($A73,"00")&amp;"-"&amp;TEXT(B$6,"00"),'All Units'!$A$5:$A$1272,0))</f>
        <v>2763</v>
      </c>
      <c r="C73" s="66">
        <f>INDEX('All Units'!$Q$5:$Q$1272,MATCH("#"&amp;TEXT($A73,"00")&amp;"-"&amp;TEXT(C$6,"00"),'All Units'!$A$5:$A$1272,0))</f>
        <v>2763</v>
      </c>
      <c r="D73" s="66">
        <f>INDEX('All Units'!$Q$5:$Q$1272,MATCH("#"&amp;TEXT($A73,"00")&amp;"-"&amp;TEXT(D$6,"00"),'All Units'!$A$5:$A$1272,0))</f>
        <v>2818</v>
      </c>
      <c r="E73" s="66">
        <f>INDEX('All Units'!$Q$5:$Q$1272,MATCH("#"&amp;TEXT($A73,"00")&amp;"-"&amp;TEXT(E$6,"00"),'All Units'!$A$5:$A$1272,0))</f>
        <v>2818</v>
      </c>
      <c r="F73" s="66">
        <f>INDEX('All Units'!$Q$5:$Q$1272,MATCH("#"&amp;TEXT($A73,"00")&amp;"-"&amp;TEXT(F$6,"00"),'All Units'!$A$5:$A$1272,0))</f>
        <v>2932</v>
      </c>
    </row>
    <row r="74" spans="1:6" x14ac:dyDescent="0.2">
      <c r="A74" s="67">
        <v>9</v>
      </c>
      <c r="B74" s="66">
        <f>INDEX('All Units'!$Q$5:$Q$1272,MATCH("#"&amp;TEXT($A74,"00")&amp;"-"&amp;TEXT(B$6,"00"),'All Units'!$A$5:$A$1272,0))</f>
        <v>2744</v>
      </c>
      <c r="C74" s="66">
        <f>INDEX('All Units'!$Q$5:$Q$1272,MATCH("#"&amp;TEXT($A74,"00")&amp;"-"&amp;TEXT(C$6,"00"),'All Units'!$A$5:$A$1272,0))</f>
        <v>2744</v>
      </c>
      <c r="D74" s="66">
        <f>INDEX('All Units'!$Q$5:$Q$1272,MATCH("#"&amp;TEXT($A74,"00")&amp;"-"&amp;TEXT(D$6,"00"),'All Units'!$A$5:$A$1272,0))</f>
        <v>2799</v>
      </c>
      <c r="E74" s="66">
        <f>INDEX('All Units'!$Q$5:$Q$1272,MATCH("#"&amp;TEXT($A74,"00")&amp;"-"&amp;TEXT(E$6,"00"),'All Units'!$A$5:$A$1272,0))</f>
        <v>2799</v>
      </c>
      <c r="F74" s="66">
        <f>INDEX('All Units'!$Q$5:$Q$1272,MATCH("#"&amp;TEXT($A74,"00")&amp;"-"&amp;TEXT(F$6,"00"),'All Units'!$A$5:$A$1272,0))</f>
        <v>2913</v>
      </c>
    </row>
    <row r="75" spans="1:6" x14ac:dyDescent="0.2">
      <c r="A75" s="67">
        <v>8</v>
      </c>
      <c r="B75" s="66">
        <f>INDEX('All Units'!$Q$5:$Q$1272,MATCH("#"&amp;TEXT($A75,"00")&amp;"-"&amp;TEXT(B$6,"00"),'All Units'!$A$5:$A$1272,0))</f>
        <v>2724</v>
      </c>
      <c r="C75" s="66">
        <f>INDEX('All Units'!$Q$5:$Q$1272,MATCH("#"&amp;TEXT($A75,"00")&amp;"-"&amp;TEXT(C$6,"00"),'All Units'!$A$5:$A$1272,0))</f>
        <v>2724</v>
      </c>
      <c r="D75" s="66">
        <f>INDEX('All Units'!$Q$5:$Q$1272,MATCH("#"&amp;TEXT($A75,"00")&amp;"-"&amp;TEXT(D$6,"00"),'All Units'!$A$5:$A$1272,0))</f>
        <v>2781</v>
      </c>
      <c r="E75" s="66">
        <f>INDEX('All Units'!$Q$5:$Q$1272,MATCH("#"&amp;TEXT($A75,"00")&amp;"-"&amp;TEXT(E$6,"00"),'All Units'!$A$5:$A$1272,0))</f>
        <v>2781</v>
      </c>
      <c r="F75" s="66">
        <f>INDEX('All Units'!$Q$5:$Q$1272,MATCH("#"&amp;TEXT($A75,"00")&amp;"-"&amp;TEXT(F$6,"00"),'All Units'!$A$5:$A$1272,0))</f>
        <v>2893</v>
      </c>
    </row>
    <row r="76" spans="1:6" x14ac:dyDescent="0.2">
      <c r="A76" s="67">
        <v>7</v>
      </c>
      <c r="B76" s="66">
        <f>INDEX('All Units'!$Q$5:$Q$1272,MATCH("#"&amp;TEXT($A76,"00")&amp;"-"&amp;TEXT(B$6,"00"),'All Units'!$A$5:$A$1272,0))</f>
        <v>2705</v>
      </c>
      <c r="C76" s="66">
        <f>INDEX('All Units'!$Q$5:$Q$1272,MATCH("#"&amp;TEXT($A76,"00")&amp;"-"&amp;TEXT(C$6,"00"),'All Units'!$A$5:$A$1272,0))</f>
        <v>2705</v>
      </c>
      <c r="D76" s="66">
        <f>INDEX('All Units'!$Q$5:$Q$1272,MATCH("#"&amp;TEXT($A76,"00")&amp;"-"&amp;TEXT(D$6,"00"),'All Units'!$A$5:$A$1272,0))</f>
        <v>2780</v>
      </c>
      <c r="E76" s="66">
        <f>INDEX('All Units'!$Q$5:$Q$1272,MATCH("#"&amp;TEXT($A76,"00")&amp;"-"&amp;TEXT(E$6,"00"),'All Units'!$A$5:$A$1272,0))</f>
        <v>2780</v>
      </c>
      <c r="F76" s="66">
        <f>INDEX('All Units'!$Q$5:$Q$1272,MATCH("#"&amp;TEXT($A76,"00")&amp;"-"&amp;TEXT(F$6,"00"),'All Units'!$A$5:$A$1272,0))</f>
        <v>2874</v>
      </c>
    </row>
    <row r="77" spans="1:6" x14ac:dyDescent="0.2">
      <c r="A77" s="67">
        <v>6</v>
      </c>
      <c r="B77" s="66">
        <f>INDEX('All Units'!$Q$5:$Q$1272,MATCH("#"&amp;TEXT($A77,"00")&amp;"-"&amp;TEXT(B$6,"00"),'All Units'!$A$5:$A$1272,0))</f>
        <v>2686</v>
      </c>
      <c r="C77" s="66">
        <f>INDEX('All Units'!$Q$5:$Q$1272,MATCH("#"&amp;TEXT($A77,"00")&amp;"-"&amp;TEXT(C$6,"00"),'All Units'!$A$5:$A$1272,0))</f>
        <v>2686</v>
      </c>
      <c r="D77" s="66">
        <f>INDEX('All Units'!$Q$5:$Q$1272,MATCH("#"&amp;TEXT($A77,"00")&amp;"-"&amp;TEXT(D$6,"00"),'All Units'!$A$5:$A$1272,0))</f>
        <v>2780</v>
      </c>
      <c r="E77" s="66">
        <f>INDEX('All Units'!$Q$5:$Q$1272,MATCH("#"&amp;TEXT($A77,"00")&amp;"-"&amp;TEXT(E$6,"00"),'All Units'!$A$5:$A$1272,0))</f>
        <v>2780</v>
      </c>
      <c r="F77" s="66">
        <f>INDEX('All Units'!$Q$5:$Q$1272,MATCH("#"&amp;TEXT($A77,"00")&amp;"-"&amp;TEXT(F$6,"00"),'All Units'!$A$5:$A$1272,0))</f>
        <v>2821</v>
      </c>
    </row>
    <row r="78" spans="1:6" x14ac:dyDescent="0.2">
      <c r="A78" s="67">
        <v>5</v>
      </c>
      <c r="B78" s="66">
        <f>INDEX('All Units'!$Q$5:$Q$1272,MATCH("#"&amp;TEXT($A78,"00")&amp;"-"&amp;TEXT(B$6,"00"),'All Units'!$A$5:$A$1272,0))</f>
        <v>2666</v>
      </c>
      <c r="C78" s="66">
        <f>INDEX('All Units'!$Q$5:$Q$1272,MATCH("#"&amp;TEXT($A78,"00")&amp;"-"&amp;TEXT(C$6,"00"),'All Units'!$A$5:$A$1272,0))</f>
        <v>2666</v>
      </c>
      <c r="D78" s="66">
        <f>INDEX('All Units'!$Q$5:$Q$1272,MATCH("#"&amp;TEXT($A78,"00")&amp;"-"&amp;TEXT(D$6,"00"),'All Units'!$A$5:$A$1272,0))</f>
        <v>2779</v>
      </c>
      <c r="E78" s="66">
        <f>INDEX('All Units'!$Q$5:$Q$1272,MATCH("#"&amp;TEXT($A78,"00")&amp;"-"&amp;TEXT(E$6,"00"),'All Units'!$A$5:$A$1272,0))</f>
        <v>2779</v>
      </c>
      <c r="F78" s="66">
        <f>INDEX('All Units'!$Q$5:$Q$1272,MATCH("#"&amp;TEXT($A78,"00")&amp;"-"&amp;TEXT(F$6,"00"),'All Units'!$A$5:$A$1272,0))</f>
        <v>2768</v>
      </c>
    </row>
    <row r="79" spans="1:6" x14ac:dyDescent="0.2">
      <c r="A79" s="67">
        <v>4</v>
      </c>
      <c r="B79" s="66">
        <f>INDEX('All Units'!$Q$5:$Q$1272,MATCH("#"&amp;TEXT($A79,"00")&amp;"-"&amp;TEXT(B$6,"00"),'All Units'!$A$5:$A$1272,0))</f>
        <v>2647</v>
      </c>
      <c r="C79" s="66">
        <f>INDEX('All Units'!$Q$5:$Q$1272,MATCH("#"&amp;TEXT($A79,"00")&amp;"-"&amp;TEXT(C$6,"00"),'All Units'!$A$5:$A$1272,0))</f>
        <v>2647</v>
      </c>
      <c r="D79" s="66">
        <f>INDEX('All Units'!$Q$5:$Q$1272,MATCH("#"&amp;TEXT($A79,"00")&amp;"-"&amp;TEXT(D$6,"00"),'All Units'!$A$5:$A$1272,0))</f>
        <v>2778</v>
      </c>
      <c r="E79" s="66">
        <f>INDEX('All Units'!$Q$5:$Q$1272,MATCH("#"&amp;TEXT($A79,"00")&amp;"-"&amp;TEXT(E$6,"00"),'All Units'!$A$5:$A$1272,0))</f>
        <v>2778</v>
      </c>
      <c r="F79" s="66">
        <f>INDEX('All Units'!$Q$5:$Q$1272,MATCH("#"&amp;TEXT($A79,"00")&amp;"-"&amp;TEXT(F$6,"00"),'All Units'!$A$5:$A$1272,0))</f>
        <v>2714</v>
      </c>
    </row>
    <row r="80" spans="1:6" x14ac:dyDescent="0.2">
      <c r="A80" s="67">
        <v>3</v>
      </c>
      <c r="B80" s="66">
        <f>INDEX('All Units'!$Q$5:$Q$1272,MATCH("#"&amp;TEXT($A80,"00")&amp;"-"&amp;TEXT(B$6,"00"),'All Units'!$A$5:$A$1272,0))</f>
        <v>2627</v>
      </c>
      <c r="C80" s="66">
        <f>INDEX('All Units'!$Q$5:$Q$1272,MATCH("#"&amp;TEXT($A80,"00")&amp;"-"&amp;TEXT(C$6,"00"),'All Units'!$A$5:$A$1272,0))</f>
        <v>2627</v>
      </c>
      <c r="D80" s="66">
        <f>INDEX('All Units'!$Q$5:$Q$1272,MATCH("#"&amp;TEXT($A80,"00")&amp;"-"&amp;TEXT(D$6,"00"),'All Units'!$A$5:$A$1272,0))</f>
        <v>2778</v>
      </c>
      <c r="E80" s="66">
        <f>INDEX('All Units'!$Q$5:$Q$1272,MATCH("#"&amp;TEXT($A80,"00")&amp;"-"&amp;TEXT(E$6,"00"),'All Units'!$A$5:$A$1272,0))</f>
        <v>2778</v>
      </c>
      <c r="F80" s="66">
        <f>INDEX('All Units'!$Q$5:$Q$1272,MATCH("#"&amp;TEXT($A80,"00")&amp;"-"&amp;TEXT(F$6,"00"),'All Units'!$A$5:$A$1272,0))</f>
        <v>2661</v>
      </c>
    </row>
    <row r="81" spans="1:6" x14ac:dyDescent="0.2">
      <c r="A81" s="67">
        <v>2</v>
      </c>
      <c r="B81" s="66">
        <f>INDEX('All Units'!$Q$5:$Q$1272,MATCH("#"&amp;TEXT($A81,"00")&amp;"-"&amp;TEXT(B$6,"00"),'All Units'!$A$5:$A$1272,0))</f>
        <v>2608</v>
      </c>
      <c r="C81" s="66">
        <f>INDEX('All Units'!$Q$5:$Q$1272,MATCH("#"&amp;TEXT($A81,"00")&amp;"-"&amp;TEXT(C$6,"00"),'All Units'!$A$5:$A$1272,0))</f>
        <v>2608</v>
      </c>
      <c r="D81" s="66">
        <f>INDEX('All Units'!$Q$5:$Q$1272,MATCH("#"&amp;TEXT($A81,"00")&amp;"-"&amp;TEXT(D$6,"00"),'All Units'!$A$5:$A$1272,0))</f>
        <v>2777</v>
      </c>
      <c r="E81" s="66">
        <f>INDEX('All Units'!$Q$5:$Q$1272,MATCH("#"&amp;TEXT($A81,"00")&amp;"-"&amp;TEXT(E$6,"00"),'All Units'!$A$5:$A$1272,0))</f>
        <v>2777</v>
      </c>
      <c r="F81" s="66">
        <f>INDEX('All Units'!$Q$5:$Q$1272,MATCH("#"&amp;TEXT($A81,"00")&amp;"-"&amp;TEXT(F$6,"00"),'All Units'!$A$5:$A$1272,0))</f>
        <v>2608</v>
      </c>
    </row>
    <row r="82" spans="1:6" x14ac:dyDescent="0.2">
      <c r="A82" s="67">
        <v>1</v>
      </c>
      <c r="B82" s="68"/>
      <c r="C82" s="68"/>
      <c r="D82" s="68"/>
      <c r="E82" s="68"/>
      <c r="F82" s="68"/>
    </row>
  </sheetData>
  <mergeCells count="2">
    <mergeCell ref="A20:F20"/>
    <mergeCell ref="A52:F52"/>
  </mergeCells>
  <conditionalFormatting sqref="B21:F50">
    <cfRule type="expression" dxfId="59" priority="2">
      <formula>AND(B21&lt;&gt;"",B$12&lt;&gt;"",$A21&lt;B$12)</formula>
    </cfRule>
    <cfRule type="expression" dxfId="58" priority="3">
      <formula>AND(B21&lt;&gt;"",$A21&gt;=B$16)</formula>
    </cfRule>
    <cfRule type="expression" dxfId="57" priority="4">
      <formula>AND(B21&lt;&gt;"",$A21&gt;=B$15)</formula>
    </cfRule>
  </conditionalFormatting>
  <conditionalFormatting sqref="B53:F82">
    <cfRule type="expression" dxfId="56" priority="5">
      <formula>AND(B53&lt;&gt;"",B$12&lt;&gt;"",$A53&lt;B$12)</formula>
    </cfRule>
    <cfRule type="expression" dxfId="55" priority="6">
      <formula>AND(B53&lt;&gt;"",$A53&gt;=B$16)</formula>
    </cfRule>
    <cfRule type="expression" dxfId="54"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6E73"/>
    <pageSetUpPr fitToPage="1"/>
  </sheetPr>
  <dimension ref="A1:S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19" width="14.5" customWidth="1"/>
  </cols>
  <sheetData>
    <row r="1" spans="1:19" ht="18" x14ac:dyDescent="0.2">
      <c r="A1" s="2" t="s">
        <v>1473</v>
      </c>
    </row>
    <row r="2" spans="1:19" x14ac:dyDescent="0.2">
      <c r="A2" s="3" t="s">
        <v>1474</v>
      </c>
    </row>
    <row r="3" spans="1:19" x14ac:dyDescent="0.2">
      <c r="A3" s="3" t="s">
        <v>1461</v>
      </c>
    </row>
    <row r="5" spans="1:19" x14ac:dyDescent="0.2">
      <c r="A5" s="58" t="s">
        <v>1462</v>
      </c>
      <c r="B5" s="21">
        <v>1</v>
      </c>
      <c r="C5" s="21">
        <v>1</v>
      </c>
      <c r="D5" s="21">
        <v>3</v>
      </c>
      <c r="E5" s="21">
        <v>3</v>
      </c>
      <c r="F5" s="21">
        <v>9</v>
      </c>
      <c r="G5" s="21">
        <v>9</v>
      </c>
      <c r="H5" s="21">
        <v>9</v>
      </c>
      <c r="I5" s="21">
        <v>9</v>
      </c>
      <c r="J5" s="21">
        <v>11</v>
      </c>
      <c r="K5" s="21">
        <v>11</v>
      </c>
      <c r="L5" s="21">
        <v>11</v>
      </c>
      <c r="M5" s="21">
        <v>11</v>
      </c>
      <c r="N5" s="29">
        <v>5</v>
      </c>
      <c r="O5" s="29">
        <v>5</v>
      </c>
      <c r="P5" s="29">
        <v>5</v>
      </c>
      <c r="Q5" s="29">
        <v>7</v>
      </c>
      <c r="R5" s="29">
        <v>7</v>
      </c>
      <c r="S5" s="29">
        <v>7</v>
      </c>
    </row>
    <row r="6" spans="1:19" x14ac:dyDescent="0.2">
      <c r="A6" s="58" t="s">
        <v>99</v>
      </c>
      <c r="B6" s="59">
        <v>2</v>
      </c>
      <c r="C6" s="59">
        <v>3</v>
      </c>
      <c r="D6" s="59">
        <v>12</v>
      </c>
      <c r="E6" s="59">
        <v>13</v>
      </c>
      <c r="F6" s="59">
        <v>38</v>
      </c>
      <c r="G6" s="59">
        <v>39</v>
      </c>
      <c r="H6" s="59">
        <v>42</v>
      </c>
      <c r="I6" s="59">
        <v>43</v>
      </c>
      <c r="J6" s="59">
        <v>47</v>
      </c>
      <c r="K6" s="59">
        <v>48</v>
      </c>
      <c r="L6" s="59">
        <v>49</v>
      </c>
      <c r="M6" s="59">
        <v>53</v>
      </c>
      <c r="N6" s="69">
        <v>20</v>
      </c>
      <c r="O6" s="69">
        <v>21</v>
      </c>
      <c r="P6" s="69">
        <v>26</v>
      </c>
      <c r="Q6" s="69">
        <v>29</v>
      </c>
      <c r="R6" s="69">
        <v>30</v>
      </c>
      <c r="S6" s="69">
        <v>35</v>
      </c>
    </row>
    <row r="7" spans="1:19" x14ac:dyDescent="0.2">
      <c r="A7" s="58" t="s">
        <v>30</v>
      </c>
      <c r="B7" s="60" t="s">
        <v>137</v>
      </c>
      <c r="C7" s="60" t="s">
        <v>159</v>
      </c>
      <c r="D7" s="60" t="s">
        <v>137</v>
      </c>
      <c r="E7" s="60" t="s">
        <v>373</v>
      </c>
      <c r="F7" s="60" t="s">
        <v>159</v>
      </c>
      <c r="G7" s="60" t="s">
        <v>137</v>
      </c>
      <c r="H7" s="60" t="s">
        <v>1160</v>
      </c>
      <c r="I7" s="60" t="s">
        <v>1182</v>
      </c>
      <c r="J7" s="60" t="s">
        <v>137</v>
      </c>
      <c r="K7" s="60" t="s">
        <v>1290</v>
      </c>
      <c r="L7" s="60" t="s">
        <v>1290</v>
      </c>
      <c r="M7" s="60" t="s">
        <v>1396</v>
      </c>
      <c r="N7" s="49" t="s">
        <v>530</v>
      </c>
      <c r="O7" s="49" t="s">
        <v>562</v>
      </c>
      <c r="P7" s="49" t="s">
        <v>716</v>
      </c>
      <c r="Q7" s="49" t="s">
        <v>812</v>
      </c>
      <c r="R7" s="49" t="s">
        <v>562</v>
      </c>
      <c r="S7" s="49" t="s">
        <v>716</v>
      </c>
    </row>
    <row r="8" spans="1:19" x14ac:dyDescent="0.2">
      <c r="A8" s="58" t="s">
        <v>29</v>
      </c>
      <c r="B8" s="20">
        <v>678</v>
      </c>
      <c r="C8" s="20">
        <v>678</v>
      </c>
      <c r="D8" s="20">
        <v>678</v>
      </c>
      <c r="E8" s="20">
        <v>678</v>
      </c>
      <c r="F8" s="20">
        <v>678</v>
      </c>
      <c r="G8" s="20">
        <v>678</v>
      </c>
      <c r="H8" s="20">
        <v>678</v>
      </c>
      <c r="I8" s="20">
        <v>678</v>
      </c>
      <c r="J8" s="20">
        <v>678</v>
      </c>
      <c r="K8" s="20">
        <v>678</v>
      </c>
      <c r="L8" s="20">
        <v>678</v>
      </c>
      <c r="M8" s="20">
        <v>678</v>
      </c>
      <c r="N8" s="28">
        <v>678</v>
      </c>
      <c r="O8" s="28">
        <v>678</v>
      </c>
      <c r="P8" s="28">
        <v>678</v>
      </c>
      <c r="Q8" s="28">
        <v>678</v>
      </c>
      <c r="R8" s="28">
        <v>678</v>
      </c>
      <c r="S8" s="28">
        <v>678</v>
      </c>
    </row>
    <row r="9" spans="1:19" x14ac:dyDescent="0.2">
      <c r="A9" s="58" t="s">
        <v>54</v>
      </c>
      <c r="B9" s="21" t="s">
        <v>62</v>
      </c>
      <c r="C9" s="21" t="s">
        <v>62</v>
      </c>
      <c r="D9" s="21" t="s">
        <v>62</v>
      </c>
      <c r="E9" s="21" t="s">
        <v>62</v>
      </c>
      <c r="F9" s="21" t="s">
        <v>62</v>
      </c>
      <c r="G9" s="21" t="s">
        <v>62</v>
      </c>
      <c r="H9" s="21" t="s">
        <v>62</v>
      </c>
      <c r="I9" s="21" t="s">
        <v>62</v>
      </c>
      <c r="J9" s="21" t="s">
        <v>62</v>
      </c>
      <c r="K9" s="21" t="s">
        <v>62</v>
      </c>
      <c r="L9" s="21" t="s">
        <v>62</v>
      </c>
      <c r="M9" s="21" t="s">
        <v>62</v>
      </c>
      <c r="N9" s="29" t="s">
        <v>65</v>
      </c>
      <c r="O9" s="29" t="s">
        <v>65</v>
      </c>
      <c r="P9" s="29" t="s">
        <v>65</v>
      </c>
      <c r="Q9" s="29" t="s">
        <v>65</v>
      </c>
      <c r="R9" s="29" t="s">
        <v>65</v>
      </c>
      <c r="S9" s="29" t="s">
        <v>65</v>
      </c>
    </row>
    <row r="10" spans="1:19" ht="30" customHeight="1" x14ac:dyDescent="0.2">
      <c r="A10" s="102" t="s">
        <v>1463</v>
      </c>
      <c r="B10" s="61" t="str">
        <f>Assumptions!$I$128&amp;CHAR(10)&amp;TEXT(Assumptions!$AK$128/1000,"+$0;-$0;$0")&amp;"K / "&amp;TEXT(Assumptions!$AL$128/1000,"+$0;-$0;$0")&amp;"K / "&amp;TEXT(Assumptions!$AM$128/1000,"+$0;-$0;$0")&amp;"K"</f>
        <v>B
-$50K / +$50K / +$50K</v>
      </c>
      <c r="C10" s="61" t="str">
        <f>Assumptions!$I$129&amp;CHAR(10)&amp;TEXT(Assumptions!$AK$129/1000,"+$0;-$0;$0")&amp;"K / "&amp;TEXT(Assumptions!$AL$129/1000,"+$0;-$0;$0")&amp;"K / "&amp;TEXT(Assumptions!$AM$129/1000,"+$0;-$0;$0")&amp;"K"</f>
        <v>B
-$50K / +$50K / +$50K</v>
      </c>
      <c r="D10" s="61" t="str">
        <f>Assumptions!$I$138&amp;CHAR(10)&amp;TEXT(Assumptions!$AK$138/1000,"+$0;-$0;$0")&amp;"K / "&amp;TEXT(Assumptions!$AL$138/1000,"+$0;-$0;$0")&amp;"K / "&amp;TEXT(Assumptions!$AM$138/1000,"+$0;-$0;$0")&amp;"K"</f>
        <v>B
+$50K / +$50K / +$44K</v>
      </c>
      <c r="E10" s="61" t="str">
        <f>Assumptions!$I$139&amp;CHAR(10)&amp;TEXT(Assumptions!$AK$139/1000,"+$0;-$0;$0")&amp;"K / "&amp;TEXT(Assumptions!$AL$139/1000,"+$0;-$0;$0")&amp;"K / "&amp;TEXT(Assumptions!$AM$139/1000,"+$0;-$0;$0")&amp;"K"</f>
        <v>B
+$50K / +$50K / +$44K</v>
      </c>
      <c r="F10" s="61" t="str">
        <f>Assumptions!$I$164&amp;CHAR(10)&amp;TEXT(Assumptions!$AK$164/1000,"+$0;-$0;$0")&amp;"K / "&amp;TEXT(Assumptions!$AL$164/1000,"+$0;-$0;$0")&amp;"K / "&amp;TEXT(Assumptions!$AM$164/1000,"+$0;-$0;$0")&amp;"K"</f>
        <v>E
-$50K / -$50K / -$50K</v>
      </c>
      <c r="G10" s="61" t="str">
        <f>Assumptions!$I$165&amp;CHAR(10)&amp;TEXT(Assumptions!$AK$165/1000,"+$0;-$0;$0")&amp;"K / "&amp;TEXT(Assumptions!$AL$165/1000,"+$0;-$0;$0")&amp;"K / "&amp;TEXT(Assumptions!$AM$165/1000,"+$0;-$0;$0")&amp;"K"</f>
        <v>E
-$50K / -$50K / -$50K</v>
      </c>
      <c r="H10" s="61" t="str">
        <f>Assumptions!$I$168&amp;CHAR(10)&amp;TEXT(Assumptions!$AK$168/1000,"+$0;-$0;$0")&amp;"K / "&amp;TEXT(Assumptions!$AL$168/1000,"+$0;-$0;$0")&amp;"K / "&amp;TEXT(Assumptions!$AM$168/1000,"+$0;-$0;$0")&amp;"K"</f>
        <v>B
+$50K / +$42K / +$31K</v>
      </c>
      <c r="I10" s="61" t="str">
        <f>Assumptions!$I$169&amp;CHAR(10)&amp;TEXT(Assumptions!$AK$169/1000,"+$0;-$0;$0")&amp;"K / "&amp;TEXT(Assumptions!$AL$169/1000,"+$0;-$0;$0")&amp;"K / "&amp;TEXT(Assumptions!$AM$169/1000,"+$0;-$0;$0")&amp;"K"</f>
        <v>B
+$50K / +$42K / +$31K</v>
      </c>
      <c r="J10" s="61" t="str">
        <f>Assumptions!$I$173&amp;CHAR(10)&amp;TEXT(Assumptions!$AK$173/1000,"+$0;-$0;$0")&amp;"K / "&amp;TEXT(Assumptions!$AL$173/1000,"+$0;-$0;$0")&amp;"K / "&amp;TEXT(Assumptions!$AM$173/1000,"+$0;-$0;$0")&amp;"K"</f>
        <v>E
-$50K / -$42K / -$38K</v>
      </c>
      <c r="K10" s="61" t="str">
        <f>Assumptions!$I$174&amp;CHAR(10)&amp;TEXT(Assumptions!$AK$174/1000,"+$0;-$0;$0")&amp;"K / "&amp;TEXT(Assumptions!$AL$174/1000,"+$0;-$0;$0")&amp;"K / "&amp;TEXT(Assumptions!$AM$174/1000,"+$0;-$0;$0")&amp;"K"</f>
        <v>E
-$50K / -$42K / -$38K</v>
      </c>
      <c r="L10" s="61" t="str">
        <f>Assumptions!$I$175&amp;CHAR(10)&amp;TEXT(Assumptions!$AK$175/1000,"+$0;-$0;$0")&amp;"K / "&amp;TEXT(Assumptions!$AL$175/1000,"+$0;-$0;$0")&amp;"K / "&amp;TEXT(Assumptions!$AM$175/1000,"+$0;-$0;$0")&amp;"K"</f>
        <v>E
-$50K / -$42K / -$38K</v>
      </c>
      <c r="M10" s="61" t="str">
        <f>Assumptions!$I$179&amp;CHAR(10)&amp;TEXT(Assumptions!$AK$179/1000,"+$0;-$0;$0")&amp;"K / "&amp;TEXT(Assumptions!$AL$179/1000,"+$0;-$0;$0")&amp;"K / "&amp;TEXT(Assumptions!$AM$179/1000,"+$0;-$0;$0")&amp;"K"</f>
        <v>B
-$50K / +$25K / +$13K</v>
      </c>
      <c r="N10" s="70" t="str">
        <f>Assumptions!$I$146&amp;CHAR(10)&amp;TEXT(Assumptions!$AK$146/1000,"+$0;-$0;$0")&amp;"K / "&amp;TEXT(Assumptions!$AL$146/1000,"+$0;-$0;$0")&amp;"K / "&amp;TEXT(Assumptions!$AM$146/1000,"+$0;-$0;$0")&amp;"K"</f>
        <v>A
+$50K / +$50K / +$50K</v>
      </c>
      <c r="O10" s="70" t="str">
        <f>Assumptions!$I$147&amp;CHAR(10)&amp;TEXT(Assumptions!$AK$147/1000,"+$0;-$0;$0")&amp;"K / "&amp;TEXT(Assumptions!$AL$147/1000,"+$0;-$0;$0")&amp;"K / "&amp;TEXT(Assumptions!$AM$147/1000,"+$0;-$0;$0")&amp;"K"</f>
        <v>A
+$50K / +$50K / +$50K</v>
      </c>
      <c r="P10" s="70" t="str">
        <f>Assumptions!$I$152&amp;CHAR(10)&amp;TEXT(Assumptions!$AK$152/1000,"+$0;-$0;$0")&amp;"K / "&amp;TEXT(Assumptions!$AL$152/1000,"+$0;-$0;$0")&amp;"K / "&amp;TEXT(Assumptions!$AM$152/1000,"+$0;-$0;$0")&amp;"K"</f>
        <v>E
-$50K / -$50K / -$50K</v>
      </c>
      <c r="Q10" s="70" t="str">
        <f>Assumptions!$I$155&amp;CHAR(10)&amp;TEXT(Assumptions!$AK$155/1000,"+$0;-$0;$0")&amp;"K / "&amp;TEXT(Assumptions!$AL$155/1000,"+$0;-$0;$0")&amp;"K / "&amp;TEXT(Assumptions!$AM$155/1000,"+$0;-$0;$0")&amp;"K"</f>
        <v>B
-$50K / +$27K / +$25K</v>
      </c>
      <c r="R10" s="70" t="str">
        <f>Assumptions!$I$156&amp;CHAR(10)&amp;TEXT(Assumptions!$AK$156/1000,"+$0;-$0;$0")&amp;"K / "&amp;TEXT(Assumptions!$AL$156/1000,"+$0;-$0;$0")&amp;"K / "&amp;TEXT(Assumptions!$AM$156/1000,"+$0;-$0;$0")&amp;"K"</f>
        <v>B
-$50K / +$27K / +$25K</v>
      </c>
      <c r="S10" s="70" t="str">
        <f>Assumptions!$I$161&amp;CHAR(10)&amp;TEXT(Assumptions!$AK$161/1000,"+$0;-$0;$0")&amp;"K / "&amp;TEXT(Assumptions!$AL$161/1000,"+$0;-$0;$0")&amp;"K / "&amp;TEXT(Assumptions!$AM$161/1000,"+$0;-$0;$0")&amp;"K"</f>
        <v>B
+$25K / +$19K / +$6K</v>
      </c>
    </row>
    <row r="11" spans="1:19" ht="90" customHeight="1" x14ac:dyDescent="0.2">
      <c r="A11" s="102" t="s">
        <v>113</v>
      </c>
      <c r="B11" s="62" t="str">
        <f>Assumptions!$AJ$128</f>
        <v>SSE. Forest Grill pavilions in front of low floors; landed, nature reserve &amp; city views open from mid floor</v>
      </c>
      <c r="C11" s="62" t="str">
        <f>Assumptions!$AJ$129</f>
        <v>SSE. Forest Grill pavilions in front of low floors; landed, nature reserve &amp; city views open from mid floor</v>
      </c>
      <c r="D11" s="62" t="str">
        <f>Assumptions!$AJ$138</f>
        <v>SSW. Unblocked direct view of landed estate &amp; nature reserve</v>
      </c>
      <c r="E11" s="62" t="str">
        <f>Assumptions!$AJ$139</f>
        <v>SSW. Unblocked direct view of landed estate &amp; nature reserve</v>
      </c>
      <c r="F11" s="62" t="str">
        <f>Assumptions!$AJ$164</f>
        <v>NNE. View towards Thomson Three &amp; Sin Ming HDB; Paw Garden pavilion in front of low floors</v>
      </c>
      <c r="G11" s="62" t="str">
        <f>Assumptions!$AJ$165</f>
        <v>NNE. View towards Thomson Three &amp; Sin Ming HDB; Paw Garden pavilion in front of low floors</v>
      </c>
      <c r="H11" s="62" t="str">
        <f>Assumptions!$AJ$168</f>
        <v>SSW. Infinity pool view; landed + nature reserve from mid floor</v>
      </c>
      <c r="I11" s="62" t="str">
        <f>Assumptions!$AJ$169</f>
        <v>SSW. Infinity pool view; landed + nature reserve from mid floor</v>
      </c>
      <c r="J11" s="62" t="str">
        <f>Assumptions!$AJ$173</f>
        <v>NE. Facing HDB, landed on the right; higher floors may see Kwang Ming San</v>
      </c>
      <c r="K11" s="62" t="str">
        <f>Assumptions!$AJ$174</f>
        <v>NE. Facing HDB, landed on the right; higher floors may see Kwang Ming San</v>
      </c>
      <c r="L11" s="62" t="str">
        <f>Assumptions!$AJ$175</f>
        <v>NE. Facing HDB, landed on the right; higher floors may see Kwang Ming San</v>
      </c>
      <c r="M11" s="62" t="str">
        <f>Assumptions!$AJ$179</f>
        <v>SW. Internal pool view; Island Club in front of low floors</v>
      </c>
      <c r="N11" s="71" t="str">
        <f>Assumptions!$AJ$146</f>
        <v>SW, same direction as the 5BR. Direct landed estate + nature reserve</v>
      </c>
      <c r="O11" s="71" t="str">
        <f>Assumptions!$AJ$147</f>
        <v>SW, same direction as the 5BR. Direct landed estate + nature reserve</v>
      </c>
      <c r="P11" s="71" t="str">
        <f>Assumptions!$AJ$152</f>
        <v>NE. Pool view towards Thomson Three &amp; Sin Ming HDB; Olive Lounge in front of low floors</v>
      </c>
      <c r="Q11" s="71" t="str">
        <f>Assumptions!$AJ$155</f>
        <v>NW. Wellness Club, golf course, landed, nature reserve; Lower Peirce Reservoir from L20</v>
      </c>
      <c r="R11" s="71" t="str">
        <f>Assumptions!$AJ$156</f>
        <v>NW. Wellness Club, golf course, landed, nature reserve; Lower Peirce Reservoir from L20</v>
      </c>
      <c r="S11" s="71" t="str">
        <f>Assumptions!$AJ$161</f>
        <v>SE: no afternoon sun. 240m entire pool &amp; landscape</v>
      </c>
    </row>
    <row r="12" spans="1:19" ht="28" x14ac:dyDescent="0.2">
      <c r="A12" s="102" t="s">
        <v>1464</v>
      </c>
      <c r="B12" s="63">
        <f>IF(Assumptions!$L$128="","",Assumptions!$L$128)</f>
        <v>5</v>
      </c>
      <c r="C12" s="63">
        <f>IF(Assumptions!$L$129="","",Assumptions!$L$129)</f>
        <v>4</v>
      </c>
      <c r="D12" s="63" t="str">
        <f>IF(Assumptions!$L$138="","",Assumptions!$L$138)</f>
        <v/>
      </c>
      <c r="E12" s="63" t="str">
        <f>IF(Assumptions!$L$139="","",Assumptions!$L$139)</f>
        <v/>
      </c>
      <c r="F12" s="63">
        <f>IF(Assumptions!$L$164="","",Assumptions!$L$164)</f>
        <v>5</v>
      </c>
      <c r="G12" s="63">
        <f>IF(Assumptions!$L$165="","",Assumptions!$L$165)</f>
        <v>4</v>
      </c>
      <c r="H12" s="63" t="str">
        <f>IF(Assumptions!$L$168="","",Assumptions!$L$168)</f>
        <v/>
      </c>
      <c r="I12" s="63" t="str">
        <f>IF(Assumptions!$L$169="","",Assumptions!$L$169)</f>
        <v/>
      </c>
      <c r="J12" s="63">
        <f>IF(Assumptions!$L$173="","",Assumptions!$L$173)</f>
        <v>4</v>
      </c>
      <c r="K12" s="63">
        <f>IF(Assumptions!$L$174="","",Assumptions!$L$174)</f>
        <v>5</v>
      </c>
      <c r="L12" s="63">
        <f>IF(Assumptions!$L$175="","",Assumptions!$L$175)</f>
        <v>5</v>
      </c>
      <c r="M12" s="63">
        <f>IF(Assumptions!$L$179="","",Assumptions!$L$179)</f>
        <v>7</v>
      </c>
      <c r="N12" s="63" t="str">
        <f>IF(Assumptions!$L$146="","",Assumptions!$L$146)</f>
        <v/>
      </c>
      <c r="O12" s="63" t="str">
        <f>IF(Assumptions!$L$147="","",Assumptions!$L$147)</f>
        <v/>
      </c>
      <c r="P12" s="63" t="str">
        <f>IF(Assumptions!$L$152="","",Assumptions!$L$152)</f>
        <v/>
      </c>
      <c r="Q12" s="63">
        <f>IF(Assumptions!$L$155="","",Assumptions!$L$155)</f>
        <v>5</v>
      </c>
      <c r="R12" s="63">
        <f>IF(Assumptions!$L$156="","",Assumptions!$L$156)</f>
        <v>5</v>
      </c>
      <c r="S12" s="63" t="str">
        <f>IF(Assumptions!$L$161="","",Assumptions!$L$161)</f>
        <v/>
      </c>
    </row>
    <row r="13" spans="1:19" ht="28" x14ac:dyDescent="0.2">
      <c r="A13" s="102" t="s">
        <v>1465</v>
      </c>
      <c r="B13" s="63">
        <f>IF(Assumptions!$AD$128="","",Assumptions!$AD$128)</f>
        <v>2</v>
      </c>
      <c r="C13" s="63">
        <f>IF(Assumptions!$AD$129="","",Assumptions!$AD$129)</f>
        <v>2</v>
      </c>
      <c r="D13" s="63" t="str">
        <f>IF(Assumptions!$AD$138="","",Assumptions!$AD$138)</f>
        <v/>
      </c>
      <c r="E13" s="63" t="str">
        <f>IF(Assumptions!$AD$139="","",Assumptions!$AD$139)</f>
        <v/>
      </c>
      <c r="F13" s="63">
        <f>IF(Assumptions!$AD$164="","",Assumptions!$AD$164)</f>
        <v>2</v>
      </c>
      <c r="G13" s="63">
        <f>IF(Assumptions!$AD$165="","",Assumptions!$AD$165)</f>
        <v>2</v>
      </c>
      <c r="H13" s="63" t="str">
        <f>IF(Assumptions!$AD$168="","",Assumptions!$AD$168)</f>
        <v/>
      </c>
      <c r="I13" s="63" t="str">
        <f>IF(Assumptions!$AD$169="","",Assumptions!$AD$169)</f>
        <v/>
      </c>
      <c r="J13" s="63">
        <f>IF(Assumptions!$AD$173="","",Assumptions!$AD$173)</f>
        <v>2</v>
      </c>
      <c r="K13" s="63">
        <f>IF(Assumptions!$AD$174="","",Assumptions!$AD$174)</f>
        <v>2</v>
      </c>
      <c r="L13" s="63">
        <f>IF(Assumptions!$AD$175="","",Assumptions!$AD$175)</f>
        <v>2</v>
      </c>
      <c r="M13" s="63">
        <f>IF(Assumptions!$AD$179="","",Assumptions!$AD$179)</f>
        <v>3</v>
      </c>
      <c r="N13" s="63" t="str">
        <f>IF(Assumptions!$AD$146="","",Assumptions!$AD$146)</f>
        <v/>
      </c>
      <c r="O13" s="63" t="str">
        <f>IF(Assumptions!$AD$147="","",Assumptions!$AD$147)</f>
        <v/>
      </c>
      <c r="P13" s="63">
        <f>IF(Assumptions!$AD$152="","",Assumptions!$AD$152)</f>
        <v>2</v>
      </c>
      <c r="Q13" s="63">
        <f>IF(Assumptions!$AD$155="","",Assumptions!$AD$155)</f>
        <v>2</v>
      </c>
      <c r="R13" s="63">
        <f>IF(Assumptions!$AD$156="","",Assumptions!$AD$156)</f>
        <v>3</v>
      </c>
      <c r="S13" s="63">
        <f>IF(Assumptions!$AD$161="","",Assumptions!$AD$161)</f>
        <v>2</v>
      </c>
    </row>
    <row r="14" spans="1:19" ht="39.75" customHeight="1" x14ac:dyDescent="0.2">
      <c r="A14" s="102" t="s">
        <v>1466</v>
      </c>
      <c r="B14" s="64" t="str">
        <f>IF(Assumptions!$M$128="","",Assumptions!$M$128)</f>
        <v>Forest Grill Pavilion 2: 41% of view, 27.5 to 37m away</v>
      </c>
      <c r="C14" s="64" t="str">
        <f>IF(Assumptions!$M$129="","",Assumptions!$M$129)</f>
        <v>Forest Grill Pavilion 2: 66% of view, 22.5 to 32.5m away</v>
      </c>
      <c r="D14" s="64" t="str">
        <f>IF(Assumptions!$M$138="","",Assumptions!$M$138)</f>
        <v/>
      </c>
      <c r="E14" s="64" t="str">
        <f>IF(Assumptions!$M$139="","",Assumptions!$M$139)</f>
        <v/>
      </c>
      <c r="F14" s="64" t="str">
        <f>IF(Assumptions!$M$164="","",Assumptions!$M$164)</f>
        <v>Paw Garden Pavilion: 21% of view, 25.8 to 32.7m away</v>
      </c>
      <c r="G14" s="64" t="str">
        <f>IF(Assumptions!$M$165="","",Assumptions!$M$165)</f>
        <v>Paw Garden Pavilion: 20% of view, 22.9 to 29.9m away</v>
      </c>
      <c r="H14" s="64" t="str">
        <f>IF(Assumptions!$M$168="","",Assumptions!$M$168)</f>
        <v/>
      </c>
      <c r="I14" s="64" t="str">
        <f>IF(Assumptions!$M$169="","",Assumptions!$M$169)</f>
        <v/>
      </c>
      <c r="J14" s="64" t="str">
        <f>IF(Assumptions!$M$173="","",Assumptions!$M$173)</f>
        <v>Forest Pavilion: 21% of view, 21.6 to 28.5m away</v>
      </c>
      <c r="K14" s="64" t="str">
        <f>IF(Assumptions!$M$174="","",Assumptions!$M$174)</f>
        <v>Forest Pavilion: 20% of view, 23.5 to 30.3m away</v>
      </c>
      <c r="L14" s="64" t="str">
        <f>IF(Assumptions!$M$175="","",Assumptions!$M$175)</f>
        <v>Forest Pavilion: 15% of view, 27.7 to 34.7m away</v>
      </c>
      <c r="M14" s="64" t="str">
        <f>IF(Assumptions!$M$179="","",Assumptions!$M$179)</f>
        <v>Island Club: 98% of view, 33.5 to 55.2m away</v>
      </c>
      <c r="N14" s="64" t="str">
        <f>IF(Assumptions!$M$146="","",Assumptions!$M$146)</f>
        <v/>
      </c>
      <c r="O14" s="64" t="str">
        <f>IF(Assumptions!$M$147="","",Assumptions!$M$147)</f>
        <v/>
      </c>
      <c r="P14" s="64" t="str">
        <f>IF(Assumptions!$M$152="","",Assumptions!$M$152)</f>
        <v/>
      </c>
      <c r="Q14" s="64" t="str">
        <f>IF(Assumptions!$M$155="","",Assumptions!$M$155)</f>
        <v>Wellness Pod Pavilion 1: 18% of view, 24.2 to 30.1m away</v>
      </c>
      <c r="R14" s="64" t="str">
        <f>IF(Assumptions!$M$156="","",Assumptions!$M$156)</f>
        <v>Wellness Pod Pavilion 1: 36% of view, 26.2 to 32.1m away</v>
      </c>
      <c r="S14" s="64" t="str">
        <f>IF(Assumptions!$M$161="","",Assumptions!$M$161)</f>
        <v/>
      </c>
    </row>
    <row r="15" spans="1:19" ht="28" x14ac:dyDescent="0.2">
      <c r="A15" s="102" t="s">
        <v>1467</v>
      </c>
      <c r="B15" s="65">
        <f>Assumptions!$AH$128</f>
        <v>8</v>
      </c>
      <c r="C15" s="65">
        <f>Assumptions!$AH$129</f>
        <v>8</v>
      </c>
      <c r="D15" s="65">
        <f>Assumptions!$AH$138</f>
        <v>8</v>
      </c>
      <c r="E15" s="65">
        <f>Assumptions!$AH$139</f>
        <v>8</v>
      </c>
      <c r="F15" s="65">
        <f>Assumptions!$AH$164</f>
        <v>8</v>
      </c>
      <c r="G15" s="65">
        <f>Assumptions!$AH$165</f>
        <v>8</v>
      </c>
      <c r="H15" s="65">
        <f>Assumptions!$AH$168</f>
        <v>8</v>
      </c>
      <c r="I15" s="65">
        <f>Assumptions!$AH$169</f>
        <v>8</v>
      </c>
      <c r="J15" s="65">
        <f>Assumptions!$AH$173</f>
        <v>8</v>
      </c>
      <c r="K15" s="65">
        <f>Assumptions!$AH$174</f>
        <v>8</v>
      </c>
      <c r="L15" s="65">
        <f>Assumptions!$AH$175</f>
        <v>8</v>
      </c>
      <c r="M15" s="65">
        <f>Assumptions!$AH$179</f>
        <v>7</v>
      </c>
      <c r="N15" s="65">
        <f>Assumptions!$AH$146</f>
        <v>15</v>
      </c>
      <c r="O15" s="65">
        <f>Assumptions!$AH$147</f>
        <v>15</v>
      </c>
      <c r="P15" s="65">
        <f>Assumptions!$AH$152</f>
        <v>15</v>
      </c>
      <c r="Q15" s="65">
        <f>Assumptions!$AH$155</f>
        <v>15</v>
      </c>
      <c r="R15" s="65">
        <f>Assumptions!$AH$156</f>
        <v>15</v>
      </c>
      <c r="S15" s="65">
        <f>Assumptions!$AH$161</f>
        <v>15</v>
      </c>
    </row>
    <row r="16" spans="1:19" ht="28" x14ac:dyDescent="0.2">
      <c r="A16" s="102" t="s">
        <v>1468</v>
      </c>
      <c r="B16" s="65">
        <f>Assumptions!$P$128</f>
        <v>16</v>
      </c>
      <c r="C16" s="65">
        <f>Assumptions!$P$129</f>
        <v>16</v>
      </c>
      <c r="D16" s="65">
        <f>Assumptions!$P$138</f>
        <v>16</v>
      </c>
      <c r="E16" s="65">
        <f>Assumptions!$P$139</f>
        <v>16</v>
      </c>
      <c r="F16" s="65">
        <f>Assumptions!$P$164</f>
        <v>16</v>
      </c>
      <c r="G16" s="65">
        <f>Assumptions!$P$165</f>
        <v>16</v>
      </c>
      <c r="H16" s="65">
        <f>Assumptions!$P$168</f>
        <v>16</v>
      </c>
      <c r="I16" s="65">
        <f>Assumptions!$P$169</f>
        <v>16</v>
      </c>
      <c r="J16" s="65">
        <f>Assumptions!$P$173</f>
        <v>16</v>
      </c>
      <c r="K16" s="65">
        <f>Assumptions!$P$174</f>
        <v>16</v>
      </c>
      <c r="L16" s="65">
        <f>Assumptions!$P$175</f>
        <v>16</v>
      </c>
      <c r="M16" s="65">
        <f>Assumptions!$P$179</f>
        <v>16</v>
      </c>
      <c r="N16" s="65">
        <f>Assumptions!$P$146</f>
        <v>22</v>
      </c>
      <c r="O16" s="65">
        <f>Assumptions!$P$147</f>
        <v>22</v>
      </c>
      <c r="P16" s="65">
        <f>Assumptions!$P$152</f>
        <v>22</v>
      </c>
      <c r="Q16" s="65">
        <f>Assumptions!$P$155</f>
        <v>20</v>
      </c>
      <c r="R16" s="65">
        <f>Assumptions!$P$156</f>
        <v>20</v>
      </c>
      <c r="S16" s="65">
        <f>Assumptions!$P$161</f>
        <v>22</v>
      </c>
    </row>
    <row r="17" spans="1:19" x14ac:dyDescent="0.2">
      <c r="A17" s="58" t="s">
        <v>1469</v>
      </c>
      <c r="B17" s="66">
        <f>INDEX('All Units'!$R$5:$R$1272,MATCH("#"&amp;TEXT(2,"00")&amp;"-"&amp;TEXT(B$6,"00"),'All Units'!$A$5:$A$1272,0))</f>
        <v>1772000</v>
      </c>
      <c r="C17" s="66">
        <f>INDEX('All Units'!$R$5:$R$1272,MATCH("#"&amp;TEXT(2,"00")&amp;"-"&amp;TEXT(C$6,"00"),'All Units'!$A$5:$A$1272,0))</f>
        <v>1772000</v>
      </c>
      <c r="D17" s="66">
        <f>INDEX('All Units'!$R$5:$R$1272,MATCH("#"&amp;TEXT(2,"00")&amp;"-"&amp;TEXT(D$6,"00"),'All Units'!$A$5:$A$1272,0))</f>
        <v>1871300</v>
      </c>
      <c r="E17" s="66">
        <f>INDEX('All Units'!$R$5:$R$1272,MATCH("#"&amp;TEXT(2,"00")&amp;"-"&amp;TEXT(E$6,"00"),'All Units'!$A$5:$A$1272,0))</f>
        <v>1871300</v>
      </c>
      <c r="F17" s="66">
        <f>INDEX('All Units'!$R$5:$R$1272,MATCH("#"&amp;TEXT(2,"00")&amp;"-"&amp;TEXT(F$6,"00"),'All Units'!$A$5:$A$1272,0))</f>
        <v>1772000</v>
      </c>
      <c r="G17" s="66">
        <f>INDEX('All Units'!$R$5:$R$1272,MATCH("#"&amp;TEXT(2,"00")&amp;"-"&amp;TEXT(G$6,"00"),'All Units'!$A$5:$A$1272,0))</f>
        <v>1772000</v>
      </c>
      <c r="H17" s="66">
        <f>INDEX('All Units'!$R$5:$R$1272,MATCH("#"&amp;TEXT(2,"00")&amp;"-"&amp;TEXT(H$6,"00"),'All Units'!$A$5:$A$1272,0))</f>
        <v>1871300</v>
      </c>
      <c r="I17" s="66">
        <f>INDEX('All Units'!$R$5:$R$1272,MATCH("#"&amp;TEXT(2,"00")&amp;"-"&amp;TEXT(I$6,"00"),'All Units'!$A$5:$A$1272,0))</f>
        <v>1871300</v>
      </c>
      <c r="J17" s="66">
        <f>INDEX('All Units'!$R$5:$R$1272,MATCH("#"&amp;TEXT(2,"00")&amp;"-"&amp;TEXT(J$6,"00"),'All Units'!$A$5:$A$1272,0))</f>
        <v>1772000</v>
      </c>
      <c r="K17" s="66">
        <f>INDEX('All Units'!$R$5:$R$1272,MATCH("#"&amp;TEXT(2,"00")&amp;"-"&amp;TEXT(K$6,"00"),'All Units'!$A$5:$A$1272,0))</f>
        <v>1772000</v>
      </c>
      <c r="L17" s="66">
        <f>INDEX('All Units'!$R$5:$R$1272,MATCH("#"&amp;TEXT(2,"00")&amp;"-"&amp;TEXT(L$6,"00"),'All Units'!$A$5:$A$1272,0))</f>
        <v>1772000</v>
      </c>
      <c r="M17" s="66">
        <f>INDEX('All Units'!$R$5:$R$1272,MATCH("#"&amp;TEXT(2,"00")&amp;"-"&amp;TEXT(M$6,"00"),'All Units'!$A$5:$A$1272,0))</f>
        <v>1772000</v>
      </c>
      <c r="N17" s="66">
        <f>INDEX('All Units'!$R$5:$R$1272,MATCH("#"&amp;TEXT(1,"00")&amp;"-"&amp;TEXT(N$6,"00"),'All Units'!$A$5:$A$1272,0))</f>
        <v>1972300</v>
      </c>
      <c r="O17" s="66">
        <f>INDEX('All Units'!$R$5:$R$1272,MATCH("#"&amp;TEXT(3,"00")&amp;"-"&amp;TEXT(O$6,"00"),'All Units'!$A$5:$A$1272,0))</f>
        <v>1998700</v>
      </c>
      <c r="P17" s="66">
        <f>INDEX('All Units'!$R$5:$R$1272,MATCH("#"&amp;TEXT(1,"00")&amp;"-"&amp;TEXT(P$6,"00"),'All Units'!$A$5:$A$1272,0))</f>
        <v>1872600</v>
      </c>
      <c r="Q17" s="66">
        <f>INDEX('All Units'!$R$5:$R$1272,MATCH("#"&amp;TEXT(1,"00")&amp;"-"&amp;TEXT(Q$6,"00"),'All Units'!$A$5:$A$1272,0))</f>
        <v>1872600</v>
      </c>
      <c r="R17" s="66">
        <f>INDEX('All Units'!$R$5:$R$1272,MATCH("#"&amp;TEXT(3,"00")&amp;"-"&amp;TEXT(R$6,"00"),'All Units'!$A$5:$A$1272,0))</f>
        <v>1898400</v>
      </c>
      <c r="S17" s="66">
        <f>INDEX('All Units'!$R$5:$R$1272,MATCH("#"&amp;TEXT(1,"00")&amp;"-"&amp;TEXT(S$6,"00"),'All Units'!$A$5:$A$1272,0))</f>
        <v>1947200</v>
      </c>
    </row>
    <row r="18" spans="1:19" x14ac:dyDescent="0.2">
      <c r="A18" s="58" t="s">
        <v>1470</v>
      </c>
      <c r="B18" s="66">
        <f>INDEX('All Units'!$R$5:$R$1272,MATCH("#"&amp;TEXT(21,"00")&amp;"-"&amp;TEXT(B$6,"00"),'All Units'!$A$5:$A$1272,0))</f>
        <v>2118800</v>
      </c>
      <c r="C18" s="66">
        <f>INDEX('All Units'!$R$5:$R$1272,MATCH("#"&amp;TEXT(21,"00")&amp;"-"&amp;TEXT(C$6,"00"),'All Units'!$A$5:$A$1272,0))</f>
        <v>2118800</v>
      </c>
      <c r="D18" s="66">
        <f>INDEX('All Units'!$R$5:$R$1272,MATCH("#"&amp;TEXT(21,"00")&amp;"-"&amp;TEXT(D$6,"00"),'All Units'!$A$5:$A$1272,0))</f>
        <v>2112000</v>
      </c>
      <c r="E18" s="66">
        <f>INDEX('All Units'!$R$5:$R$1272,MATCH("#"&amp;TEXT(21,"00")&amp;"-"&amp;TEXT(E$6,"00"),'All Units'!$A$5:$A$1272,0))</f>
        <v>2112000</v>
      </c>
      <c r="F18" s="66">
        <f>INDEX('All Units'!$R$5:$R$1272,MATCH("#"&amp;TEXT(21,"00")&amp;"-"&amp;TEXT(F$6,"00"),'All Units'!$A$5:$A$1272,0))</f>
        <v>2018400</v>
      </c>
      <c r="G18" s="66">
        <f>INDEX('All Units'!$R$5:$R$1272,MATCH("#"&amp;TEXT(21,"00")&amp;"-"&amp;TEXT(G$6,"00"),'All Units'!$A$5:$A$1272,0))</f>
        <v>2018400</v>
      </c>
      <c r="H18" s="66">
        <f>INDEX('All Units'!$R$5:$R$1272,MATCH("#"&amp;TEXT(21,"00")&amp;"-"&amp;TEXT(H$6,"00"),'All Units'!$A$5:$A$1272,0))</f>
        <v>2099800</v>
      </c>
      <c r="I18" s="66">
        <f>INDEX('All Units'!$R$5:$R$1272,MATCH("#"&amp;TEXT(21,"00")&amp;"-"&amp;TEXT(I$6,"00"),'All Units'!$A$5:$A$1272,0))</f>
        <v>2099800</v>
      </c>
      <c r="J18" s="66">
        <f>INDEX('All Units'!$R$5:$R$1272,MATCH("#"&amp;TEXT(21,"00")&amp;"-"&amp;TEXT(J$6,"00"),'All Units'!$A$5:$A$1272,0))</f>
        <v>2031300</v>
      </c>
      <c r="K18" s="66">
        <f>INDEX('All Units'!$R$5:$R$1272,MATCH("#"&amp;TEXT(21,"00")&amp;"-"&amp;TEXT(K$6,"00"),'All Units'!$A$5:$A$1272,0))</f>
        <v>2031300</v>
      </c>
      <c r="L18" s="66">
        <f>INDEX('All Units'!$R$5:$R$1272,MATCH("#"&amp;TEXT(21,"00")&amp;"-"&amp;TEXT(L$6,"00"),'All Units'!$A$5:$A$1272,0))</f>
        <v>2031300</v>
      </c>
      <c r="M18" s="66">
        <f>INDEX('All Units'!$R$5:$R$1272,MATCH("#"&amp;TEXT(21,"00")&amp;"-"&amp;TEXT(M$6,"00"),'All Units'!$A$5:$A$1272,0))</f>
        <v>2080800</v>
      </c>
      <c r="N18" s="66">
        <f>INDEX('All Units'!$R$5:$R$1272,MATCH("#"&amp;TEXT(30,"00")&amp;"-"&amp;TEXT(N$6,"00"),'All Units'!$A$5:$A$1272,0))</f>
        <v>2310600</v>
      </c>
      <c r="O18" s="66">
        <f>INDEX('All Units'!$R$5:$R$1272,MATCH("#"&amp;TEXT(30,"00")&amp;"-"&amp;TEXT(O$6,"00"),'All Units'!$A$5:$A$1272,0))</f>
        <v>2310600</v>
      </c>
      <c r="P18" s="66">
        <f>INDEX('All Units'!$R$5:$R$1272,MATCH("#"&amp;TEXT(30,"00")&amp;"-"&amp;TEXT(P$6,"00"),'All Units'!$A$5:$A$1272,0))</f>
        <v>2210300</v>
      </c>
      <c r="Q18" s="66">
        <f>INDEX('All Units'!$R$5:$R$1272,MATCH("#"&amp;TEXT(30,"00")&amp;"-"&amp;TEXT(Q$6,"00"),'All Units'!$A$5:$A$1272,0))</f>
        <v>2285500</v>
      </c>
      <c r="R18" s="66">
        <f>INDEX('All Units'!$R$5:$R$1272,MATCH("#"&amp;TEXT(30,"00")&amp;"-"&amp;TEXT(R$6,"00"),'All Units'!$A$5:$A$1272,0))</f>
        <v>2285500</v>
      </c>
      <c r="S18" s="66">
        <f>INDEX('All Units'!$R$5:$R$1272,MATCH("#"&amp;TEXT(30,"00")&amp;"-"&amp;TEXT(S$6,"00"),'All Units'!$A$5:$A$1272,0))</f>
        <v>2266600</v>
      </c>
    </row>
    <row r="20" spans="1:19" x14ac:dyDescent="0.2">
      <c r="A20" s="99" t="s">
        <v>1471</v>
      </c>
      <c r="B20" s="99"/>
      <c r="C20" s="99"/>
      <c r="D20" s="99"/>
      <c r="E20" s="99"/>
      <c r="F20" s="99"/>
      <c r="G20" s="99"/>
      <c r="H20" s="99"/>
      <c r="I20" s="99"/>
      <c r="J20" s="99"/>
      <c r="K20" s="99"/>
      <c r="L20" s="99"/>
      <c r="M20" s="99"/>
      <c r="N20" s="99"/>
      <c r="O20" s="99"/>
      <c r="P20" s="99"/>
      <c r="Q20" s="99"/>
      <c r="R20" s="99"/>
      <c r="S20" s="99"/>
    </row>
    <row r="21" spans="1:19" x14ac:dyDescent="0.2">
      <c r="A21" s="67">
        <v>30</v>
      </c>
      <c r="B21" s="68"/>
      <c r="C21" s="68"/>
      <c r="D21" s="68"/>
      <c r="E21" s="68"/>
      <c r="F21" s="68"/>
      <c r="G21" s="68"/>
      <c r="H21" s="68"/>
      <c r="I21" s="68"/>
      <c r="J21" s="68"/>
      <c r="K21" s="68"/>
      <c r="L21" s="68"/>
      <c r="M21" s="68"/>
      <c r="N21" s="66">
        <f>INDEX('All Units'!$R$5:$R$1272,MATCH("#"&amp;TEXT($A21,"00")&amp;"-"&amp;TEXT(N$6,"00"),'All Units'!$A$5:$A$1272,0))</f>
        <v>2310600</v>
      </c>
      <c r="O21" s="66">
        <f>INDEX('All Units'!$R$5:$R$1272,MATCH("#"&amp;TEXT($A21,"00")&amp;"-"&amp;TEXT(O$6,"00"),'All Units'!$A$5:$A$1272,0))</f>
        <v>2310600</v>
      </c>
      <c r="P21" s="66">
        <f>INDEX('All Units'!$R$5:$R$1272,MATCH("#"&amp;TEXT($A21,"00")&amp;"-"&amp;TEXT(P$6,"00"),'All Units'!$A$5:$A$1272,0))</f>
        <v>2210300</v>
      </c>
      <c r="Q21" s="66">
        <f>INDEX('All Units'!$R$5:$R$1272,MATCH("#"&amp;TEXT($A21,"00")&amp;"-"&amp;TEXT(Q$6,"00"),'All Units'!$A$5:$A$1272,0))</f>
        <v>2285500</v>
      </c>
      <c r="R21" s="66">
        <f>INDEX('All Units'!$R$5:$R$1272,MATCH("#"&amp;TEXT($A21,"00")&amp;"-"&amp;TEXT(R$6,"00"),'All Units'!$A$5:$A$1272,0))</f>
        <v>2285500</v>
      </c>
      <c r="S21" s="66">
        <f>INDEX('All Units'!$R$5:$R$1272,MATCH("#"&amp;TEXT($A21,"00")&amp;"-"&amp;TEXT(S$6,"00"),'All Units'!$A$5:$A$1272,0))</f>
        <v>2266600</v>
      </c>
    </row>
    <row r="22" spans="1:19" x14ac:dyDescent="0.2">
      <c r="A22" s="67">
        <v>29</v>
      </c>
      <c r="B22" s="68"/>
      <c r="C22" s="68"/>
      <c r="D22" s="68"/>
      <c r="E22" s="68"/>
      <c r="F22" s="68"/>
      <c r="G22" s="68"/>
      <c r="H22" s="68"/>
      <c r="I22" s="68"/>
      <c r="J22" s="68"/>
      <c r="K22" s="68"/>
      <c r="L22" s="68"/>
      <c r="M22" s="68"/>
      <c r="N22" s="66">
        <f>INDEX('All Units'!$R$5:$R$1272,MATCH("#"&amp;TEXT($A22,"00")&amp;"-"&amp;TEXT(N$6,"00"),'All Units'!$A$5:$A$1272,0))</f>
        <v>2301800</v>
      </c>
      <c r="O22" s="66">
        <f>INDEX('All Units'!$R$5:$R$1272,MATCH("#"&amp;TEXT($A22,"00")&amp;"-"&amp;TEXT(O$6,"00"),'All Units'!$A$5:$A$1272,0))</f>
        <v>2301800</v>
      </c>
      <c r="P22" s="66">
        <f>INDEX('All Units'!$R$5:$R$1272,MATCH("#"&amp;TEXT($A22,"00")&amp;"-"&amp;TEXT(P$6,"00"),'All Units'!$A$5:$A$1272,0))</f>
        <v>2202100</v>
      </c>
      <c r="Q22" s="66">
        <f>INDEX('All Units'!$R$5:$R$1272,MATCH("#"&amp;TEXT($A22,"00")&amp;"-"&amp;TEXT(Q$6,"00"),'All Units'!$A$5:$A$1272,0))</f>
        <v>2276700</v>
      </c>
      <c r="R22" s="66">
        <f>INDEX('All Units'!$R$5:$R$1272,MATCH("#"&amp;TEXT($A22,"00")&amp;"-"&amp;TEXT(R$6,"00"),'All Units'!$A$5:$A$1272,0))</f>
        <v>2276700</v>
      </c>
      <c r="S22" s="66">
        <f>INDEX('All Units'!$R$5:$R$1272,MATCH("#"&amp;TEXT($A22,"00")&amp;"-"&amp;TEXT(S$6,"00"),'All Units'!$A$5:$A$1272,0))</f>
        <v>2258400</v>
      </c>
    </row>
    <row r="23" spans="1:19" x14ac:dyDescent="0.2">
      <c r="A23" s="67">
        <v>28</v>
      </c>
      <c r="B23" s="68"/>
      <c r="C23" s="68"/>
      <c r="D23" s="68"/>
      <c r="E23" s="68"/>
      <c r="F23" s="68"/>
      <c r="G23" s="68"/>
      <c r="H23" s="68"/>
      <c r="I23" s="68"/>
      <c r="J23" s="68"/>
      <c r="K23" s="68"/>
      <c r="L23" s="68"/>
      <c r="M23" s="68"/>
      <c r="N23" s="66">
        <f>INDEX('All Units'!$R$5:$R$1272,MATCH("#"&amp;TEXT($A23,"00")&amp;"-"&amp;TEXT(N$6,"00"),'All Units'!$A$5:$A$1272,0))</f>
        <v>2293000</v>
      </c>
      <c r="O23" s="66">
        <f>INDEX('All Units'!$R$5:$R$1272,MATCH("#"&amp;TEXT($A23,"00")&amp;"-"&amp;TEXT(O$6,"00"),'All Units'!$A$5:$A$1272,0))</f>
        <v>2293000</v>
      </c>
      <c r="P23" s="66">
        <f>INDEX('All Units'!$R$5:$R$1272,MATCH("#"&amp;TEXT($A23,"00")&amp;"-"&amp;TEXT(P$6,"00"),'All Units'!$A$5:$A$1272,0))</f>
        <v>2193300</v>
      </c>
      <c r="Q23" s="66">
        <f>INDEX('All Units'!$R$5:$R$1272,MATCH("#"&amp;TEXT($A23,"00")&amp;"-"&amp;TEXT(Q$6,"00"),'All Units'!$A$5:$A$1272,0))</f>
        <v>2268600</v>
      </c>
      <c r="R23" s="66">
        <f>INDEX('All Units'!$R$5:$R$1272,MATCH("#"&amp;TEXT($A23,"00")&amp;"-"&amp;TEXT(R$6,"00"),'All Units'!$A$5:$A$1272,0))</f>
        <v>2268600</v>
      </c>
      <c r="S23" s="66">
        <f>INDEX('All Units'!$R$5:$R$1272,MATCH("#"&amp;TEXT($A23,"00")&amp;"-"&amp;TEXT(S$6,"00"),'All Units'!$A$5:$A$1272,0))</f>
        <v>2249600</v>
      </c>
    </row>
    <row r="24" spans="1:19" x14ac:dyDescent="0.2">
      <c r="A24" s="67">
        <v>27</v>
      </c>
      <c r="B24" s="68"/>
      <c r="C24" s="68"/>
      <c r="D24" s="68"/>
      <c r="E24" s="68"/>
      <c r="F24" s="68"/>
      <c r="G24" s="68"/>
      <c r="H24" s="68"/>
      <c r="I24" s="68"/>
      <c r="J24" s="68"/>
      <c r="K24" s="68"/>
      <c r="L24" s="68"/>
      <c r="M24" s="68"/>
      <c r="N24" s="66">
        <f>INDEX('All Units'!$R$5:$R$1272,MATCH("#"&amp;TEXT($A24,"00")&amp;"-"&amp;TEXT(N$6,"00"),'All Units'!$A$5:$A$1272,0))</f>
        <v>2284900</v>
      </c>
      <c r="O24" s="66">
        <f>INDEX('All Units'!$R$5:$R$1272,MATCH("#"&amp;TEXT($A24,"00")&amp;"-"&amp;TEXT(O$6,"00"),'All Units'!$A$5:$A$1272,0))</f>
        <v>2284900</v>
      </c>
      <c r="P24" s="66">
        <f>INDEX('All Units'!$R$5:$R$1272,MATCH("#"&amp;TEXT($A24,"00")&amp;"-"&amp;TEXT(P$6,"00"),'All Units'!$A$5:$A$1272,0))</f>
        <v>2184500</v>
      </c>
      <c r="Q24" s="66">
        <f>INDEX('All Units'!$R$5:$R$1272,MATCH("#"&amp;TEXT($A24,"00")&amp;"-"&amp;TEXT(Q$6,"00"),'All Units'!$A$5:$A$1272,0))</f>
        <v>2259800</v>
      </c>
      <c r="R24" s="66">
        <f>INDEX('All Units'!$R$5:$R$1272,MATCH("#"&amp;TEXT($A24,"00")&amp;"-"&amp;TEXT(R$6,"00"),'All Units'!$A$5:$A$1272,0))</f>
        <v>2259800</v>
      </c>
      <c r="S24" s="66">
        <f>INDEX('All Units'!$R$5:$R$1272,MATCH("#"&amp;TEXT($A24,"00")&amp;"-"&amp;TEXT(S$6,"00"),'All Units'!$A$5:$A$1272,0))</f>
        <v>2240800</v>
      </c>
    </row>
    <row r="25" spans="1:19" x14ac:dyDescent="0.2">
      <c r="A25" s="67">
        <v>26</v>
      </c>
      <c r="B25" s="68"/>
      <c r="C25" s="68"/>
      <c r="D25" s="68"/>
      <c r="E25" s="68"/>
      <c r="F25" s="68"/>
      <c r="G25" s="68"/>
      <c r="H25" s="68"/>
      <c r="I25" s="68"/>
      <c r="J25" s="68"/>
      <c r="K25" s="68"/>
      <c r="L25" s="68"/>
      <c r="M25" s="68"/>
      <c r="N25" s="66">
        <f>INDEX('All Units'!$R$5:$R$1272,MATCH("#"&amp;TEXT($A25,"00")&amp;"-"&amp;TEXT(N$6,"00"),'All Units'!$A$5:$A$1272,0))</f>
        <v>2276000</v>
      </c>
      <c r="O25" s="66">
        <f>INDEX('All Units'!$R$5:$R$1272,MATCH("#"&amp;TEXT($A25,"00")&amp;"-"&amp;TEXT(O$6,"00"),'All Units'!$A$5:$A$1272,0))</f>
        <v>2276000</v>
      </c>
      <c r="P25" s="66">
        <f>INDEX('All Units'!$R$5:$R$1272,MATCH("#"&amp;TEXT($A25,"00")&amp;"-"&amp;TEXT(P$6,"00"),'All Units'!$A$5:$A$1272,0))</f>
        <v>2175700</v>
      </c>
      <c r="Q25" s="66">
        <f>INDEX('All Units'!$R$5:$R$1272,MATCH("#"&amp;TEXT($A25,"00")&amp;"-"&amp;TEXT(Q$6,"00"),'All Units'!$A$5:$A$1272,0))</f>
        <v>2251000</v>
      </c>
      <c r="R25" s="66">
        <f>INDEX('All Units'!$R$5:$R$1272,MATCH("#"&amp;TEXT($A25,"00")&amp;"-"&amp;TEXT(R$6,"00"),'All Units'!$A$5:$A$1272,0))</f>
        <v>2251000</v>
      </c>
      <c r="S25" s="66">
        <f>INDEX('All Units'!$R$5:$R$1272,MATCH("#"&amp;TEXT($A25,"00")&amp;"-"&amp;TEXT(S$6,"00"),'All Units'!$A$5:$A$1272,0))</f>
        <v>2232000</v>
      </c>
    </row>
    <row r="26" spans="1:19" x14ac:dyDescent="0.2">
      <c r="A26" s="67">
        <v>25</v>
      </c>
      <c r="B26" s="68"/>
      <c r="C26" s="68"/>
      <c r="D26" s="68"/>
      <c r="E26" s="68"/>
      <c r="F26" s="68"/>
      <c r="G26" s="68"/>
      <c r="H26" s="68"/>
      <c r="I26" s="68"/>
      <c r="J26" s="68"/>
      <c r="K26" s="68"/>
      <c r="L26" s="68"/>
      <c r="M26" s="68"/>
      <c r="N26" s="66">
        <f>INDEX('All Units'!$R$5:$R$1272,MATCH("#"&amp;TEXT($A26,"00")&amp;"-"&amp;TEXT(N$6,"00"),'All Units'!$A$5:$A$1272,0))</f>
        <v>2267200</v>
      </c>
      <c r="O26" s="66">
        <f>INDEX('All Units'!$R$5:$R$1272,MATCH("#"&amp;TEXT($A26,"00")&amp;"-"&amp;TEXT(O$6,"00"),'All Units'!$A$5:$A$1272,0))</f>
        <v>2267200</v>
      </c>
      <c r="P26" s="66">
        <f>INDEX('All Units'!$R$5:$R$1272,MATCH("#"&amp;TEXT($A26,"00")&amp;"-"&amp;TEXT(P$6,"00"),'All Units'!$A$5:$A$1272,0))</f>
        <v>2167600</v>
      </c>
      <c r="Q26" s="66">
        <f>INDEX('All Units'!$R$5:$R$1272,MATCH("#"&amp;TEXT($A26,"00")&amp;"-"&amp;TEXT(Q$6,"00"),'All Units'!$A$5:$A$1272,0))</f>
        <v>2242100</v>
      </c>
      <c r="R26" s="66">
        <f>INDEX('All Units'!$R$5:$R$1272,MATCH("#"&amp;TEXT($A26,"00")&amp;"-"&amp;TEXT(R$6,"00"),'All Units'!$A$5:$A$1272,0))</f>
        <v>2242100</v>
      </c>
      <c r="S26" s="66">
        <f>INDEX('All Units'!$R$5:$R$1272,MATCH("#"&amp;TEXT($A26,"00")&amp;"-"&amp;TEXT(S$6,"00"),'All Units'!$A$5:$A$1272,0))</f>
        <v>2223800</v>
      </c>
    </row>
    <row r="27" spans="1:19" x14ac:dyDescent="0.2">
      <c r="A27" s="67">
        <v>24</v>
      </c>
      <c r="B27" s="68"/>
      <c r="C27" s="68"/>
      <c r="D27" s="68"/>
      <c r="E27" s="68"/>
      <c r="F27" s="68"/>
      <c r="G27" s="68"/>
      <c r="H27" s="68"/>
      <c r="I27" s="68"/>
      <c r="J27" s="68"/>
      <c r="K27" s="68"/>
      <c r="L27" s="68"/>
      <c r="M27" s="68"/>
      <c r="N27" s="66">
        <f>INDEX('All Units'!$R$5:$R$1272,MATCH("#"&amp;TEXT($A27,"00")&amp;"-"&amp;TEXT(N$6,"00"),'All Units'!$A$5:$A$1272,0))</f>
        <v>2258400</v>
      </c>
      <c r="O27" s="66">
        <f>INDEX('All Units'!$R$5:$R$1272,MATCH("#"&amp;TEXT($A27,"00")&amp;"-"&amp;TEXT(O$6,"00"),'All Units'!$A$5:$A$1272,0))</f>
        <v>2258400</v>
      </c>
      <c r="P27" s="66">
        <f>INDEX('All Units'!$R$5:$R$1272,MATCH("#"&amp;TEXT($A27,"00")&amp;"-"&amp;TEXT(P$6,"00"),'All Units'!$A$5:$A$1272,0))</f>
        <v>2158800</v>
      </c>
      <c r="Q27" s="66">
        <f>INDEX('All Units'!$R$5:$R$1272,MATCH("#"&amp;TEXT($A27,"00")&amp;"-"&amp;TEXT(Q$6,"00"),'All Units'!$A$5:$A$1272,0))</f>
        <v>2233300</v>
      </c>
      <c r="R27" s="66">
        <f>INDEX('All Units'!$R$5:$R$1272,MATCH("#"&amp;TEXT($A27,"00")&amp;"-"&amp;TEXT(R$6,"00"),'All Units'!$A$5:$A$1272,0))</f>
        <v>2233300</v>
      </c>
      <c r="S27" s="66">
        <f>INDEX('All Units'!$R$5:$R$1272,MATCH("#"&amp;TEXT($A27,"00")&amp;"-"&amp;TEXT(S$6,"00"),'All Units'!$A$5:$A$1272,0))</f>
        <v>2215000</v>
      </c>
    </row>
    <row r="28" spans="1:19" x14ac:dyDescent="0.2">
      <c r="A28" s="67">
        <v>23</v>
      </c>
      <c r="B28" s="68"/>
      <c r="C28" s="68"/>
      <c r="D28" s="68"/>
      <c r="E28" s="68"/>
      <c r="F28" s="68"/>
      <c r="G28" s="68"/>
      <c r="H28" s="68"/>
      <c r="I28" s="68"/>
      <c r="J28" s="68"/>
      <c r="K28" s="68"/>
      <c r="L28" s="68"/>
      <c r="M28" s="68"/>
      <c r="N28" s="66">
        <f>INDEX('All Units'!$R$5:$R$1272,MATCH("#"&amp;TEXT($A28,"00")&amp;"-"&amp;TEXT(N$6,"00"),'All Units'!$A$5:$A$1272,0))</f>
        <v>2250300</v>
      </c>
      <c r="O28" s="66">
        <f>INDEX('All Units'!$R$5:$R$1272,MATCH("#"&amp;TEXT($A28,"00")&amp;"-"&amp;TEXT(O$6,"00"),'All Units'!$A$5:$A$1272,0))</f>
        <v>2250300</v>
      </c>
      <c r="P28" s="66">
        <f>INDEX('All Units'!$R$5:$R$1272,MATCH("#"&amp;TEXT($A28,"00")&amp;"-"&amp;TEXT(P$6,"00"),'All Units'!$A$5:$A$1272,0))</f>
        <v>2149900</v>
      </c>
      <c r="Q28" s="66">
        <f>INDEX('All Units'!$R$5:$R$1272,MATCH("#"&amp;TEXT($A28,"00")&amp;"-"&amp;TEXT(Q$6,"00"),'All Units'!$A$5:$A$1272,0))</f>
        <v>2225200</v>
      </c>
      <c r="R28" s="66">
        <f>INDEX('All Units'!$R$5:$R$1272,MATCH("#"&amp;TEXT($A28,"00")&amp;"-"&amp;TEXT(R$6,"00"),'All Units'!$A$5:$A$1272,0))</f>
        <v>2225200</v>
      </c>
      <c r="S28" s="66">
        <f>INDEX('All Units'!$R$5:$R$1272,MATCH("#"&amp;TEXT($A28,"00")&amp;"-"&amp;TEXT(S$6,"00"),'All Units'!$A$5:$A$1272,0))</f>
        <v>2206200</v>
      </c>
    </row>
    <row r="29" spans="1:19" x14ac:dyDescent="0.2">
      <c r="A29" s="67">
        <v>22</v>
      </c>
      <c r="B29" s="68"/>
      <c r="C29" s="68"/>
      <c r="D29" s="68"/>
      <c r="E29" s="68"/>
      <c r="F29" s="68"/>
      <c r="G29" s="68"/>
      <c r="H29" s="68"/>
      <c r="I29" s="68"/>
      <c r="J29" s="68"/>
      <c r="K29" s="68"/>
      <c r="L29" s="68"/>
      <c r="M29" s="68"/>
      <c r="N29" s="66">
        <f>INDEX('All Units'!$R$5:$R$1272,MATCH("#"&amp;TEXT($A29,"00")&amp;"-"&amp;TEXT(N$6,"00"),'All Units'!$A$5:$A$1272,0))</f>
        <v>2241500</v>
      </c>
      <c r="O29" s="66">
        <f>INDEX('All Units'!$R$5:$R$1272,MATCH("#"&amp;TEXT($A29,"00")&amp;"-"&amp;TEXT(O$6,"00"),'All Units'!$A$5:$A$1272,0))</f>
        <v>2241500</v>
      </c>
      <c r="P29" s="66">
        <f>INDEX('All Units'!$R$5:$R$1272,MATCH("#"&amp;TEXT($A29,"00")&amp;"-"&amp;TEXT(P$6,"00"),'All Units'!$A$5:$A$1272,0))</f>
        <v>2141100</v>
      </c>
      <c r="Q29" s="66">
        <f>INDEX('All Units'!$R$5:$R$1272,MATCH("#"&amp;TEXT($A29,"00")&amp;"-"&amp;TEXT(Q$6,"00"),'All Units'!$A$5:$A$1272,0))</f>
        <v>2216400</v>
      </c>
      <c r="R29" s="66">
        <f>INDEX('All Units'!$R$5:$R$1272,MATCH("#"&amp;TEXT($A29,"00")&amp;"-"&amp;TEXT(R$6,"00"),'All Units'!$A$5:$A$1272,0))</f>
        <v>2216400</v>
      </c>
      <c r="S29" s="66">
        <f>INDEX('All Units'!$R$5:$R$1272,MATCH("#"&amp;TEXT($A29,"00")&amp;"-"&amp;TEXT(S$6,"00"),'All Units'!$A$5:$A$1272,0))</f>
        <v>2197400</v>
      </c>
    </row>
    <row r="30" spans="1:19" x14ac:dyDescent="0.2">
      <c r="A30" s="67">
        <v>21</v>
      </c>
      <c r="B30" s="66">
        <f>INDEX('All Units'!$R$5:$R$1272,MATCH("#"&amp;TEXT($A30,"00")&amp;"-"&amp;TEXT(B$6,"00"),'All Units'!$A$5:$A$1272,0))</f>
        <v>2118800</v>
      </c>
      <c r="C30" s="66">
        <f>INDEX('All Units'!$R$5:$R$1272,MATCH("#"&amp;TEXT($A30,"00")&amp;"-"&amp;TEXT(C$6,"00"),'All Units'!$A$5:$A$1272,0))</f>
        <v>2118800</v>
      </c>
      <c r="D30" s="66">
        <f>INDEX('All Units'!$R$5:$R$1272,MATCH("#"&amp;TEXT($A30,"00")&amp;"-"&amp;TEXT(D$6,"00"),'All Units'!$A$5:$A$1272,0))</f>
        <v>2112000</v>
      </c>
      <c r="E30" s="66">
        <f>INDEX('All Units'!$R$5:$R$1272,MATCH("#"&amp;TEXT($A30,"00")&amp;"-"&amp;TEXT(E$6,"00"),'All Units'!$A$5:$A$1272,0))</f>
        <v>2112000</v>
      </c>
      <c r="F30" s="66">
        <f>INDEX('All Units'!$R$5:$R$1272,MATCH("#"&amp;TEXT($A30,"00")&amp;"-"&amp;TEXT(F$6,"00"),'All Units'!$A$5:$A$1272,0))</f>
        <v>2018400</v>
      </c>
      <c r="G30" s="66">
        <f>INDEX('All Units'!$R$5:$R$1272,MATCH("#"&amp;TEXT($A30,"00")&amp;"-"&amp;TEXT(G$6,"00"),'All Units'!$A$5:$A$1272,0))</f>
        <v>2018400</v>
      </c>
      <c r="H30" s="66">
        <f>INDEX('All Units'!$R$5:$R$1272,MATCH("#"&amp;TEXT($A30,"00")&amp;"-"&amp;TEXT(H$6,"00"),'All Units'!$A$5:$A$1272,0))</f>
        <v>2099800</v>
      </c>
      <c r="I30" s="66">
        <f>INDEX('All Units'!$R$5:$R$1272,MATCH("#"&amp;TEXT($A30,"00")&amp;"-"&amp;TEXT(I$6,"00"),'All Units'!$A$5:$A$1272,0))</f>
        <v>2099800</v>
      </c>
      <c r="J30" s="66">
        <f>INDEX('All Units'!$R$5:$R$1272,MATCH("#"&amp;TEXT($A30,"00")&amp;"-"&amp;TEXT(J$6,"00"),'All Units'!$A$5:$A$1272,0))</f>
        <v>2031300</v>
      </c>
      <c r="K30" s="66">
        <f>INDEX('All Units'!$R$5:$R$1272,MATCH("#"&amp;TEXT($A30,"00")&amp;"-"&amp;TEXT(K$6,"00"),'All Units'!$A$5:$A$1272,0))</f>
        <v>2031300</v>
      </c>
      <c r="L30" s="66">
        <f>INDEX('All Units'!$R$5:$R$1272,MATCH("#"&amp;TEXT($A30,"00")&amp;"-"&amp;TEXT(L$6,"00"),'All Units'!$A$5:$A$1272,0))</f>
        <v>2031300</v>
      </c>
      <c r="M30" s="66">
        <f>INDEX('All Units'!$R$5:$R$1272,MATCH("#"&amp;TEXT($A30,"00")&amp;"-"&amp;TEXT(M$6,"00"),'All Units'!$A$5:$A$1272,0))</f>
        <v>2080800</v>
      </c>
      <c r="N30" s="66">
        <f>INDEX('All Units'!$R$5:$R$1272,MATCH("#"&amp;TEXT($A30,"00")&amp;"-"&amp;TEXT(N$6,"00"),'All Units'!$A$5:$A$1272,0))</f>
        <v>2232700</v>
      </c>
      <c r="O30" s="66">
        <f>INDEX('All Units'!$R$5:$R$1272,MATCH("#"&amp;TEXT($A30,"00")&amp;"-"&amp;TEXT(O$6,"00"),'All Units'!$A$5:$A$1272,0))</f>
        <v>2232700</v>
      </c>
      <c r="P30" s="66">
        <f>INDEX('All Units'!$R$5:$R$1272,MATCH("#"&amp;TEXT($A30,"00")&amp;"-"&amp;TEXT(P$6,"00"),'All Units'!$A$5:$A$1272,0))</f>
        <v>2133000</v>
      </c>
      <c r="Q30" s="66">
        <f>INDEX('All Units'!$R$5:$R$1272,MATCH("#"&amp;TEXT($A30,"00")&amp;"-"&amp;TEXT(Q$6,"00"),'All Units'!$A$5:$A$1272,0))</f>
        <v>2207600</v>
      </c>
      <c r="R30" s="66">
        <f>INDEX('All Units'!$R$5:$R$1272,MATCH("#"&amp;TEXT($A30,"00")&amp;"-"&amp;TEXT(R$6,"00"),'All Units'!$A$5:$A$1272,0))</f>
        <v>2207600</v>
      </c>
      <c r="S30" s="66">
        <f>INDEX('All Units'!$R$5:$R$1272,MATCH("#"&amp;TEXT($A30,"00")&amp;"-"&amp;TEXT(S$6,"00"),'All Units'!$A$5:$A$1272,0))</f>
        <v>2190600</v>
      </c>
    </row>
    <row r="31" spans="1:19" x14ac:dyDescent="0.2">
      <c r="A31" s="67">
        <v>20</v>
      </c>
      <c r="B31" s="66">
        <f>INDEX('All Units'!$R$5:$R$1272,MATCH("#"&amp;TEXT($A31,"00")&amp;"-"&amp;TEXT(B$6,"00"),'All Units'!$A$5:$A$1272,0))</f>
        <v>2103200</v>
      </c>
      <c r="C31" s="66">
        <f>INDEX('All Units'!$R$5:$R$1272,MATCH("#"&amp;TEXT($A31,"00")&amp;"-"&amp;TEXT(C$6,"00"),'All Units'!$A$5:$A$1272,0))</f>
        <v>2103200</v>
      </c>
      <c r="D31" s="66">
        <f>INDEX('All Units'!$R$5:$R$1272,MATCH("#"&amp;TEXT($A31,"00")&amp;"-"&amp;TEXT(D$6,"00"),'All Units'!$A$5:$A$1272,0))</f>
        <v>2097100</v>
      </c>
      <c r="E31" s="66">
        <f>INDEX('All Units'!$R$5:$R$1272,MATCH("#"&amp;TEXT($A31,"00")&amp;"-"&amp;TEXT(E$6,"00"),'All Units'!$A$5:$A$1272,0))</f>
        <v>2097100</v>
      </c>
      <c r="F31" s="66">
        <f>INDEX('All Units'!$R$5:$R$1272,MATCH("#"&amp;TEXT($A31,"00")&amp;"-"&amp;TEXT(F$6,"00"),'All Units'!$A$5:$A$1272,0))</f>
        <v>2002800</v>
      </c>
      <c r="G31" s="66">
        <f>INDEX('All Units'!$R$5:$R$1272,MATCH("#"&amp;TEXT($A31,"00")&amp;"-"&amp;TEXT(G$6,"00"),'All Units'!$A$5:$A$1272,0))</f>
        <v>2002800</v>
      </c>
      <c r="H31" s="66">
        <f>INDEX('All Units'!$R$5:$R$1272,MATCH("#"&amp;TEXT($A31,"00")&amp;"-"&amp;TEXT(H$6,"00"),'All Units'!$A$5:$A$1272,0))</f>
        <v>2084200</v>
      </c>
      <c r="I31" s="66">
        <f>INDEX('All Units'!$R$5:$R$1272,MATCH("#"&amp;TEXT($A31,"00")&amp;"-"&amp;TEXT(I$6,"00"),'All Units'!$A$5:$A$1272,0))</f>
        <v>2084200</v>
      </c>
      <c r="J31" s="66">
        <f>INDEX('All Units'!$R$5:$R$1272,MATCH("#"&amp;TEXT($A31,"00")&amp;"-"&amp;TEXT(J$6,"00"),'All Units'!$A$5:$A$1272,0))</f>
        <v>2015700</v>
      </c>
      <c r="K31" s="66">
        <f>INDEX('All Units'!$R$5:$R$1272,MATCH("#"&amp;TEXT($A31,"00")&amp;"-"&amp;TEXT(K$6,"00"),'All Units'!$A$5:$A$1272,0))</f>
        <v>2015700</v>
      </c>
      <c r="L31" s="66">
        <f>INDEX('All Units'!$R$5:$R$1272,MATCH("#"&amp;TEXT($A31,"00")&amp;"-"&amp;TEXT(L$6,"00"),'All Units'!$A$5:$A$1272,0))</f>
        <v>2015700</v>
      </c>
      <c r="M31" s="66">
        <f>INDEX('All Units'!$R$5:$R$1272,MATCH("#"&amp;TEXT($A31,"00")&amp;"-"&amp;TEXT(M$6,"00"),'All Units'!$A$5:$A$1272,0))</f>
        <v>2065900</v>
      </c>
      <c r="N31" s="66">
        <f>INDEX('All Units'!$R$5:$R$1272,MATCH("#"&amp;TEXT($A31,"00")&amp;"-"&amp;TEXT(N$6,"00"),'All Units'!$A$5:$A$1272,0))</f>
        <v>2219800</v>
      </c>
      <c r="O31" s="66">
        <f>INDEX('All Units'!$R$5:$R$1272,MATCH("#"&amp;TEXT($A31,"00")&amp;"-"&amp;TEXT(O$6,"00"),'All Units'!$A$5:$A$1272,0))</f>
        <v>2219800</v>
      </c>
      <c r="P31" s="66">
        <f>INDEX('All Units'!$R$5:$R$1272,MATCH("#"&amp;TEXT($A31,"00")&amp;"-"&amp;TEXT(P$6,"00"),'All Units'!$A$5:$A$1272,0))</f>
        <v>2119400</v>
      </c>
      <c r="Q31" s="66">
        <f>INDEX('All Units'!$R$5:$R$1272,MATCH("#"&amp;TEXT($A31,"00")&amp;"-"&amp;TEXT(Q$6,"00"),'All Units'!$A$5:$A$1272,0))</f>
        <v>2194700</v>
      </c>
      <c r="R31" s="66">
        <f>INDEX('All Units'!$R$5:$R$1272,MATCH("#"&amp;TEXT($A31,"00")&amp;"-"&amp;TEXT(R$6,"00"),'All Units'!$A$5:$A$1272,0))</f>
        <v>2194700</v>
      </c>
      <c r="S31" s="66">
        <f>INDEX('All Units'!$R$5:$R$1272,MATCH("#"&amp;TEXT($A31,"00")&amp;"-"&amp;TEXT(S$6,"00"),'All Units'!$A$5:$A$1272,0))</f>
        <v>2179800</v>
      </c>
    </row>
    <row r="32" spans="1:19" x14ac:dyDescent="0.2">
      <c r="A32" s="67">
        <v>19</v>
      </c>
      <c r="B32" s="66">
        <f>INDEX('All Units'!$R$5:$R$1272,MATCH("#"&amp;TEXT($A32,"00")&amp;"-"&amp;TEXT(B$6,"00"),'All Units'!$A$5:$A$1272,0))</f>
        <v>2087600</v>
      </c>
      <c r="C32" s="66">
        <f>INDEX('All Units'!$R$5:$R$1272,MATCH("#"&amp;TEXT($A32,"00")&amp;"-"&amp;TEXT(C$6,"00"),'All Units'!$A$5:$A$1272,0))</f>
        <v>2087600</v>
      </c>
      <c r="D32" s="66">
        <f>INDEX('All Units'!$R$5:$R$1272,MATCH("#"&amp;TEXT($A32,"00")&amp;"-"&amp;TEXT(D$6,"00"),'All Units'!$A$5:$A$1272,0))</f>
        <v>2081500</v>
      </c>
      <c r="E32" s="66">
        <f>INDEX('All Units'!$R$5:$R$1272,MATCH("#"&amp;TEXT($A32,"00")&amp;"-"&amp;TEXT(E$6,"00"),'All Units'!$A$5:$A$1272,0))</f>
        <v>2081500</v>
      </c>
      <c r="F32" s="66">
        <f>INDEX('All Units'!$R$5:$R$1272,MATCH("#"&amp;TEXT($A32,"00")&amp;"-"&amp;TEXT(F$6,"00"),'All Units'!$A$5:$A$1272,0))</f>
        <v>1987900</v>
      </c>
      <c r="G32" s="66">
        <f>INDEX('All Units'!$R$5:$R$1272,MATCH("#"&amp;TEXT($A32,"00")&amp;"-"&amp;TEXT(G$6,"00"),'All Units'!$A$5:$A$1272,0))</f>
        <v>1987900</v>
      </c>
      <c r="H32" s="66">
        <f>INDEX('All Units'!$R$5:$R$1272,MATCH("#"&amp;TEXT($A32,"00")&amp;"-"&amp;TEXT(H$6,"00"),'All Units'!$A$5:$A$1272,0))</f>
        <v>2068600</v>
      </c>
      <c r="I32" s="66">
        <f>INDEX('All Units'!$R$5:$R$1272,MATCH("#"&amp;TEXT($A32,"00")&amp;"-"&amp;TEXT(I$6,"00"),'All Units'!$A$5:$A$1272,0))</f>
        <v>2068600</v>
      </c>
      <c r="J32" s="66">
        <f>INDEX('All Units'!$R$5:$R$1272,MATCH("#"&amp;TEXT($A32,"00")&amp;"-"&amp;TEXT(J$6,"00"),'All Units'!$A$5:$A$1272,0))</f>
        <v>2000100</v>
      </c>
      <c r="K32" s="66">
        <f>INDEX('All Units'!$R$5:$R$1272,MATCH("#"&amp;TEXT($A32,"00")&amp;"-"&amp;TEXT(K$6,"00"),'All Units'!$A$5:$A$1272,0))</f>
        <v>2000100</v>
      </c>
      <c r="L32" s="66">
        <f>INDEX('All Units'!$R$5:$R$1272,MATCH("#"&amp;TEXT($A32,"00")&amp;"-"&amp;TEXT(L$6,"00"),'All Units'!$A$5:$A$1272,0))</f>
        <v>2000100</v>
      </c>
      <c r="M32" s="66">
        <f>INDEX('All Units'!$R$5:$R$1272,MATCH("#"&amp;TEXT($A32,"00")&amp;"-"&amp;TEXT(M$6,"00"),'All Units'!$A$5:$A$1272,0))</f>
        <v>2050300</v>
      </c>
      <c r="N32" s="66">
        <f>INDEX('All Units'!$R$5:$R$1272,MATCH("#"&amp;TEXT($A32,"00")&amp;"-"&amp;TEXT(N$6,"00"),'All Units'!$A$5:$A$1272,0))</f>
        <v>2206900</v>
      </c>
      <c r="O32" s="66">
        <f>INDEX('All Units'!$R$5:$R$1272,MATCH("#"&amp;TEXT($A32,"00")&amp;"-"&amp;TEXT(O$6,"00"),'All Units'!$A$5:$A$1272,0))</f>
        <v>2206900</v>
      </c>
      <c r="P32" s="66">
        <f>INDEX('All Units'!$R$5:$R$1272,MATCH("#"&amp;TEXT($A32,"00")&amp;"-"&amp;TEXT(P$6,"00"),'All Units'!$A$5:$A$1272,0))</f>
        <v>2106500</v>
      </c>
      <c r="Q32" s="66">
        <f>INDEX('All Units'!$R$5:$R$1272,MATCH("#"&amp;TEXT($A32,"00")&amp;"-"&amp;TEXT(Q$6,"00"),'All Units'!$A$5:$A$1272,0))</f>
        <v>2182500</v>
      </c>
      <c r="R32" s="66">
        <f>INDEX('All Units'!$R$5:$R$1272,MATCH("#"&amp;TEXT($A32,"00")&amp;"-"&amp;TEXT(R$6,"00"),'All Units'!$A$5:$A$1272,0))</f>
        <v>2182500</v>
      </c>
      <c r="S32" s="66">
        <f>INDEX('All Units'!$R$5:$R$1272,MATCH("#"&amp;TEXT($A32,"00")&amp;"-"&amp;TEXT(S$6,"00"),'All Units'!$A$5:$A$1272,0))</f>
        <v>2168900</v>
      </c>
    </row>
    <row r="33" spans="1:19" x14ac:dyDescent="0.2">
      <c r="A33" s="67">
        <v>18</v>
      </c>
      <c r="B33" s="66">
        <f>INDEX('All Units'!$R$5:$R$1272,MATCH("#"&amp;TEXT($A33,"00")&amp;"-"&amp;TEXT(B$6,"00"),'All Units'!$A$5:$A$1272,0))</f>
        <v>2072000</v>
      </c>
      <c r="C33" s="66">
        <f>INDEX('All Units'!$R$5:$R$1272,MATCH("#"&amp;TEXT($A33,"00")&amp;"-"&amp;TEXT(C$6,"00"),'All Units'!$A$5:$A$1272,0))</f>
        <v>2072000</v>
      </c>
      <c r="D33" s="66">
        <f>INDEX('All Units'!$R$5:$R$1272,MATCH("#"&amp;TEXT($A33,"00")&amp;"-"&amp;TEXT(D$6,"00"),'All Units'!$A$5:$A$1272,0))</f>
        <v>2065900</v>
      </c>
      <c r="E33" s="66">
        <f>INDEX('All Units'!$R$5:$R$1272,MATCH("#"&amp;TEXT($A33,"00")&amp;"-"&amp;TEXT(E$6,"00"),'All Units'!$A$5:$A$1272,0))</f>
        <v>2065900</v>
      </c>
      <c r="F33" s="66">
        <f>INDEX('All Units'!$R$5:$R$1272,MATCH("#"&amp;TEXT($A33,"00")&amp;"-"&amp;TEXT(F$6,"00"),'All Units'!$A$5:$A$1272,0))</f>
        <v>1972300</v>
      </c>
      <c r="G33" s="66">
        <f>INDEX('All Units'!$R$5:$R$1272,MATCH("#"&amp;TEXT($A33,"00")&amp;"-"&amp;TEXT(G$6,"00"),'All Units'!$A$5:$A$1272,0))</f>
        <v>1972300</v>
      </c>
      <c r="H33" s="66">
        <f>INDEX('All Units'!$R$5:$R$1272,MATCH("#"&amp;TEXT($A33,"00")&amp;"-"&amp;TEXT(H$6,"00"),'All Units'!$A$5:$A$1272,0))</f>
        <v>2053700</v>
      </c>
      <c r="I33" s="66">
        <f>INDEX('All Units'!$R$5:$R$1272,MATCH("#"&amp;TEXT($A33,"00")&amp;"-"&amp;TEXT(I$6,"00"),'All Units'!$A$5:$A$1272,0))</f>
        <v>2053700</v>
      </c>
      <c r="J33" s="66">
        <f>INDEX('All Units'!$R$5:$R$1272,MATCH("#"&amp;TEXT($A33,"00")&amp;"-"&amp;TEXT(J$6,"00"),'All Units'!$A$5:$A$1272,0))</f>
        <v>1984500</v>
      </c>
      <c r="K33" s="66">
        <f>INDEX('All Units'!$R$5:$R$1272,MATCH("#"&amp;TEXT($A33,"00")&amp;"-"&amp;TEXT(K$6,"00"),'All Units'!$A$5:$A$1272,0))</f>
        <v>1984500</v>
      </c>
      <c r="L33" s="66">
        <f>INDEX('All Units'!$R$5:$R$1272,MATCH("#"&amp;TEXT($A33,"00")&amp;"-"&amp;TEXT(L$6,"00"),'All Units'!$A$5:$A$1272,0))</f>
        <v>1984500</v>
      </c>
      <c r="M33" s="66">
        <f>INDEX('All Units'!$R$5:$R$1272,MATCH("#"&amp;TEXT($A33,"00")&amp;"-"&amp;TEXT(M$6,"00"),'All Units'!$A$5:$A$1272,0))</f>
        <v>2034700</v>
      </c>
      <c r="N33" s="66">
        <f>INDEX('All Units'!$R$5:$R$1272,MATCH("#"&amp;TEXT($A33,"00")&amp;"-"&amp;TEXT(N$6,"00"),'All Units'!$A$5:$A$1272,0))</f>
        <v>2194000</v>
      </c>
      <c r="O33" s="66">
        <f>INDEX('All Units'!$R$5:$R$1272,MATCH("#"&amp;TEXT($A33,"00")&amp;"-"&amp;TEXT(O$6,"00"),'All Units'!$A$5:$A$1272,0))</f>
        <v>2194000</v>
      </c>
      <c r="P33" s="66">
        <f>INDEX('All Units'!$R$5:$R$1272,MATCH("#"&amp;TEXT($A33,"00")&amp;"-"&amp;TEXT(P$6,"00"),'All Units'!$A$5:$A$1272,0))</f>
        <v>2093700</v>
      </c>
      <c r="Q33" s="66">
        <f>INDEX('All Units'!$R$5:$R$1272,MATCH("#"&amp;TEXT($A33,"00")&amp;"-"&amp;TEXT(Q$6,"00"),'All Units'!$A$5:$A$1272,0))</f>
        <v>2169600</v>
      </c>
      <c r="R33" s="66">
        <f>INDEX('All Units'!$R$5:$R$1272,MATCH("#"&amp;TEXT($A33,"00")&amp;"-"&amp;TEXT(R$6,"00"),'All Units'!$A$5:$A$1272,0))</f>
        <v>2169600</v>
      </c>
      <c r="S33" s="66">
        <f>INDEX('All Units'!$R$5:$R$1272,MATCH("#"&amp;TEXT($A33,"00")&amp;"-"&amp;TEXT(S$6,"00"),'All Units'!$A$5:$A$1272,0))</f>
        <v>2157400</v>
      </c>
    </row>
    <row r="34" spans="1:19" x14ac:dyDescent="0.2">
      <c r="A34" s="67">
        <v>17</v>
      </c>
      <c r="B34" s="66">
        <f>INDEX('All Units'!$R$5:$R$1272,MATCH("#"&amp;TEXT($A34,"00")&amp;"-"&amp;TEXT(B$6,"00"),'All Units'!$A$5:$A$1272,0))</f>
        <v>2056400</v>
      </c>
      <c r="C34" s="66">
        <f>INDEX('All Units'!$R$5:$R$1272,MATCH("#"&amp;TEXT($A34,"00")&amp;"-"&amp;TEXT(C$6,"00"),'All Units'!$A$5:$A$1272,0))</f>
        <v>2056400</v>
      </c>
      <c r="D34" s="66">
        <f>INDEX('All Units'!$R$5:$R$1272,MATCH("#"&amp;TEXT($A34,"00")&amp;"-"&amp;TEXT(D$6,"00"),'All Units'!$A$5:$A$1272,0))</f>
        <v>2050300</v>
      </c>
      <c r="E34" s="66">
        <f>INDEX('All Units'!$R$5:$R$1272,MATCH("#"&amp;TEXT($A34,"00")&amp;"-"&amp;TEXT(E$6,"00"),'All Units'!$A$5:$A$1272,0))</f>
        <v>2050300</v>
      </c>
      <c r="F34" s="66">
        <f>INDEX('All Units'!$R$5:$R$1272,MATCH("#"&amp;TEXT($A34,"00")&amp;"-"&amp;TEXT(F$6,"00"),'All Units'!$A$5:$A$1272,0))</f>
        <v>1956700</v>
      </c>
      <c r="G34" s="66">
        <f>INDEX('All Units'!$R$5:$R$1272,MATCH("#"&amp;TEXT($A34,"00")&amp;"-"&amp;TEXT(G$6,"00"),'All Units'!$A$5:$A$1272,0))</f>
        <v>1956700</v>
      </c>
      <c r="H34" s="66">
        <f>INDEX('All Units'!$R$5:$R$1272,MATCH("#"&amp;TEXT($A34,"00")&amp;"-"&amp;TEXT(H$6,"00"),'All Units'!$A$5:$A$1272,0))</f>
        <v>2038100</v>
      </c>
      <c r="I34" s="66">
        <f>INDEX('All Units'!$R$5:$R$1272,MATCH("#"&amp;TEXT($A34,"00")&amp;"-"&amp;TEXT(I$6,"00"),'All Units'!$A$5:$A$1272,0))</f>
        <v>2038100</v>
      </c>
      <c r="J34" s="66">
        <f>INDEX('All Units'!$R$5:$R$1272,MATCH("#"&amp;TEXT($A34,"00")&amp;"-"&amp;TEXT(J$6,"00"),'All Units'!$A$5:$A$1272,0))</f>
        <v>1968900</v>
      </c>
      <c r="K34" s="66">
        <f>INDEX('All Units'!$R$5:$R$1272,MATCH("#"&amp;TEXT($A34,"00")&amp;"-"&amp;TEXT(K$6,"00"),'All Units'!$A$5:$A$1272,0))</f>
        <v>1968900</v>
      </c>
      <c r="L34" s="66">
        <f>INDEX('All Units'!$R$5:$R$1272,MATCH("#"&amp;TEXT($A34,"00")&amp;"-"&amp;TEXT(L$6,"00"),'All Units'!$A$5:$A$1272,0))</f>
        <v>1968900</v>
      </c>
      <c r="M34" s="66">
        <f>INDEX('All Units'!$R$5:$R$1272,MATCH("#"&amp;TEXT($A34,"00")&amp;"-"&amp;TEXT(M$6,"00"),'All Units'!$A$5:$A$1272,0))</f>
        <v>2019100</v>
      </c>
      <c r="N34" s="66">
        <f>INDEX('All Units'!$R$5:$R$1272,MATCH("#"&amp;TEXT($A34,"00")&amp;"-"&amp;TEXT(N$6,"00"),'All Units'!$A$5:$A$1272,0))</f>
        <v>2181100</v>
      </c>
      <c r="O34" s="66">
        <f>INDEX('All Units'!$R$5:$R$1272,MATCH("#"&amp;TEXT($A34,"00")&amp;"-"&amp;TEXT(O$6,"00"),'All Units'!$A$5:$A$1272,0))</f>
        <v>2181100</v>
      </c>
      <c r="P34" s="66">
        <f>INDEX('All Units'!$R$5:$R$1272,MATCH("#"&amp;TEXT($A34,"00")&amp;"-"&amp;TEXT(P$6,"00"),'All Units'!$A$5:$A$1272,0))</f>
        <v>2080800</v>
      </c>
      <c r="Q34" s="66">
        <f>INDEX('All Units'!$R$5:$R$1272,MATCH("#"&amp;TEXT($A34,"00")&amp;"-"&amp;TEXT(Q$6,"00"),'All Units'!$A$5:$A$1272,0))</f>
        <v>2156700</v>
      </c>
      <c r="R34" s="66">
        <f>INDEX('All Units'!$R$5:$R$1272,MATCH("#"&amp;TEXT($A34,"00")&amp;"-"&amp;TEXT(R$6,"00"),'All Units'!$A$5:$A$1272,0))</f>
        <v>2156700</v>
      </c>
      <c r="S34" s="66">
        <f>INDEX('All Units'!$R$5:$R$1272,MATCH("#"&amp;TEXT($A34,"00")&amp;"-"&amp;TEXT(S$6,"00"),'All Units'!$A$5:$A$1272,0))</f>
        <v>2146500</v>
      </c>
    </row>
    <row r="35" spans="1:19" x14ac:dyDescent="0.2">
      <c r="A35" s="67">
        <v>16</v>
      </c>
      <c r="B35" s="66">
        <f>INDEX('All Units'!$R$5:$R$1272,MATCH("#"&amp;TEXT($A35,"00")&amp;"-"&amp;TEXT(B$6,"00"),'All Units'!$A$5:$A$1272,0))</f>
        <v>2041500</v>
      </c>
      <c r="C35" s="66">
        <f>INDEX('All Units'!$R$5:$R$1272,MATCH("#"&amp;TEXT($A35,"00")&amp;"-"&amp;TEXT(C$6,"00"),'All Units'!$A$5:$A$1272,0))</f>
        <v>2041500</v>
      </c>
      <c r="D35" s="66">
        <f>INDEX('All Units'!$R$5:$R$1272,MATCH("#"&amp;TEXT($A35,"00")&amp;"-"&amp;TEXT(D$6,"00"),'All Units'!$A$5:$A$1272,0))</f>
        <v>2034700</v>
      </c>
      <c r="E35" s="66">
        <f>INDEX('All Units'!$R$5:$R$1272,MATCH("#"&amp;TEXT($A35,"00")&amp;"-"&amp;TEXT(E$6,"00"),'All Units'!$A$5:$A$1272,0))</f>
        <v>2034700</v>
      </c>
      <c r="F35" s="66">
        <f>INDEX('All Units'!$R$5:$R$1272,MATCH("#"&amp;TEXT($A35,"00")&amp;"-"&amp;TEXT(F$6,"00"),'All Units'!$A$5:$A$1272,0))</f>
        <v>1941100</v>
      </c>
      <c r="G35" s="66">
        <f>INDEX('All Units'!$R$5:$R$1272,MATCH("#"&amp;TEXT($A35,"00")&amp;"-"&amp;TEXT(G$6,"00"),'All Units'!$A$5:$A$1272,0))</f>
        <v>1941100</v>
      </c>
      <c r="H35" s="66">
        <f>INDEX('All Units'!$R$5:$R$1272,MATCH("#"&amp;TEXT($A35,"00")&amp;"-"&amp;TEXT(H$6,"00"),'All Units'!$A$5:$A$1272,0))</f>
        <v>2022500</v>
      </c>
      <c r="I35" s="66">
        <f>INDEX('All Units'!$R$5:$R$1272,MATCH("#"&amp;TEXT($A35,"00")&amp;"-"&amp;TEXT(I$6,"00"),'All Units'!$A$5:$A$1272,0))</f>
        <v>2022500</v>
      </c>
      <c r="J35" s="66">
        <f>INDEX('All Units'!$R$5:$R$1272,MATCH("#"&amp;TEXT($A35,"00")&amp;"-"&amp;TEXT(J$6,"00"),'All Units'!$A$5:$A$1272,0))</f>
        <v>1954000</v>
      </c>
      <c r="K35" s="66">
        <f>INDEX('All Units'!$R$5:$R$1272,MATCH("#"&amp;TEXT($A35,"00")&amp;"-"&amp;TEXT(K$6,"00"),'All Units'!$A$5:$A$1272,0))</f>
        <v>1954000</v>
      </c>
      <c r="L35" s="66">
        <f>INDEX('All Units'!$R$5:$R$1272,MATCH("#"&amp;TEXT($A35,"00")&amp;"-"&amp;TEXT(L$6,"00"),'All Units'!$A$5:$A$1272,0))</f>
        <v>1954000</v>
      </c>
      <c r="M35" s="66">
        <f>INDEX('All Units'!$R$5:$R$1272,MATCH("#"&amp;TEXT($A35,"00")&amp;"-"&amp;TEXT(M$6,"00"),'All Units'!$A$5:$A$1272,0))</f>
        <v>2003500</v>
      </c>
      <c r="N35" s="66">
        <f>INDEX('All Units'!$R$5:$R$1272,MATCH("#"&amp;TEXT($A35,"00")&amp;"-"&amp;TEXT(N$6,"00"),'All Units'!$A$5:$A$1272,0))</f>
        <v>2167600</v>
      </c>
      <c r="O35" s="66">
        <f>INDEX('All Units'!$R$5:$R$1272,MATCH("#"&amp;TEXT($A35,"00")&amp;"-"&amp;TEXT(O$6,"00"),'All Units'!$A$5:$A$1272,0))</f>
        <v>2167600</v>
      </c>
      <c r="P35" s="66">
        <f>INDEX('All Units'!$R$5:$R$1272,MATCH("#"&amp;TEXT($A35,"00")&amp;"-"&amp;TEXT(P$6,"00"),'All Units'!$A$5:$A$1272,0))</f>
        <v>2067900</v>
      </c>
      <c r="Q35" s="66">
        <f>INDEX('All Units'!$R$5:$R$1272,MATCH("#"&amp;TEXT($A35,"00")&amp;"-"&amp;TEXT(Q$6,"00"),'All Units'!$A$5:$A$1272,0))</f>
        <v>2144500</v>
      </c>
      <c r="R35" s="66">
        <f>INDEX('All Units'!$R$5:$R$1272,MATCH("#"&amp;TEXT($A35,"00")&amp;"-"&amp;TEXT(R$6,"00"),'All Units'!$A$5:$A$1272,0))</f>
        <v>2144500</v>
      </c>
      <c r="S35" s="66">
        <f>INDEX('All Units'!$R$5:$R$1272,MATCH("#"&amp;TEXT($A35,"00")&amp;"-"&amp;TEXT(S$6,"00"),'All Units'!$A$5:$A$1272,0))</f>
        <v>2135000</v>
      </c>
    </row>
    <row r="36" spans="1:19" x14ac:dyDescent="0.2">
      <c r="A36" s="67">
        <v>15</v>
      </c>
      <c r="B36" s="66">
        <f>INDEX('All Units'!$R$5:$R$1272,MATCH("#"&amp;TEXT($A36,"00")&amp;"-"&amp;TEXT(B$6,"00"),'All Units'!$A$5:$A$1272,0))</f>
        <v>2025900</v>
      </c>
      <c r="C36" s="66">
        <f>INDEX('All Units'!$R$5:$R$1272,MATCH("#"&amp;TEXT($A36,"00")&amp;"-"&amp;TEXT(C$6,"00"),'All Units'!$A$5:$A$1272,0))</f>
        <v>2025900</v>
      </c>
      <c r="D36" s="66">
        <f>INDEX('All Units'!$R$5:$R$1272,MATCH("#"&amp;TEXT($A36,"00")&amp;"-"&amp;TEXT(D$6,"00"),'All Units'!$A$5:$A$1272,0))</f>
        <v>2020400</v>
      </c>
      <c r="E36" s="66">
        <f>INDEX('All Units'!$R$5:$R$1272,MATCH("#"&amp;TEXT($A36,"00")&amp;"-"&amp;TEXT(E$6,"00"),'All Units'!$A$5:$A$1272,0))</f>
        <v>2020400</v>
      </c>
      <c r="F36" s="66">
        <f>INDEX('All Units'!$R$5:$R$1272,MATCH("#"&amp;TEXT($A36,"00")&amp;"-"&amp;TEXT(F$6,"00"),'All Units'!$A$5:$A$1272,0))</f>
        <v>1925500</v>
      </c>
      <c r="G36" s="66">
        <f>INDEX('All Units'!$R$5:$R$1272,MATCH("#"&amp;TEXT($A36,"00")&amp;"-"&amp;TEXT(G$6,"00"),'All Units'!$A$5:$A$1272,0))</f>
        <v>1925500</v>
      </c>
      <c r="H36" s="66">
        <f>INDEX('All Units'!$R$5:$R$1272,MATCH("#"&amp;TEXT($A36,"00")&amp;"-"&amp;TEXT(H$6,"00"),'All Units'!$A$5:$A$1272,0))</f>
        <v>2008200</v>
      </c>
      <c r="I36" s="66">
        <f>INDEX('All Units'!$R$5:$R$1272,MATCH("#"&amp;TEXT($A36,"00")&amp;"-"&amp;TEXT(I$6,"00"),'All Units'!$A$5:$A$1272,0))</f>
        <v>2008200</v>
      </c>
      <c r="J36" s="66">
        <f>INDEX('All Units'!$R$5:$R$1272,MATCH("#"&amp;TEXT($A36,"00")&amp;"-"&amp;TEXT(J$6,"00"),'All Units'!$A$5:$A$1272,0))</f>
        <v>1937700</v>
      </c>
      <c r="K36" s="66">
        <f>INDEX('All Units'!$R$5:$R$1272,MATCH("#"&amp;TEXT($A36,"00")&amp;"-"&amp;TEXT(K$6,"00"),'All Units'!$A$5:$A$1272,0))</f>
        <v>1937700</v>
      </c>
      <c r="L36" s="66">
        <f>INDEX('All Units'!$R$5:$R$1272,MATCH("#"&amp;TEXT($A36,"00")&amp;"-"&amp;TEXT(L$6,"00"),'All Units'!$A$5:$A$1272,0))</f>
        <v>1937700</v>
      </c>
      <c r="M36" s="66">
        <f>INDEX('All Units'!$R$5:$R$1272,MATCH("#"&amp;TEXT($A36,"00")&amp;"-"&amp;TEXT(M$6,"00"),'All Units'!$A$5:$A$1272,0))</f>
        <v>1989900</v>
      </c>
      <c r="N36" s="66">
        <f>INDEX('All Units'!$R$5:$R$1272,MATCH("#"&amp;TEXT($A36,"00")&amp;"-"&amp;TEXT(N$6,"00"),'All Units'!$A$5:$A$1272,0))</f>
        <v>2154700</v>
      </c>
      <c r="O36" s="66">
        <f>INDEX('All Units'!$R$5:$R$1272,MATCH("#"&amp;TEXT($A36,"00")&amp;"-"&amp;TEXT(O$6,"00"),'All Units'!$A$5:$A$1272,0))</f>
        <v>2154700</v>
      </c>
      <c r="P36" s="66">
        <f>INDEX('All Units'!$R$5:$R$1272,MATCH("#"&amp;TEXT($A36,"00")&amp;"-"&amp;TEXT(P$6,"00"),'All Units'!$A$5:$A$1272,0))</f>
        <v>2055000</v>
      </c>
      <c r="Q36" s="66">
        <f>INDEX('All Units'!$R$5:$R$1272,MATCH("#"&amp;TEXT($A36,"00")&amp;"-"&amp;TEXT(Q$6,"00"),'All Units'!$A$5:$A$1272,0))</f>
        <v>2131600</v>
      </c>
      <c r="R36" s="66">
        <f>INDEX('All Units'!$R$5:$R$1272,MATCH("#"&amp;TEXT($A36,"00")&amp;"-"&amp;TEXT(R$6,"00"),'All Units'!$A$5:$A$1272,0))</f>
        <v>2131600</v>
      </c>
      <c r="S36" s="66">
        <f>INDEX('All Units'!$R$5:$R$1272,MATCH("#"&amp;TEXT($A36,"00")&amp;"-"&amp;TEXT(S$6,"00"),'All Units'!$A$5:$A$1272,0))</f>
        <v>2124200</v>
      </c>
    </row>
    <row r="37" spans="1:19" x14ac:dyDescent="0.2">
      <c r="A37" s="67">
        <v>14</v>
      </c>
      <c r="B37" s="66">
        <f>INDEX('All Units'!$R$5:$R$1272,MATCH("#"&amp;TEXT($A37,"00")&amp;"-"&amp;TEXT(B$6,"00"),'All Units'!$A$5:$A$1272,0))</f>
        <v>2010300</v>
      </c>
      <c r="C37" s="66">
        <f>INDEX('All Units'!$R$5:$R$1272,MATCH("#"&amp;TEXT($A37,"00")&amp;"-"&amp;TEXT(C$6,"00"),'All Units'!$A$5:$A$1272,0))</f>
        <v>2010300</v>
      </c>
      <c r="D37" s="66">
        <f>INDEX('All Units'!$R$5:$R$1272,MATCH("#"&amp;TEXT($A37,"00")&amp;"-"&amp;TEXT(D$6,"00"),'All Units'!$A$5:$A$1272,0))</f>
        <v>2005500</v>
      </c>
      <c r="E37" s="66">
        <f>INDEX('All Units'!$R$5:$R$1272,MATCH("#"&amp;TEXT($A37,"00")&amp;"-"&amp;TEXT(E$6,"00"),'All Units'!$A$5:$A$1272,0))</f>
        <v>2005500</v>
      </c>
      <c r="F37" s="66">
        <f>INDEX('All Units'!$R$5:$R$1272,MATCH("#"&amp;TEXT($A37,"00")&amp;"-"&amp;TEXT(F$6,"00"),'All Units'!$A$5:$A$1272,0))</f>
        <v>1910600</v>
      </c>
      <c r="G37" s="66">
        <f>INDEX('All Units'!$R$5:$R$1272,MATCH("#"&amp;TEXT($A37,"00")&amp;"-"&amp;TEXT(G$6,"00"),'All Units'!$A$5:$A$1272,0))</f>
        <v>1910600</v>
      </c>
      <c r="H37" s="66">
        <f>INDEX('All Units'!$R$5:$R$1272,MATCH("#"&amp;TEXT($A37,"00")&amp;"-"&amp;TEXT(H$6,"00"),'All Units'!$A$5:$A$1272,0))</f>
        <v>1994000</v>
      </c>
      <c r="I37" s="66">
        <f>INDEX('All Units'!$R$5:$R$1272,MATCH("#"&amp;TEXT($A37,"00")&amp;"-"&amp;TEXT(I$6,"00"),'All Units'!$A$5:$A$1272,0))</f>
        <v>1994000</v>
      </c>
      <c r="J37" s="66">
        <f>INDEX('All Units'!$R$5:$R$1272,MATCH("#"&amp;TEXT($A37,"00")&amp;"-"&amp;TEXT(J$6,"00"),'All Units'!$A$5:$A$1272,0))</f>
        <v>1922100</v>
      </c>
      <c r="K37" s="66">
        <f>INDEX('All Units'!$R$5:$R$1272,MATCH("#"&amp;TEXT($A37,"00")&amp;"-"&amp;TEXT(K$6,"00"),'All Units'!$A$5:$A$1272,0))</f>
        <v>1922100</v>
      </c>
      <c r="L37" s="66">
        <f>INDEX('All Units'!$R$5:$R$1272,MATCH("#"&amp;TEXT($A37,"00")&amp;"-"&amp;TEXT(L$6,"00"),'All Units'!$A$5:$A$1272,0))</f>
        <v>1922100</v>
      </c>
      <c r="M37" s="66">
        <f>INDEX('All Units'!$R$5:$R$1272,MATCH("#"&amp;TEXT($A37,"00")&amp;"-"&amp;TEXT(M$6,"00"),'All Units'!$A$5:$A$1272,0))</f>
        <v>1975700</v>
      </c>
      <c r="N37" s="66">
        <f>INDEX('All Units'!$R$5:$R$1272,MATCH("#"&amp;TEXT($A37,"00")&amp;"-"&amp;TEXT(N$6,"00"),'All Units'!$A$5:$A$1272,0))</f>
        <v>2141800</v>
      </c>
      <c r="O37" s="66">
        <f>INDEX('All Units'!$R$5:$R$1272,MATCH("#"&amp;TEXT($A37,"00")&amp;"-"&amp;TEXT(O$6,"00"),'All Units'!$A$5:$A$1272,0))</f>
        <v>2141800</v>
      </c>
      <c r="P37" s="66">
        <f>INDEX('All Units'!$R$5:$R$1272,MATCH("#"&amp;TEXT($A37,"00")&amp;"-"&amp;TEXT(P$6,"00"),'All Units'!$A$5:$A$1272,0))</f>
        <v>2041500</v>
      </c>
      <c r="Q37" s="66">
        <f>INDEX('All Units'!$R$5:$R$1272,MATCH("#"&amp;TEXT($A37,"00")&amp;"-"&amp;TEXT(Q$6,"00"),'All Units'!$A$5:$A$1272,0))</f>
        <v>2113300</v>
      </c>
      <c r="R37" s="66">
        <f>INDEX('All Units'!$R$5:$R$1272,MATCH("#"&amp;TEXT($A37,"00")&amp;"-"&amp;TEXT(R$6,"00"),'All Units'!$A$5:$A$1272,0))</f>
        <v>2112000</v>
      </c>
      <c r="S37" s="66">
        <f>INDEX('All Units'!$R$5:$R$1272,MATCH("#"&amp;TEXT($A37,"00")&amp;"-"&amp;TEXT(S$6,"00"),'All Units'!$A$5:$A$1272,0))</f>
        <v>2111300</v>
      </c>
    </row>
    <row r="38" spans="1:19" x14ac:dyDescent="0.2">
      <c r="A38" s="67">
        <v>13</v>
      </c>
      <c r="B38" s="66">
        <f>INDEX('All Units'!$R$5:$R$1272,MATCH("#"&amp;TEXT($A38,"00")&amp;"-"&amp;TEXT(B$6,"00"),'All Units'!$A$5:$A$1272,0))</f>
        <v>1994700</v>
      </c>
      <c r="C38" s="66">
        <f>INDEX('All Units'!$R$5:$R$1272,MATCH("#"&amp;TEXT($A38,"00")&amp;"-"&amp;TEXT(C$6,"00"),'All Units'!$A$5:$A$1272,0))</f>
        <v>1994700</v>
      </c>
      <c r="D38" s="66">
        <f>INDEX('All Units'!$R$5:$R$1272,MATCH("#"&amp;TEXT($A38,"00")&amp;"-"&amp;TEXT(D$6,"00"),'All Units'!$A$5:$A$1272,0))</f>
        <v>1991300</v>
      </c>
      <c r="E38" s="66">
        <f>INDEX('All Units'!$R$5:$R$1272,MATCH("#"&amp;TEXT($A38,"00")&amp;"-"&amp;TEXT(E$6,"00"),'All Units'!$A$5:$A$1272,0))</f>
        <v>1991300</v>
      </c>
      <c r="F38" s="66">
        <f>INDEX('All Units'!$R$5:$R$1272,MATCH("#"&amp;TEXT($A38,"00")&amp;"-"&amp;TEXT(F$6,"00"),'All Units'!$A$5:$A$1272,0))</f>
        <v>1895000</v>
      </c>
      <c r="G38" s="66">
        <f>INDEX('All Units'!$R$5:$R$1272,MATCH("#"&amp;TEXT($A38,"00")&amp;"-"&amp;TEXT(G$6,"00"),'All Units'!$A$5:$A$1272,0))</f>
        <v>1895000</v>
      </c>
      <c r="H38" s="66">
        <f>INDEX('All Units'!$R$5:$R$1272,MATCH("#"&amp;TEXT($A38,"00")&amp;"-"&amp;TEXT(H$6,"00"),'All Units'!$A$5:$A$1272,0))</f>
        <v>1979800</v>
      </c>
      <c r="I38" s="66">
        <f>INDEX('All Units'!$R$5:$R$1272,MATCH("#"&amp;TEXT($A38,"00")&amp;"-"&amp;TEXT(I$6,"00"),'All Units'!$A$5:$A$1272,0))</f>
        <v>1979800</v>
      </c>
      <c r="J38" s="66">
        <f>INDEX('All Units'!$R$5:$R$1272,MATCH("#"&amp;TEXT($A38,"00")&amp;"-"&amp;TEXT(J$6,"00"),'All Units'!$A$5:$A$1272,0))</f>
        <v>1905900</v>
      </c>
      <c r="K38" s="66">
        <f>INDEX('All Units'!$R$5:$R$1272,MATCH("#"&amp;TEXT($A38,"00")&amp;"-"&amp;TEXT(K$6,"00"),'All Units'!$A$5:$A$1272,0))</f>
        <v>1905900</v>
      </c>
      <c r="L38" s="66">
        <f>INDEX('All Units'!$R$5:$R$1272,MATCH("#"&amp;TEXT($A38,"00")&amp;"-"&amp;TEXT(L$6,"00"),'All Units'!$A$5:$A$1272,0))</f>
        <v>1905900</v>
      </c>
      <c r="M38" s="66">
        <f>INDEX('All Units'!$R$5:$R$1272,MATCH("#"&amp;TEXT($A38,"00")&amp;"-"&amp;TEXT(M$6,"00"),'All Units'!$A$5:$A$1272,0))</f>
        <v>1961500</v>
      </c>
      <c r="N38" s="66">
        <f>INDEX('All Units'!$R$5:$R$1272,MATCH("#"&amp;TEXT($A38,"00")&amp;"-"&amp;TEXT(N$6,"00"),'All Units'!$A$5:$A$1272,0))</f>
        <v>2128900</v>
      </c>
      <c r="O38" s="66">
        <f>INDEX('All Units'!$R$5:$R$1272,MATCH("#"&amp;TEXT($A38,"00")&amp;"-"&amp;TEXT(O$6,"00"),'All Units'!$A$5:$A$1272,0))</f>
        <v>2128900</v>
      </c>
      <c r="P38" s="66">
        <f>INDEX('All Units'!$R$5:$R$1272,MATCH("#"&amp;TEXT($A38,"00")&amp;"-"&amp;TEXT(P$6,"00"),'All Units'!$A$5:$A$1272,0))</f>
        <v>2028600</v>
      </c>
      <c r="Q38" s="66">
        <f>INDEX('All Units'!$R$5:$R$1272,MATCH("#"&amp;TEXT($A38,"00")&amp;"-"&amp;TEXT(Q$6,"00"),'All Units'!$A$5:$A$1272,0))</f>
        <v>2095000</v>
      </c>
      <c r="R38" s="66">
        <f>INDEX('All Units'!$R$5:$R$1272,MATCH("#"&amp;TEXT($A38,"00")&amp;"-"&amp;TEXT(R$6,"00"),'All Units'!$A$5:$A$1272,0))</f>
        <v>2093000</v>
      </c>
      <c r="S38" s="66">
        <f>INDEX('All Units'!$R$5:$R$1272,MATCH("#"&amp;TEXT($A38,"00")&amp;"-"&amp;TEXT(S$6,"00"),'All Units'!$A$5:$A$1272,0))</f>
        <v>2099100</v>
      </c>
    </row>
    <row r="39" spans="1:19" x14ac:dyDescent="0.2">
      <c r="A39" s="67">
        <v>12</v>
      </c>
      <c r="B39" s="66">
        <f>INDEX('All Units'!$R$5:$R$1272,MATCH("#"&amp;TEXT($A39,"00")&amp;"-"&amp;TEXT(B$6,"00"),'All Units'!$A$5:$A$1272,0))</f>
        <v>1979800</v>
      </c>
      <c r="C39" s="66">
        <f>INDEX('All Units'!$R$5:$R$1272,MATCH("#"&amp;TEXT($A39,"00")&amp;"-"&amp;TEXT(C$6,"00"),'All Units'!$A$5:$A$1272,0))</f>
        <v>1979800</v>
      </c>
      <c r="D39" s="66">
        <f>INDEX('All Units'!$R$5:$R$1272,MATCH("#"&amp;TEXT($A39,"00")&amp;"-"&amp;TEXT(D$6,"00"),'All Units'!$A$5:$A$1272,0))</f>
        <v>1976400</v>
      </c>
      <c r="E39" s="66">
        <f>INDEX('All Units'!$R$5:$R$1272,MATCH("#"&amp;TEXT($A39,"00")&amp;"-"&amp;TEXT(E$6,"00"),'All Units'!$A$5:$A$1272,0))</f>
        <v>1976400</v>
      </c>
      <c r="F39" s="66">
        <f>INDEX('All Units'!$R$5:$R$1272,MATCH("#"&amp;TEXT($A39,"00")&amp;"-"&amp;TEXT(F$6,"00"),'All Units'!$A$5:$A$1272,0))</f>
        <v>1879400</v>
      </c>
      <c r="G39" s="66">
        <f>INDEX('All Units'!$R$5:$R$1272,MATCH("#"&amp;TEXT($A39,"00")&amp;"-"&amp;TEXT(G$6,"00"),'All Units'!$A$5:$A$1272,0))</f>
        <v>1879400</v>
      </c>
      <c r="H39" s="66">
        <f>INDEX('All Units'!$R$5:$R$1272,MATCH("#"&amp;TEXT($A39,"00")&amp;"-"&amp;TEXT(H$6,"00"),'All Units'!$A$5:$A$1272,0))</f>
        <v>1966200</v>
      </c>
      <c r="I39" s="66">
        <f>INDEX('All Units'!$R$5:$R$1272,MATCH("#"&amp;TEXT($A39,"00")&amp;"-"&amp;TEXT(I$6,"00"),'All Units'!$A$5:$A$1272,0))</f>
        <v>1966200</v>
      </c>
      <c r="J39" s="66">
        <f>INDEX('All Units'!$R$5:$R$1272,MATCH("#"&amp;TEXT($A39,"00")&amp;"-"&amp;TEXT(J$6,"00"),'All Units'!$A$5:$A$1272,0))</f>
        <v>1889600</v>
      </c>
      <c r="K39" s="66">
        <f>INDEX('All Units'!$R$5:$R$1272,MATCH("#"&amp;TEXT($A39,"00")&amp;"-"&amp;TEXT(K$6,"00"),'All Units'!$A$5:$A$1272,0))</f>
        <v>1889600</v>
      </c>
      <c r="L39" s="66">
        <f>INDEX('All Units'!$R$5:$R$1272,MATCH("#"&amp;TEXT($A39,"00")&amp;"-"&amp;TEXT(L$6,"00"),'All Units'!$A$5:$A$1272,0))</f>
        <v>1889600</v>
      </c>
      <c r="M39" s="66">
        <f>INDEX('All Units'!$R$5:$R$1272,MATCH("#"&amp;TEXT($A39,"00")&amp;"-"&amp;TEXT(M$6,"00"),'All Units'!$A$5:$A$1272,0))</f>
        <v>1947200</v>
      </c>
      <c r="N39" s="66">
        <f>INDEX('All Units'!$R$5:$R$1272,MATCH("#"&amp;TEXT($A39,"00")&amp;"-"&amp;TEXT(N$6,"00"),'All Units'!$A$5:$A$1272,0))</f>
        <v>2116000</v>
      </c>
      <c r="O39" s="66">
        <f>INDEX('All Units'!$R$5:$R$1272,MATCH("#"&amp;TEXT($A39,"00")&amp;"-"&amp;TEXT(O$6,"00"),'All Units'!$A$5:$A$1272,0))</f>
        <v>2116000</v>
      </c>
      <c r="P39" s="66">
        <f>INDEX('All Units'!$R$5:$R$1272,MATCH("#"&amp;TEXT($A39,"00")&amp;"-"&amp;TEXT(P$6,"00"),'All Units'!$A$5:$A$1272,0))</f>
        <v>2015700</v>
      </c>
      <c r="Q39" s="66">
        <f>INDEX('All Units'!$R$5:$R$1272,MATCH("#"&amp;TEXT($A39,"00")&amp;"-"&amp;TEXT(Q$6,"00"),'All Units'!$A$5:$A$1272,0))</f>
        <v>2076000</v>
      </c>
      <c r="R39" s="66">
        <f>INDEX('All Units'!$R$5:$R$1272,MATCH("#"&amp;TEXT($A39,"00")&amp;"-"&amp;TEXT(R$6,"00"),'All Units'!$A$5:$A$1272,0))</f>
        <v>2073300</v>
      </c>
      <c r="S39" s="66">
        <f>INDEX('All Units'!$R$5:$R$1272,MATCH("#"&amp;TEXT($A39,"00")&amp;"-"&amp;TEXT(S$6,"00"),'All Units'!$A$5:$A$1272,0))</f>
        <v>2086200</v>
      </c>
    </row>
    <row r="40" spans="1:19" x14ac:dyDescent="0.2">
      <c r="A40" s="67">
        <v>11</v>
      </c>
      <c r="B40" s="66">
        <f>INDEX('All Units'!$R$5:$R$1272,MATCH("#"&amp;TEXT($A40,"00")&amp;"-"&amp;TEXT(B$6,"00"),'All Units'!$A$5:$A$1272,0))</f>
        <v>1966200</v>
      </c>
      <c r="C40" s="66">
        <f>INDEX('All Units'!$R$5:$R$1272,MATCH("#"&amp;TEXT($A40,"00")&amp;"-"&amp;TEXT(C$6,"00"),'All Units'!$A$5:$A$1272,0))</f>
        <v>1966200</v>
      </c>
      <c r="D40" s="66">
        <f>INDEX('All Units'!$R$5:$R$1272,MATCH("#"&amp;TEXT($A40,"00")&amp;"-"&amp;TEXT(D$6,"00"),'All Units'!$A$5:$A$1272,0))</f>
        <v>1964200</v>
      </c>
      <c r="E40" s="66">
        <f>INDEX('All Units'!$R$5:$R$1272,MATCH("#"&amp;TEXT($A40,"00")&amp;"-"&amp;TEXT(E$6,"00"),'All Units'!$A$5:$A$1272,0))</f>
        <v>1964200</v>
      </c>
      <c r="F40" s="66">
        <f>INDEX('All Units'!$R$5:$R$1272,MATCH("#"&amp;TEXT($A40,"00")&amp;"-"&amp;TEXT(F$6,"00"),'All Units'!$A$5:$A$1272,0))</f>
        <v>1866500</v>
      </c>
      <c r="G40" s="66">
        <f>INDEX('All Units'!$R$5:$R$1272,MATCH("#"&amp;TEXT($A40,"00")&amp;"-"&amp;TEXT(G$6,"00"),'All Units'!$A$5:$A$1272,0))</f>
        <v>1866500</v>
      </c>
      <c r="H40" s="66">
        <f>INDEX('All Units'!$R$5:$R$1272,MATCH("#"&amp;TEXT($A40,"00")&amp;"-"&amp;TEXT(H$6,"00"),'All Units'!$A$5:$A$1272,0))</f>
        <v>1954000</v>
      </c>
      <c r="I40" s="66">
        <f>INDEX('All Units'!$R$5:$R$1272,MATCH("#"&amp;TEXT($A40,"00")&amp;"-"&amp;TEXT(I$6,"00"),'All Units'!$A$5:$A$1272,0))</f>
        <v>1954000</v>
      </c>
      <c r="J40" s="66">
        <f>INDEX('All Units'!$R$5:$R$1272,MATCH("#"&amp;TEXT($A40,"00")&amp;"-"&amp;TEXT(J$6,"00"),'All Units'!$A$5:$A$1272,0))</f>
        <v>1876000</v>
      </c>
      <c r="K40" s="66">
        <f>INDEX('All Units'!$R$5:$R$1272,MATCH("#"&amp;TEXT($A40,"00")&amp;"-"&amp;TEXT(K$6,"00"),'All Units'!$A$5:$A$1272,0))</f>
        <v>1876000</v>
      </c>
      <c r="L40" s="66">
        <f>INDEX('All Units'!$R$5:$R$1272,MATCH("#"&amp;TEXT($A40,"00")&amp;"-"&amp;TEXT(L$6,"00"),'All Units'!$A$5:$A$1272,0))</f>
        <v>1876000</v>
      </c>
      <c r="M40" s="66">
        <f>INDEX('All Units'!$R$5:$R$1272,MATCH("#"&amp;TEXT($A40,"00")&amp;"-"&amp;TEXT(M$6,"00"),'All Units'!$A$5:$A$1272,0))</f>
        <v>1935700</v>
      </c>
      <c r="N40" s="66">
        <f>INDEX('All Units'!$R$5:$R$1272,MATCH("#"&amp;TEXT($A40,"00")&amp;"-"&amp;TEXT(N$6,"00"),'All Units'!$A$5:$A$1272,0))</f>
        <v>2102500</v>
      </c>
      <c r="O40" s="66">
        <f>INDEX('All Units'!$R$5:$R$1272,MATCH("#"&amp;TEXT($A40,"00")&amp;"-"&amp;TEXT(O$6,"00"),'All Units'!$A$5:$A$1272,0))</f>
        <v>2102500</v>
      </c>
      <c r="P40" s="66">
        <f>INDEX('All Units'!$R$5:$R$1272,MATCH("#"&amp;TEXT($A40,"00")&amp;"-"&amp;TEXT(P$6,"00"),'All Units'!$A$5:$A$1272,0))</f>
        <v>2002800</v>
      </c>
      <c r="Q40" s="66">
        <f>INDEX('All Units'!$R$5:$R$1272,MATCH("#"&amp;TEXT($A40,"00")&amp;"-"&amp;TEXT(Q$6,"00"),'All Units'!$A$5:$A$1272,0))</f>
        <v>2057700</v>
      </c>
      <c r="R40" s="66">
        <f>INDEX('All Units'!$R$5:$R$1272,MATCH("#"&amp;TEXT($A40,"00")&amp;"-"&amp;TEXT(R$6,"00"),'All Units'!$A$5:$A$1272,0))</f>
        <v>2053700</v>
      </c>
      <c r="S40" s="66">
        <f>INDEX('All Units'!$R$5:$R$1272,MATCH("#"&amp;TEXT($A40,"00")&amp;"-"&amp;TEXT(S$6,"00"),'All Units'!$A$5:$A$1272,0))</f>
        <v>2073300</v>
      </c>
    </row>
    <row r="41" spans="1:19" x14ac:dyDescent="0.2">
      <c r="A41" s="67">
        <v>10</v>
      </c>
      <c r="B41" s="66">
        <f>INDEX('All Units'!$R$5:$R$1272,MATCH("#"&amp;TEXT($A41,"00")&amp;"-"&amp;TEXT(B$6,"00"),'All Units'!$A$5:$A$1272,0))</f>
        <v>1956000</v>
      </c>
      <c r="C41" s="66">
        <f>INDEX('All Units'!$R$5:$R$1272,MATCH("#"&amp;TEXT($A41,"00")&amp;"-"&amp;TEXT(C$6,"00"),'All Units'!$A$5:$A$1272,0))</f>
        <v>1956000</v>
      </c>
      <c r="D41" s="66">
        <f>INDEX('All Units'!$R$5:$R$1272,MATCH("#"&amp;TEXT($A41,"00")&amp;"-"&amp;TEXT(D$6,"00"),'All Units'!$A$5:$A$1272,0))</f>
        <v>1954700</v>
      </c>
      <c r="E41" s="66">
        <f>INDEX('All Units'!$R$5:$R$1272,MATCH("#"&amp;TEXT($A41,"00")&amp;"-"&amp;TEXT(E$6,"00"),'All Units'!$A$5:$A$1272,0))</f>
        <v>1954700</v>
      </c>
      <c r="F41" s="66">
        <f>INDEX('All Units'!$R$5:$R$1272,MATCH("#"&amp;TEXT($A41,"00")&amp;"-"&amp;TEXT(F$6,"00"),'All Units'!$A$5:$A$1272,0))</f>
        <v>1855700</v>
      </c>
      <c r="G41" s="66">
        <f>INDEX('All Units'!$R$5:$R$1272,MATCH("#"&amp;TEXT($A41,"00")&amp;"-"&amp;TEXT(G$6,"00"),'All Units'!$A$5:$A$1272,0))</f>
        <v>1855700</v>
      </c>
      <c r="H41" s="66">
        <f>INDEX('All Units'!$R$5:$R$1272,MATCH("#"&amp;TEXT($A41,"00")&amp;"-"&amp;TEXT(H$6,"00"),'All Units'!$A$5:$A$1272,0))</f>
        <v>1945200</v>
      </c>
      <c r="I41" s="66">
        <f>INDEX('All Units'!$R$5:$R$1272,MATCH("#"&amp;TEXT($A41,"00")&amp;"-"&amp;TEXT(I$6,"00"),'All Units'!$A$5:$A$1272,0))</f>
        <v>1945200</v>
      </c>
      <c r="J41" s="66">
        <f>INDEX('All Units'!$R$5:$R$1272,MATCH("#"&amp;TEXT($A41,"00")&amp;"-"&amp;TEXT(J$6,"00"),'All Units'!$A$5:$A$1272,0))</f>
        <v>1865200</v>
      </c>
      <c r="K41" s="66">
        <f>INDEX('All Units'!$R$5:$R$1272,MATCH("#"&amp;TEXT($A41,"00")&amp;"-"&amp;TEXT(K$6,"00"),'All Units'!$A$5:$A$1272,0))</f>
        <v>1865200</v>
      </c>
      <c r="L41" s="66">
        <f>INDEX('All Units'!$R$5:$R$1272,MATCH("#"&amp;TEXT($A41,"00")&amp;"-"&amp;TEXT(L$6,"00"),'All Units'!$A$5:$A$1272,0))</f>
        <v>1865200</v>
      </c>
      <c r="M41" s="66">
        <f>INDEX('All Units'!$R$5:$R$1272,MATCH("#"&amp;TEXT($A41,"00")&amp;"-"&amp;TEXT(M$6,"00"),'All Units'!$A$5:$A$1272,0))</f>
        <v>1926900</v>
      </c>
      <c r="N41" s="66">
        <f>INDEX('All Units'!$R$5:$R$1272,MATCH("#"&amp;TEXT($A41,"00")&amp;"-"&amp;TEXT(N$6,"00"),'All Units'!$A$5:$A$1272,0))</f>
        <v>2089600</v>
      </c>
      <c r="O41" s="66">
        <f>INDEX('All Units'!$R$5:$R$1272,MATCH("#"&amp;TEXT($A41,"00")&amp;"-"&amp;TEXT(O$6,"00"),'All Units'!$A$5:$A$1272,0))</f>
        <v>2089600</v>
      </c>
      <c r="P41" s="66">
        <f>INDEX('All Units'!$R$5:$R$1272,MATCH("#"&amp;TEXT($A41,"00")&amp;"-"&amp;TEXT(P$6,"00"),'All Units'!$A$5:$A$1272,0))</f>
        <v>1989900</v>
      </c>
      <c r="Q41" s="66">
        <f>INDEX('All Units'!$R$5:$R$1272,MATCH("#"&amp;TEXT($A41,"00")&amp;"-"&amp;TEXT(Q$6,"00"),'All Units'!$A$5:$A$1272,0))</f>
        <v>2039400</v>
      </c>
      <c r="R41" s="66">
        <f>INDEX('All Units'!$R$5:$R$1272,MATCH("#"&amp;TEXT($A41,"00")&amp;"-"&amp;TEXT(R$6,"00"),'All Units'!$A$5:$A$1272,0))</f>
        <v>2034700</v>
      </c>
      <c r="S41" s="66">
        <f>INDEX('All Units'!$R$5:$R$1272,MATCH("#"&amp;TEXT($A41,"00")&amp;"-"&amp;TEXT(S$6,"00"),'All Units'!$A$5:$A$1272,0))</f>
        <v>2061100</v>
      </c>
    </row>
    <row r="42" spans="1:19" x14ac:dyDescent="0.2">
      <c r="A42" s="67">
        <v>9</v>
      </c>
      <c r="B42" s="66">
        <f>INDEX('All Units'!$R$5:$R$1272,MATCH("#"&amp;TEXT($A42,"00")&amp;"-"&amp;TEXT(B$6,"00"),'All Units'!$A$5:$A$1272,0))</f>
        <v>1945200</v>
      </c>
      <c r="C42" s="66">
        <f>INDEX('All Units'!$R$5:$R$1272,MATCH("#"&amp;TEXT($A42,"00")&amp;"-"&amp;TEXT(C$6,"00"),'All Units'!$A$5:$A$1272,0))</f>
        <v>1945200</v>
      </c>
      <c r="D42" s="66">
        <f>INDEX('All Units'!$R$5:$R$1272,MATCH("#"&amp;TEXT($A42,"00")&amp;"-"&amp;TEXT(D$6,"00"),'All Units'!$A$5:$A$1272,0))</f>
        <v>1944500</v>
      </c>
      <c r="E42" s="66">
        <f>INDEX('All Units'!$R$5:$R$1272,MATCH("#"&amp;TEXT($A42,"00")&amp;"-"&amp;TEXT(E$6,"00"),'All Units'!$A$5:$A$1272,0))</f>
        <v>1944500</v>
      </c>
      <c r="F42" s="66">
        <f>INDEX('All Units'!$R$5:$R$1272,MATCH("#"&amp;TEXT($A42,"00")&amp;"-"&amp;TEXT(F$6,"00"),'All Units'!$A$5:$A$1272,0))</f>
        <v>1845500</v>
      </c>
      <c r="G42" s="66">
        <f>INDEX('All Units'!$R$5:$R$1272,MATCH("#"&amp;TEXT($A42,"00")&amp;"-"&amp;TEXT(G$6,"00"),'All Units'!$A$5:$A$1272,0))</f>
        <v>1845500</v>
      </c>
      <c r="H42" s="66">
        <f>INDEX('All Units'!$R$5:$R$1272,MATCH("#"&amp;TEXT($A42,"00")&amp;"-"&amp;TEXT(H$6,"00"),'All Units'!$A$5:$A$1272,0))</f>
        <v>1935700</v>
      </c>
      <c r="I42" s="66">
        <f>INDEX('All Units'!$R$5:$R$1272,MATCH("#"&amp;TEXT($A42,"00")&amp;"-"&amp;TEXT(I$6,"00"),'All Units'!$A$5:$A$1272,0))</f>
        <v>1935700</v>
      </c>
      <c r="J42" s="66">
        <f>INDEX('All Units'!$R$5:$R$1272,MATCH("#"&amp;TEXT($A42,"00")&amp;"-"&amp;TEXT(J$6,"00"),'All Units'!$A$5:$A$1272,0))</f>
        <v>1854300</v>
      </c>
      <c r="K42" s="66">
        <f>INDEX('All Units'!$R$5:$R$1272,MATCH("#"&amp;TEXT($A42,"00")&amp;"-"&amp;TEXT(K$6,"00"),'All Units'!$A$5:$A$1272,0))</f>
        <v>1854300</v>
      </c>
      <c r="L42" s="66">
        <f>INDEX('All Units'!$R$5:$R$1272,MATCH("#"&amp;TEXT($A42,"00")&amp;"-"&amp;TEXT(L$6,"00"),'All Units'!$A$5:$A$1272,0))</f>
        <v>1854300</v>
      </c>
      <c r="M42" s="66">
        <f>INDEX('All Units'!$R$5:$R$1272,MATCH("#"&amp;TEXT($A42,"00")&amp;"-"&amp;TEXT(M$6,"00"),'All Units'!$A$5:$A$1272,0))</f>
        <v>1917400</v>
      </c>
      <c r="N42" s="66">
        <f>INDEX('All Units'!$R$5:$R$1272,MATCH("#"&amp;TEXT($A42,"00")&amp;"-"&amp;TEXT(N$6,"00"),'All Units'!$A$5:$A$1272,0))</f>
        <v>2076700</v>
      </c>
      <c r="O42" s="66">
        <f>INDEX('All Units'!$R$5:$R$1272,MATCH("#"&amp;TEXT($A42,"00")&amp;"-"&amp;TEXT(O$6,"00"),'All Units'!$A$5:$A$1272,0))</f>
        <v>2076700</v>
      </c>
      <c r="P42" s="66">
        <f>INDEX('All Units'!$R$5:$R$1272,MATCH("#"&amp;TEXT($A42,"00")&amp;"-"&amp;TEXT(P$6,"00"),'All Units'!$A$5:$A$1272,0))</f>
        <v>1976400</v>
      </c>
      <c r="Q42" s="66">
        <f>INDEX('All Units'!$R$5:$R$1272,MATCH("#"&amp;TEXT($A42,"00")&amp;"-"&amp;TEXT(Q$6,"00"),'All Units'!$A$5:$A$1272,0))</f>
        <v>2020400</v>
      </c>
      <c r="R42" s="66">
        <f>INDEX('All Units'!$R$5:$R$1272,MATCH("#"&amp;TEXT($A42,"00")&amp;"-"&amp;TEXT(R$6,"00"),'All Units'!$A$5:$A$1272,0))</f>
        <v>2015000</v>
      </c>
      <c r="S42" s="66">
        <f>INDEX('All Units'!$R$5:$R$1272,MATCH("#"&amp;TEXT($A42,"00")&amp;"-"&amp;TEXT(S$6,"00"),'All Units'!$A$5:$A$1272,0))</f>
        <v>2048200</v>
      </c>
    </row>
    <row r="43" spans="1:19" x14ac:dyDescent="0.2">
      <c r="A43" s="67">
        <v>8</v>
      </c>
      <c r="B43" s="66">
        <f>INDEX('All Units'!$R$5:$R$1272,MATCH("#"&amp;TEXT($A43,"00")&amp;"-"&amp;TEXT(B$6,"00"),'All Units'!$A$5:$A$1272,0))</f>
        <v>1935000</v>
      </c>
      <c r="C43" s="66">
        <f>INDEX('All Units'!$R$5:$R$1272,MATCH("#"&amp;TEXT($A43,"00")&amp;"-"&amp;TEXT(C$6,"00"),'All Units'!$A$5:$A$1272,0))</f>
        <v>1935000</v>
      </c>
      <c r="D43" s="66">
        <f>INDEX('All Units'!$R$5:$R$1272,MATCH("#"&amp;TEXT($A43,"00")&amp;"-"&amp;TEXT(D$6,"00"),'All Units'!$A$5:$A$1272,0))</f>
        <v>1935000</v>
      </c>
      <c r="E43" s="66">
        <f>INDEX('All Units'!$R$5:$R$1272,MATCH("#"&amp;TEXT($A43,"00")&amp;"-"&amp;TEXT(E$6,"00"),'All Units'!$A$5:$A$1272,0))</f>
        <v>1935000</v>
      </c>
      <c r="F43" s="66">
        <f>INDEX('All Units'!$R$5:$R$1272,MATCH("#"&amp;TEXT($A43,"00")&amp;"-"&amp;TEXT(F$6,"00"),'All Units'!$A$5:$A$1272,0))</f>
        <v>1834700</v>
      </c>
      <c r="G43" s="66">
        <f>INDEX('All Units'!$R$5:$R$1272,MATCH("#"&amp;TEXT($A43,"00")&amp;"-"&amp;TEXT(G$6,"00"),'All Units'!$A$5:$A$1272,0))</f>
        <v>1834700</v>
      </c>
      <c r="H43" s="66">
        <f>INDEX('All Units'!$R$5:$R$1272,MATCH("#"&amp;TEXT($A43,"00")&amp;"-"&amp;TEXT(H$6,"00"),'All Units'!$A$5:$A$1272,0))</f>
        <v>1926200</v>
      </c>
      <c r="I43" s="66">
        <f>INDEX('All Units'!$R$5:$R$1272,MATCH("#"&amp;TEXT($A43,"00")&amp;"-"&amp;TEXT(I$6,"00"),'All Units'!$A$5:$A$1272,0))</f>
        <v>1926200</v>
      </c>
      <c r="J43" s="66">
        <f>INDEX('All Units'!$R$5:$R$1272,MATCH("#"&amp;TEXT($A43,"00")&amp;"-"&amp;TEXT(J$6,"00"),'All Units'!$A$5:$A$1272,0))</f>
        <v>1843500</v>
      </c>
      <c r="K43" s="66">
        <f>INDEX('All Units'!$R$5:$R$1272,MATCH("#"&amp;TEXT($A43,"00")&amp;"-"&amp;TEXT(K$6,"00"),'All Units'!$A$5:$A$1272,0))</f>
        <v>1843500</v>
      </c>
      <c r="L43" s="66">
        <f>INDEX('All Units'!$R$5:$R$1272,MATCH("#"&amp;TEXT($A43,"00")&amp;"-"&amp;TEXT(L$6,"00"),'All Units'!$A$5:$A$1272,0))</f>
        <v>1843500</v>
      </c>
      <c r="M43" s="66">
        <f>INDEX('All Units'!$R$5:$R$1272,MATCH("#"&amp;TEXT($A43,"00")&amp;"-"&amp;TEXT(M$6,"00"),'All Units'!$A$5:$A$1272,0))</f>
        <v>1908600</v>
      </c>
      <c r="N43" s="66">
        <f>INDEX('All Units'!$R$5:$R$1272,MATCH("#"&amp;TEXT($A43,"00")&amp;"-"&amp;TEXT(N$6,"00"),'All Units'!$A$5:$A$1272,0))</f>
        <v>2063800</v>
      </c>
      <c r="O43" s="66">
        <f>INDEX('All Units'!$R$5:$R$1272,MATCH("#"&amp;TEXT($A43,"00")&amp;"-"&amp;TEXT(O$6,"00"),'All Units'!$A$5:$A$1272,0))</f>
        <v>2063800</v>
      </c>
      <c r="P43" s="66">
        <f>INDEX('All Units'!$R$5:$R$1272,MATCH("#"&amp;TEXT($A43,"00")&amp;"-"&amp;TEXT(P$6,"00"),'All Units'!$A$5:$A$1272,0))</f>
        <v>1963500</v>
      </c>
      <c r="Q43" s="66">
        <f>INDEX('All Units'!$R$5:$R$1272,MATCH("#"&amp;TEXT($A43,"00")&amp;"-"&amp;TEXT(Q$6,"00"),'All Units'!$A$5:$A$1272,0))</f>
        <v>2002100</v>
      </c>
      <c r="R43" s="66">
        <f>INDEX('All Units'!$R$5:$R$1272,MATCH("#"&amp;TEXT($A43,"00")&amp;"-"&amp;TEXT(R$6,"00"),'All Units'!$A$5:$A$1272,0))</f>
        <v>1996000</v>
      </c>
      <c r="S43" s="66">
        <f>INDEX('All Units'!$R$5:$R$1272,MATCH("#"&amp;TEXT($A43,"00")&amp;"-"&amp;TEXT(S$6,"00"),'All Units'!$A$5:$A$1272,0))</f>
        <v>2036000</v>
      </c>
    </row>
    <row r="44" spans="1:19" x14ac:dyDescent="0.2">
      <c r="A44" s="67">
        <v>7</v>
      </c>
      <c r="B44" s="66">
        <f>INDEX('All Units'!$R$5:$R$1272,MATCH("#"&amp;TEXT($A44,"00")&amp;"-"&amp;TEXT(B$6,"00"),'All Units'!$A$5:$A$1272,0))</f>
        <v>1907900</v>
      </c>
      <c r="C44" s="66">
        <f>INDEX('All Units'!$R$5:$R$1272,MATCH("#"&amp;TEXT($A44,"00")&amp;"-"&amp;TEXT(C$6,"00"),'All Units'!$A$5:$A$1272,0))</f>
        <v>1907900</v>
      </c>
      <c r="D44" s="66">
        <f>INDEX('All Units'!$R$5:$R$1272,MATCH("#"&amp;TEXT($A44,"00")&amp;"-"&amp;TEXT(D$6,"00"),'All Units'!$A$5:$A$1272,0))</f>
        <v>1924200</v>
      </c>
      <c r="E44" s="66">
        <f>INDEX('All Units'!$R$5:$R$1272,MATCH("#"&amp;TEXT($A44,"00")&amp;"-"&amp;TEXT(E$6,"00"),'All Units'!$A$5:$A$1272,0))</f>
        <v>1924200</v>
      </c>
      <c r="F44" s="66">
        <f>INDEX('All Units'!$R$5:$R$1272,MATCH("#"&amp;TEXT($A44,"00")&amp;"-"&amp;TEXT(F$6,"00"),'All Units'!$A$5:$A$1272,0))</f>
        <v>1824500</v>
      </c>
      <c r="G44" s="66">
        <f>INDEX('All Units'!$R$5:$R$1272,MATCH("#"&amp;TEXT($A44,"00")&amp;"-"&amp;TEXT(G$6,"00"),'All Units'!$A$5:$A$1272,0))</f>
        <v>1824500</v>
      </c>
      <c r="H44" s="66">
        <f>INDEX('All Units'!$R$5:$R$1272,MATCH("#"&amp;TEXT($A44,"00")&amp;"-"&amp;TEXT(H$6,"00"),'All Units'!$A$5:$A$1272,0))</f>
        <v>1917400</v>
      </c>
      <c r="I44" s="66">
        <f>INDEX('All Units'!$R$5:$R$1272,MATCH("#"&amp;TEXT($A44,"00")&amp;"-"&amp;TEXT(I$6,"00"),'All Units'!$A$5:$A$1272,0))</f>
        <v>1917400</v>
      </c>
      <c r="J44" s="66">
        <f>INDEX('All Units'!$R$5:$R$1272,MATCH("#"&amp;TEXT($A44,"00")&amp;"-"&amp;TEXT(J$6,"00"),'All Units'!$A$5:$A$1272,0))</f>
        <v>1831300</v>
      </c>
      <c r="K44" s="66">
        <f>INDEX('All Units'!$R$5:$R$1272,MATCH("#"&amp;TEXT($A44,"00")&amp;"-"&amp;TEXT(K$6,"00"),'All Units'!$A$5:$A$1272,0))</f>
        <v>1831300</v>
      </c>
      <c r="L44" s="66">
        <f>INDEX('All Units'!$R$5:$R$1272,MATCH("#"&amp;TEXT($A44,"00")&amp;"-"&amp;TEXT(L$6,"00"),'All Units'!$A$5:$A$1272,0))</f>
        <v>1831300</v>
      </c>
      <c r="M44" s="66">
        <f>INDEX('All Units'!$R$5:$R$1272,MATCH("#"&amp;TEXT($A44,"00")&amp;"-"&amp;TEXT(M$6,"00"),'All Units'!$A$5:$A$1272,0))</f>
        <v>1899100</v>
      </c>
      <c r="N44" s="66">
        <f>INDEX('All Units'!$R$5:$R$1272,MATCH("#"&amp;TEXT($A44,"00")&amp;"-"&amp;TEXT(N$6,"00"),'All Units'!$A$5:$A$1272,0))</f>
        <v>2051000</v>
      </c>
      <c r="O44" s="66">
        <f>INDEX('All Units'!$R$5:$R$1272,MATCH("#"&amp;TEXT($A44,"00")&amp;"-"&amp;TEXT(O$6,"00"),'All Units'!$A$5:$A$1272,0))</f>
        <v>2051000</v>
      </c>
      <c r="P44" s="66">
        <f>INDEX('All Units'!$R$5:$R$1272,MATCH("#"&amp;TEXT($A44,"00")&amp;"-"&amp;TEXT(P$6,"00"),'All Units'!$A$5:$A$1272,0))</f>
        <v>1950600</v>
      </c>
      <c r="Q44" s="66">
        <f>INDEX('All Units'!$R$5:$R$1272,MATCH("#"&amp;TEXT($A44,"00")&amp;"-"&amp;TEXT(Q$6,"00"),'All Units'!$A$5:$A$1272,0))</f>
        <v>1983800</v>
      </c>
      <c r="R44" s="66">
        <f>INDEX('All Units'!$R$5:$R$1272,MATCH("#"&amp;TEXT($A44,"00")&amp;"-"&amp;TEXT(R$6,"00"),'All Units'!$A$5:$A$1272,0))</f>
        <v>1976400</v>
      </c>
      <c r="S44" s="66">
        <f>INDEX('All Units'!$R$5:$R$1272,MATCH("#"&amp;TEXT($A44,"00")&amp;"-"&amp;TEXT(S$6,"00"),'All Units'!$A$5:$A$1272,0))</f>
        <v>2023200</v>
      </c>
    </row>
    <row r="45" spans="1:19" x14ac:dyDescent="0.2">
      <c r="A45" s="67">
        <v>6</v>
      </c>
      <c r="B45" s="66">
        <f>INDEX('All Units'!$R$5:$R$1272,MATCH("#"&amp;TEXT($A45,"00")&amp;"-"&amp;TEXT(B$6,"00"),'All Units'!$A$5:$A$1272,0))</f>
        <v>1880100</v>
      </c>
      <c r="C45" s="66">
        <f>INDEX('All Units'!$R$5:$R$1272,MATCH("#"&amp;TEXT($A45,"00")&amp;"-"&amp;TEXT(C$6,"00"),'All Units'!$A$5:$A$1272,0))</f>
        <v>1880100</v>
      </c>
      <c r="D45" s="66">
        <f>INDEX('All Units'!$R$5:$R$1272,MATCH("#"&amp;TEXT($A45,"00")&amp;"-"&amp;TEXT(D$6,"00"),'All Units'!$A$5:$A$1272,0))</f>
        <v>1914000</v>
      </c>
      <c r="E45" s="66">
        <f>INDEX('All Units'!$R$5:$R$1272,MATCH("#"&amp;TEXT($A45,"00")&amp;"-"&amp;TEXT(E$6,"00"),'All Units'!$A$5:$A$1272,0))</f>
        <v>1914000</v>
      </c>
      <c r="F45" s="66">
        <f>INDEX('All Units'!$R$5:$R$1272,MATCH("#"&amp;TEXT($A45,"00")&amp;"-"&amp;TEXT(F$6,"00"),'All Units'!$A$5:$A$1272,0))</f>
        <v>1813700</v>
      </c>
      <c r="G45" s="66">
        <f>INDEX('All Units'!$R$5:$R$1272,MATCH("#"&amp;TEXT($A45,"00")&amp;"-"&amp;TEXT(G$6,"00"),'All Units'!$A$5:$A$1272,0))</f>
        <v>1813700</v>
      </c>
      <c r="H45" s="66">
        <f>INDEX('All Units'!$R$5:$R$1272,MATCH("#"&amp;TEXT($A45,"00")&amp;"-"&amp;TEXT(H$6,"00"),'All Units'!$A$5:$A$1272,0))</f>
        <v>1907900</v>
      </c>
      <c r="I45" s="66">
        <f>INDEX('All Units'!$R$5:$R$1272,MATCH("#"&amp;TEXT($A45,"00")&amp;"-"&amp;TEXT(I$6,"00"),'All Units'!$A$5:$A$1272,0))</f>
        <v>1907900</v>
      </c>
      <c r="J45" s="66">
        <f>INDEX('All Units'!$R$5:$R$1272,MATCH("#"&amp;TEXT($A45,"00")&amp;"-"&amp;TEXT(J$6,"00"),'All Units'!$A$5:$A$1272,0))</f>
        <v>1819100</v>
      </c>
      <c r="K45" s="66">
        <f>INDEX('All Units'!$R$5:$R$1272,MATCH("#"&amp;TEXT($A45,"00")&amp;"-"&amp;TEXT(K$6,"00"),'All Units'!$A$5:$A$1272,0))</f>
        <v>1819100</v>
      </c>
      <c r="L45" s="66">
        <f>INDEX('All Units'!$R$5:$R$1272,MATCH("#"&amp;TEXT($A45,"00")&amp;"-"&amp;TEXT(L$6,"00"),'All Units'!$A$5:$A$1272,0))</f>
        <v>1819100</v>
      </c>
      <c r="M45" s="66">
        <f>INDEX('All Units'!$R$5:$R$1272,MATCH("#"&amp;TEXT($A45,"00")&amp;"-"&amp;TEXT(M$6,"00"),'All Units'!$A$5:$A$1272,0))</f>
        <v>1874000</v>
      </c>
      <c r="N45" s="66">
        <f>INDEX('All Units'!$R$5:$R$1272,MATCH("#"&amp;TEXT($A45,"00")&amp;"-"&amp;TEXT(N$6,"00"),'All Units'!$A$5:$A$1272,0))</f>
        <v>2037400</v>
      </c>
      <c r="O45" s="66">
        <f>INDEX('All Units'!$R$5:$R$1272,MATCH("#"&amp;TEXT($A45,"00")&amp;"-"&amp;TEXT(O$6,"00"),'All Units'!$A$5:$A$1272,0))</f>
        <v>2037400</v>
      </c>
      <c r="P45" s="66">
        <f>INDEX('All Units'!$R$5:$R$1272,MATCH("#"&amp;TEXT($A45,"00")&amp;"-"&amp;TEXT(P$6,"00"),'All Units'!$A$5:$A$1272,0))</f>
        <v>1937700</v>
      </c>
      <c r="Q45" s="66">
        <f>INDEX('All Units'!$R$5:$R$1272,MATCH("#"&amp;TEXT($A45,"00")&amp;"-"&amp;TEXT(Q$6,"00"),'All Units'!$A$5:$A$1272,0))</f>
        <v>1964800</v>
      </c>
      <c r="R45" s="66">
        <f>INDEX('All Units'!$R$5:$R$1272,MATCH("#"&amp;TEXT($A45,"00")&amp;"-"&amp;TEXT(R$6,"00"),'All Units'!$A$5:$A$1272,0))</f>
        <v>1956700</v>
      </c>
      <c r="S45" s="66">
        <f>INDEX('All Units'!$R$5:$R$1272,MATCH("#"&amp;TEXT($A45,"00")&amp;"-"&amp;TEXT(S$6,"00"),'All Units'!$A$5:$A$1272,0))</f>
        <v>2010300</v>
      </c>
    </row>
    <row r="46" spans="1:19" x14ac:dyDescent="0.2">
      <c r="A46" s="67">
        <v>5</v>
      </c>
      <c r="B46" s="66">
        <f>INDEX('All Units'!$R$5:$R$1272,MATCH("#"&amp;TEXT($A46,"00")&amp;"-"&amp;TEXT(B$6,"00"),'All Units'!$A$5:$A$1272,0))</f>
        <v>1853000</v>
      </c>
      <c r="C46" s="66">
        <f>INDEX('All Units'!$R$5:$R$1272,MATCH("#"&amp;TEXT($A46,"00")&amp;"-"&amp;TEXT(C$6,"00"),'All Units'!$A$5:$A$1272,0))</f>
        <v>1853000</v>
      </c>
      <c r="D46" s="66">
        <f>INDEX('All Units'!$R$5:$R$1272,MATCH("#"&amp;TEXT($A46,"00")&amp;"-"&amp;TEXT(D$6,"00"),'All Units'!$A$5:$A$1272,0))</f>
        <v>1903100</v>
      </c>
      <c r="E46" s="66">
        <f>INDEX('All Units'!$R$5:$R$1272,MATCH("#"&amp;TEXT($A46,"00")&amp;"-"&amp;TEXT(E$6,"00"),'All Units'!$A$5:$A$1272,0))</f>
        <v>1903100</v>
      </c>
      <c r="F46" s="66">
        <f>INDEX('All Units'!$R$5:$R$1272,MATCH("#"&amp;TEXT($A46,"00")&amp;"-"&amp;TEXT(F$6,"00"),'All Units'!$A$5:$A$1272,0))</f>
        <v>1803500</v>
      </c>
      <c r="G46" s="66">
        <f>INDEX('All Units'!$R$5:$R$1272,MATCH("#"&amp;TEXT($A46,"00")&amp;"-"&amp;TEXT(G$6,"00"),'All Units'!$A$5:$A$1272,0))</f>
        <v>1803500</v>
      </c>
      <c r="H46" s="66">
        <f>INDEX('All Units'!$R$5:$R$1272,MATCH("#"&amp;TEXT($A46,"00")&amp;"-"&amp;TEXT(H$6,"00"),'All Units'!$A$5:$A$1272,0))</f>
        <v>1899100</v>
      </c>
      <c r="I46" s="66">
        <f>INDEX('All Units'!$R$5:$R$1272,MATCH("#"&amp;TEXT($A46,"00")&amp;"-"&amp;TEXT(I$6,"00"),'All Units'!$A$5:$A$1272,0))</f>
        <v>1899100</v>
      </c>
      <c r="J46" s="66">
        <f>INDEX('All Units'!$R$5:$R$1272,MATCH("#"&amp;TEXT($A46,"00")&amp;"-"&amp;TEXT(J$6,"00"),'All Units'!$A$5:$A$1272,0))</f>
        <v>1807500</v>
      </c>
      <c r="K46" s="66">
        <f>INDEX('All Units'!$R$5:$R$1272,MATCH("#"&amp;TEXT($A46,"00")&amp;"-"&amp;TEXT(K$6,"00"),'All Units'!$A$5:$A$1272,0))</f>
        <v>1807500</v>
      </c>
      <c r="L46" s="66">
        <f>INDEX('All Units'!$R$5:$R$1272,MATCH("#"&amp;TEXT($A46,"00")&amp;"-"&amp;TEXT(L$6,"00"),'All Units'!$A$5:$A$1272,0))</f>
        <v>1807500</v>
      </c>
      <c r="M46" s="66">
        <f>INDEX('All Units'!$R$5:$R$1272,MATCH("#"&amp;TEXT($A46,"00")&amp;"-"&amp;TEXT(M$6,"00"),'All Units'!$A$5:$A$1272,0))</f>
        <v>1848200</v>
      </c>
      <c r="N46" s="66">
        <f>INDEX('All Units'!$R$5:$R$1272,MATCH("#"&amp;TEXT($A46,"00")&amp;"-"&amp;TEXT(N$6,"00"),'All Units'!$A$5:$A$1272,0))</f>
        <v>2024500</v>
      </c>
      <c r="O46" s="66">
        <f>INDEX('All Units'!$R$5:$R$1272,MATCH("#"&amp;TEXT($A46,"00")&amp;"-"&amp;TEXT(O$6,"00"),'All Units'!$A$5:$A$1272,0))</f>
        <v>2024500</v>
      </c>
      <c r="P46" s="66">
        <f>INDEX('All Units'!$R$5:$R$1272,MATCH("#"&amp;TEXT($A46,"00")&amp;"-"&amp;TEXT(P$6,"00"),'All Units'!$A$5:$A$1272,0))</f>
        <v>1924800</v>
      </c>
      <c r="Q46" s="66">
        <f>INDEX('All Units'!$R$5:$R$1272,MATCH("#"&amp;TEXT($A46,"00")&amp;"-"&amp;TEXT(Q$6,"00"),'All Units'!$A$5:$A$1272,0))</f>
        <v>1946500</v>
      </c>
      <c r="R46" s="66">
        <f>INDEX('All Units'!$R$5:$R$1272,MATCH("#"&amp;TEXT($A46,"00")&amp;"-"&amp;TEXT(R$6,"00"),'All Units'!$A$5:$A$1272,0))</f>
        <v>1937700</v>
      </c>
      <c r="S46" s="66">
        <f>INDEX('All Units'!$R$5:$R$1272,MATCH("#"&amp;TEXT($A46,"00")&amp;"-"&amp;TEXT(S$6,"00"),'All Units'!$A$5:$A$1272,0))</f>
        <v>1998100</v>
      </c>
    </row>
    <row r="47" spans="1:19" x14ac:dyDescent="0.2">
      <c r="A47" s="67">
        <v>4</v>
      </c>
      <c r="B47" s="66">
        <f>INDEX('All Units'!$R$5:$R$1272,MATCH("#"&amp;TEXT($A47,"00")&amp;"-"&amp;TEXT(B$6,"00"),'All Units'!$A$5:$A$1272,0))</f>
        <v>1825900</v>
      </c>
      <c r="C47" s="66">
        <f>INDEX('All Units'!$R$5:$R$1272,MATCH("#"&amp;TEXT($A47,"00")&amp;"-"&amp;TEXT(C$6,"00"),'All Units'!$A$5:$A$1272,0))</f>
        <v>1825900</v>
      </c>
      <c r="D47" s="66">
        <f>INDEX('All Units'!$R$5:$R$1272,MATCH("#"&amp;TEXT($A47,"00")&amp;"-"&amp;TEXT(D$6,"00"),'All Units'!$A$5:$A$1272,0))</f>
        <v>1893000</v>
      </c>
      <c r="E47" s="66">
        <f>INDEX('All Units'!$R$5:$R$1272,MATCH("#"&amp;TEXT($A47,"00")&amp;"-"&amp;TEXT(E$6,"00"),'All Units'!$A$5:$A$1272,0))</f>
        <v>1893000</v>
      </c>
      <c r="F47" s="66">
        <f>INDEX('All Units'!$R$5:$R$1272,MATCH("#"&amp;TEXT($A47,"00")&amp;"-"&amp;TEXT(F$6,"00"),'All Units'!$A$5:$A$1272,0))</f>
        <v>1792600</v>
      </c>
      <c r="G47" s="66">
        <f>INDEX('All Units'!$R$5:$R$1272,MATCH("#"&amp;TEXT($A47,"00")&amp;"-"&amp;TEXT(G$6,"00"),'All Units'!$A$5:$A$1272,0))</f>
        <v>1792600</v>
      </c>
      <c r="H47" s="66">
        <f>INDEX('All Units'!$R$5:$R$1272,MATCH("#"&amp;TEXT($A47,"00")&amp;"-"&amp;TEXT(H$6,"00"),'All Units'!$A$5:$A$1272,0))</f>
        <v>1889600</v>
      </c>
      <c r="I47" s="66">
        <f>INDEX('All Units'!$R$5:$R$1272,MATCH("#"&amp;TEXT($A47,"00")&amp;"-"&amp;TEXT(I$6,"00"),'All Units'!$A$5:$A$1272,0))</f>
        <v>1889600</v>
      </c>
      <c r="J47" s="66">
        <f>INDEX('All Units'!$R$5:$R$1272,MATCH("#"&amp;TEXT($A47,"00")&amp;"-"&amp;TEXT(J$6,"00"),'All Units'!$A$5:$A$1272,0))</f>
        <v>1795300</v>
      </c>
      <c r="K47" s="66">
        <f>INDEX('All Units'!$R$5:$R$1272,MATCH("#"&amp;TEXT($A47,"00")&amp;"-"&amp;TEXT(K$6,"00"),'All Units'!$A$5:$A$1272,0))</f>
        <v>1795300</v>
      </c>
      <c r="L47" s="66">
        <f>INDEX('All Units'!$R$5:$R$1272,MATCH("#"&amp;TEXT($A47,"00")&amp;"-"&amp;TEXT(L$6,"00"),'All Units'!$A$5:$A$1272,0))</f>
        <v>1795300</v>
      </c>
      <c r="M47" s="66">
        <f>INDEX('All Units'!$R$5:$R$1272,MATCH("#"&amp;TEXT($A47,"00")&amp;"-"&amp;TEXT(M$6,"00"),'All Units'!$A$5:$A$1272,0))</f>
        <v>1822500</v>
      </c>
      <c r="N47" s="66">
        <f>INDEX('All Units'!$R$5:$R$1272,MATCH("#"&amp;TEXT($A47,"00")&amp;"-"&amp;TEXT(N$6,"00"),'All Units'!$A$5:$A$1272,0))</f>
        <v>2011600</v>
      </c>
      <c r="O47" s="66">
        <f>INDEX('All Units'!$R$5:$R$1272,MATCH("#"&amp;TEXT($A47,"00")&amp;"-"&amp;TEXT(O$6,"00"),'All Units'!$A$5:$A$1272,0))</f>
        <v>2011600</v>
      </c>
      <c r="P47" s="66">
        <f>INDEX('All Units'!$R$5:$R$1272,MATCH("#"&amp;TEXT($A47,"00")&amp;"-"&amp;TEXT(P$6,"00"),'All Units'!$A$5:$A$1272,0))</f>
        <v>1911300</v>
      </c>
      <c r="Q47" s="66">
        <f>INDEX('All Units'!$R$5:$R$1272,MATCH("#"&amp;TEXT($A47,"00")&amp;"-"&amp;TEXT(Q$6,"00"),'All Units'!$A$5:$A$1272,0))</f>
        <v>1928200</v>
      </c>
      <c r="R47" s="66">
        <f>INDEX('All Units'!$R$5:$R$1272,MATCH("#"&amp;TEXT($A47,"00")&amp;"-"&amp;TEXT(R$6,"00"),'All Units'!$A$5:$A$1272,0))</f>
        <v>1918100</v>
      </c>
      <c r="S47" s="66">
        <f>INDEX('All Units'!$R$5:$R$1272,MATCH("#"&amp;TEXT($A47,"00")&amp;"-"&amp;TEXT(S$6,"00"),'All Units'!$A$5:$A$1272,0))</f>
        <v>1985200</v>
      </c>
    </row>
    <row r="48" spans="1:19" x14ac:dyDescent="0.2">
      <c r="A48" s="67">
        <v>3</v>
      </c>
      <c r="B48" s="66">
        <f>INDEX('All Units'!$R$5:$R$1272,MATCH("#"&amp;TEXT($A48,"00")&amp;"-"&amp;TEXT(B$6,"00"),'All Units'!$A$5:$A$1272,0))</f>
        <v>1798700</v>
      </c>
      <c r="C48" s="66">
        <f>INDEX('All Units'!$R$5:$R$1272,MATCH("#"&amp;TEXT($A48,"00")&amp;"-"&amp;TEXT(C$6,"00"),'All Units'!$A$5:$A$1272,0))</f>
        <v>1798700</v>
      </c>
      <c r="D48" s="66">
        <f>INDEX('All Units'!$R$5:$R$1272,MATCH("#"&amp;TEXT($A48,"00")&amp;"-"&amp;TEXT(D$6,"00"),'All Units'!$A$5:$A$1272,0))</f>
        <v>1882100</v>
      </c>
      <c r="E48" s="66">
        <f>INDEX('All Units'!$R$5:$R$1272,MATCH("#"&amp;TEXT($A48,"00")&amp;"-"&amp;TEXT(E$6,"00"),'All Units'!$A$5:$A$1272,0))</f>
        <v>1882100</v>
      </c>
      <c r="F48" s="66">
        <f>INDEX('All Units'!$R$5:$R$1272,MATCH("#"&amp;TEXT($A48,"00")&amp;"-"&amp;TEXT(F$6,"00"),'All Units'!$A$5:$A$1272,0))</f>
        <v>1782500</v>
      </c>
      <c r="G48" s="66">
        <f>INDEX('All Units'!$R$5:$R$1272,MATCH("#"&amp;TEXT($A48,"00")&amp;"-"&amp;TEXT(G$6,"00"),'All Units'!$A$5:$A$1272,0))</f>
        <v>1782500</v>
      </c>
      <c r="H48" s="66">
        <f>INDEX('All Units'!$R$5:$R$1272,MATCH("#"&amp;TEXT($A48,"00")&amp;"-"&amp;TEXT(H$6,"00"),'All Units'!$A$5:$A$1272,0))</f>
        <v>1880800</v>
      </c>
      <c r="I48" s="66">
        <f>INDEX('All Units'!$R$5:$R$1272,MATCH("#"&amp;TEXT($A48,"00")&amp;"-"&amp;TEXT(I$6,"00"),'All Units'!$A$5:$A$1272,0))</f>
        <v>1880800</v>
      </c>
      <c r="J48" s="66">
        <f>INDEX('All Units'!$R$5:$R$1272,MATCH("#"&amp;TEXT($A48,"00")&amp;"-"&amp;TEXT(J$6,"00"),'All Units'!$A$5:$A$1272,0))</f>
        <v>1783800</v>
      </c>
      <c r="K48" s="66">
        <f>INDEX('All Units'!$R$5:$R$1272,MATCH("#"&amp;TEXT($A48,"00")&amp;"-"&amp;TEXT(K$6,"00"),'All Units'!$A$5:$A$1272,0))</f>
        <v>1783800</v>
      </c>
      <c r="L48" s="66">
        <f>INDEX('All Units'!$R$5:$R$1272,MATCH("#"&amp;TEXT($A48,"00")&amp;"-"&amp;TEXT(L$6,"00"),'All Units'!$A$5:$A$1272,0))</f>
        <v>1783800</v>
      </c>
      <c r="M48" s="66">
        <f>INDEX('All Units'!$R$5:$R$1272,MATCH("#"&amp;TEXT($A48,"00")&amp;"-"&amp;TEXT(M$6,"00"),'All Units'!$A$5:$A$1272,0))</f>
        <v>1797400</v>
      </c>
      <c r="N48" s="66">
        <f>INDEX('All Units'!$R$5:$R$1272,MATCH("#"&amp;TEXT($A48,"00")&amp;"-"&amp;TEXT(N$6,"00"),'All Units'!$A$5:$A$1272,0))</f>
        <v>1998700</v>
      </c>
      <c r="O48" s="66">
        <f>INDEX('All Units'!$R$5:$R$1272,MATCH("#"&amp;TEXT($A48,"00")&amp;"-"&amp;TEXT(O$6,"00"),'All Units'!$A$5:$A$1272,0))</f>
        <v>1998700</v>
      </c>
      <c r="P48" s="66">
        <f>INDEX('All Units'!$R$5:$R$1272,MATCH("#"&amp;TEXT($A48,"00")&amp;"-"&amp;TEXT(P$6,"00"),'All Units'!$A$5:$A$1272,0))</f>
        <v>1898400</v>
      </c>
      <c r="Q48" s="66">
        <f>INDEX('All Units'!$R$5:$R$1272,MATCH("#"&amp;TEXT($A48,"00")&amp;"-"&amp;TEXT(Q$6,"00"),'All Units'!$A$5:$A$1272,0))</f>
        <v>1909200</v>
      </c>
      <c r="R48" s="66">
        <f>INDEX('All Units'!$R$5:$R$1272,MATCH("#"&amp;TEXT($A48,"00")&amp;"-"&amp;TEXT(R$6,"00"),'All Units'!$A$5:$A$1272,0))</f>
        <v>1898400</v>
      </c>
      <c r="S48" s="66">
        <f>INDEX('All Units'!$R$5:$R$1272,MATCH("#"&amp;TEXT($A48,"00")&amp;"-"&amp;TEXT(S$6,"00"),'All Units'!$A$5:$A$1272,0))</f>
        <v>1973000</v>
      </c>
    </row>
    <row r="49" spans="1:19" x14ac:dyDescent="0.2">
      <c r="A49" s="67">
        <v>2</v>
      </c>
      <c r="B49" s="66">
        <f>INDEX('All Units'!$R$5:$R$1272,MATCH("#"&amp;TEXT($A49,"00")&amp;"-"&amp;TEXT(B$6,"00"),'All Units'!$A$5:$A$1272,0))</f>
        <v>1772000</v>
      </c>
      <c r="C49" s="66">
        <f>INDEX('All Units'!$R$5:$R$1272,MATCH("#"&amp;TEXT($A49,"00")&amp;"-"&amp;TEXT(C$6,"00"),'All Units'!$A$5:$A$1272,0))</f>
        <v>1772000</v>
      </c>
      <c r="D49" s="66">
        <f>INDEX('All Units'!$R$5:$R$1272,MATCH("#"&amp;TEXT($A49,"00")&amp;"-"&amp;TEXT(D$6,"00"),'All Units'!$A$5:$A$1272,0))</f>
        <v>1871300</v>
      </c>
      <c r="E49" s="66">
        <f>INDEX('All Units'!$R$5:$R$1272,MATCH("#"&amp;TEXT($A49,"00")&amp;"-"&amp;TEXT(E$6,"00"),'All Units'!$A$5:$A$1272,0))</f>
        <v>1871300</v>
      </c>
      <c r="F49" s="66">
        <f>INDEX('All Units'!$R$5:$R$1272,MATCH("#"&amp;TEXT($A49,"00")&amp;"-"&amp;TEXT(F$6,"00"),'All Units'!$A$5:$A$1272,0))</f>
        <v>1772000</v>
      </c>
      <c r="G49" s="66">
        <f>INDEX('All Units'!$R$5:$R$1272,MATCH("#"&amp;TEXT($A49,"00")&amp;"-"&amp;TEXT(G$6,"00"),'All Units'!$A$5:$A$1272,0))</f>
        <v>1772000</v>
      </c>
      <c r="H49" s="66">
        <f>INDEX('All Units'!$R$5:$R$1272,MATCH("#"&amp;TEXT($A49,"00")&amp;"-"&amp;TEXT(H$6,"00"),'All Units'!$A$5:$A$1272,0))</f>
        <v>1871300</v>
      </c>
      <c r="I49" s="66">
        <f>INDEX('All Units'!$R$5:$R$1272,MATCH("#"&amp;TEXT($A49,"00")&amp;"-"&amp;TEXT(I$6,"00"),'All Units'!$A$5:$A$1272,0))</f>
        <v>1871300</v>
      </c>
      <c r="J49" s="66">
        <f>INDEX('All Units'!$R$5:$R$1272,MATCH("#"&amp;TEXT($A49,"00")&amp;"-"&amp;TEXT(J$6,"00"),'All Units'!$A$5:$A$1272,0))</f>
        <v>1772000</v>
      </c>
      <c r="K49" s="66">
        <f>INDEX('All Units'!$R$5:$R$1272,MATCH("#"&amp;TEXT($A49,"00")&amp;"-"&amp;TEXT(K$6,"00"),'All Units'!$A$5:$A$1272,0))</f>
        <v>1772000</v>
      </c>
      <c r="L49" s="66">
        <f>INDEX('All Units'!$R$5:$R$1272,MATCH("#"&amp;TEXT($A49,"00")&amp;"-"&amp;TEXT(L$6,"00"),'All Units'!$A$5:$A$1272,0))</f>
        <v>1772000</v>
      </c>
      <c r="M49" s="66">
        <f>INDEX('All Units'!$R$5:$R$1272,MATCH("#"&amp;TEXT($A49,"00")&amp;"-"&amp;TEXT(M$6,"00"),'All Units'!$A$5:$A$1272,0))</f>
        <v>1772000</v>
      </c>
      <c r="N49" s="66">
        <f>INDEX('All Units'!$R$5:$R$1272,MATCH("#"&amp;TEXT($A49,"00")&amp;"-"&amp;TEXT(N$6,"00"),'All Units'!$A$5:$A$1272,0))</f>
        <v>1985900</v>
      </c>
      <c r="O49" s="68"/>
      <c r="P49" s="66">
        <f>INDEX('All Units'!$R$5:$R$1272,MATCH("#"&amp;TEXT($A49,"00")&amp;"-"&amp;TEXT(P$6,"00"),'All Units'!$A$5:$A$1272,0))</f>
        <v>1885500</v>
      </c>
      <c r="Q49" s="66">
        <f>INDEX('All Units'!$R$5:$R$1272,MATCH("#"&amp;TEXT($A49,"00")&amp;"-"&amp;TEXT(Q$6,"00"),'All Units'!$A$5:$A$1272,0))</f>
        <v>1890900</v>
      </c>
      <c r="R49" s="68"/>
      <c r="S49" s="66">
        <f>INDEX('All Units'!$R$5:$R$1272,MATCH("#"&amp;TEXT($A49,"00")&amp;"-"&amp;TEXT(S$6,"00"),'All Units'!$A$5:$A$1272,0))</f>
        <v>1960100</v>
      </c>
    </row>
    <row r="50" spans="1:19" x14ac:dyDescent="0.2">
      <c r="A50" s="67">
        <v>1</v>
      </c>
      <c r="B50" s="68"/>
      <c r="C50" s="68"/>
      <c r="D50" s="68"/>
      <c r="E50" s="68"/>
      <c r="F50" s="68"/>
      <c r="G50" s="68"/>
      <c r="H50" s="68"/>
      <c r="I50" s="68"/>
      <c r="J50" s="68"/>
      <c r="K50" s="68"/>
      <c r="L50" s="68"/>
      <c r="M50" s="68"/>
      <c r="N50" s="66">
        <f>INDEX('All Units'!$R$5:$R$1272,MATCH("#"&amp;TEXT($A50,"00")&amp;"-"&amp;TEXT(N$6,"00"),'All Units'!$A$5:$A$1272,0))</f>
        <v>1972300</v>
      </c>
      <c r="O50" s="68"/>
      <c r="P50" s="66">
        <f>INDEX('All Units'!$R$5:$R$1272,MATCH("#"&amp;TEXT($A50,"00")&amp;"-"&amp;TEXT(P$6,"00"),'All Units'!$A$5:$A$1272,0))</f>
        <v>1872600</v>
      </c>
      <c r="Q50" s="66">
        <f>INDEX('All Units'!$R$5:$R$1272,MATCH("#"&amp;TEXT($A50,"00")&amp;"-"&amp;TEXT(Q$6,"00"),'All Units'!$A$5:$A$1272,0))</f>
        <v>1872600</v>
      </c>
      <c r="R50" s="68"/>
      <c r="S50" s="66">
        <f>INDEX('All Units'!$R$5:$R$1272,MATCH("#"&amp;TEXT($A50,"00")&amp;"-"&amp;TEXT(S$6,"00"),'All Units'!$A$5:$A$1272,0))</f>
        <v>1947200</v>
      </c>
    </row>
    <row r="52" spans="1:19" x14ac:dyDescent="0.2">
      <c r="A52" s="99" t="s">
        <v>1472</v>
      </c>
      <c r="B52" s="99"/>
      <c r="C52" s="99"/>
      <c r="D52" s="99"/>
      <c r="E52" s="99"/>
      <c r="F52" s="99"/>
      <c r="G52" s="99"/>
      <c r="H52" s="99"/>
      <c r="I52" s="99"/>
      <c r="J52" s="99"/>
      <c r="K52" s="99"/>
      <c r="L52" s="99"/>
      <c r="M52" s="99"/>
      <c r="N52" s="99"/>
      <c r="O52" s="99"/>
      <c r="P52" s="99"/>
      <c r="Q52" s="99"/>
      <c r="R52" s="99"/>
      <c r="S52" s="99"/>
    </row>
    <row r="53" spans="1:19" x14ac:dyDescent="0.2">
      <c r="A53" s="67">
        <v>30</v>
      </c>
      <c r="B53" s="68"/>
      <c r="C53" s="68"/>
      <c r="D53" s="68"/>
      <c r="E53" s="68"/>
      <c r="F53" s="68"/>
      <c r="G53" s="68"/>
      <c r="H53" s="68"/>
      <c r="I53" s="68"/>
      <c r="J53" s="68"/>
      <c r="K53" s="68"/>
      <c r="L53" s="68"/>
      <c r="M53" s="68"/>
      <c r="N53" s="66">
        <f>INDEX('All Units'!$Q$5:$Q$1272,MATCH("#"&amp;TEXT($A53,"00")&amp;"-"&amp;TEXT(N$6,"00"),'All Units'!$A$5:$A$1272,0))</f>
        <v>3408</v>
      </c>
      <c r="O53" s="66">
        <f>INDEX('All Units'!$Q$5:$Q$1272,MATCH("#"&amp;TEXT($A53,"00")&amp;"-"&amp;TEXT(O$6,"00"),'All Units'!$A$5:$A$1272,0))</f>
        <v>3408</v>
      </c>
      <c r="P53" s="66">
        <f>INDEX('All Units'!$Q$5:$Q$1272,MATCH("#"&amp;TEXT($A53,"00")&amp;"-"&amp;TEXT(P$6,"00"),'All Units'!$A$5:$A$1272,0))</f>
        <v>3260</v>
      </c>
      <c r="Q53" s="66">
        <f>INDEX('All Units'!$Q$5:$Q$1272,MATCH("#"&amp;TEXT($A53,"00")&amp;"-"&amp;TEXT(Q$6,"00"),'All Units'!$A$5:$A$1272,0))</f>
        <v>3371</v>
      </c>
      <c r="R53" s="66">
        <f>INDEX('All Units'!$Q$5:$Q$1272,MATCH("#"&amp;TEXT($A53,"00")&amp;"-"&amp;TEXT(R$6,"00"),'All Units'!$A$5:$A$1272,0))</f>
        <v>3371</v>
      </c>
      <c r="S53" s="66">
        <f>INDEX('All Units'!$Q$5:$Q$1272,MATCH("#"&amp;TEXT($A53,"00")&amp;"-"&amp;TEXT(S$6,"00"),'All Units'!$A$5:$A$1272,0))</f>
        <v>3343</v>
      </c>
    </row>
    <row r="54" spans="1:19" x14ac:dyDescent="0.2">
      <c r="A54" s="67">
        <v>29</v>
      </c>
      <c r="B54" s="68"/>
      <c r="C54" s="68"/>
      <c r="D54" s="68"/>
      <c r="E54" s="68"/>
      <c r="F54" s="68"/>
      <c r="G54" s="68"/>
      <c r="H54" s="68"/>
      <c r="I54" s="68"/>
      <c r="J54" s="68"/>
      <c r="K54" s="68"/>
      <c r="L54" s="68"/>
      <c r="M54" s="68"/>
      <c r="N54" s="66">
        <f>INDEX('All Units'!$Q$5:$Q$1272,MATCH("#"&amp;TEXT($A54,"00")&amp;"-"&amp;TEXT(N$6,"00"),'All Units'!$A$5:$A$1272,0))</f>
        <v>3395</v>
      </c>
      <c r="O54" s="66">
        <f>INDEX('All Units'!$Q$5:$Q$1272,MATCH("#"&amp;TEXT($A54,"00")&amp;"-"&amp;TEXT(O$6,"00"),'All Units'!$A$5:$A$1272,0))</f>
        <v>3395</v>
      </c>
      <c r="P54" s="66">
        <f>INDEX('All Units'!$Q$5:$Q$1272,MATCH("#"&amp;TEXT($A54,"00")&amp;"-"&amp;TEXT(P$6,"00"),'All Units'!$A$5:$A$1272,0))</f>
        <v>3248</v>
      </c>
      <c r="Q54" s="66">
        <f>INDEX('All Units'!$Q$5:$Q$1272,MATCH("#"&amp;TEXT($A54,"00")&amp;"-"&amp;TEXT(Q$6,"00"),'All Units'!$A$5:$A$1272,0))</f>
        <v>3358</v>
      </c>
      <c r="R54" s="66">
        <f>INDEX('All Units'!$Q$5:$Q$1272,MATCH("#"&amp;TEXT($A54,"00")&amp;"-"&amp;TEXT(R$6,"00"),'All Units'!$A$5:$A$1272,0))</f>
        <v>3358</v>
      </c>
      <c r="S54" s="66">
        <f>INDEX('All Units'!$Q$5:$Q$1272,MATCH("#"&amp;TEXT($A54,"00")&amp;"-"&amp;TEXT(S$6,"00"),'All Units'!$A$5:$A$1272,0))</f>
        <v>3331</v>
      </c>
    </row>
    <row r="55" spans="1:19" x14ac:dyDescent="0.2">
      <c r="A55" s="67">
        <v>28</v>
      </c>
      <c r="B55" s="68"/>
      <c r="C55" s="68"/>
      <c r="D55" s="68"/>
      <c r="E55" s="68"/>
      <c r="F55" s="68"/>
      <c r="G55" s="68"/>
      <c r="H55" s="68"/>
      <c r="I55" s="68"/>
      <c r="J55" s="68"/>
      <c r="K55" s="68"/>
      <c r="L55" s="68"/>
      <c r="M55" s="68"/>
      <c r="N55" s="66">
        <f>INDEX('All Units'!$Q$5:$Q$1272,MATCH("#"&amp;TEXT($A55,"00")&amp;"-"&amp;TEXT(N$6,"00"),'All Units'!$A$5:$A$1272,0))</f>
        <v>3382</v>
      </c>
      <c r="O55" s="66">
        <f>INDEX('All Units'!$Q$5:$Q$1272,MATCH("#"&amp;TEXT($A55,"00")&amp;"-"&amp;TEXT(O$6,"00"),'All Units'!$A$5:$A$1272,0))</f>
        <v>3382</v>
      </c>
      <c r="P55" s="66">
        <f>INDEX('All Units'!$Q$5:$Q$1272,MATCH("#"&amp;TEXT($A55,"00")&amp;"-"&amp;TEXT(P$6,"00"),'All Units'!$A$5:$A$1272,0))</f>
        <v>3235</v>
      </c>
      <c r="Q55" s="66">
        <f>INDEX('All Units'!$Q$5:$Q$1272,MATCH("#"&amp;TEXT($A55,"00")&amp;"-"&amp;TEXT(Q$6,"00"),'All Units'!$A$5:$A$1272,0))</f>
        <v>3346</v>
      </c>
      <c r="R55" s="66">
        <f>INDEX('All Units'!$Q$5:$Q$1272,MATCH("#"&amp;TEXT($A55,"00")&amp;"-"&amp;TEXT(R$6,"00"),'All Units'!$A$5:$A$1272,0))</f>
        <v>3346</v>
      </c>
      <c r="S55" s="66">
        <f>INDEX('All Units'!$Q$5:$Q$1272,MATCH("#"&amp;TEXT($A55,"00")&amp;"-"&amp;TEXT(S$6,"00"),'All Units'!$A$5:$A$1272,0))</f>
        <v>3318</v>
      </c>
    </row>
    <row r="56" spans="1:19" x14ac:dyDescent="0.2">
      <c r="A56" s="67">
        <v>27</v>
      </c>
      <c r="B56" s="68"/>
      <c r="C56" s="68"/>
      <c r="D56" s="68"/>
      <c r="E56" s="68"/>
      <c r="F56" s="68"/>
      <c r="G56" s="68"/>
      <c r="H56" s="68"/>
      <c r="I56" s="68"/>
      <c r="J56" s="68"/>
      <c r="K56" s="68"/>
      <c r="L56" s="68"/>
      <c r="M56" s="68"/>
      <c r="N56" s="66">
        <f>INDEX('All Units'!$Q$5:$Q$1272,MATCH("#"&amp;TEXT($A56,"00")&amp;"-"&amp;TEXT(N$6,"00"),'All Units'!$A$5:$A$1272,0))</f>
        <v>3370</v>
      </c>
      <c r="O56" s="66">
        <f>INDEX('All Units'!$Q$5:$Q$1272,MATCH("#"&amp;TEXT($A56,"00")&amp;"-"&amp;TEXT(O$6,"00"),'All Units'!$A$5:$A$1272,0))</f>
        <v>3370</v>
      </c>
      <c r="P56" s="66">
        <f>INDEX('All Units'!$Q$5:$Q$1272,MATCH("#"&amp;TEXT($A56,"00")&amp;"-"&amp;TEXT(P$6,"00"),'All Units'!$A$5:$A$1272,0))</f>
        <v>3222</v>
      </c>
      <c r="Q56" s="66">
        <f>INDEX('All Units'!$Q$5:$Q$1272,MATCH("#"&amp;TEXT($A56,"00")&amp;"-"&amp;TEXT(Q$6,"00"),'All Units'!$A$5:$A$1272,0))</f>
        <v>3333</v>
      </c>
      <c r="R56" s="66">
        <f>INDEX('All Units'!$Q$5:$Q$1272,MATCH("#"&amp;TEXT($A56,"00")&amp;"-"&amp;TEXT(R$6,"00"),'All Units'!$A$5:$A$1272,0))</f>
        <v>3333</v>
      </c>
      <c r="S56" s="66">
        <f>INDEX('All Units'!$Q$5:$Q$1272,MATCH("#"&amp;TEXT($A56,"00")&amp;"-"&amp;TEXT(S$6,"00"),'All Units'!$A$5:$A$1272,0))</f>
        <v>3305</v>
      </c>
    </row>
    <row r="57" spans="1:19" x14ac:dyDescent="0.2">
      <c r="A57" s="67">
        <v>26</v>
      </c>
      <c r="B57" s="68"/>
      <c r="C57" s="68"/>
      <c r="D57" s="68"/>
      <c r="E57" s="68"/>
      <c r="F57" s="68"/>
      <c r="G57" s="68"/>
      <c r="H57" s="68"/>
      <c r="I57" s="68"/>
      <c r="J57" s="68"/>
      <c r="K57" s="68"/>
      <c r="L57" s="68"/>
      <c r="M57" s="68"/>
      <c r="N57" s="66">
        <f>INDEX('All Units'!$Q$5:$Q$1272,MATCH("#"&amp;TEXT($A57,"00")&amp;"-"&amp;TEXT(N$6,"00"),'All Units'!$A$5:$A$1272,0))</f>
        <v>3357</v>
      </c>
      <c r="O57" s="66">
        <f>INDEX('All Units'!$Q$5:$Q$1272,MATCH("#"&amp;TEXT($A57,"00")&amp;"-"&amp;TEXT(O$6,"00"),'All Units'!$A$5:$A$1272,0))</f>
        <v>3357</v>
      </c>
      <c r="P57" s="66">
        <f>INDEX('All Units'!$Q$5:$Q$1272,MATCH("#"&amp;TEXT($A57,"00")&amp;"-"&amp;TEXT(P$6,"00"),'All Units'!$A$5:$A$1272,0))</f>
        <v>3209</v>
      </c>
      <c r="Q57" s="66">
        <f>INDEX('All Units'!$Q$5:$Q$1272,MATCH("#"&amp;TEXT($A57,"00")&amp;"-"&amp;TEXT(Q$6,"00"),'All Units'!$A$5:$A$1272,0))</f>
        <v>3320</v>
      </c>
      <c r="R57" s="66">
        <f>INDEX('All Units'!$Q$5:$Q$1272,MATCH("#"&amp;TEXT($A57,"00")&amp;"-"&amp;TEXT(R$6,"00"),'All Units'!$A$5:$A$1272,0))</f>
        <v>3320</v>
      </c>
      <c r="S57" s="66">
        <f>INDEX('All Units'!$Q$5:$Q$1272,MATCH("#"&amp;TEXT($A57,"00")&amp;"-"&amp;TEXT(S$6,"00"),'All Units'!$A$5:$A$1272,0))</f>
        <v>3292</v>
      </c>
    </row>
    <row r="58" spans="1:19" x14ac:dyDescent="0.2">
      <c r="A58" s="67">
        <v>25</v>
      </c>
      <c r="B58" s="68"/>
      <c r="C58" s="68"/>
      <c r="D58" s="68"/>
      <c r="E58" s="68"/>
      <c r="F58" s="68"/>
      <c r="G58" s="68"/>
      <c r="H58" s="68"/>
      <c r="I58" s="68"/>
      <c r="J58" s="68"/>
      <c r="K58" s="68"/>
      <c r="L58" s="68"/>
      <c r="M58" s="68"/>
      <c r="N58" s="66">
        <f>INDEX('All Units'!$Q$5:$Q$1272,MATCH("#"&amp;TEXT($A58,"00")&amp;"-"&amp;TEXT(N$6,"00"),'All Units'!$A$5:$A$1272,0))</f>
        <v>3344</v>
      </c>
      <c r="O58" s="66">
        <f>INDEX('All Units'!$Q$5:$Q$1272,MATCH("#"&amp;TEXT($A58,"00")&amp;"-"&amp;TEXT(O$6,"00"),'All Units'!$A$5:$A$1272,0))</f>
        <v>3344</v>
      </c>
      <c r="P58" s="66">
        <f>INDEX('All Units'!$Q$5:$Q$1272,MATCH("#"&amp;TEXT($A58,"00")&amp;"-"&amp;TEXT(P$6,"00"),'All Units'!$A$5:$A$1272,0))</f>
        <v>3197</v>
      </c>
      <c r="Q58" s="66">
        <f>INDEX('All Units'!$Q$5:$Q$1272,MATCH("#"&amp;TEXT($A58,"00")&amp;"-"&amp;TEXT(Q$6,"00"),'All Units'!$A$5:$A$1272,0))</f>
        <v>3307</v>
      </c>
      <c r="R58" s="66">
        <f>INDEX('All Units'!$Q$5:$Q$1272,MATCH("#"&amp;TEXT($A58,"00")&amp;"-"&amp;TEXT(R$6,"00"),'All Units'!$A$5:$A$1272,0))</f>
        <v>3307</v>
      </c>
      <c r="S58" s="66">
        <f>INDEX('All Units'!$Q$5:$Q$1272,MATCH("#"&amp;TEXT($A58,"00")&amp;"-"&amp;TEXT(S$6,"00"),'All Units'!$A$5:$A$1272,0))</f>
        <v>3280</v>
      </c>
    </row>
    <row r="59" spans="1:19" x14ac:dyDescent="0.2">
      <c r="A59" s="67">
        <v>24</v>
      </c>
      <c r="B59" s="68"/>
      <c r="C59" s="68"/>
      <c r="D59" s="68"/>
      <c r="E59" s="68"/>
      <c r="F59" s="68"/>
      <c r="G59" s="68"/>
      <c r="H59" s="68"/>
      <c r="I59" s="68"/>
      <c r="J59" s="68"/>
      <c r="K59" s="68"/>
      <c r="L59" s="68"/>
      <c r="M59" s="68"/>
      <c r="N59" s="66">
        <f>INDEX('All Units'!$Q$5:$Q$1272,MATCH("#"&amp;TEXT($A59,"00")&amp;"-"&amp;TEXT(N$6,"00"),'All Units'!$A$5:$A$1272,0))</f>
        <v>3331</v>
      </c>
      <c r="O59" s="66">
        <f>INDEX('All Units'!$Q$5:$Q$1272,MATCH("#"&amp;TEXT($A59,"00")&amp;"-"&amp;TEXT(O$6,"00"),'All Units'!$A$5:$A$1272,0))</f>
        <v>3331</v>
      </c>
      <c r="P59" s="66">
        <f>INDEX('All Units'!$Q$5:$Q$1272,MATCH("#"&amp;TEXT($A59,"00")&amp;"-"&amp;TEXT(P$6,"00"),'All Units'!$A$5:$A$1272,0))</f>
        <v>3184</v>
      </c>
      <c r="Q59" s="66">
        <f>INDEX('All Units'!$Q$5:$Q$1272,MATCH("#"&amp;TEXT($A59,"00")&amp;"-"&amp;TEXT(Q$6,"00"),'All Units'!$A$5:$A$1272,0))</f>
        <v>3294</v>
      </c>
      <c r="R59" s="66">
        <f>INDEX('All Units'!$Q$5:$Q$1272,MATCH("#"&amp;TEXT($A59,"00")&amp;"-"&amp;TEXT(R$6,"00"),'All Units'!$A$5:$A$1272,0))</f>
        <v>3294</v>
      </c>
      <c r="S59" s="66">
        <f>INDEX('All Units'!$Q$5:$Q$1272,MATCH("#"&amp;TEXT($A59,"00")&amp;"-"&amp;TEXT(S$6,"00"),'All Units'!$A$5:$A$1272,0))</f>
        <v>3267</v>
      </c>
    </row>
    <row r="60" spans="1:19" x14ac:dyDescent="0.2">
      <c r="A60" s="67">
        <v>23</v>
      </c>
      <c r="B60" s="68"/>
      <c r="C60" s="68"/>
      <c r="D60" s="68"/>
      <c r="E60" s="68"/>
      <c r="F60" s="68"/>
      <c r="G60" s="68"/>
      <c r="H60" s="68"/>
      <c r="I60" s="68"/>
      <c r="J60" s="68"/>
      <c r="K60" s="68"/>
      <c r="L60" s="68"/>
      <c r="M60" s="68"/>
      <c r="N60" s="66">
        <f>INDEX('All Units'!$Q$5:$Q$1272,MATCH("#"&amp;TEXT($A60,"00")&amp;"-"&amp;TEXT(N$6,"00"),'All Units'!$A$5:$A$1272,0))</f>
        <v>3319</v>
      </c>
      <c r="O60" s="66">
        <f>INDEX('All Units'!$Q$5:$Q$1272,MATCH("#"&amp;TEXT($A60,"00")&amp;"-"&amp;TEXT(O$6,"00"),'All Units'!$A$5:$A$1272,0))</f>
        <v>3319</v>
      </c>
      <c r="P60" s="66">
        <f>INDEX('All Units'!$Q$5:$Q$1272,MATCH("#"&amp;TEXT($A60,"00")&amp;"-"&amp;TEXT(P$6,"00"),'All Units'!$A$5:$A$1272,0))</f>
        <v>3171</v>
      </c>
      <c r="Q60" s="66">
        <f>INDEX('All Units'!$Q$5:$Q$1272,MATCH("#"&amp;TEXT($A60,"00")&amp;"-"&amp;TEXT(Q$6,"00"),'All Units'!$A$5:$A$1272,0))</f>
        <v>3282</v>
      </c>
      <c r="R60" s="66">
        <f>INDEX('All Units'!$Q$5:$Q$1272,MATCH("#"&amp;TEXT($A60,"00")&amp;"-"&amp;TEXT(R$6,"00"),'All Units'!$A$5:$A$1272,0))</f>
        <v>3282</v>
      </c>
      <c r="S60" s="66">
        <f>INDEX('All Units'!$Q$5:$Q$1272,MATCH("#"&amp;TEXT($A60,"00")&amp;"-"&amp;TEXT(S$6,"00"),'All Units'!$A$5:$A$1272,0))</f>
        <v>3254</v>
      </c>
    </row>
    <row r="61" spans="1:19" x14ac:dyDescent="0.2">
      <c r="A61" s="67">
        <v>22</v>
      </c>
      <c r="B61" s="68"/>
      <c r="C61" s="68"/>
      <c r="D61" s="68"/>
      <c r="E61" s="68"/>
      <c r="F61" s="68"/>
      <c r="G61" s="68"/>
      <c r="H61" s="68"/>
      <c r="I61" s="68"/>
      <c r="J61" s="68"/>
      <c r="K61" s="68"/>
      <c r="L61" s="68"/>
      <c r="M61" s="68"/>
      <c r="N61" s="66">
        <f>INDEX('All Units'!$Q$5:$Q$1272,MATCH("#"&amp;TEXT($A61,"00")&amp;"-"&amp;TEXT(N$6,"00"),'All Units'!$A$5:$A$1272,0))</f>
        <v>3306</v>
      </c>
      <c r="O61" s="66">
        <f>INDEX('All Units'!$Q$5:$Q$1272,MATCH("#"&amp;TEXT($A61,"00")&amp;"-"&amp;TEXT(O$6,"00"),'All Units'!$A$5:$A$1272,0))</f>
        <v>3306</v>
      </c>
      <c r="P61" s="66">
        <f>INDEX('All Units'!$Q$5:$Q$1272,MATCH("#"&amp;TEXT($A61,"00")&amp;"-"&amp;TEXT(P$6,"00"),'All Units'!$A$5:$A$1272,0))</f>
        <v>3158</v>
      </c>
      <c r="Q61" s="66">
        <f>INDEX('All Units'!$Q$5:$Q$1272,MATCH("#"&amp;TEXT($A61,"00")&amp;"-"&amp;TEXT(Q$6,"00"),'All Units'!$A$5:$A$1272,0))</f>
        <v>3269</v>
      </c>
      <c r="R61" s="66">
        <f>INDEX('All Units'!$Q$5:$Q$1272,MATCH("#"&amp;TEXT($A61,"00")&amp;"-"&amp;TEXT(R$6,"00"),'All Units'!$A$5:$A$1272,0))</f>
        <v>3269</v>
      </c>
      <c r="S61" s="66">
        <f>INDEX('All Units'!$Q$5:$Q$1272,MATCH("#"&amp;TEXT($A61,"00")&amp;"-"&amp;TEXT(S$6,"00"),'All Units'!$A$5:$A$1272,0))</f>
        <v>3241</v>
      </c>
    </row>
    <row r="62" spans="1:19" x14ac:dyDescent="0.2">
      <c r="A62" s="67">
        <v>21</v>
      </c>
      <c r="B62" s="66">
        <f>INDEX('All Units'!$Q$5:$Q$1272,MATCH("#"&amp;TEXT($A62,"00")&amp;"-"&amp;TEXT(B$6,"00"),'All Units'!$A$5:$A$1272,0))</f>
        <v>3125</v>
      </c>
      <c r="C62" s="66">
        <f>INDEX('All Units'!$Q$5:$Q$1272,MATCH("#"&amp;TEXT($A62,"00")&amp;"-"&amp;TEXT(C$6,"00"),'All Units'!$A$5:$A$1272,0))</f>
        <v>3125</v>
      </c>
      <c r="D62" s="66">
        <f>INDEX('All Units'!$Q$5:$Q$1272,MATCH("#"&amp;TEXT($A62,"00")&amp;"-"&amp;TEXT(D$6,"00"),'All Units'!$A$5:$A$1272,0))</f>
        <v>3115</v>
      </c>
      <c r="E62" s="66">
        <f>INDEX('All Units'!$Q$5:$Q$1272,MATCH("#"&amp;TEXT($A62,"00")&amp;"-"&amp;TEXT(E$6,"00"),'All Units'!$A$5:$A$1272,0))</f>
        <v>3115</v>
      </c>
      <c r="F62" s="66">
        <f>INDEX('All Units'!$Q$5:$Q$1272,MATCH("#"&amp;TEXT($A62,"00")&amp;"-"&amp;TEXT(F$6,"00"),'All Units'!$A$5:$A$1272,0))</f>
        <v>2977</v>
      </c>
      <c r="G62" s="66">
        <f>INDEX('All Units'!$Q$5:$Q$1272,MATCH("#"&amp;TEXT($A62,"00")&amp;"-"&amp;TEXT(G$6,"00"),'All Units'!$A$5:$A$1272,0))</f>
        <v>2977</v>
      </c>
      <c r="H62" s="66">
        <f>INDEX('All Units'!$Q$5:$Q$1272,MATCH("#"&amp;TEXT($A62,"00")&amp;"-"&amp;TEXT(H$6,"00"),'All Units'!$A$5:$A$1272,0))</f>
        <v>3097</v>
      </c>
      <c r="I62" s="66">
        <f>INDEX('All Units'!$Q$5:$Q$1272,MATCH("#"&amp;TEXT($A62,"00")&amp;"-"&amp;TEXT(I$6,"00"),'All Units'!$A$5:$A$1272,0))</f>
        <v>3097</v>
      </c>
      <c r="J62" s="66">
        <f>INDEX('All Units'!$Q$5:$Q$1272,MATCH("#"&amp;TEXT($A62,"00")&amp;"-"&amp;TEXT(J$6,"00"),'All Units'!$A$5:$A$1272,0))</f>
        <v>2996</v>
      </c>
      <c r="K62" s="66">
        <f>INDEX('All Units'!$Q$5:$Q$1272,MATCH("#"&amp;TEXT($A62,"00")&amp;"-"&amp;TEXT(K$6,"00"),'All Units'!$A$5:$A$1272,0))</f>
        <v>2996</v>
      </c>
      <c r="L62" s="66">
        <f>INDEX('All Units'!$Q$5:$Q$1272,MATCH("#"&amp;TEXT($A62,"00")&amp;"-"&amp;TEXT(L$6,"00"),'All Units'!$A$5:$A$1272,0))</f>
        <v>2996</v>
      </c>
      <c r="M62" s="66">
        <f>INDEX('All Units'!$Q$5:$Q$1272,MATCH("#"&amp;TEXT($A62,"00")&amp;"-"&amp;TEXT(M$6,"00"),'All Units'!$A$5:$A$1272,0))</f>
        <v>3069</v>
      </c>
      <c r="N62" s="66">
        <f>INDEX('All Units'!$Q$5:$Q$1272,MATCH("#"&amp;TEXT($A62,"00")&amp;"-"&amp;TEXT(N$6,"00"),'All Units'!$A$5:$A$1272,0))</f>
        <v>3293</v>
      </c>
      <c r="O62" s="66">
        <f>INDEX('All Units'!$Q$5:$Q$1272,MATCH("#"&amp;TEXT($A62,"00")&amp;"-"&amp;TEXT(O$6,"00"),'All Units'!$A$5:$A$1272,0))</f>
        <v>3293</v>
      </c>
      <c r="P62" s="66">
        <f>INDEX('All Units'!$Q$5:$Q$1272,MATCH("#"&amp;TEXT($A62,"00")&amp;"-"&amp;TEXT(P$6,"00"),'All Units'!$A$5:$A$1272,0))</f>
        <v>3146</v>
      </c>
      <c r="Q62" s="66">
        <f>INDEX('All Units'!$Q$5:$Q$1272,MATCH("#"&amp;TEXT($A62,"00")&amp;"-"&amp;TEXT(Q$6,"00"),'All Units'!$A$5:$A$1272,0))</f>
        <v>3256</v>
      </c>
      <c r="R62" s="66">
        <f>INDEX('All Units'!$Q$5:$Q$1272,MATCH("#"&amp;TEXT($A62,"00")&amp;"-"&amp;TEXT(R$6,"00"),'All Units'!$A$5:$A$1272,0))</f>
        <v>3256</v>
      </c>
      <c r="S62" s="66">
        <f>INDEX('All Units'!$Q$5:$Q$1272,MATCH("#"&amp;TEXT($A62,"00")&amp;"-"&amp;TEXT(S$6,"00"),'All Units'!$A$5:$A$1272,0))</f>
        <v>3231</v>
      </c>
    </row>
    <row r="63" spans="1:19" x14ac:dyDescent="0.2">
      <c r="A63" s="67">
        <v>20</v>
      </c>
      <c r="B63" s="66">
        <f>INDEX('All Units'!$Q$5:$Q$1272,MATCH("#"&amp;TEXT($A63,"00")&amp;"-"&amp;TEXT(B$6,"00"),'All Units'!$A$5:$A$1272,0))</f>
        <v>3102</v>
      </c>
      <c r="C63" s="66">
        <f>INDEX('All Units'!$Q$5:$Q$1272,MATCH("#"&amp;TEXT($A63,"00")&amp;"-"&amp;TEXT(C$6,"00"),'All Units'!$A$5:$A$1272,0))</f>
        <v>3102</v>
      </c>
      <c r="D63" s="66">
        <f>INDEX('All Units'!$Q$5:$Q$1272,MATCH("#"&amp;TEXT($A63,"00")&amp;"-"&amp;TEXT(D$6,"00"),'All Units'!$A$5:$A$1272,0))</f>
        <v>3093</v>
      </c>
      <c r="E63" s="66">
        <f>INDEX('All Units'!$Q$5:$Q$1272,MATCH("#"&amp;TEXT($A63,"00")&amp;"-"&amp;TEXT(E$6,"00"),'All Units'!$A$5:$A$1272,0))</f>
        <v>3093</v>
      </c>
      <c r="F63" s="66">
        <f>INDEX('All Units'!$Q$5:$Q$1272,MATCH("#"&amp;TEXT($A63,"00")&amp;"-"&amp;TEXT(F$6,"00"),'All Units'!$A$5:$A$1272,0))</f>
        <v>2954</v>
      </c>
      <c r="G63" s="66">
        <f>INDEX('All Units'!$Q$5:$Q$1272,MATCH("#"&amp;TEXT($A63,"00")&amp;"-"&amp;TEXT(G$6,"00"),'All Units'!$A$5:$A$1272,0))</f>
        <v>2954</v>
      </c>
      <c r="H63" s="66">
        <f>INDEX('All Units'!$Q$5:$Q$1272,MATCH("#"&amp;TEXT($A63,"00")&amp;"-"&amp;TEXT(H$6,"00"),'All Units'!$A$5:$A$1272,0))</f>
        <v>3074</v>
      </c>
      <c r="I63" s="66">
        <f>INDEX('All Units'!$Q$5:$Q$1272,MATCH("#"&amp;TEXT($A63,"00")&amp;"-"&amp;TEXT(I$6,"00"),'All Units'!$A$5:$A$1272,0))</f>
        <v>3074</v>
      </c>
      <c r="J63" s="66">
        <f>INDEX('All Units'!$Q$5:$Q$1272,MATCH("#"&amp;TEXT($A63,"00")&amp;"-"&amp;TEXT(J$6,"00"),'All Units'!$A$5:$A$1272,0))</f>
        <v>2973</v>
      </c>
      <c r="K63" s="66">
        <f>INDEX('All Units'!$Q$5:$Q$1272,MATCH("#"&amp;TEXT($A63,"00")&amp;"-"&amp;TEXT(K$6,"00"),'All Units'!$A$5:$A$1272,0))</f>
        <v>2973</v>
      </c>
      <c r="L63" s="66">
        <f>INDEX('All Units'!$Q$5:$Q$1272,MATCH("#"&amp;TEXT($A63,"00")&amp;"-"&amp;TEXT(L$6,"00"),'All Units'!$A$5:$A$1272,0))</f>
        <v>2973</v>
      </c>
      <c r="M63" s="66">
        <f>INDEX('All Units'!$Q$5:$Q$1272,MATCH("#"&amp;TEXT($A63,"00")&amp;"-"&amp;TEXT(M$6,"00"),'All Units'!$A$5:$A$1272,0))</f>
        <v>3047</v>
      </c>
      <c r="N63" s="66">
        <f>INDEX('All Units'!$Q$5:$Q$1272,MATCH("#"&amp;TEXT($A63,"00")&amp;"-"&amp;TEXT(N$6,"00"),'All Units'!$A$5:$A$1272,0))</f>
        <v>3274</v>
      </c>
      <c r="O63" s="66">
        <f>INDEX('All Units'!$Q$5:$Q$1272,MATCH("#"&amp;TEXT($A63,"00")&amp;"-"&amp;TEXT(O$6,"00"),'All Units'!$A$5:$A$1272,0))</f>
        <v>3274</v>
      </c>
      <c r="P63" s="66">
        <f>INDEX('All Units'!$Q$5:$Q$1272,MATCH("#"&amp;TEXT($A63,"00")&amp;"-"&amp;TEXT(P$6,"00"),'All Units'!$A$5:$A$1272,0))</f>
        <v>3126</v>
      </c>
      <c r="Q63" s="66">
        <f>INDEX('All Units'!$Q$5:$Q$1272,MATCH("#"&amp;TEXT($A63,"00")&amp;"-"&amp;TEXT(Q$6,"00"),'All Units'!$A$5:$A$1272,0))</f>
        <v>3237</v>
      </c>
      <c r="R63" s="66">
        <f>INDEX('All Units'!$Q$5:$Q$1272,MATCH("#"&amp;TEXT($A63,"00")&amp;"-"&amp;TEXT(R$6,"00"),'All Units'!$A$5:$A$1272,0))</f>
        <v>3237</v>
      </c>
      <c r="S63" s="66">
        <f>INDEX('All Units'!$Q$5:$Q$1272,MATCH("#"&amp;TEXT($A63,"00")&amp;"-"&amp;TEXT(S$6,"00"),'All Units'!$A$5:$A$1272,0))</f>
        <v>3215</v>
      </c>
    </row>
    <row r="64" spans="1:19" x14ac:dyDescent="0.2">
      <c r="A64" s="67">
        <v>19</v>
      </c>
      <c r="B64" s="66">
        <f>INDEX('All Units'!$Q$5:$Q$1272,MATCH("#"&amp;TEXT($A64,"00")&amp;"-"&amp;TEXT(B$6,"00"),'All Units'!$A$5:$A$1272,0))</f>
        <v>3079</v>
      </c>
      <c r="C64" s="66">
        <f>INDEX('All Units'!$Q$5:$Q$1272,MATCH("#"&amp;TEXT($A64,"00")&amp;"-"&amp;TEXT(C$6,"00"),'All Units'!$A$5:$A$1272,0))</f>
        <v>3079</v>
      </c>
      <c r="D64" s="66">
        <f>INDEX('All Units'!$Q$5:$Q$1272,MATCH("#"&amp;TEXT($A64,"00")&amp;"-"&amp;TEXT(D$6,"00"),'All Units'!$A$5:$A$1272,0))</f>
        <v>3070</v>
      </c>
      <c r="E64" s="66">
        <f>INDEX('All Units'!$Q$5:$Q$1272,MATCH("#"&amp;TEXT($A64,"00")&amp;"-"&amp;TEXT(E$6,"00"),'All Units'!$A$5:$A$1272,0))</f>
        <v>3070</v>
      </c>
      <c r="F64" s="66">
        <f>INDEX('All Units'!$Q$5:$Q$1272,MATCH("#"&amp;TEXT($A64,"00")&amp;"-"&amp;TEXT(F$6,"00"),'All Units'!$A$5:$A$1272,0))</f>
        <v>2932</v>
      </c>
      <c r="G64" s="66">
        <f>INDEX('All Units'!$Q$5:$Q$1272,MATCH("#"&amp;TEXT($A64,"00")&amp;"-"&amp;TEXT(G$6,"00"),'All Units'!$A$5:$A$1272,0))</f>
        <v>2932</v>
      </c>
      <c r="H64" s="66">
        <f>INDEX('All Units'!$Q$5:$Q$1272,MATCH("#"&amp;TEXT($A64,"00")&amp;"-"&amp;TEXT(H$6,"00"),'All Units'!$A$5:$A$1272,0))</f>
        <v>3051</v>
      </c>
      <c r="I64" s="66">
        <f>INDEX('All Units'!$Q$5:$Q$1272,MATCH("#"&amp;TEXT($A64,"00")&amp;"-"&amp;TEXT(I$6,"00"),'All Units'!$A$5:$A$1272,0))</f>
        <v>3051</v>
      </c>
      <c r="J64" s="66">
        <f>INDEX('All Units'!$Q$5:$Q$1272,MATCH("#"&amp;TEXT($A64,"00")&amp;"-"&amp;TEXT(J$6,"00"),'All Units'!$A$5:$A$1272,0))</f>
        <v>2950</v>
      </c>
      <c r="K64" s="66">
        <f>INDEX('All Units'!$Q$5:$Q$1272,MATCH("#"&amp;TEXT($A64,"00")&amp;"-"&amp;TEXT(K$6,"00"),'All Units'!$A$5:$A$1272,0))</f>
        <v>2950</v>
      </c>
      <c r="L64" s="66">
        <f>INDEX('All Units'!$Q$5:$Q$1272,MATCH("#"&amp;TEXT($A64,"00")&amp;"-"&amp;TEXT(L$6,"00"),'All Units'!$A$5:$A$1272,0))</f>
        <v>2950</v>
      </c>
      <c r="M64" s="66">
        <f>INDEX('All Units'!$Q$5:$Q$1272,MATCH("#"&amp;TEXT($A64,"00")&amp;"-"&amp;TEXT(M$6,"00"),'All Units'!$A$5:$A$1272,0))</f>
        <v>3024</v>
      </c>
      <c r="N64" s="66">
        <f>INDEX('All Units'!$Q$5:$Q$1272,MATCH("#"&amp;TEXT($A64,"00")&amp;"-"&amp;TEXT(N$6,"00"),'All Units'!$A$5:$A$1272,0))</f>
        <v>3255</v>
      </c>
      <c r="O64" s="66">
        <f>INDEX('All Units'!$Q$5:$Q$1272,MATCH("#"&amp;TEXT($A64,"00")&amp;"-"&amp;TEXT(O$6,"00"),'All Units'!$A$5:$A$1272,0))</f>
        <v>3255</v>
      </c>
      <c r="P64" s="66">
        <f>INDEX('All Units'!$Q$5:$Q$1272,MATCH("#"&amp;TEXT($A64,"00")&amp;"-"&amp;TEXT(P$6,"00"),'All Units'!$A$5:$A$1272,0))</f>
        <v>3107</v>
      </c>
      <c r="Q64" s="66">
        <f>INDEX('All Units'!$Q$5:$Q$1272,MATCH("#"&amp;TEXT($A64,"00")&amp;"-"&amp;TEXT(Q$6,"00"),'All Units'!$A$5:$A$1272,0))</f>
        <v>3219</v>
      </c>
      <c r="R64" s="66">
        <f>INDEX('All Units'!$Q$5:$Q$1272,MATCH("#"&amp;TEXT($A64,"00")&amp;"-"&amp;TEXT(R$6,"00"),'All Units'!$A$5:$A$1272,0))</f>
        <v>3219</v>
      </c>
      <c r="S64" s="66">
        <f>INDEX('All Units'!$Q$5:$Q$1272,MATCH("#"&amp;TEXT($A64,"00")&amp;"-"&amp;TEXT(S$6,"00"),'All Units'!$A$5:$A$1272,0))</f>
        <v>3199</v>
      </c>
    </row>
    <row r="65" spans="1:19" x14ac:dyDescent="0.2">
      <c r="A65" s="67">
        <v>18</v>
      </c>
      <c r="B65" s="66">
        <f>INDEX('All Units'!$Q$5:$Q$1272,MATCH("#"&amp;TEXT($A65,"00")&amp;"-"&amp;TEXT(B$6,"00"),'All Units'!$A$5:$A$1272,0))</f>
        <v>3056</v>
      </c>
      <c r="C65" s="66">
        <f>INDEX('All Units'!$Q$5:$Q$1272,MATCH("#"&amp;TEXT($A65,"00")&amp;"-"&amp;TEXT(C$6,"00"),'All Units'!$A$5:$A$1272,0))</f>
        <v>3056</v>
      </c>
      <c r="D65" s="66">
        <f>INDEX('All Units'!$Q$5:$Q$1272,MATCH("#"&amp;TEXT($A65,"00")&amp;"-"&amp;TEXT(D$6,"00"),'All Units'!$A$5:$A$1272,0))</f>
        <v>3047</v>
      </c>
      <c r="E65" s="66">
        <f>INDEX('All Units'!$Q$5:$Q$1272,MATCH("#"&amp;TEXT($A65,"00")&amp;"-"&amp;TEXT(E$6,"00"),'All Units'!$A$5:$A$1272,0))</f>
        <v>3047</v>
      </c>
      <c r="F65" s="66">
        <f>INDEX('All Units'!$Q$5:$Q$1272,MATCH("#"&amp;TEXT($A65,"00")&amp;"-"&amp;TEXT(F$6,"00"),'All Units'!$A$5:$A$1272,0))</f>
        <v>2909</v>
      </c>
      <c r="G65" s="66">
        <f>INDEX('All Units'!$Q$5:$Q$1272,MATCH("#"&amp;TEXT($A65,"00")&amp;"-"&amp;TEXT(G$6,"00"),'All Units'!$A$5:$A$1272,0))</f>
        <v>2909</v>
      </c>
      <c r="H65" s="66">
        <f>INDEX('All Units'!$Q$5:$Q$1272,MATCH("#"&amp;TEXT($A65,"00")&amp;"-"&amp;TEXT(H$6,"00"),'All Units'!$A$5:$A$1272,0))</f>
        <v>3029</v>
      </c>
      <c r="I65" s="66">
        <f>INDEX('All Units'!$Q$5:$Q$1272,MATCH("#"&amp;TEXT($A65,"00")&amp;"-"&amp;TEXT(I$6,"00"),'All Units'!$A$5:$A$1272,0))</f>
        <v>3029</v>
      </c>
      <c r="J65" s="66">
        <f>INDEX('All Units'!$Q$5:$Q$1272,MATCH("#"&amp;TEXT($A65,"00")&amp;"-"&amp;TEXT(J$6,"00"),'All Units'!$A$5:$A$1272,0))</f>
        <v>2927</v>
      </c>
      <c r="K65" s="66">
        <f>INDEX('All Units'!$Q$5:$Q$1272,MATCH("#"&amp;TEXT($A65,"00")&amp;"-"&amp;TEXT(K$6,"00"),'All Units'!$A$5:$A$1272,0))</f>
        <v>2927</v>
      </c>
      <c r="L65" s="66">
        <f>INDEX('All Units'!$Q$5:$Q$1272,MATCH("#"&amp;TEXT($A65,"00")&amp;"-"&amp;TEXT(L$6,"00"),'All Units'!$A$5:$A$1272,0))</f>
        <v>2927</v>
      </c>
      <c r="M65" s="66">
        <f>INDEX('All Units'!$Q$5:$Q$1272,MATCH("#"&amp;TEXT($A65,"00")&amp;"-"&amp;TEXT(M$6,"00"),'All Units'!$A$5:$A$1272,0))</f>
        <v>3001</v>
      </c>
      <c r="N65" s="66">
        <f>INDEX('All Units'!$Q$5:$Q$1272,MATCH("#"&amp;TEXT($A65,"00")&amp;"-"&amp;TEXT(N$6,"00"),'All Units'!$A$5:$A$1272,0))</f>
        <v>3236</v>
      </c>
      <c r="O65" s="66">
        <f>INDEX('All Units'!$Q$5:$Q$1272,MATCH("#"&amp;TEXT($A65,"00")&amp;"-"&amp;TEXT(O$6,"00"),'All Units'!$A$5:$A$1272,0))</f>
        <v>3236</v>
      </c>
      <c r="P65" s="66">
        <f>INDEX('All Units'!$Q$5:$Q$1272,MATCH("#"&amp;TEXT($A65,"00")&amp;"-"&amp;TEXT(P$6,"00"),'All Units'!$A$5:$A$1272,0))</f>
        <v>3088</v>
      </c>
      <c r="Q65" s="66">
        <f>INDEX('All Units'!$Q$5:$Q$1272,MATCH("#"&amp;TEXT($A65,"00")&amp;"-"&amp;TEXT(Q$6,"00"),'All Units'!$A$5:$A$1272,0))</f>
        <v>3200</v>
      </c>
      <c r="R65" s="66">
        <f>INDEX('All Units'!$Q$5:$Q$1272,MATCH("#"&amp;TEXT($A65,"00")&amp;"-"&amp;TEXT(R$6,"00"),'All Units'!$A$5:$A$1272,0))</f>
        <v>3200</v>
      </c>
      <c r="S65" s="66">
        <f>INDEX('All Units'!$Q$5:$Q$1272,MATCH("#"&amp;TEXT($A65,"00")&amp;"-"&amp;TEXT(S$6,"00"),'All Units'!$A$5:$A$1272,0))</f>
        <v>3182</v>
      </c>
    </row>
    <row r="66" spans="1:19" x14ac:dyDescent="0.2">
      <c r="A66" s="67">
        <v>17</v>
      </c>
      <c r="B66" s="66">
        <f>INDEX('All Units'!$Q$5:$Q$1272,MATCH("#"&amp;TEXT($A66,"00")&amp;"-"&amp;TEXT(B$6,"00"),'All Units'!$A$5:$A$1272,0))</f>
        <v>3033</v>
      </c>
      <c r="C66" s="66">
        <f>INDEX('All Units'!$Q$5:$Q$1272,MATCH("#"&amp;TEXT($A66,"00")&amp;"-"&amp;TEXT(C$6,"00"),'All Units'!$A$5:$A$1272,0))</f>
        <v>3033</v>
      </c>
      <c r="D66" s="66">
        <f>INDEX('All Units'!$Q$5:$Q$1272,MATCH("#"&amp;TEXT($A66,"00")&amp;"-"&amp;TEXT(D$6,"00"),'All Units'!$A$5:$A$1272,0))</f>
        <v>3024</v>
      </c>
      <c r="E66" s="66">
        <f>INDEX('All Units'!$Q$5:$Q$1272,MATCH("#"&amp;TEXT($A66,"00")&amp;"-"&amp;TEXT(E$6,"00"),'All Units'!$A$5:$A$1272,0))</f>
        <v>3024</v>
      </c>
      <c r="F66" s="66">
        <f>INDEX('All Units'!$Q$5:$Q$1272,MATCH("#"&amp;TEXT($A66,"00")&amp;"-"&amp;TEXT(F$6,"00"),'All Units'!$A$5:$A$1272,0))</f>
        <v>2886</v>
      </c>
      <c r="G66" s="66">
        <f>INDEX('All Units'!$Q$5:$Q$1272,MATCH("#"&amp;TEXT($A66,"00")&amp;"-"&amp;TEXT(G$6,"00"),'All Units'!$A$5:$A$1272,0))</f>
        <v>2886</v>
      </c>
      <c r="H66" s="66">
        <f>INDEX('All Units'!$Q$5:$Q$1272,MATCH("#"&amp;TEXT($A66,"00")&amp;"-"&amp;TEXT(H$6,"00"),'All Units'!$A$5:$A$1272,0))</f>
        <v>3006</v>
      </c>
      <c r="I66" s="66">
        <f>INDEX('All Units'!$Q$5:$Q$1272,MATCH("#"&amp;TEXT($A66,"00")&amp;"-"&amp;TEXT(I$6,"00"),'All Units'!$A$5:$A$1272,0))</f>
        <v>3006</v>
      </c>
      <c r="J66" s="66">
        <f>INDEX('All Units'!$Q$5:$Q$1272,MATCH("#"&amp;TEXT($A66,"00")&amp;"-"&amp;TEXT(J$6,"00"),'All Units'!$A$5:$A$1272,0))</f>
        <v>2904</v>
      </c>
      <c r="K66" s="66">
        <f>INDEX('All Units'!$Q$5:$Q$1272,MATCH("#"&amp;TEXT($A66,"00")&amp;"-"&amp;TEXT(K$6,"00"),'All Units'!$A$5:$A$1272,0))</f>
        <v>2904</v>
      </c>
      <c r="L66" s="66">
        <f>INDEX('All Units'!$Q$5:$Q$1272,MATCH("#"&amp;TEXT($A66,"00")&amp;"-"&amp;TEXT(L$6,"00"),'All Units'!$A$5:$A$1272,0))</f>
        <v>2904</v>
      </c>
      <c r="M66" s="66">
        <f>INDEX('All Units'!$Q$5:$Q$1272,MATCH("#"&amp;TEXT($A66,"00")&amp;"-"&amp;TEXT(M$6,"00"),'All Units'!$A$5:$A$1272,0))</f>
        <v>2978</v>
      </c>
      <c r="N66" s="66">
        <f>INDEX('All Units'!$Q$5:$Q$1272,MATCH("#"&amp;TEXT($A66,"00")&amp;"-"&amp;TEXT(N$6,"00"),'All Units'!$A$5:$A$1272,0))</f>
        <v>3217</v>
      </c>
      <c r="O66" s="66">
        <f>INDEX('All Units'!$Q$5:$Q$1272,MATCH("#"&amp;TEXT($A66,"00")&amp;"-"&amp;TEXT(O$6,"00"),'All Units'!$A$5:$A$1272,0))</f>
        <v>3217</v>
      </c>
      <c r="P66" s="66">
        <f>INDEX('All Units'!$Q$5:$Q$1272,MATCH("#"&amp;TEXT($A66,"00")&amp;"-"&amp;TEXT(P$6,"00"),'All Units'!$A$5:$A$1272,0))</f>
        <v>3069</v>
      </c>
      <c r="Q66" s="66">
        <f>INDEX('All Units'!$Q$5:$Q$1272,MATCH("#"&amp;TEXT($A66,"00")&amp;"-"&amp;TEXT(Q$6,"00"),'All Units'!$A$5:$A$1272,0))</f>
        <v>3181</v>
      </c>
      <c r="R66" s="66">
        <f>INDEX('All Units'!$Q$5:$Q$1272,MATCH("#"&amp;TEXT($A66,"00")&amp;"-"&amp;TEXT(R$6,"00"),'All Units'!$A$5:$A$1272,0))</f>
        <v>3181</v>
      </c>
      <c r="S66" s="66">
        <f>INDEX('All Units'!$Q$5:$Q$1272,MATCH("#"&amp;TEXT($A66,"00")&amp;"-"&amp;TEXT(S$6,"00"),'All Units'!$A$5:$A$1272,0))</f>
        <v>3166</v>
      </c>
    </row>
    <row r="67" spans="1:19" x14ac:dyDescent="0.2">
      <c r="A67" s="67">
        <v>16</v>
      </c>
      <c r="B67" s="66">
        <f>INDEX('All Units'!$Q$5:$Q$1272,MATCH("#"&amp;TEXT($A67,"00")&amp;"-"&amp;TEXT(B$6,"00"),'All Units'!$A$5:$A$1272,0))</f>
        <v>3011</v>
      </c>
      <c r="C67" s="66">
        <f>INDEX('All Units'!$Q$5:$Q$1272,MATCH("#"&amp;TEXT($A67,"00")&amp;"-"&amp;TEXT(C$6,"00"),'All Units'!$A$5:$A$1272,0))</f>
        <v>3011</v>
      </c>
      <c r="D67" s="66">
        <f>INDEX('All Units'!$Q$5:$Q$1272,MATCH("#"&amp;TEXT($A67,"00")&amp;"-"&amp;TEXT(D$6,"00"),'All Units'!$A$5:$A$1272,0))</f>
        <v>3001</v>
      </c>
      <c r="E67" s="66">
        <f>INDEX('All Units'!$Q$5:$Q$1272,MATCH("#"&amp;TEXT($A67,"00")&amp;"-"&amp;TEXT(E$6,"00"),'All Units'!$A$5:$A$1272,0))</f>
        <v>3001</v>
      </c>
      <c r="F67" s="66">
        <f>INDEX('All Units'!$Q$5:$Q$1272,MATCH("#"&amp;TEXT($A67,"00")&amp;"-"&amp;TEXT(F$6,"00"),'All Units'!$A$5:$A$1272,0))</f>
        <v>2863</v>
      </c>
      <c r="G67" s="66">
        <f>INDEX('All Units'!$Q$5:$Q$1272,MATCH("#"&amp;TEXT($A67,"00")&amp;"-"&amp;TEXT(G$6,"00"),'All Units'!$A$5:$A$1272,0))</f>
        <v>2863</v>
      </c>
      <c r="H67" s="66">
        <f>INDEX('All Units'!$Q$5:$Q$1272,MATCH("#"&amp;TEXT($A67,"00")&amp;"-"&amp;TEXT(H$6,"00"),'All Units'!$A$5:$A$1272,0))</f>
        <v>2983</v>
      </c>
      <c r="I67" s="66">
        <f>INDEX('All Units'!$Q$5:$Q$1272,MATCH("#"&amp;TEXT($A67,"00")&amp;"-"&amp;TEXT(I$6,"00"),'All Units'!$A$5:$A$1272,0))</f>
        <v>2983</v>
      </c>
      <c r="J67" s="66">
        <f>INDEX('All Units'!$Q$5:$Q$1272,MATCH("#"&amp;TEXT($A67,"00")&amp;"-"&amp;TEXT(J$6,"00"),'All Units'!$A$5:$A$1272,0))</f>
        <v>2882</v>
      </c>
      <c r="K67" s="66">
        <f>INDEX('All Units'!$Q$5:$Q$1272,MATCH("#"&amp;TEXT($A67,"00")&amp;"-"&amp;TEXT(K$6,"00"),'All Units'!$A$5:$A$1272,0))</f>
        <v>2882</v>
      </c>
      <c r="L67" s="66">
        <f>INDEX('All Units'!$Q$5:$Q$1272,MATCH("#"&amp;TEXT($A67,"00")&amp;"-"&amp;TEXT(L$6,"00"),'All Units'!$A$5:$A$1272,0))</f>
        <v>2882</v>
      </c>
      <c r="M67" s="66">
        <f>INDEX('All Units'!$Q$5:$Q$1272,MATCH("#"&amp;TEXT($A67,"00")&amp;"-"&amp;TEXT(M$6,"00"),'All Units'!$A$5:$A$1272,0))</f>
        <v>2955</v>
      </c>
      <c r="N67" s="66">
        <f>INDEX('All Units'!$Q$5:$Q$1272,MATCH("#"&amp;TEXT($A67,"00")&amp;"-"&amp;TEXT(N$6,"00"),'All Units'!$A$5:$A$1272,0))</f>
        <v>3197</v>
      </c>
      <c r="O67" s="66">
        <f>INDEX('All Units'!$Q$5:$Q$1272,MATCH("#"&amp;TEXT($A67,"00")&amp;"-"&amp;TEXT(O$6,"00"),'All Units'!$A$5:$A$1272,0))</f>
        <v>3197</v>
      </c>
      <c r="P67" s="66">
        <f>INDEX('All Units'!$Q$5:$Q$1272,MATCH("#"&amp;TEXT($A67,"00")&amp;"-"&amp;TEXT(P$6,"00"),'All Units'!$A$5:$A$1272,0))</f>
        <v>3050</v>
      </c>
      <c r="Q67" s="66">
        <f>INDEX('All Units'!$Q$5:$Q$1272,MATCH("#"&amp;TEXT($A67,"00")&amp;"-"&amp;TEXT(Q$6,"00"),'All Units'!$A$5:$A$1272,0))</f>
        <v>3163</v>
      </c>
      <c r="R67" s="66">
        <f>INDEX('All Units'!$Q$5:$Q$1272,MATCH("#"&amp;TEXT($A67,"00")&amp;"-"&amp;TEXT(R$6,"00"),'All Units'!$A$5:$A$1272,0))</f>
        <v>3163</v>
      </c>
      <c r="S67" s="66">
        <f>INDEX('All Units'!$Q$5:$Q$1272,MATCH("#"&amp;TEXT($A67,"00")&amp;"-"&amp;TEXT(S$6,"00"),'All Units'!$A$5:$A$1272,0))</f>
        <v>3149</v>
      </c>
    </row>
    <row r="68" spans="1:19" x14ac:dyDescent="0.2">
      <c r="A68" s="67">
        <v>15</v>
      </c>
      <c r="B68" s="66">
        <f>INDEX('All Units'!$Q$5:$Q$1272,MATCH("#"&amp;TEXT($A68,"00")&amp;"-"&amp;TEXT(B$6,"00"),'All Units'!$A$5:$A$1272,0))</f>
        <v>2988</v>
      </c>
      <c r="C68" s="66">
        <f>INDEX('All Units'!$Q$5:$Q$1272,MATCH("#"&amp;TEXT($A68,"00")&amp;"-"&amp;TEXT(C$6,"00"),'All Units'!$A$5:$A$1272,0))</f>
        <v>2988</v>
      </c>
      <c r="D68" s="66">
        <f>INDEX('All Units'!$Q$5:$Q$1272,MATCH("#"&amp;TEXT($A68,"00")&amp;"-"&amp;TEXT(D$6,"00"),'All Units'!$A$5:$A$1272,0))</f>
        <v>2980</v>
      </c>
      <c r="E68" s="66">
        <f>INDEX('All Units'!$Q$5:$Q$1272,MATCH("#"&amp;TEXT($A68,"00")&amp;"-"&amp;TEXT(E$6,"00"),'All Units'!$A$5:$A$1272,0))</f>
        <v>2980</v>
      </c>
      <c r="F68" s="66">
        <f>INDEX('All Units'!$Q$5:$Q$1272,MATCH("#"&amp;TEXT($A68,"00")&amp;"-"&amp;TEXT(F$6,"00"),'All Units'!$A$5:$A$1272,0))</f>
        <v>2840</v>
      </c>
      <c r="G68" s="66">
        <f>INDEX('All Units'!$Q$5:$Q$1272,MATCH("#"&amp;TEXT($A68,"00")&amp;"-"&amp;TEXT(G$6,"00"),'All Units'!$A$5:$A$1272,0))</f>
        <v>2840</v>
      </c>
      <c r="H68" s="66">
        <f>INDEX('All Units'!$Q$5:$Q$1272,MATCH("#"&amp;TEXT($A68,"00")&amp;"-"&amp;TEXT(H$6,"00"),'All Units'!$A$5:$A$1272,0))</f>
        <v>2962</v>
      </c>
      <c r="I68" s="66">
        <f>INDEX('All Units'!$Q$5:$Q$1272,MATCH("#"&amp;TEXT($A68,"00")&amp;"-"&amp;TEXT(I$6,"00"),'All Units'!$A$5:$A$1272,0))</f>
        <v>2962</v>
      </c>
      <c r="J68" s="66">
        <f>INDEX('All Units'!$Q$5:$Q$1272,MATCH("#"&amp;TEXT($A68,"00")&amp;"-"&amp;TEXT(J$6,"00"),'All Units'!$A$5:$A$1272,0))</f>
        <v>2858</v>
      </c>
      <c r="K68" s="66">
        <f>INDEX('All Units'!$Q$5:$Q$1272,MATCH("#"&amp;TEXT($A68,"00")&amp;"-"&amp;TEXT(K$6,"00"),'All Units'!$A$5:$A$1272,0))</f>
        <v>2858</v>
      </c>
      <c r="L68" s="66">
        <f>INDEX('All Units'!$Q$5:$Q$1272,MATCH("#"&amp;TEXT($A68,"00")&amp;"-"&amp;TEXT(L$6,"00"),'All Units'!$A$5:$A$1272,0))</f>
        <v>2858</v>
      </c>
      <c r="M68" s="66">
        <f>INDEX('All Units'!$Q$5:$Q$1272,MATCH("#"&amp;TEXT($A68,"00")&amp;"-"&amp;TEXT(M$6,"00"),'All Units'!$A$5:$A$1272,0))</f>
        <v>2935</v>
      </c>
      <c r="N68" s="66">
        <f>INDEX('All Units'!$Q$5:$Q$1272,MATCH("#"&amp;TEXT($A68,"00")&amp;"-"&amp;TEXT(N$6,"00"),'All Units'!$A$5:$A$1272,0))</f>
        <v>3178</v>
      </c>
      <c r="O68" s="66">
        <f>INDEX('All Units'!$Q$5:$Q$1272,MATCH("#"&amp;TEXT($A68,"00")&amp;"-"&amp;TEXT(O$6,"00"),'All Units'!$A$5:$A$1272,0))</f>
        <v>3178</v>
      </c>
      <c r="P68" s="66">
        <f>INDEX('All Units'!$Q$5:$Q$1272,MATCH("#"&amp;TEXT($A68,"00")&amp;"-"&amp;TEXT(P$6,"00"),'All Units'!$A$5:$A$1272,0))</f>
        <v>3031</v>
      </c>
      <c r="Q68" s="66">
        <f>INDEX('All Units'!$Q$5:$Q$1272,MATCH("#"&amp;TEXT($A68,"00")&amp;"-"&amp;TEXT(Q$6,"00"),'All Units'!$A$5:$A$1272,0))</f>
        <v>3144</v>
      </c>
      <c r="R68" s="66">
        <f>INDEX('All Units'!$Q$5:$Q$1272,MATCH("#"&amp;TEXT($A68,"00")&amp;"-"&amp;TEXT(R$6,"00"),'All Units'!$A$5:$A$1272,0))</f>
        <v>3144</v>
      </c>
      <c r="S68" s="66">
        <f>INDEX('All Units'!$Q$5:$Q$1272,MATCH("#"&amp;TEXT($A68,"00")&amp;"-"&amp;TEXT(S$6,"00"),'All Units'!$A$5:$A$1272,0))</f>
        <v>3133</v>
      </c>
    </row>
    <row r="69" spans="1:19" x14ac:dyDescent="0.2">
      <c r="A69" s="67">
        <v>14</v>
      </c>
      <c r="B69" s="66">
        <f>INDEX('All Units'!$Q$5:$Q$1272,MATCH("#"&amp;TEXT($A69,"00")&amp;"-"&amp;TEXT(B$6,"00"),'All Units'!$A$5:$A$1272,0))</f>
        <v>2965</v>
      </c>
      <c r="C69" s="66">
        <f>INDEX('All Units'!$Q$5:$Q$1272,MATCH("#"&amp;TEXT($A69,"00")&amp;"-"&amp;TEXT(C$6,"00"),'All Units'!$A$5:$A$1272,0))</f>
        <v>2965</v>
      </c>
      <c r="D69" s="66">
        <f>INDEX('All Units'!$Q$5:$Q$1272,MATCH("#"&amp;TEXT($A69,"00")&amp;"-"&amp;TEXT(D$6,"00"),'All Units'!$A$5:$A$1272,0))</f>
        <v>2958</v>
      </c>
      <c r="E69" s="66">
        <f>INDEX('All Units'!$Q$5:$Q$1272,MATCH("#"&amp;TEXT($A69,"00")&amp;"-"&amp;TEXT(E$6,"00"),'All Units'!$A$5:$A$1272,0))</f>
        <v>2958</v>
      </c>
      <c r="F69" s="66">
        <f>INDEX('All Units'!$Q$5:$Q$1272,MATCH("#"&amp;TEXT($A69,"00")&amp;"-"&amp;TEXT(F$6,"00"),'All Units'!$A$5:$A$1272,0))</f>
        <v>2818</v>
      </c>
      <c r="G69" s="66">
        <f>INDEX('All Units'!$Q$5:$Q$1272,MATCH("#"&amp;TEXT($A69,"00")&amp;"-"&amp;TEXT(G$6,"00"),'All Units'!$A$5:$A$1272,0))</f>
        <v>2818</v>
      </c>
      <c r="H69" s="66">
        <f>INDEX('All Units'!$Q$5:$Q$1272,MATCH("#"&amp;TEXT($A69,"00")&amp;"-"&amp;TEXT(H$6,"00"),'All Units'!$A$5:$A$1272,0))</f>
        <v>2941</v>
      </c>
      <c r="I69" s="66">
        <f>INDEX('All Units'!$Q$5:$Q$1272,MATCH("#"&amp;TEXT($A69,"00")&amp;"-"&amp;TEXT(I$6,"00"),'All Units'!$A$5:$A$1272,0))</f>
        <v>2941</v>
      </c>
      <c r="J69" s="66">
        <f>INDEX('All Units'!$Q$5:$Q$1272,MATCH("#"&amp;TEXT($A69,"00")&amp;"-"&amp;TEXT(J$6,"00"),'All Units'!$A$5:$A$1272,0))</f>
        <v>2835</v>
      </c>
      <c r="K69" s="66">
        <f>INDEX('All Units'!$Q$5:$Q$1272,MATCH("#"&amp;TEXT($A69,"00")&amp;"-"&amp;TEXT(K$6,"00"),'All Units'!$A$5:$A$1272,0))</f>
        <v>2835</v>
      </c>
      <c r="L69" s="66">
        <f>INDEX('All Units'!$Q$5:$Q$1272,MATCH("#"&amp;TEXT($A69,"00")&amp;"-"&amp;TEXT(L$6,"00"),'All Units'!$A$5:$A$1272,0))</f>
        <v>2835</v>
      </c>
      <c r="M69" s="66">
        <f>INDEX('All Units'!$Q$5:$Q$1272,MATCH("#"&amp;TEXT($A69,"00")&amp;"-"&amp;TEXT(M$6,"00"),'All Units'!$A$5:$A$1272,0))</f>
        <v>2914</v>
      </c>
      <c r="N69" s="66">
        <f>INDEX('All Units'!$Q$5:$Q$1272,MATCH("#"&amp;TEXT($A69,"00")&amp;"-"&amp;TEXT(N$6,"00"),'All Units'!$A$5:$A$1272,0))</f>
        <v>3159</v>
      </c>
      <c r="O69" s="66">
        <f>INDEX('All Units'!$Q$5:$Q$1272,MATCH("#"&amp;TEXT($A69,"00")&amp;"-"&amp;TEXT(O$6,"00"),'All Units'!$A$5:$A$1272,0))</f>
        <v>3159</v>
      </c>
      <c r="P69" s="66">
        <f>INDEX('All Units'!$Q$5:$Q$1272,MATCH("#"&amp;TEXT($A69,"00")&amp;"-"&amp;TEXT(P$6,"00"),'All Units'!$A$5:$A$1272,0))</f>
        <v>3011</v>
      </c>
      <c r="Q69" s="66">
        <f>INDEX('All Units'!$Q$5:$Q$1272,MATCH("#"&amp;TEXT($A69,"00")&amp;"-"&amp;TEXT(Q$6,"00"),'All Units'!$A$5:$A$1272,0))</f>
        <v>3117</v>
      </c>
      <c r="R69" s="66">
        <f>INDEX('All Units'!$Q$5:$Q$1272,MATCH("#"&amp;TEXT($A69,"00")&amp;"-"&amp;TEXT(R$6,"00"),'All Units'!$A$5:$A$1272,0))</f>
        <v>3115</v>
      </c>
      <c r="S69" s="66">
        <f>INDEX('All Units'!$Q$5:$Q$1272,MATCH("#"&amp;TEXT($A69,"00")&amp;"-"&amp;TEXT(S$6,"00"),'All Units'!$A$5:$A$1272,0))</f>
        <v>3114</v>
      </c>
    </row>
    <row r="70" spans="1:19" x14ac:dyDescent="0.2">
      <c r="A70" s="67">
        <v>13</v>
      </c>
      <c r="B70" s="66">
        <f>INDEX('All Units'!$Q$5:$Q$1272,MATCH("#"&amp;TEXT($A70,"00")&amp;"-"&amp;TEXT(B$6,"00"),'All Units'!$A$5:$A$1272,0))</f>
        <v>2942</v>
      </c>
      <c r="C70" s="66">
        <f>INDEX('All Units'!$Q$5:$Q$1272,MATCH("#"&amp;TEXT($A70,"00")&amp;"-"&amp;TEXT(C$6,"00"),'All Units'!$A$5:$A$1272,0))</f>
        <v>2942</v>
      </c>
      <c r="D70" s="66">
        <f>INDEX('All Units'!$Q$5:$Q$1272,MATCH("#"&amp;TEXT($A70,"00")&amp;"-"&amp;TEXT(D$6,"00"),'All Units'!$A$5:$A$1272,0))</f>
        <v>2937</v>
      </c>
      <c r="E70" s="66">
        <f>INDEX('All Units'!$Q$5:$Q$1272,MATCH("#"&amp;TEXT($A70,"00")&amp;"-"&amp;TEXT(E$6,"00"),'All Units'!$A$5:$A$1272,0))</f>
        <v>2937</v>
      </c>
      <c r="F70" s="66">
        <f>INDEX('All Units'!$Q$5:$Q$1272,MATCH("#"&amp;TEXT($A70,"00")&amp;"-"&amp;TEXT(F$6,"00"),'All Units'!$A$5:$A$1272,0))</f>
        <v>2795</v>
      </c>
      <c r="G70" s="66">
        <f>INDEX('All Units'!$Q$5:$Q$1272,MATCH("#"&amp;TEXT($A70,"00")&amp;"-"&amp;TEXT(G$6,"00"),'All Units'!$A$5:$A$1272,0))</f>
        <v>2795</v>
      </c>
      <c r="H70" s="66">
        <f>INDEX('All Units'!$Q$5:$Q$1272,MATCH("#"&amp;TEXT($A70,"00")&amp;"-"&amp;TEXT(H$6,"00"),'All Units'!$A$5:$A$1272,0))</f>
        <v>2920</v>
      </c>
      <c r="I70" s="66">
        <f>INDEX('All Units'!$Q$5:$Q$1272,MATCH("#"&amp;TEXT($A70,"00")&amp;"-"&amp;TEXT(I$6,"00"),'All Units'!$A$5:$A$1272,0))</f>
        <v>2920</v>
      </c>
      <c r="J70" s="66">
        <f>INDEX('All Units'!$Q$5:$Q$1272,MATCH("#"&amp;TEXT($A70,"00")&amp;"-"&amp;TEXT(J$6,"00"),'All Units'!$A$5:$A$1272,0))</f>
        <v>2811</v>
      </c>
      <c r="K70" s="66">
        <f>INDEX('All Units'!$Q$5:$Q$1272,MATCH("#"&amp;TEXT($A70,"00")&amp;"-"&amp;TEXT(K$6,"00"),'All Units'!$A$5:$A$1272,0))</f>
        <v>2811</v>
      </c>
      <c r="L70" s="66">
        <f>INDEX('All Units'!$Q$5:$Q$1272,MATCH("#"&amp;TEXT($A70,"00")&amp;"-"&amp;TEXT(L$6,"00"),'All Units'!$A$5:$A$1272,0))</f>
        <v>2811</v>
      </c>
      <c r="M70" s="66">
        <f>INDEX('All Units'!$Q$5:$Q$1272,MATCH("#"&amp;TEXT($A70,"00")&amp;"-"&amp;TEXT(M$6,"00"),'All Units'!$A$5:$A$1272,0))</f>
        <v>2893</v>
      </c>
      <c r="N70" s="66">
        <f>INDEX('All Units'!$Q$5:$Q$1272,MATCH("#"&amp;TEXT($A70,"00")&amp;"-"&amp;TEXT(N$6,"00"),'All Units'!$A$5:$A$1272,0))</f>
        <v>3140</v>
      </c>
      <c r="O70" s="66">
        <f>INDEX('All Units'!$Q$5:$Q$1272,MATCH("#"&amp;TEXT($A70,"00")&amp;"-"&amp;TEXT(O$6,"00"),'All Units'!$A$5:$A$1272,0))</f>
        <v>3140</v>
      </c>
      <c r="P70" s="66">
        <f>INDEX('All Units'!$Q$5:$Q$1272,MATCH("#"&amp;TEXT($A70,"00")&amp;"-"&amp;TEXT(P$6,"00"),'All Units'!$A$5:$A$1272,0))</f>
        <v>2992</v>
      </c>
      <c r="Q70" s="66">
        <f>INDEX('All Units'!$Q$5:$Q$1272,MATCH("#"&amp;TEXT($A70,"00")&amp;"-"&amp;TEXT(Q$6,"00"),'All Units'!$A$5:$A$1272,0))</f>
        <v>3090</v>
      </c>
      <c r="R70" s="66">
        <f>INDEX('All Units'!$Q$5:$Q$1272,MATCH("#"&amp;TEXT($A70,"00")&amp;"-"&amp;TEXT(R$6,"00"),'All Units'!$A$5:$A$1272,0))</f>
        <v>3087</v>
      </c>
      <c r="S70" s="66">
        <f>INDEX('All Units'!$Q$5:$Q$1272,MATCH("#"&amp;TEXT($A70,"00")&amp;"-"&amp;TEXT(S$6,"00"),'All Units'!$A$5:$A$1272,0))</f>
        <v>3096</v>
      </c>
    </row>
    <row r="71" spans="1:19" x14ac:dyDescent="0.2">
      <c r="A71" s="67">
        <v>12</v>
      </c>
      <c r="B71" s="66">
        <f>INDEX('All Units'!$Q$5:$Q$1272,MATCH("#"&amp;TEXT($A71,"00")&amp;"-"&amp;TEXT(B$6,"00"),'All Units'!$A$5:$A$1272,0))</f>
        <v>2920</v>
      </c>
      <c r="C71" s="66">
        <f>INDEX('All Units'!$Q$5:$Q$1272,MATCH("#"&amp;TEXT($A71,"00")&amp;"-"&amp;TEXT(C$6,"00"),'All Units'!$A$5:$A$1272,0))</f>
        <v>2920</v>
      </c>
      <c r="D71" s="66">
        <f>INDEX('All Units'!$Q$5:$Q$1272,MATCH("#"&amp;TEXT($A71,"00")&amp;"-"&amp;TEXT(D$6,"00"),'All Units'!$A$5:$A$1272,0))</f>
        <v>2915</v>
      </c>
      <c r="E71" s="66">
        <f>INDEX('All Units'!$Q$5:$Q$1272,MATCH("#"&amp;TEXT($A71,"00")&amp;"-"&amp;TEXT(E$6,"00"),'All Units'!$A$5:$A$1272,0))</f>
        <v>2915</v>
      </c>
      <c r="F71" s="66">
        <f>INDEX('All Units'!$Q$5:$Q$1272,MATCH("#"&amp;TEXT($A71,"00")&amp;"-"&amp;TEXT(F$6,"00"),'All Units'!$A$5:$A$1272,0))</f>
        <v>2772</v>
      </c>
      <c r="G71" s="66">
        <f>INDEX('All Units'!$Q$5:$Q$1272,MATCH("#"&amp;TEXT($A71,"00")&amp;"-"&amp;TEXT(G$6,"00"),'All Units'!$A$5:$A$1272,0))</f>
        <v>2772</v>
      </c>
      <c r="H71" s="66">
        <f>INDEX('All Units'!$Q$5:$Q$1272,MATCH("#"&amp;TEXT($A71,"00")&amp;"-"&amp;TEXT(H$6,"00"),'All Units'!$A$5:$A$1272,0))</f>
        <v>2900</v>
      </c>
      <c r="I71" s="66">
        <f>INDEX('All Units'!$Q$5:$Q$1272,MATCH("#"&amp;TEXT($A71,"00")&amp;"-"&amp;TEXT(I$6,"00"),'All Units'!$A$5:$A$1272,0))</f>
        <v>2900</v>
      </c>
      <c r="J71" s="66">
        <f>INDEX('All Units'!$Q$5:$Q$1272,MATCH("#"&amp;TEXT($A71,"00")&amp;"-"&amp;TEXT(J$6,"00"),'All Units'!$A$5:$A$1272,0))</f>
        <v>2787</v>
      </c>
      <c r="K71" s="66">
        <f>INDEX('All Units'!$Q$5:$Q$1272,MATCH("#"&amp;TEXT($A71,"00")&amp;"-"&amp;TEXT(K$6,"00"),'All Units'!$A$5:$A$1272,0))</f>
        <v>2787</v>
      </c>
      <c r="L71" s="66">
        <f>INDEX('All Units'!$Q$5:$Q$1272,MATCH("#"&amp;TEXT($A71,"00")&amp;"-"&amp;TEXT(L$6,"00"),'All Units'!$A$5:$A$1272,0))</f>
        <v>2787</v>
      </c>
      <c r="M71" s="66">
        <f>INDEX('All Units'!$Q$5:$Q$1272,MATCH("#"&amp;TEXT($A71,"00")&amp;"-"&amp;TEXT(M$6,"00"),'All Units'!$A$5:$A$1272,0))</f>
        <v>2872</v>
      </c>
      <c r="N71" s="66">
        <f>INDEX('All Units'!$Q$5:$Q$1272,MATCH("#"&amp;TEXT($A71,"00")&amp;"-"&amp;TEXT(N$6,"00"),'All Units'!$A$5:$A$1272,0))</f>
        <v>3121</v>
      </c>
      <c r="O71" s="66">
        <f>INDEX('All Units'!$Q$5:$Q$1272,MATCH("#"&amp;TEXT($A71,"00")&amp;"-"&amp;TEXT(O$6,"00"),'All Units'!$A$5:$A$1272,0))</f>
        <v>3121</v>
      </c>
      <c r="P71" s="66">
        <f>INDEX('All Units'!$Q$5:$Q$1272,MATCH("#"&amp;TEXT($A71,"00")&amp;"-"&amp;TEXT(P$6,"00"),'All Units'!$A$5:$A$1272,0))</f>
        <v>2973</v>
      </c>
      <c r="Q71" s="66">
        <f>INDEX('All Units'!$Q$5:$Q$1272,MATCH("#"&amp;TEXT($A71,"00")&amp;"-"&amp;TEXT(Q$6,"00"),'All Units'!$A$5:$A$1272,0))</f>
        <v>3062</v>
      </c>
      <c r="R71" s="66">
        <f>INDEX('All Units'!$Q$5:$Q$1272,MATCH("#"&amp;TEXT($A71,"00")&amp;"-"&amp;TEXT(R$6,"00"),'All Units'!$A$5:$A$1272,0))</f>
        <v>3058</v>
      </c>
      <c r="S71" s="66">
        <f>INDEX('All Units'!$Q$5:$Q$1272,MATCH("#"&amp;TEXT($A71,"00")&amp;"-"&amp;TEXT(S$6,"00"),'All Units'!$A$5:$A$1272,0))</f>
        <v>3077</v>
      </c>
    </row>
    <row r="72" spans="1:19" x14ac:dyDescent="0.2">
      <c r="A72" s="67">
        <v>11</v>
      </c>
      <c r="B72" s="66">
        <f>INDEX('All Units'!$Q$5:$Q$1272,MATCH("#"&amp;TEXT($A72,"00")&amp;"-"&amp;TEXT(B$6,"00"),'All Units'!$A$5:$A$1272,0))</f>
        <v>2900</v>
      </c>
      <c r="C72" s="66">
        <f>INDEX('All Units'!$Q$5:$Q$1272,MATCH("#"&amp;TEXT($A72,"00")&amp;"-"&amp;TEXT(C$6,"00"),'All Units'!$A$5:$A$1272,0))</f>
        <v>2900</v>
      </c>
      <c r="D72" s="66">
        <f>INDEX('All Units'!$Q$5:$Q$1272,MATCH("#"&amp;TEXT($A72,"00")&amp;"-"&amp;TEXT(D$6,"00"),'All Units'!$A$5:$A$1272,0))</f>
        <v>2897</v>
      </c>
      <c r="E72" s="66">
        <f>INDEX('All Units'!$Q$5:$Q$1272,MATCH("#"&amp;TEXT($A72,"00")&amp;"-"&amp;TEXT(E$6,"00"),'All Units'!$A$5:$A$1272,0))</f>
        <v>2897</v>
      </c>
      <c r="F72" s="66">
        <f>INDEX('All Units'!$Q$5:$Q$1272,MATCH("#"&amp;TEXT($A72,"00")&amp;"-"&amp;TEXT(F$6,"00"),'All Units'!$A$5:$A$1272,0))</f>
        <v>2753</v>
      </c>
      <c r="G72" s="66">
        <f>INDEX('All Units'!$Q$5:$Q$1272,MATCH("#"&amp;TEXT($A72,"00")&amp;"-"&amp;TEXT(G$6,"00"),'All Units'!$A$5:$A$1272,0))</f>
        <v>2753</v>
      </c>
      <c r="H72" s="66">
        <f>INDEX('All Units'!$Q$5:$Q$1272,MATCH("#"&amp;TEXT($A72,"00")&amp;"-"&amp;TEXT(H$6,"00"),'All Units'!$A$5:$A$1272,0))</f>
        <v>2882</v>
      </c>
      <c r="I72" s="66">
        <f>INDEX('All Units'!$Q$5:$Q$1272,MATCH("#"&amp;TEXT($A72,"00")&amp;"-"&amp;TEXT(I$6,"00"),'All Units'!$A$5:$A$1272,0))</f>
        <v>2882</v>
      </c>
      <c r="J72" s="66">
        <f>INDEX('All Units'!$Q$5:$Q$1272,MATCH("#"&amp;TEXT($A72,"00")&amp;"-"&amp;TEXT(J$6,"00"),'All Units'!$A$5:$A$1272,0))</f>
        <v>2767</v>
      </c>
      <c r="K72" s="66">
        <f>INDEX('All Units'!$Q$5:$Q$1272,MATCH("#"&amp;TEXT($A72,"00")&amp;"-"&amp;TEXT(K$6,"00"),'All Units'!$A$5:$A$1272,0))</f>
        <v>2767</v>
      </c>
      <c r="L72" s="66">
        <f>INDEX('All Units'!$Q$5:$Q$1272,MATCH("#"&amp;TEXT($A72,"00")&amp;"-"&amp;TEXT(L$6,"00"),'All Units'!$A$5:$A$1272,0))</f>
        <v>2767</v>
      </c>
      <c r="M72" s="66">
        <f>INDEX('All Units'!$Q$5:$Q$1272,MATCH("#"&amp;TEXT($A72,"00")&amp;"-"&amp;TEXT(M$6,"00"),'All Units'!$A$5:$A$1272,0))</f>
        <v>2855</v>
      </c>
      <c r="N72" s="66">
        <f>INDEX('All Units'!$Q$5:$Q$1272,MATCH("#"&amp;TEXT($A72,"00")&amp;"-"&amp;TEXT(N$6,"00"),'All Units'!$A$5:$A$1272,0))</f>
        <v>3101</v>
      </c>
      <c r="O72" s="66">
        <f>INDEX('All Units'!$Q$5:$Q$1272,MATCH("#"&amp;TEXT($A72,"00")&amp;"-"&amp;TEXT(O$6,"00"),'All Units'!$A$5:$A$1272,0))</f>
        <v>3101</v>
      </c>
      <c r="P72" s="66">
        <f>INDEX('All Units'!$Q$5:$Q$1272,MATCH("#"&amp;TEXT($A72,"00")&amp;"-"&amp;TEXT(P$6,"00"),'All Units'!$A$5:$A$1272,0))</f>
        <v>2954</v>
      </c>
      <c r="Q72" s="66">
        <f>INDEX('All Units'!$Q$5:$Q$1272,MATCH("#"&amp;TEXT($A72,"00")&amp;"-"&amp;TEXT(Q$6,"00"),'All Units'!$A$5:$A$1272,0))</f>
        <v>3035</v>
      </c>
      <c r="R72" s="66">
        <f>INDEX('All Units'!$Q$5:$Q$1272,MATCH("#"&amp;TEXT($A72,"00")&amp;"-"&amp;TEXT(R$6,"00"),'All Units'!$A$5:$A$1272,0))</f>
        <v>3029</v>
      </c>
      <c r="S72" s="66">
        <f>INDEX('All Units'!$Q$5:$Q$1272,MATCH("#"&amp;TEXT($A72,"00")&amp;"-"&amp;TEXT(S$6,"00"),'All Units'!$A$5:$A$1272,0))</f>
        <v>3058</v>
      </c>
    </row>
    <row r="73" spans="1:19" x14ac:dyDescent="0.2">
      <c r="A73" s="67">
        <v>10</v>
      </c>
      <c r="B73" s="66">
        <f>INDEX('All Units'!$Q$5:$Q$1272,MATCH("#"&amp;TEXT($A73,"00")&amp;"-"&amp;TEXT(B$6,"00"),'All Units'!$A$5:$A$1272,0))</f>
        <v>2885</v>
      </c>
      <c r="C73" s="66">
        <f>INDEX('All Units'!$Q$5:$Q$1272,MATCH("#"&amp;TEXT($A73,"00")&amp;"-"&amp;TEXT(C$6,"00"),'All Units'!$A$5:$A$1272,0))</f>
        <v>2885</v>
      </c>
      <c r="D73" s="66">
        <f>INDEX('All Units'!$Q$5:$Q$1272,MATCH("#"&amp;TEXT($A73,"00")&amp;"-"&amp;TEXT(D$6,"00"),'All Units'!$A$5:$A$1272,0))</f>
        <v>2883</v>
      </c>
      <c r="E73" s="66">
        <f>INDEX('All Units'!$Q$5:$Q$1272,MATCH("#"&amp;TEXT($A73,"00")&amp;"-"&amp;TEXT(E$6,"00"),'All Units'!$A$5:$A$1272,0))</f>
        <v>2883</v>
      </c>
      <c r="F73" s="66">
        <f>INDEX('All Units'!$Q$5:$Q$1272,MATCH("#"&amp;TEXT($A73,"00")&amp;"-"&amp;TEXT(F$6,"00"),'All Units'!$A$5:$A$1272,0))</f>
        <v>2737</v>
      </c>
      <c r="G73" s="66">
        <f>INDEX('All Units'!$Q$5:$Q$1272,MATCH("#"&amp;TEXT($A73,"00")&amp;"-"&amp;TEXT(G$6,"00"),'All Units'!$A$5:$A$1272,0))</f>
        <v>2737</v>
      </c>
      <c r="H73" s="66">
        <f>INDEX('All Units'!$Q$5:$Q$1272,MATCH("#"&amp;TEXT($A73,"00")&amp;"-"&amp;TEXT(H$6,"00"),'All Units'!$A$5:$A$1272,0))</f>
        <v>2869</v>
      </c>
      <c r="I73" s="66">
        <f>INDEX('All Units'!$Q$5:$Q$1272,MATCH("#"&amp;TEXT($A73,"00")&amp;"-"&amp;TEXT(I$6,"00"),'All Units'!$A$5:$A$1272,0))</f>
        <v>2869</v>
      </c>
      <c r="J73" s="66">
        <f>INDEX('All Units'!$Q$5:$Q$1272,MATCH("#"&amp;TEXT($A73,"00")&amp;"-"&amp;TEXT(J$6,"00"),'All Units'!$A$5:$A$1272,0))</f>
        <v>2751</v>
      </c>
      <c r="K73" s="66">
        <f>INDEX('All Units'!$Q$5:$Q$1272,MATCH("#"&amp;TEXT($A73,"00")&amp;"-"&amp;TEXT(K$6,"00"),'All Units'!$A$5:$A$1272,0))</f>
        <v>2751</v>
      </c>
      <c r="L73" s="66">
        <f>INDEX('All Units'!$Q$5:$Q$1272,MATCH("#"&amp;TEXT($A73,"00")&amp;"-"&amp;TEXT(L$6,"00"),'All Units'!$A$5:$A$1272,0))</f>
        <v>2751</v>
      </c>
      <c r="M73" s="66">
        <f>INDEX('All Units'!$Q$5:$Q$1272,MATCH("#"&amp;TEXT($A73,"00")&amp;"-"&amp;TEXT(M$6,"00"),'All Units'!$A$5:$A$1272,0))</f>
        <v>2842</v>
      </c>
      <c r="N73" s="66">
        <f>INDEX('All Units'!$Q$5:$Q$1272,MATCH("#"&amp;TEXT($A73,"00")&amp;"-"&amp;TEXT(N$6,"00"),'All Units'!$A$5:$A$1272,0))</f>
        <v>3082</v>
      </c>
      <c r="O73" s="66">
        <f>INDEX('All Units'!$Q$5:$Q$1272,MATCH("#"&amp;TEXT($A73,"00")&amp;"-"&amp;TEXT(O$6,"00"),'All Units'!$A$5:$A$1272,0))</f>
        <v>3082</v>
      </c>
      <c r="P73" s="66">
        <f>INDEX('All Units'!$Q$5:$Q$1272,MATCH("#"&amp;TEXT($A73,"00")&amp;"-"&amp;TEXT(P$6,"00"),'All Units'!$A$5:$A$1272,0))</f>
        <v>2935</v>
      </c>
      <c r="Q73" s="66">
        <f>INDEX('All Units'!$Q$5:$Q$1272,MATCH("#"&amp;TEXT($A73,"00")&amp;"-"&amp;TEXT(Q$6,"00"),'All Units'!$A$5:$A$1272,0))</f>
        <v>3008</v>
      </c>
      <c r="R73" s="66">
        <f>INDEX('All Units'!$Q$5:$Q$1272,MATCH("#"&amp;TEXT($A73,"00")&amp;"-"&amp;TEXT(R$6,"00"),'All Units'!$A$5:$A$1272,0))</f>
        <v>3001</v>
      </c>
      <c r="S73" s="66">
        <f>INDEX('All Units'!$Q$5:$Q$1272,MATCH("#"&amp;TEXT($A73,"00")&amp;"-"&amp;TEXT(S$6,"00"),'All Units'!$A$5:$A$1272,0))</f>
        <v>3040</v>
      </c>
    </row>
    <row r="74" spans="1:19" x14ac:dyDescent="0.2">
      <c r="A74" s="67">
        <v>9</v>
      </c>
      <c r="B74" s="66">
        <f>INDEX('All Units'!$Q$5:$Q$1272,MATCH("#"&amp;TEXT($A74,"00")&amp;"-"&amp;TEXT(B$6,"00"),'All Units'!$A$5:$A$1272,0))</f>
        <v>2869</v>
      </c>
      <c r="C74" s="66">
        <f>INDEX('All Units'!$Q$5:$Q$1272,MATCH("#"&amp;TEXT($A74,"00")&amp;"-"&amp;TEXT(C$6,"00"),'All Units'!$A$5:$A$1272,0))</f>
        <v>2869</v>
      </c>
      <c r="D74" s="66">
        <f>INDEX('All Units'!$Q$5:$Q$1272,MATCH("#"&amp;TEXT($A74,"00")&amp;"-"&amp;TEXT(D$6,"00"),'All Units'!$A$5:$A$1272,0))</f>
        <v>2868</v>
      </c>
      <c r="E74" s="66">
        <f>INDEX('All Units'!$Q$5:$Q$1272,MATCH("#"&amp;TEXT($A74,"00")&amp;"-"&amp;TEXT(E$6,"00"),'All Units'!$A$5:$A$1272,0))</f>
        <v>2868</v>
      </c>
      <c r="F74" s="66">
        <f>INDEX('All Units'!$Q$5:$Q$1272,MATCH("#"&amp;TEXT($A74,"00")&amp;"-"&amp;TEXT(F$6,"00"),'All Units'!$A$5:$A$1272,0))</f>
        <v>2722</v>
      </c>
      <c r="G74" s="66">
        <f>INDEX('All Units'!$Q$5:$Q$1272,MATCH("#"&amp;TEXT($A74,"00")&amp;"-"&amp;TEXT(G$6,"00"),'All Units'!$A$5:$A$1272,0))</f>
        <v>2722</v>
      </c>
      <c r="H74" s="66">
        <f>INDEX('All Units'!$Q$5:$Q$1272,MATCH("#"&amp;TEXT($A74,"00")&amp;"-"&amp;TEXT(H$6,"00"),'All Units'!$A$5:$A$1272,0))</f>
        <v>2855</v>
      </c>
      <c r="I74" s="66">
        <f>INDEX('All Units'!$Q$5:$Q$1272,MATCH("#"&amp;TEXT($A74,"00")&amp;"-"&amp;TEXT(I$6,"00"),'All Units'!$A$5:$A$1272,0))</f>
        <v>2855</v>
      </c>
      <c r="J74" s="66">
        <f>INDEX('All Units'!$Q$5:$Q$1272,MATCH("#"&amp;TEXT($A74,"00")&amp;"-"&amp;TEXT(J$6,"00"),'All Units'!$A$5:$A$1272,0))</f>
        <v>2735</v>
      </c>
      <c r="K74" s="66">
        <f>INDEX('All Units'!$Q$5:$Q$1272,MATCH("#"&amp;TEXT($A74,"00")&amp;"-"&amp;TEXT(K$6,"00"),'All Units'!$A$5:$A$1272,0))</f>
        <v>2735</v>
      </c>
      <c r="L74" s="66">
        <f>INDEX('All Units'!$Q$5:$Q$1272,MATCH("#"&amp;TEXT($A74,"00")&amp;"-"&amp;TEXT(L$6,"00"),'All Units'!$A$5:$A$1272,0))</f>
        <v>2735</v>
      </c>
      <c r="M74" s="66">
        <f>INDEX('All Units'!$Q$5:$Q$1272,MATCH("#"&amp;TEXT($A74,"00")&amp;"-"&amp;TEXT(M$6,"00"),'All Units'!$A$5:$A$1272,0))</f>
        <v>2828</v>
      </c>
      <c r="N74" s="66">
        <f>INDEX('All Units'!$Q$5:$Q$1272,MATCH("#"&amp;TEXT($A74,"00")&amp;"-"&amp;TEXT(N$6,"00"),'All Units'!$A$5:$A$1272,0))</f>
        <v>3063</v>
      </c>
      <c r="O74" s="66">
        <f>INDEX('All Units'!$Q$5:$Q$1272,MATCH("#"&amp;TEXT($A74,"00")&amp;"-"&amp;TEXT(O$6,"00"),'All Units'!$A$5:$A$1272,0))</f>
        <v>3063</v>
      </c>
      <c r="P74" s="66">
        <f>INDEX('All Units'!$Q$5:$Q$1272,MATCH("#"&amp;TEXT($A74,"00")&amp;"-"&amp;TEXT(P$6,"00"),'All Units'!$A$5:$A$1272,0))</f>
        <v>2915</v>
      </c>
      <c r="Q74" s="66">
        <f>INDEX('All Units'!$Q$5:$Q$1272,MATCH("#"&amp;TEXT($A74,"00")&amp;"-"&amp;TEXT(Q$6,"00"),'All Units'!$A$5:$A$1272,0))</f>
        <v>2980</v>
      </c>
      <c r="R74" s="66">
        <f>INDEX('All Units'!$Q$5:$Q$1272,MATCH("#"&amp;TEXT($A74,"00")&amp;"-"&amp;TEXT(R$6,"00"),'All Units'!$A$5:$A$1272,0))</f>
        <v>2972</v>
      </c>
      <c r="S74" s="66">
        <f>INDEX('All Units'!$Q$5:$Q$1272,MATCH("#"&amp;TEXT($A74,"00")&amp;"-"&amp;TEXT(S$6,"00"),'All Units'!$A$5:$A$1272,0))</f>
        <v>3021</v>
      </c>
    </row>
    <row r="75" spans="1:19" x14ac:dyDescent="0.2">
      <c r="A75" s="67">
        <v>8</v>
      </c>
      <c r="B75" s="66">
        <f>INDEX('All Units'!$Q$5:$Q$1272,MATCH("#"&amp;TEXT($A75,"00")&amp;"-"&amp;TEXT(B$6,"00"),'All Units'!$A$5:$A$1272,0))</f>
        <v>2854</v>
      </c>
      <c r="C75" s="66">
        <f>INDEX('All Units'!$Q$5:$Q$1272,MATCH("#"&amp;TEXT($A75,"00")&amp;"-"&amp;TEXT(C$6,"00"),'All Units'!$A$5:$A$1272,0))</f>
        <v>2854</v>
      </c>
      <c r="D75" s="66">
        <f>INDEX('All Units'!$Q$5:$Q$1272,MATCH("#"&amp;TEXT($A75,"00")&amp;"-"&amp;TEXT(D$6,"00"),'All Units'!$A$5:$A$1272,0))</f>
        <v>2854</v>
      </c>
      <c r="E75" s="66">
        <f>INDEX('All Units'!$Q$5:$Q$1272,MATCH("#"&amp;TEXT($A75,"00")&amp;"-"&amp;TEXT(E$6,"00"),'All Units'!$A$5:$A$1272,0))</f>
        <v>2854</v>
      </c>
      <c r="F75" s="66">
        <f>INDEX('All Units'!$Q$5:$Q$1272,MATCH("#"&amp;TEXT($A75,"00")&amp;"-"&amp;TEXT(F$6,"00"),'All Units'!$A$5:$A$1272,0))</f>
        <v>2706</v>
      </c>
      <c r="G75" s="66">
        <f>INDEX('All Units'!$Q$5:$Q$1272,MATCH("#"&amp;TEXT($A75,"00")&amp;"-"&amp;TEXT(G$6,"00"),'All Units'!$A$5:$A$1272,0))</f>
        <v>2706</v>
      </c>
      <c r="H75" s="66">
        <f>INDEX('All Units'!$Q$5:$Q$1272,MATCH("#"&amp;TEXT($A75,"00")&amp;"-"&amp;TEXT(H$6,"00"),'All Units'!$A$5:$A$1272,0))</f>
        <v>2841</v>
      </c>
      <c r="I75" s="66">
        <f>INDEX('All Units'!$Q$5:$Q$1272,MATCH("#"&amp;TEXT($A75,"00")&amp;"-"&amp;TEXT(I$6,"00"),'All Units'!$A$5:$A$1272,0))</f>
        <v>2841</v>
      </c>
      <c r="J75" s="66">
        <f>INDEX('All Units'!$Q$5:$Q$1272,MATCH("#"&amp;TEXT($A75,"00")&amp;"-"&amp;TEXT(J$6,"00"),'All Units'!$A$5:$A$1272,0))</f>
        <v>2719</v>
      </c>
      <c r="K75" s="66">
        <f>INDEX('All Units'!$Q$5:$Q$1272,MATCH("#"&amp;TEXT($A75,"00")&amp;"-"&amp;TEXT(K$6,"00"),'All Units'!$A$5:$A$1272,0))</f>
        <v>2719</v>
      </c>
      <c r="L75" s="66">
        <f>INDEX('All Units'!$Q$5:$Q$1272,MATCH("#"&amp;TEXT($A75,"00")&amp;"-"&amp;TEXT(L$6,"00"),'All Units'!$A$5:$A$1272,0))</f>
        <v>2719</v>
      </c>
      <c r="M75" s="66">
        <f>INDEX('All Units'!$Q$5:$Q$1272,MATCH("#"&amp;TEXT($A75,"00")&amp;"-"&amp;TEXT(M$6,"00"),'All Units'!$A$5:$A$1272,0))</f>
        <v>2815</v>
      </c>
      <c r="N75" s="66">
        <f>INDEX('All Units'!$Q$5:$Q$1272,MATCH("#"&amp;TEXT($A75,"00")&amp;"-"&amp;TEXT(N$6,"00"),'All Units'!$A$5:$A$1272,0))</f>
        <v>3044</v>
      </c>
      <c r="O75" s="66">
        <f>INDEX('All Units'!$Q$5:$Q$1272,MATCH("#"&amp;TEXT($A75,"00")&amp;"-"&amp;TEXT(O$6,"00"),'All Units'!$A$5:$A$1272,0))</f>
        <v>3044</v>
      </c>
      <c r="P75" s="66">
        <f>INDEX('All Units'!$Q$5:$Q$1272,MATCH("#"&amp;TEXT($A75,"00")&amp;"-"&amp;TEXT(P$6,"00"),'All Units'!$A$5:$A$1272,0))</f>
        <v>2896</v>
      </c>
      <c r="Q75" s="66">
        <f>INDEX('All Units'!$Q$5:$Q$1272,MATCH("#"&amp;TEXT($A75,"00")&amp;"-"&amp;TEXT(Q$6,"00"),'All Units'!$A$5:$A$1272,0))</f>
        <v>2953</v>
      </c>
      <c r="R75" s="66">
        <f>INDEX('All Units'!$Q$5:$Q$1272,MATCH("#"&amp;TEXT($A75,"00")&amp;"-"&amp;TEXT(R$6,"00"),'All Units'!$A$5:$A$1272,0))</f>
        <v>2944</v>
      </c>
      <c r="S75" s="66">
        <f>INDEX('All Units'!$Q$5:$Q$1272,MATCH("#"&amp;TEXT($A75,"00")&amp;"-"&amp;TEXT(S$6,"00"),'All Units'!$A$5:$A$1272,0))</f>
        <v>3003</v>
      </c>
    </row>
    <row r="76" spans="1:19" x14ac:dyDescent="0.2">
      <c r="A76" s="67">
        <v>7</v>
      </c>
      <c r="B76" s="66">
        <f>INDEX('All Units'!$Q$5:$Q$1272,MATCH("#"&amp;TEXT($A76,"00")&amp;"-"&amp;TEXT(B$6,"00"),'All Units'!$A$5:$A$1272,0))</f>
        <v>2814</v>
      </c>
      <c r="C76" s="66">
        <f>INDEX('All Units'!$Q$5:$Q$1272,MATCH("#"&amp;TEXT($A76,"00")&amp;"-"&amp;TEXT(C$6,"00"),'All Units'!$A$5:$A$1272,0))</f>
        <v>2814</v>
      </c>
      <c r="D76" s="66">
        <f>INDEX('All Units'!$Q$5:$Q$1272,MATCH("#"&amp;TEXT($A76,"00")&amp;"-"&amp;TEXT(D$6,"00"),'All Units'!$A$5:$A$1272,0))</f>
        <v>2838</v>
      </c>
      <c r="E76" s="66">
        <f>INDEX('All Units'!$Q$5:$Q$1272,MATCH("#"&amp;TEXT($A76,"00")&amp;"-"&amp;TEXT(E$6,"00"),'All Units'!$A$5:$A$1272,0))</f>
        <v>2838</v>
      </c>
      <c r="F76" s="66">
        <f>INDEX('All Units'!$Q$5:$Q$1272,MATCH("#"&amp;TEXT($A76,"00")&amp;"-"&amp;TEXT(F$6,"00"),'All Units'!$A$5:$A$1272,0))</f>
        <v>2691</v>
      </c>
      <c r="G76" s="66">
        <f>INDEX('All Units'!$Q$5:$Q$1272,MATCH("#"&amp;TEXT($A76,"00")&amp;"-"&amp;TEXT(G$6,"00"),'All Units'!$A$5:$A$1272,0))</f>
        <v>2691</v>
      </c>
      <c r="H76" s="66">
        <f>INDEX('All Units'!$Q$5:$Q$1272,MATCH("#"&amp;TEXT($A76,"00")&amp;"-"&amp;TEXT(H$6,"00"),'All Units'!$A$5:$A$1272,0))</f>
        <v>2828</v>
      </c>
      <c r="I76" s="66">
        <f>INDEX('All Units'!$Q$5:$Q$1272,MATCH("#"&amp;TEXT($A76,"00")&amp;"-"&amp;TEXT(I$6,"00"),'All Units'!$A$5:$A$1272,0))</f>
        <v>2828</v>
      </c>
      <c r="J76" s="66">
        <f>INDEX('All Units'!$Q$5:$Q$1272,MATCH("#"&amp;TEXT($A76,"00")&amp;"-"&amp;TEXT(J$6,"00"),'All Units'!$A$5:$A$1272,0))</f>
        <v>2701</v>
      </c>
      <c r="K76" s="66">
        <f>INDEX('All Units'!$Q$5:$Q$1272,MATCH("#"&amp;TEXT($A76,"00")&amp;"-"&amp;TEXT(K$6,"00"),'All Units'!$A$5:$A$1272,0))</f>
        <v>2701</v>
      </c>
      <c r="L76" s="66">
        <f>INDEX('All Units'!$Q$5:$Q$1272,MATCH("#"&amp;TEXT($A76,"00")&amp;"-"&amp;TEXT(L$6,"00"),'All Units'!$A$5:$A$1272,0))</f>
        <v>2701</v>
      </c>
      <c r="M76" s="66">
        <f>INDEX('All Units'!$Q$5:$Q$1272,MATCH("#"&amp;TEXT($A76,"00")&amp;"-"&amp;TEXT(M$6,"00"),'All Units'!$A$5:$A$1272,0))</f>
        <v>2801</v>
      </c>
      <c r="N76" s="66">
        <f>INDEX('All Units'!$Q$5:$Q$1272,MATCH("#"&amp;TEXT($A76,"00")&amp;"-"&amp;TEXT(N$6,"00"),'All Units'!$A$5:$A$1272,0))</f>
        <v>3025</v>
      </c>
      <c r="O76" s="66">
        <f>INDEX('All Units'!$Q$5:$Q$1272,MATCH("#"&amp;TEXT($A76,"00")&amp;"-"&amp;TEXT(O$6,"00"),'All Units'!$A$5:$A$1272,0))</f>
        <v>3025</v>
      </c>
      <c r="P76" s="66">
        <f>INDEX('All Units'!$Q$5:$Q$1272,MATCH("#"&amp;TEXT($A76,"00")&amp;"-"&amp;TEXT(P$6,"00"),'All Units'!$A$5:$A$1272,0))</f>
        <v>2877</v>
      </c>
      <c r="Q76" s="66">
        <f>INDEX('All Units'!$Q$5:$Q$1272,MATCH("#"&amp;TEXT($A76,"00")&amp;"-"&amp;TEXT(Q$6,"00"),'All Units'!$A$5:$A$1272,0))</f>
        <v>2926</v>
      </c>
      <c r="R76" s="66">
        <f>INDEX('All Units'!$Q$5:$Q$1272,MATCH("#"&amp;TEXT($A76,"00")&amp;"-"&amp;TEXT(R$6,"00"),'All Units'!$A$5:$A$1272,0))</f>
        <v>2915</v>
      </c>
      <c r="S76" s="66">
        <f>INDEX('All Units'!$Q$5:$Q$1272,MATCH("#"&amp;TEXT($A76,"00")&amp;"-"&amp;TEXT(S$6,"00"),'All Units'!$A$5:$A$1272,0))</f>
        <v>2984</v>
      </c>
    </row>
    <row r="77" spans="1:19" x14ac:dyDescent="0.2">
      <c r="A77" s="67">
        <v>6</v>
      </c>
      <c r="B77" s="66">
        <f>INDEX('All Units'!$Q$5:$Q$1272,MATCH("#"&amp;TEXT($A77,"00")&amp;"-"&amp;TEXT(B$6,"00"),'All Units'!$A$5:$A$1272,0))</f>
        <v>2773</v>
      </c>
      <c r="C77" s="66">
        <f>INDEX('All Units'!$Q$5:$Q$1272,MATCH("#"&amp;TEXT($A77,"00")&amp;"-"&amp;TEXT(C$6,"00"),'All Units'!$A$5:$A$1272,0))</f>
        <v>2773</v>
      </c>
      <c r="D77" s="66">
        <f>INDEX('All Units'!$Q$5:$Q$1272,MATCH("#"&amp;TEXT($A77,"00")&amp;"-"&amp;TEXT(D$6,"00"),'All Units'!$A$5:$A$1272,0))</f>
        <v>2823</v>
      </c>
      <c r="E77" s="66">
        <f>INDEX('All Units'!$Q$5:$Q$1272,MATCH("#"&amp;TEXT($A77,"00")&amp;"-"&amp;TEXT(E$6,"00"),'All Units'!$A$5:$A$1272,0))</f>
        <v>2823</v>
      </c>
      <c r="F77" s="66">
        <f>INDEX('All Units'!$Q$5:$Q$1272,MATCH("#"&amp;TEXT($A77,"00")&amp;"-"&amp;TEXT(F$6,"00"),'All Units'!$A$5:$A$1272,0))</f>
        <v>2675</v>
      </c>
      <c r="G77" s="66">
        <f>INDEX('All Units'!$Q$5:$Q$1272,MATCH("#"&amp;TEXT($A77,"00")&amp;"-"&amp;TEXT(G$6,"00"),'All Units'!$A$5:$A$1272,0))</f>
        <v>2675</v>
      </c>
      <c r="H77" s="66">
        <f>INDEX('All Units'!$Q$5:$Q$1272,MATCH("#"&amp;TEXT($A77,"00")&amp;"-"&amp;TEXT(H$6,"00"),'All Units'!$A$5:$A$1272,0))</f>
        <v>2814</v>
      </c>
      <c r="I77" s="66">
        <f>INDEX('All Units'!$Q$5:$Q$1272,MATCH("#"&amp;TEXT($A77,"00")&amp;"-"&amp;TEXT(I$6,"00"),'All Units'!$A$5:$A$1272,0))</f>
        <v>2814</v>
      </c>
      <c r="J77" s="66">
        <f>INDEX('All Units'!$Q$5:$Q$1272,MATCH("#"&amp;TEXT($A77,"00")&amp;"-"&amp;TEXT(J$6,"00"),'All Units'!$A$5:$A$1272,0))</f>
        <v>2683</v>
      </c>
      <c r="K77" s="66">
        <f>INDEX('All Units'!$Q$5:$Q$1272,MATCH("#"&amp;TEXT($A77,"00")&amp;"-"&amp;TEXT(K$6,"00"),'All Units'!$A$5:$A$1272,0))</f>
        <v>2683</v>
      </c>
      <c r="L77" s="66">
        <f>INDEX('All Units'!$Q$5:$Q$1272,MATCH("#"&amp;TEXT($A77,"00")&amp;"-"&amp;TEXT(L$6,"00"),'All Units'!$A$5:$A$1272,0))</f>
        <v>2683</v>
      </c>
      <c r="M77" s="66">
        <f>INDEX('All Units'!$Q$5:$Q$1272,MATCH("#"&amp;TEXT($A77,"00")&amp;"-"&amp;TEXT(M$6,"00"),'All Units'!$A$5:$A$1272,0))</f>
        <v>2764</v>
      </c>
      <c r="N77" s="66">
        <f>INDEX('All Units'!$Q$5:$Q$1272,MATCH("#"&amp;TEXT($A77,"00")&amp;"-"&amp;TEXT(N$6,"00"),'All Units'!$A$5:$A$1272,0))</f>
        <v>3005</v>
      </c>
      <c r="O77" s="66">
        <f>INDEX('All Units'!$Q$5:$Q$1272,MATCH("#"&amp;TEXT($A77,"00")&amp;"-"&amp;TEXT(O$6,"00"),'All Units'!$A$5:$A$1272,0))</f>
        <v>3005</v>
      </c>
      <c r="P77" s="66">
        <f>INDEX('All Units'!$Q$5:$Q$1272,MATCH("#"&amp;TEXT($A77,"00")&amp;"-"&amp;TEXT(P$6,"00"),'All Units'!$A$5:$A$1272,0))</f>
        <v>2858</v>
      </c>
      <c r="Q77" s="66">
        <f>INDEX('All Units'!$Q$5:$Q$1272,MATCH("#"&amp;TEXT($A77,"00")&amp;"-"&amp;TEXT(Q$6,"00"),'All Units'!$A$5:$A$1272,0))</f>
        <v>2898</v>
      </c>
      <c r="R77" s="66">
        <f>INDEX('All Units'!$Q$5:$Q$1272,MATCH("#"&amp;TEXT($A77,"00")&amp;"-"&amp;TEXT(R$6,"00"),'All Units'!$A$5:$A$1272,0))</f>
        <v>2886</v>
      </c>
      <c r="S77" s="66">
        <f>INDEX('All Units'!$Q$5:$Q$1272,MATCH("#"&amp;TEXT($A77,"00")&amp;"-"&amp;TEXT(S$6,"00"),'All Units'!$A$5:$A$1272,0))</f>
        <v>2965</v>
      </c>
    </row>
    <row r="78" spans="1:19" x14ac:dyDescent="0.2">
      <c r="A78" s="67">
        <v>5</v>
      </c>
      <c r="B78" s="66">
        <f>INDEX('All Units'!$Q$5:$Q$1272,MATCH("#"&amp;TEXT($A78,"00")&amp;"-"&amp;TEXT(B$6,"00"),'All Units'!$A$5:$A$1272,0))</f>
        <v>2733</v>
      </c>
      <c r="C78" s="66">
        <f>INDEX('All Units'!$Q$5:$Q$1272,MATCH("#"&amp;TEXT($A78,"00")&amp;"-"&amp;TEXT(C$6,"00"),'All Units'!$A$5:$A$1272,0))</f>
        <v>2733</v>
      </c>
      <c r="D78" s="66">
        <f>INDEX('All Units'!$Q$5:$Q$1272,MATCH("#"&amp;TEXT($A78,"00")&amp;"-"&amp;TEXT(D$6,"00"),'All Units'!$A$5:$A$1272,0))</f>
        <v>2807</v>
      </c>
      <c r="E78" s="66">
        <f>INDEX('All Units'!$Q$5:$Q$1272,MATCH("#"&amp;TEXT($A78,"00")&amp;"-"&amp;TEXT(E$6,"00"),'All Units'!$A$5:$A$1272,0))</f>
        <v>2807</v>
      </c>
      <c r="F78" s="66">
        <f>INDEX('All Units'!$Q$5:$Q$1272,MATCH("#"&amp;TEXT($A78,"00")&amp;"-"&amp;TEXT(F$6,"00"),'All Units'!$A$5:$A$1272,0))</f>
        <v>2660</v>
      </c>
      <c r="G78" s="66">
        <f>INDEX('All Units'!$Q$5:$Q$1272,MATCH("#"&amp;TEXT($A78,"00")&amp;"-"&amp;TEXT(G$6,"00"),'All Units'!$A$5:$A$1272,0))</f>
        <v>2660</v>
      </c>
      <c r="H78" s="66">
        <f>INDEX('All Units'!$Q$5:$Q$1272,MATCH("#"&amp;TEXT($A78,"00")&amp;"-"&amp;TEXT(H$6,"00"),'All Units'!$A$5:$A$1272,0))</f>
        <v>2801</v>
      </c>
      <c r="I78" s="66">
        <f>INDEX('All Units'!$Q$5:$Q$1272,MATCH("#"&amp;TEXT($A78,"00")&amp;"-"&amp;TEXT(I$6,"00"),'All Units'!$A$5:$A$1272,0))</f>
        <v>2801</v>
      </c>
      <c r="J78" s="66">
        <f>INDEX('All Units'!$Q$5:$Q$1272,MATCH("#"&amp;TEXT($A78,"00")&amp;"-"&amp;TEXT(J$6,"00"),'All Units'!$A$5:$A$1272,0))</f>
        <v>2666</v>
      </c>
      <c r="K78" s="66">
        <f>INDEX('All Units'!$Q$5:$Q$1272,MATCH("#"&amp;TEXT($A78,"00")&amp;"-"&amp;TEXT(K$6,"00"),'All Units'!$A$5:$A$1272,0))</f>
        <v>2666</v>
      </c>
      <c r="L78" s="66">
        <f>INDEX('All Units'!$Q$5:$Q$1272,MATCH("#"&amp;TEXT($A78,"00")&amp;"-"&amp;TEXT(L$6,"00"),'All Units'!$A$5:$A$1272,0))</f>
        <v>2666</v>
      </c>
      <c r="M78" s="66">
        <f>INDEX('All Units'!$Q$5:$Q$1272,MATCH("#"&amp;TEXT($A78,"00")&amp;"-"&amp;TEXT(M$6,"00"),'All Units'!$A$5:$A$1272,0))</f>
        <v>2726</v>
      </c>
      <c r="N78" s="66">
        <f>INDEX('All Units'!$Q$5:$Q$1272,MATCH("#"&amp;TEXT($A78,"00")&amp;"-"&amp;TEXT(N$6,"00"),'All Units'!$A$5:$A$1272,0))</f>
        <v>2986</v>
      </c>
      <c r="O78" s="66">
        <f>INDEX('All Units'!$Q$5:$Q$1272,MATCH("#"&amp;TEXT($A78,"00")&amp;"-"&amp;TEXT(O$6,"00"),'All Units'!$A$5:$A$1272,0))</f>
        <v>2986</v>
      </c>
      <c r="P78" s="66">
        <f>INDEX('All Units'!$Q$5:$Q$1272,MATCH("#"&amp;TEXT($A78,"00")&amp;"-"&amp;TEXT(P$6,"00"),'All Units'!$A$5:$A$1272,0))</f>
        <v>2839</v>
      </c>
      <c r="Q78" s="66">
        <f>INDEX('All Units'!$Q$5:$Q$1272,MATCH("#"&amp;TEXT($A78,"00")&amp;"-"&amp;TEXT(Q$6,"00"),'All Units'!$A$5:$A$1272,0))</f>
        <v>2871</v>
      </c>
      <c r="R78" s="66">
        <f>INDEX('All Units'!$Q$5:$Q$1272,MATCH("#"&amp;TEXT($A78,"00")&amp;"-"&amp;TEXT(R$6,"00"),'All Units'!$A$5:$A$1272,0))</f>
        <v>2858</v>
      </c>
      <c r="S78" s="66">
        <f>INDEX('All Units'!$Q$5:$Q$1272,MATCH("#"&amp;TEXT($A78,"00")&amp;"-"&amp;TEXT(S$6,"00"),'All Units'!$A$5:$A$1272,0))</f>
        <v>2947</v>
      </c>
    </row>
    <row r="79" spans="1:19" x14ac:dyDescent="0.2">
      <c r="A79" s="67">
        <v>4</v>
      </c>
      <c r="B79" s="66">
        <f>INDEX('All Units'!$Q$5:$Q$1272,MATCH("#"&amp;TEXT($A79,"00")&amp;"-"&amp;TEXT(B$6,"00"),'All Units'!$A$5:$A$1272,0))</f>
        <v>2693</v>
      </c>
      <c r="C79" s="66">
        <f>INDEX('All Units'!$Q$5:$Q$1272,MATCH("#"&amp;TEXT($A79,"00")&amp;"-"&amp;TEXT(C$6,"00"),'All Units'!$A$5:$A$1272,0))</f>
        <v>2693</v>
      </c>
      <c r="D79" s="66">
        <f>INDEX('All Units'!$Q$5:$Q$1272,MATCH("#"&amp;TEXT($A79,"00")&amp;"-"&amp;TEXT(D$6,"00"),'All Units'!$A$5:$A$1272,0))</f>
        <v>2792</v>
      </c>
      <c r="E79" s="66">
        <f>INDEX('All Units'!$Q$5:$Q$1272,MATCH("#"&amp;TEXT($A79,"00")&amp;"-"&amp;TEXT(E$6,"00"),'All Units'!$A$5:$A$1272,0))</f>
        <v>2792</v>
      </c>
      <c r="F79" s="66">
        <f>INDEX('All Units'!$Q$5:$Q$1272,MATCH("#"&amp;TEXT($A79,"00")&amp;"-"&amp;TEXT(F$6,"00"),'All Units'!$A$5:$A$1272,0))</f>
        <v>2644</v>
      </c>
      <c r="G79" s="66">
        <f>INDEX('All Units'!$Q$5:$Q$1272,MATCH("#"&amp;TEXT($A79,"00")&amp;"-"&amp;TEXT(G$6,"00"),'All Units'!$A$5:$A$1272,0))</f>
        <v>2644</v>
      </c>
      <c r="H79" s="66">
        <f>INDEX('All Units'!$Q$5:$Q$1272,MATCH("#"&amp;TEXT($A79,"00")&amp;"-"&amp;TEXT(H$6,"00"),'All Units'!$A$5:$A$1272,0))</f>
        <v>2787</v>
      </c>
      <c r="I79" s="66">
        <f>INDEX('All Units'!$Q$5:$Q$1272,MATCH("#"&amp;TEXT($A79,"00")&amp;"-"&amp;TEXT(I$6,"00"),'All Units'!$A$5:$A$1272,0))</f>
        <v>2787</v>
      </c>
      <c r="J79" s="66">
        <f>INDEX('All Units'!$Q$5:$Q$1272,MATCH("#"&amp;TEXT($A79,"00")&amp;"-"&amp;TEXT(J$6,"00"),'All Units'!$A$5:$A$1272,0))</f>
        <v>2648</v>
      </c>
      <c r="K79" s="66">
        <f>INDEX('All Units'!$Q$5:$Q$1272,MATCH("#"&amp;TEXT($A79,"00")&amp;"-"&amp;TEXT(K$6,"00"),'All Units'!$A$5:$A$1272,0))</f>
        <v>2648</v>
      </c>
      <c r="L79" s="66">
        <f>INDEX('All Units'!$Q$5:$Q$1272,MATCH("#"&amp;TEXT($A79,"00")&amp;"-"&amp;TEXT(L$6,"00"),'All Units'!$A$5:$A$1272,0))</f>
        <v>2648</v>
      </c>
      <c r="M79" s="66">
        <f>INDEX('All Units'!$Q$5:$Q$1272,MATCH("#"&amp;TEXT($A79,"00")&amp;"-"&amp;TEXT(M$6,"00"),'All Units'!$A$5:$A$1272,0))</f>
        <v>2688</v>
      </c>
      <c r="N79" s="66">
        <f>INDEX('All Units'!$Q$5:$Q$1272,MATCH("#"&amp;TEXT($A79,"00")&amp;"-"&amp;TEXT(N$6,"00"),'All Units'!$A$5:$A$1272,0))</f>
        <v>2967</v>
      </c>
      <c r="O79" s="66">
        <f>INDEX('All Units'!$Q$5:$Q$1272,MATCH("#"&amp;TEXT($A79,"00")&amp;"-"&amp;TEXT(O$6,"00"),'All Units'!$A$5:$A$1272,0))</f>
        <v>2967</v>
      </c>
      <c r="P79" s="66">
        <f>INDEX('All Units'!$Q$5:$Q$1272,MATCH("#"&amp;TEXT($A79,"00")&amp;"-"&amp;TEXT(P$6,"00"),'All Units'!$A$5:$A$1272,0))</f>
        <v>2819</v>
      </c>
      <c r="Q79" s="66">
        <f>INDEX('All Units'!$Q$5:$Q$1272,MATCH("#"&amp;TEXT($A79,"00")&amp;"-"&amp;TEXT(Q$6,"00"),'All Units'!$A$5:$A$1272,0))</f>
        <v>2844</v>
      </c>
      <c r="R79" s="66">
        <f>INDEX('All Units'!$Q$5:$Q$1272,MATCH("#"&amp;TEXT($A79,"00")&amp;"-"&amp;TEXT(R$6,"00"),'All Units'!$A$5:$A$1272,0))</f>
        <v>2829</v>
      </c>
      <c r="S79" s="66">
        <f>INDEX('All Units'!$Q$5:$Q$1272,MATCH("#"&amp;TEXT($A79,"00")&amp;"-"&amp;TEXT(S$6,"00"),'All Units'!$A$5:$A$1272,0))</f>
        <v>2928</v>
      </c>
    </row>
    <row r="80" spans="1:19" x14ac:dyDescent="0.2">
      <c r="A80" s="67">
        <v>3</v>
      </c>
      <c r="B80" s="66">
        <f>INDEX('All Units'!$Q$5:$Q$1272,MATCH("#"&amp;TEXT($A80,"00")&amp;"-"&amp;TEXT(B$6,"00"),'All Units'!$A$5:$A$1272,0))</f>
        <v>2653</v>
      </c>
      <c r="C80" s="66">
        <f>INDEX('All Units'!$Q$5:$Q$1272,MATCH("#"&amp;TEXT($A80,"00")&amp;"-"&amp;TEXT(C$6,"00"),'All Units'!$A$5:$A$1272,0))</f>
        <v>2653</v>
      </c>
      <c r="D80" s="66">
        <f>INDEX('All Units'!$Q$5:$Q$1272,MATCH("#"&amp;TEXT($A80,"00")&amp;"-"&amp;TEXT(D$6,"00"),'All Units'!$A$5:$A$1272,0))</f>
        <v>2776</v>
      </c>
      <c r="E80" s="66">
        <f>INDEX('All Units'!$Q$5:$Q$1272,MATCH("#"&amp;TEXT($A80,"00")&amp;"-"&amp;TEXT(E$6,"00"),'All Units'!$A$5:$A$1272,0))</f>
        <v>2776</v>
      </c>
      <c r="F80" s="66">
        <f>INDEX('All Units'!$Q$5:$Q$1272,MATCH("#"&amp;TEXT($A80,"00")&amp;"-"&amp;TEXT(F$6,"00"),'All Units'!$A$5:$A$1272,0))</f>
        <v>2629</v>
      </c>
      <c r="G80" s="66">
        <f>INDEX('All Units'!$Q$5:$Q$1272,MATCH("#"&amp;TEXT($A80,"00")&amp;"-"&amp;TEXT(G$6,"00"),'All Units'!$A$5:$A$1272,0))</f>
        <v>2629</v>
      </c>
      <c r="H80" s="66">
        <f>INDEX('All Units'!$Q$5:$Q$1272,MATCH("#"&amp;TEXT($A80,"00")&amp;"-"&amp;TEXT(H$6,"00"),'All Units'!$A$5:$A$1272,0))</f>
        <v>2774</v>
      </c>
      <c r="I80" s="66">
        <f>INDEX('All Units'!$Q$5:$Q$1272,MATCH("#"&amp;TEXT($A80,"00")&amp;"-"&amp;TEXT(I$6,"00"),'All Units'!$A$5:$A$1272,0))</f>
        <v>2774</v>
      </c>
      <c r="J80" s="66">
        <f>INDEX('All Units'!$Q$5:$Q$1272,MATCH("#"&amp;TEXT($A80,"00")&amp;"-"&amp;TEXT(J$6,"00"),'All Units'!$A$5:$A$1272,0))</f>
        <v>2631</v>
      </c>
      <c r="K80" s="66">
        <f>INDEX('All Units'!$Q$5:$Q$1272,MATCH("#"&amp;TEXT($A80,"00")&amp;"-"&amp;TEXT(K$6,"00"),'All Units'!$A$5:$A$1272,0))</f>
        <v>2631</v>
      </c>
      <c r="L80" s="66">
        <f>INDEX('All Units'!$Q$5:$Q$1272,MATCH("#"&amp;TEXT($A80,"00")&amp;"-"&amp;TEXT(L$6,"00"),'All Units'!$A$5:$A$1272,0))</f>
        <v>2631</v>
      </c>
      <c r="M80" s="66">
        <f>INDEX('All Units'!$Q$5:$Q$1272,MATCH("#"&amp;TEXT($A80,"00")&amp;"-"&amp;TEXT(M$6,"00"),'All Units'!$A$5:$A$1272,0))</f>
        <v>2651</v>
      </c>
      <c r="N80" s="66">
        <f>INDEX('All Units'!$Q$5:$Q$1272,MATCH("#"&amp;TEXT($A80,"00")&amp;"-"&amp;TEXT(N$6,"00"),'All Units'!$A$5:$A$1272,0))</f>
        <v>2948</v>
      </c>
      <c r="O80" s="66">
        <f>INDEX('All Units'!$Q$5:$Q$1272,MATCH("#"&amp;TEXT($A80,"00")&amp;"-"&amp;TEXT(O$6,"00"),'All Units'!$A$5:$A$1272,0))</f>
        <v>2948</v>
      </c>
      <c r="P80" s="66">
        <f>INDEX('All Units'!$Q$5:$Q$1272,MATCH("#"&amp;TEXT($A80,"00")&amp;"-"&amp;TEXT(P$6,"00"),'All Units'!$A$5:$A$1272,0))</f>
        <v>2800</v>
      </c>
      <c r="Q80" s="66">
        <f>INDEX('All Units'!$Q$5:$Q$1272,MATCH("#"&amp;TEXT($A80,"00")&amp;"-"&amp;TEXT(Q$6,"00"),'All Units'!$A$5:$A$1272,0))</f>
        <v>2816</v>
      </c>
      <c r="R80" s="66">
        <f>INDEX('All Units'!$Q$5:$Q$1272,MATCH("#"&amp;TEXT($A80,"00")&amp;"-"&amp;TEXT(R$6,"00"),'All Units'!$A$5:$A$1272,0))</f>
        <v>2800</v>
      </c>
      <c r="S80" s="66">
        <f>INDEX('All Units'!$Q$5:$Q$1272,MATCH("#"&amp;TEXT($A80,"00")&amp;"-"&amp;TEXT(S$6,"00"),'All Units'!$A$5:$A$1272,0))</f>
        <v>2910</v>
      </c>
    </row>
    <row r="81" spans="1:19" x14ac:dyDescent="0.2">
      <c r="A81" s="67">
        <v>2</v>
      </c>
      <c r="B81" s="66">
        <f>INDEX('All Units'!$Q$5:$Q$1272,MATCH("#"&amp;TEXT($A81,"00")&amp;"-"&amp;TEXT(B$6,"00"),'All Units'!$A$5:$A$1272,0))</f>
        <v>2613</v>
      </c>
      <c r="C81" s="66">
        <f>INDEX('All Units'!$Q$5:$Q$1272,MATCH("#"&amp;TEXT($A81,"00")&amp;"-"&amp;TEXT(C$6,"00"),'All Units'!$A$5:$A$1272,0))</f>
        <v>2613</v>
      </c>
      <c r="D81" s="66">
        <f>INDEX('All Units'!$Q$5:$Q$1272,MATCH("#"&amp;TEXT($A81,"00")&amp;"-"&amp;TEXT(D$6,"00"),'All Units'!$A$5:$A$1272,0))</f>
        <v>2760</v>
      </c>
      <c r="E81" s="66">
        <f>INDEX('All Units'!$Q$5:$Q$1272,MATCH("#"&amp;TEXT($A81,"00")&amp;"-"&amp;TEXT(E$6,"00"),'All Units'!$A$5:$A$1272,0))</f>
        <v>2760</v>
      </c>
      <c r="F81" s="66">
        <f>INDEX('All Units'!$Q$5:$Q$1272,MATCH("#"&amp;TEXT($A81,"00")&amp;"-"&amp;TEXT(F$6,"00"),'All Units'!$A$5:$A$1272,0))</f>
        <v>2613</v>
      </c>
      <c r="G81" s="66">
        <f>INDEX('All Units'!$Q$5:$Q$1272,MATCH("#"&amp;TEXT($A81,"00")&amp;"-"&amp;TEXT(G$6,"00"),'All Units'!$A$5:$A$1272,0))</f>
        <v>2613</v>
      </c>
      <c r="H81" s="66">
        <f>INDEX('All Units'!$Q$5:$Q$1272,MATCH("#"&amp;TEXT($A81,"00")&amp;"-"&amp;TEXT(H$6,"00"),'All Units'!$A$5:$A$1272,0))</f>
        <v>2760</v>
      </c>
      <c r="I81" s="66">
        <f>INDEX('All Units'!$Q$5:$Q$1272,MATCH("#"&amp;TEXT($A81,"00")&amp;"-"&amp;TEXT(I$6,"00"),'All Units'!$A$5:$A$1272,0))</f>
        <v>2760</v>
      </c>
      <c r="J81" s="66">
        <f>INDEX('All Units'!$Q$5:$Q$1272,MATCH("#"&amp;TEXT($A81,"00")&amp;"-"&amp;TEXT(J$6,"00"),'All Units'!$A$5:$A$1272,0))</f>
        <v>2613</v>
      </c>
      <c r="K81" s="66">
        <f>INDEX('All Units'!$Q$5:$Q$1272,MATCH("#"&amp;TEXT($A81,"00")&amp;"-"&amp;TEXT(K$6,"00"),'All Units'!$A$5:$A$1272,0))</f>
        <v>2613</v>
      </c>
      <c r="L81" s="66">
        <f>INDEX('All Units'!$Q$5:$Q$1272,MATCH("#"&amp;TEXT($A81,"00")&amp;"-"&amp;TEXT(L$6,"00"),'All Units'!$A$5:$A$1272,0))</f>
        <v>2613</v>
      </c>
      <c r="M81" s="66">
        <f>INDEX('All Units'!$Q$5:$Q$1272,MATCH("#"&amp;TEXT($A81,"00")&amp;"-"&amp;TEXT(M$6,"00"),'All Units'!$A$5:$A$1272,0))</f>
        <v>2613</v>
      </c>
      <c r="N81" s="66">
        <f>INDEX('All Units'!$Q$5:$Q$1272,MATCH("#"&amp;TEXT($A81,"00")&amp;"-"&amp;TEXT(N$6,"00"),'All Units'!$A$5:$A$1272,0))</f>
        <v>2929</v>
      </c>
      <c r="O81" s="68"/>
      <c r="P81" s="66">
        <f>INDEX('All Units'!$Q$5:$Q$1272,MATCH("#"&amp;TEXT($A81,"00")&amp;"-"&amp;TEXT(P$6,"00"),'All Units'!$A$5:$A$1272,0))</f>
        <v>2781</v>
      </c>
      <c r="Q81" s="66">
        <f>INDEX('All Units'!$Q$5:$Q$1272,MATCH("#"&amp;TEXT($A81,"00")&amp;"-"&amp;TEXT(Q$6,"00"),'All Units'!$A$5:$A$1272,0))</f>
        <v>2789</v>
      </c>
      <c r="R81" s="68"/>
      <c r="S81" s="66">
        <f>INDEX('All Units'!$Q$5:$Q$1272,MATCH("#"&amp;TEXT($A81,"00")&amp;"-"&amp;TEXT(S$6,"00"),'All Units'!$A$5:$A$1272,0))</f>
        <v>2891</v>
      </c>
    </row>
    <row r="82" spans="1:19" x14ac:dyDescent="0.2">
      <c r="A82" s="67">
        <v>1</v>
      </c>
      <c r="B82" s="68"/>
      <c r="C82" s="68"/>
      <c r="D82" s="68"/>
      <c r="E82" s="68"/>
      <c r="F82" s="68"/>
      <c r="G82" s="68"/>
      <c r="H82" s="68"/>
      <c r="I82" s="68"/>
      <c r="J82" s="68"/>
      <c r="K82" s="68"/>
      <c r="L82" s="68"/>
      <c r="M82" s="68"/>
      <c r="N82" s="66">
        <f>INDEX('All Units'!$Q$5:$Q$1272,MATCH("#"&amp;TEXT($A82,"00")&amp;"-"&amp;TEXT(N$6,"00"),'All Units'!$A$5:$A$1272,0))</f>
        <v>2909</v>
      </c>
      <c r="O82" s="68"/>
      <c r="P82" s="66">
        <f>INDEX('All Units'!$Q$5:$Q$1272,MATCH("#"&amp;TEXT($A82,"00")&amp;"-"&amp;TEXT(P$6,"00"),'All Units'!$A$5:$A$1272,0))</f>
        <v>2762</v>
      </c>
      <c r="Q82" s="66">
        <f>INDEX('All Units'!$Q$5:$Q$1272,MATCH("#"&amp;TEXT($A82,"00")&amp;"-"&amp;TEXT(Q$6,"00"),'All Units'!$A$5:$A$1272,0))</f>
        <v>2762</v>
      </c>
      <c r="R82" s="68"/>
      <c r="S82" s="66">
        <f>INDEX('All Units'!$Q$5:$Q$1272,MATCH("#"&amp;TEXT($A82,"00")&amp;"-"&amp;TEXT(S$6,"00"),'All Units'!$A$5:$A$1272,0))</f>
        <v>2872</v>
      </c>
    </row>
  </sheetData>
  <mergeCells count="2">
    <mergeCell ref="A20:S20"/>
    <mergeCell ref="A52:S52"/>
  </mergeCells>
  <conditionalFormatting sqref="B21:S50">
    <cfRule type="expression" dxfId="53" priority="2">
      <formula>AND(B21&lt;&gt;"",B$12&lt;&gt;"",$A21&lt;B$12)</formula>
    </cfRule>
    <cfRule type="expression" dxfId="52" priority="3">
      <formula>AND(B21&lt;&gt;"",$A21&gt;=B$16)</formula>
    </cfRule>
    <cfRule type="expression" dxfId="51" priority="4">
      <formula>AND(B21&lt;&gt;"",$A21&gt;=B$15)</formula>
    </cfRule>
  </conditionalFormatting>
  <conditionalFormatting sqref="B53:S82">
    <cfRule type="expression" dxfId="50" priority="5">
      <formula>AND(B53&lt;&gt;"",B$12&lt;&gt;"",$A53&lt;B$12)</formula>
    </cfRule>
    <cfRule type="expression" dxfId="49" priority="6">
      <formula>AND(B53&lt;&gt;"",$A53&gt;=B$16)</formula>
    </cfRule>
    <cfRule type="expression" dxfId="48"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6E73"/>
    <pageSetUpPr fitToPage="1"/>
  </sheetPr>
  <dimension ref="A1:I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9" width="14.5" customWidth="1"/>
  </cols>
  <sheetData>
    <row r="1" spans="1:9" ht="18" x14ac:dyDescent="0.2">
      <c r="A1" s="2" t="s">
        <v>1475</v>
      </c>
    </row>
    <row r="2" spans="1:9" x14ac:dyDescent="0.2">
      <c r="A2" s="3" t="s">
        <v>1476</v>
      </c>
    </row>
    <row r="3" spans="1:9" x14ac:dyDescent="0.2">
      <c r="A3" s="3" t="s">
        <v>1461</v>
      </c>
    </row>
    <row r="5" spans="1:9" x14ac:dyDescent="0.2">
      <c r="A5" s="58" t="s">
        <v>1462</v>
      </c>
      <c r="B5" s="21">
        <v>1</v>
      </c>
      <c r="C5" s="21">
        <v>3</v>
      </c>
      <c r="D5" s="21">
        <v>11</v>
      </c>
      <c r="E5" s="29">
        <v>5</v>
      </c>
      <c r="F5" s="29">
        <v>7</v>
      </c>
      <c r="G5" s="21">
        <v>9</v>
      </c>
      <c r="H5" s="29">
        <v>5</v>
      </c>
      <c r="I5" s="29">
        <v>7</v>
      </c>
    </row>
    <row r="6" spans="1:9" x14ac:dyDescent="0.2">
      <c r="A6" s="58" t="s">
        <v>99</v>
      </c>
      <c r="B6" s="59">
        <v>4</v>
      </c>
      <c r="C6" s="59">
        <v>11</v>
      </c>
      <c r="D6" s="59">
        <v>54</v>
      </c>
      <c r="E6" s="69">
        <v>24</v>
      </c>
      <c r="F6" s="69">
        <v>31</v>
      </c>
      <c r="G6" s="59">
        <v>44</v>
      </c>
      <c r="H6" s="69">
        <v>25</v>
      </c>
      <c r="I6" s="69">
        <v>34</v>
      </c>
    </row>
    <row r="7" spans="1:9" x14ac:dyDescent="0.2">
      <c r="A7" s="58" t="s">
        <v>30</v>
      </c>
      <c r="B7" s="60" t="s">
        <v>181</v>
      </c>
      <c r="C7" s="60" t="s">
        <v>181</v>
      </c>
      <c r="D7" s="60" t="s">
        <v>181</v>
      </c>
      <c r="E7" s="49" t="s">
        <v>652</v>
      </c>
      <c r="F7" s="49" t="s">
        <v>872</v>
      </c>
      <c r="G7" s="60" t="s">
        <v>1204</v>
      </c>
      <c r="H7" s="49" t="s">
        <v>684</v>
      </c>
      <c r="I7" s="49" t="s">
        <v>684</v>
      </c>
    </row>
    <row r="8" spans="1:9" x14ac:dyDescent="0.2">
      <c r="A8" s="58" t="s">
        <v>29</v>
      </c>
      <c r="B8" s="20">
        <v>732</v>
      </c>
      <c r="C8" s="20">
        <v>732</v>
      </c>
      <c r="D8" s="20">
        <v>732</v>
      </c>
      <c r="E8" s="28">
        <v>732</v>
      </c>
      <c r="F8" s="28">
        <v>732</v>
      </c>
      <c r="G8" s="20">
        <v>775</v>
      </c>
      <c r="H8" s="28">
        <v>775</v>
      </c>
      <c r="I8" s="28">
        <v>775</v>
      </c>
    </row>
    <row r="9" spans="1:9" x14ac:dyDescent="0.2">
      <c r="A9" s="58" t="s">
        <v>54</v>
      </c>
      <c r="B9" s="21" t="s">
        <v>62</v>
      </c>
      <c r="C9" s="21" t="s">
        <v>62</v>
      </c>
      <c r="D9" s="21" t="s">
        <v>62</v>
      </c>
      <c r="E9" s="29" t="s">
        <v>65</v>
      </c>
      <c r="F9" s="29" t="s">
        <v>65</v>
      </c>
      <c r="G9" s="21" t="s">
        <v>62</v>
      </c>
      <c r="H9" s="29" t="s">
        <v>65</v>
      </c>
      <c r="I9" s="29" t="s">
        <v>65</v>
      </c>
    </row>
    <row r="10" spans="1:9" ht="30" customHeight="1" x14ac:dyDescent="0.2">
      <c r="A10" s="102" t="s">
        <v>1463</v>
      </c>
      <c r="B10" s="61" t="str">
        <f>Assumptions!$I$130&amp;CHAR(10)&amp;TEXT(Assumptions!$AK$130/1000,"+$0;-$0;$0")&amp;"K / "&amp;TEXT(Assumptions!$AL$130/1000,"+$0;-$0;$0")&amp;"K / "&amp;TEXT(Assumptions!$AM$130/1000,"+$0;-$0;$0")&amp;"K"</f>
        <v>C
-$50K / +$50K / +$50K</v>
      </c>
      <c r="C10" s="61" t="str">
        <f>Assumptions!$I$137&amp;CHAR(10)&amp;TEXT(Assumptions!$AK$137/1000,"+$0;-$0;$0")&amp;"K / "&amp;TEXT(Assumptions!$AL$137/1000,"+$0;-$0;$0")&amp;"K / "&amp;TEXT(Assumptions!$AM$137/1000,"+$0;-$0;$0")&amp;"K"</f>
        <v>D
+$50K / -$50K / -$50K</v>
      </c>
      <c r="D10" s="61" t="str">
        <f>Assumptions!$I$180&amp;CHAR(10)&amp;TEXT(Assumptions!$AK$180/1000,"+$0;-$0;$0")&amp;"K / "&amp;TEXT(Assumptions!$AL$180/1000,"+$0;-$0;$0")&amp;"K / "&amp;TEXT(Assumptions!$AM$180/1000,"+$0;-$0;$0")&amp;"K"</f>
        <v>C
-$50K / -$25K / -$50K</v>
      </c>
      <c r="E10" s="70" t="str">
        <f>Assumptions!$I$150&amp;CHAR(10)&amp;TEXT(Assumptions!$AK$150/1000,"+$0;-$0;$0")&amp;"K / "&amp;TEXT(Assumptions!$AL$150/1000,"+$0;-$0;$0")&amp;"K / "&amp;TEXT(Assumptions!$AM$150/1000,"+$0;-$0;$0")&amp;"K"</f>
        <v>B
$0K / $0K / -$50K</v>
      </c>
      <c r="F10" s="70" t="str">
        <f>Assumptions!$I$157&amp;CHAR(10)&amp;TEXT(Assumptions!$AK$157/1000,"+$0;-$0;$0")&amp;"K / "&amp;TEXT(Assumptions!$AL$157/1000,"+$0;-$0;$0")&amp;"K / "&amp;TEXT(Assumptions!$AM$157/1000,"+$0;-$0;$0")&amp;"K"</f>
        <v>B
$0K / $0K / +$50K</v>
      </c>
      <c r="G10" s="61" t="str">
        <f>Assumptions!$I$170&amp;CHAR(10)&amp;TEXT(Assumptions!$AK$170/1000,"+$0;-$0;$0")&amp;"K / "&amp;TEXT(Assumptions!$AL$170/1000,"+$0;-$0;$0")&amp;"K / "&amp;TEXT(Assumptions!$AM$170/1000,"+$0;-$0;$0")&amp;"K"</f>
        <v>C
$0K / $0K / $0K</v>
      </c>
      <c r="H10" s="70" t="str">
        <f>Assumptions!$I$151&amp;CHAR(10)&amp;TEXT(Assumptions!$AK$151/1000,"+$0;-$0;$0")&amp;"K / "&amp;TEXT(Assumptions!$AL$151/1000,"+$0;-$0;$0")&amp;"K / "&amp;TEXT(Assumptions!$AM$151/1000,"+$0;-$0;$0")&amp;"K"</f>
        <v>B
-$50K / $0K / +$50K</v>
      </c>
      <c r="I10" s="70" t="str">
        <f>Assumptions!$I$160&amp;CHAR(10)&amp;TEXT(Assumptions!$AK$160/1000,"+$0;-$0;$0")&amp;"K / "&amp;TEXT(Assumptions!$AL$160/1000,"+$0;-$0;$0")&amp;"K / "&amp;TEXT(Assumptions!$AM$160/1000,"+$0;-$0;$0")&amp;"K"</f>
        <v>B
+$50K / $0K / -$50K</v>
      </c>
    </row>
    <row r="11" spans="1:9" ht="90" customHeight="1" x14ac:dyDescent="0.2">
      <c r="A11" s="102" t="s">
        <v>113</v>
      </c>
      <c r="B11" s="62" t="str">
        <f>Assumptions!$AJ$130</f>
        <v>SSE. 81m setback to road; landed &amp; greenery; same view corridor as Stacks 01-05 from mid floor</v>
      </c>
      <c r="C11" s="62" t="str">
        <f>Assumptions!$AJ$137</f>
        <v>SSW. 24m setback to road (road noise), overlooking landed; landed / nature view improves from mid floor</v>
      </c>
      <c r="D11" s="62" t="str">
        <f>Assumptions!$AJ$180</f>
        <v>SW. Pocket landscaping &amp; landed; Island Club in front of low floors</v>
      </c>
      <c r="E11" s="71" t="str">
        <f>Assumptions!$AJ$150</f>
        <v>NE. 55m setback; inner pool &amp; landscape; Olive Lounge / function rooms in front of low floors</v>
      </c>
      <c r="F11" s="71" t="str">
        <f>Assumptions!$AJ$157</f>
        <v>NW. Wellness Club, golf course, landed, nature reserve; Lower Peirce Reservoir from L20</v>
      </c>
      <c r="G11" s="62" t="str">
        <f>Assumptions!$AJ$170</f>
        <v>SSW. 60m setback to Upper Thomson Rd; landscaping &amp; landed; nature reserve from mid floor</v>
      </c>
      <c r="H11" s="71" t="str">
        <f>Assumptions!$AJ$151</f>
        <v>NE. Inner pool &amp; landscape; Olive Lounge in front of low floors; unblocked towards Bishan above L22</v>
      </c>
      <c r="I11" s="71" t="str">
        <f>Assumptions!$AJ$160</f>
        <v>SE: no afternoon sun. Up to 240m pool &amp; landscape</v>
      </c>
    </row>
    <row r="12" spans="1:9" ht="28" x14ac:dyDescent="0.2">
      <c r="A12" s="102" t="s">
        <v>1464</v>
      </c>
      <c r="B12" s="63">
        <f>IF(Assumptions!$L$130="","",Assumptions!$L$130)</f>
        <v>4</v>
      </c>
      <c r="C12" s="63" t="str">
        <f>IF(Assumptions!$L$137="","",Assumptions!$L$137)</f>
        <v/>
      </c>
      <c r="D12" s="63">
        <f>IF(Assumptions!$L$180="","",Assumptions!$L$180)</f>
        <v>7</v>
      </c>
      <c r="E12" s="63">
        <f>IF(Assumptions!$L$150="","",Assumptions!$L$150)</f>
        <v>7</v>
      </c>
      <c r="F12" s="63">
        <f>IF(Assumptions!$L$157="","",Assumptions!$L$157)</f>
        <v>6</v>
      </c>
      <c r="G12" s="63" t="str">
        <f>IF(Assumptions!$L$170="","",Assumptions!$L$170)</f>
        <v/>
      </c>
      <c r="H12" s="63">
        <f>IF(Assumptions!$L$151="","",Assumptions!$L$151)</f>
        <v>6</v>
      </c>
      <c r="I12" s="63" t="str">
        <f>IF(Assumptions!$L$160="","",Assumptions!$L$160)</f>
        <v/>
      </c>
    </row>
    <row r="13" spans="1:9" ht="28" x14ac:dyDescent="0.2">
      <c r="A13" s="102" t="s">
        <v>1465</v>
      </c>
      <c r="B13" s="63">
        <f>IF(Assumptions!$AD$130="","",Assumptions!$AD$130)</f>
        <v>2</v>
      </c>
      <c r="C13" s="63" t="str">
        <f>IF(Assumptions!$AD$137="","",Assumptions!$AD$137)</f>
        <v/>
      </c>
      <c r="D13" s="63">
        <f>IF(Assumptions!$AD$180="","",Assumptions!$AD$180)</f>
        <v>3</v>
      </c>
      <c r="E13" s="63">
        <f>IF(Assumptions!$AD$150="","",Assumptions!$AD$150)</f>
        <v>2</v>
      </c>
      <c r="F13" s="63">
        <f>IF(Assumptions!$AD$157="","",Assumptions!$AD$157)</f>
        <v>2</v>
      </c>
      <c r="G13" s="63" t="str">
        <f>IF(Assumptions!$AD$170="","",Assumptions!$AD$170)</f>
        <v/>
      </c>
      <c r="H13" s="63">
        <f>IF(Assumptions!$AD$151="","",Assumptions!$AD$151)</f>
        <v>2</v>
      </c>
      <c r="I13" s="63">
        <f>IF(Assumptions!$AD$160="","",Assumptions!$AD$160)</f>
        <v>2</v>
      </c>
    </row>
    <row r="14" spans="1:9" ht="39.75" customHeight="1" x14ac:dyDescent="0.2">
      <c r="A14" s="102" t="s">
        <v>1466</v>
      </c>
      <c r="B14" s="64" t="str">
        <f>IF(Assumptions!$M$130="","",Assumptions!$M$130)</f>
        <v>Forest Grill Pavilion 2: 75% of view, 18.8 to 28.5m away</v>
      </c>
      <c r="C14" s="64" t="str">
        <f>IF(Assumptions!$M$137="","",Assumptions!$M$137)</f>
        <v/>
      </c>
      <c r="D14" s="64" t="str">
        <f>IF(Assumptions!$M$180="","",Assumptions!$M$180)</f>
        <v>Island Club: 62% of view, 28.9 to 40m away</v>
      </c>
      <c r="E14" s="64" t="str">
        <f>IF(Assumptions!$M$150="","",Assumptions!$M$150)</f>
        <v>Olive Lounge / function rooms (Canopy Lap Pool): 74% of view, 37.1 to 42.8m away</v>
      </c>
      <c r="F14" s="64" t="str">
        <f>IF(Assumptions!$M$157="","",Assumptions!$M$157)</f>
        <v>Wellness Pod Pavilion 1: 61% of view, 29 to 34.9m away</v>
      </c>
      <c r="G14" s="64" t="str">
        <f>IF(Assumptions!$M$170="","",Assumptions!$M$170)</f>
        <v/>
      </c>
      <c r="H14" s="64" t="str">
        <f>IF(Assumptions!$M$151="","",Assumptions!$M$151)</f>
        <v>Olive Lounge / function rooms (Canopy Lap Pool): 89% of view, 35.7 to 42.8m away</v>
      </c>
      <c r="I14" s="64" t="str">
        <f>IF(Assumptions!$M$160="","",Assumptions!$M$160)</f>
        <v/>
      </c>
    </row>
    <row r="15" spans="1:9" ht="28" x14ac:dyDescent="0.2">
      <c r="A15" s="102" t="s">
        <v>1467</v>
      </c>
      <c r="B15" s="65">
        <f>Assumptions!$AH$130</f>
        <v>8</v>
      </c>
      <c r="C15" s="65">
        <f>Assumptions!$AH$137</f>
        <v>8</v>
      </c>
      <c r="D15" s="65">
        <f>Assumptions!$AH$180</f>
        <v>7</v>
      </c>
      <c r="E15" s="65">
        <f>Assumptions!$AH$150</f>
        <v>7</v>
      </c>
      <c r="F15" s="65">
        <f>Assumptions!$AH$157</f>
        <v>12</v>
      </c>
      <c r="G15" s="65">
        <f>Assumptions!$AH$170</f>
        <v>8</v>
      </c>
      <c r="H15" s="65">
        <f>Assumptions!$AH$151</f>
        <v>6</v>
      </c>
      <c r="I15" s="65">
        <f>Assumptions!$AH$160</f>
        <v>12</v>
      </c>
    </row>
    <row r="16" spans="1:9" ht="28" x14ac:dyDescent="0.2">
      <c r="A16" s="102" t="s">
        <v>1468</v>
      </c>
      <c r="B16" s="65">
        <f>Assumptions!$P$130</f>
        <v>16</v>
      </c>
      <c r="C16" s="65">
        <f>Assumptions!$P$137</f>
        <v>16</v>
      </c>
      <c r="D16" s="65">
        <f>Assumptions!$P$180</f>
        <v>16</v>
      </c>
      <c r="E16" s="65">
        <f>Assumptions!$P$150</f>
        <v>21</v>
      </c>
      <c r="F16" s="65">
        <f>Assumptions!$P$157</f>
        <v>20</v>
      </c>
      <c r="G16" s="65">
        <f>Assumptions!$P$170</f>
        <v>16</v>
      </c>
      <c r="H16" s="65">
        <f>Assumptions!$P$151</f>
        <v>22</v>
      </c>
      <c r="I16" s="65">
        <f>Assumptions!$P$160</f>
        <v>21</v>
      </c>
    </row>
    <row r="17" spans="1:9" x14ac:dyDescent="0.2">
      <c r="A17" s="58" t="s">
        <v>1469</v>
      </c>
      <c r="B17" s="66">
        <f>INDEX('All Units'!$R$5:$R$1272,MATCH("#"&amp;TEXT(2,"00")&amp;"-"&amp;TEXT(B$6,"00"),'All Units'!$A$5:$A$1272,0))</f>
        <v>1925000</v>
      </c>
      <c r="C17" s="66">
        <f>INDEX('All Units'!$R$5:$R$1272,MATCH("#"&amp;TEXT(2,"00")&amp;"-"&amp;TEXT(C$6,"00"),'All Units'!$A$5:$A$1272,0))</f>
        <v>2025400</v>
      </c>
      <c r="D17" s="66">
        <f>INDEX('All Units'!$R$5:$R$1272,MATCH("#"&amp;TEXT(2,"00")&amp;"-"&amp;TEXT(D$6,"00"),'All Units'!$A$5:$A$1272,0))</f>
        <v>1925000</v>
      </c>
      <c r="E17" s="66">
        <f>INDEX('All Units'!$R$5:$R$1272,MATCH("#"&amp;TEXT(1,"00")&amp;"-"&amp;TEXT(E$6,"00"),'All Units'!$A$5:$A$1272,0))</f>
        <v>2029800</v>
      </c>
      <c r="F17" s="66">
        <f>INDEX('All Units'!$R$5:$R$1272,MATCH("#"&amp;TEXT(1,"00")&amp;"-"&amp;TEXT(F$6,"00"),'All Units'!$A$5:$A$1272,0))</f>
        <v>2029800</v>
      </c>
      <c r="G17" s="66">
        <f>INDEX('All Units'!$R$5:$R$1272,MATCH("#"&amp;TEXT(2,"00")&amp;"-"&amp;TEXT(G$6,"00"),'All Units'!$A$5:$A$1272,0))</f>
        <v>2053800</v>
      </c>
      <c r="H17" s="66">
        <f>INDEX('All Units'!$R$5:$R$1272,MATCH("#"&amp;TEXT(1,"00")&amp;"-"&amp;TEXT(H$6,"00"),'All Units'!$A$5:$A$1272,0))</f>
        <v>2087100</v>
      </c>
      <c r="I17" s="66">
        <f>INDEX('All Units'!$R$5:$R$1272,MATCH("#"&amp;TEXT(1,"00")&amp;"-"&amp;TEXT(I$6,"00"),'All Units'!$A$5:$A$1272,0))</f>
        <v>2187100</v>
      </c>
    </row>
    <row r="18" spans="1:9" x14ac:dyDescent="0.2">
      <c r="A18" s="58" t="s">
        <v>1470</v>
      </c>
      <c r="B18" s="66">
        <f>INDEX('All Units'!$R$5:$R$1272,MATCH("#"&amp;TEXT(21,"00")&amp;"-"&amp;TEXT(B$6,"00"),'All Units'!$A$5:$A$1272,0))</f>
        <v>2305100</v>
      </c>
      <c r="C18" s="66">
        <f>INDEX('All Units'!$R$5:$R$1272,MATCH("#"&amp;TEXT(21,"00")&amp;"-"&amp;TEXT(C$6,"00"),'All Units'!$A$5:$A$1272,0))</f>
        <v>2204800</v>
      </c>
      <c r="D18" s="66">
        <f>INDEX('All Units'!$R$5:$R$1272,MATCH("#"&amp;TEXT(21,"00")&amp;"-"&amp;TEXT(D$6,"00"),'All Units'!$A$5:$A$1272,0))</f>
        <v>2204800</v>
      </c>
      <c r="E18" s="66">
        <f>INDEX('All Units'!$R$5:$R$1272,MATCH("#"&amp;TEXT(30,"00")&amp;"-"&amp;TEXT(E$6,"00"),'All Units'!$A$5:$A$1272,0))</f>
        <v>2381200</v>
      </c>
      <c r="F18" s="66">
        <f>INDEX('All Units'!$R$5:$R$1272,MATCH("#"&amp;TEXT(30,"00")&amp;"-"&amp;TEXT(F$6,"00"),'All Units'!$A$5:$A$1272,0))</f>
        <v>2480700</v>
      </c>
      <c r="G18" s="66">
        <f>INDEX('All Units'!$R$5:$R$1272,MATCH("#"&amp;TEXT(21,"00")&amp;"-"&amp;TEXT(G$6,"00"),'All Units'!$A$5:$A$1272,0))</f>
        <v>2366900</v>
      </c>
      <c r="H18" s="66">
        <f>INDEX('All Units'!$R$5:$R$1272,MATCH("#"&amp;TEXT(30,"00")&amp;"-"&amp;TEXT(H$6,"00"),'All Units'!$A$5:$A$1272,0))</f>
        <v>2556000</v>
      </c>
      <c r="I18" s="66">
        <f>INDEX('All Units'!$R$5:$R$1272,MATCH("#"&amp;TEXT(30,"00")&amp;"-"&amp;TEXT(I$6,"00"),'All Units'!$A$5:$A$1272,0))</f>
        <v>2456000</v>
      </c>
    </row>
    <row r="20" spans="1:9" x14ac:dyDescent="0.2">
      <c r="A20" s="99" t="s">
        <v>1471</v>
      </c>
      <c r="B20" s="99"/>
      <c r="C20" s="99"/>
      <c r="D20" s="99"/>
      <c r="E20" s="99"/>
      <c r="F20" s="99"/>
      <c r="G20" s="99"/>
      <c r="H20" s="99"/>
      <c r="I20" s="99"/>
    </row>
    <row r="21" spans="1:9" x14ac:dyDescent="0.2">
      <c r="A21" s="67">
        <v>30</v>
      </c>
      <c r="B21" s="68"/>
      <c r="C21" s="68"/>
      <c r="D21" s="68"/>
      <c r="E21" s="66">
        <f>INDEX('All Units'!$R$5:$R$1272,MATCH("#"&amp;TEXT($A21,"00")&amp;"-"&amp;TEXT(E$6,"00"),'All Units'!$A$5:$A$1272,0))</f>
        <v>2381200</v>
      </c>
      <c r="F21" s="66">
        <f>INDEX('All Units'!$R$5:$R$1272,MATCH("#"&amp;TEXT($A21,"00")&amp;"-"&amp;TEXT(F$6,"00"),'All Units'!$A$5:$A$1272,0))</f>
        <v>2480700</v>
      </c>
      <c r="G21" s="68"/>
      <c r="H21" s="66">
        <f>INDEX('All Units'!$R$5:$R$1272,MATCH("#"&amp;TEXT($A21,"00")&amp;"-"&amp;TEXT(H$6,"00"),'All Units'!$A$5:$A$1272,0))</f>
        <v>2556000</v>
      </c>
      <c r="I21" s="66">
        <f>INDEX('All Units'!$R$5:$R$1272,MATCH("#"&amp;TEXT($A21,"00")&amp;"-"&amp;TEXT(I$6,"00"),'All Units'!$A$5:$A$1272,0))</f>
        <v>2456000</v>
      </c>
    </row>
    <row r="22" spans="1:9" x14ac:dyDescent="0.2">
      <c r="A22" s="67">
        <v>29</v>
      </c>
      <c r="B22" s="68"/>
      <c r="C22" s="68"/>
      <c r="D22" s="68"/>
      <c r="E22" s="66">
        <f>INDEX('All Units'!$R$5:$R$1272,MATCH("#"&amp;TEXT($A22,"00")&amp;"-"&amp;TEXT(E$6,"00"),'All Units'!$A$5:$A$1272,0))</f>
        <v>2373900</v>
      </c>
      <c r="F22" s="66">
        <f>INDEX('All Units'!$R$5:$R$1272,MATCH("#"&amp;TEXT($A22,"00")&amp;"-"&amp;TEXT(F$6,"00"),'All Units'!$A$5:$A$1272,0))</f>
        <v>2474200</v>
      </c>
      <c r="G22" s="68"/>
      <c r="H22" s="66">
        <f>INDEX('All Units'!$R$5:$R$1272,MATCH("#"&amp;TEXT($A22,"00")&amp;"-"&amp;TEXT(H$6,"00"),'All Units'!$A$5:$A$1272,0))</f>
        <v>2547400</v>
      </c>
      <c r="I22" s="66">
        <f>INDEX('All Units'!$R$5:$R$1272,MATCH("#"&amp;TEXT($A22,"00")&amp;"-"&amp;TEXT(I$6,"00"),'All Units'!$A$5:$A$1272,0))</f>
        <v>2447500</v>
      </c>
    </row>
    <row r="23" spans="1:9" x14ac:dyDescent="0.2">
      <c r="A23" s="67">
        <v>28</v>
      </c>
      <c r="B23" s="68"/>
      <c r="C23" s="68"/>
      <c r="D23" s="68"/>
      <c r="E23" s="66">
        <f>INDEX('All Units'!$R$5:$R$1272,MATCH("#"&amp;TEXT($A23,"00")&amp;"-"&amp;TEXT(E$6,"00"),'All Units'!$A$5:$A$1272,0))</f>
        <v>2367300</v>
      </c>
      <c r="F23" s="66">
        <f>INDEX('All Units'!$R$5:$R$1272,MATCH("#"&amp;TEXT($A23,"00")&amp;"-"&amp;TEXT(F$6,"00"),'All Units'!$A$5:$A$1272,0))</f>
        <v>2467600</v>
      </c>
      <c r="G23" s="68"/>
      <c r="H23" s="66">
        <f>INDEX('All Units'!$R$5:$R$1272,MATCH("#"&amp;TEXT($A23,"00")&amp;"-"&amp;TEXT(H$6,"00"),'All Units'!$A$5:$A$1272,0))</f>
        <v>2539700</v>
      </c>
      <c r="I23" s="66">
        <f>INDEX('All Units'!$R$5:$R$1272,MATCH("#"&amp;TEXT($A23,"00")&amp;"-"&amp;TEXT(I$6,"00"),'All Units'!$A$5:$A$1272,0))</f>
        <v>2439700</v>
      </c>
    </row>
    <row r="24" spans="1:9" x14ac:dyDescent="0.2">
      <c r="A24" s="67">
        <v>27</v>
      </c>
      <c r="B24" s="68"/>
      <c r="C24" s="68"/>
      <c r="D24" s="68"/>
      <c r="E24" s="66">
        <f>INDEX('All Units'!$R$5:$R$1272,MATCH("#"&amp;TEXT($A24,"00")&amp;"-"&amp;TEXT(E$6,"00"),'All Units'!$A$5:$A$1272,0))</f>
        <v>2360700</v>
      </c>
      <c r="F24" s="66">
        <f>INDEX('All Units'!$R$5:$R$1272,MATCH("#"&amp;TEXT($A24,"00")&amp;"-"&amp;TEXT(F$6,"00"),'All Units'!$A$5:$A$1272,0))</f>
        <v>2461000</v>
      </c>
      <c r="G24" s="68"/>
      <c r="H24" s="66">
        <f>INDEX('All Units'!$R$5:$R$1272,MATCH("#"&amp;TEXT($A24,"00")&amp;"-"&amp;TEXT(H$6,"00"),'All Units'!$A$5:$A$1272,0))</f>
        <v>2531900</v>
      </c>
      <c r="I24" s="66">
        <f>INDEX('All Units'!$R$5:$R$1272,MATCH("#"&amp;TEXT($A24,"00")&amp;"-"&amp;TEXT(I$6,"00"),'All Units'!$A$5:$A$1272,0))</f>
        <v>2431200</v>
      </c>
    </row>
    <row r="25" spans="1:9" x14ac:dyDescent="0.2">
      <c r="A25" s="67">
        <v>26</v>
      </c>
      <c r="B25" s="68"/>
      <c r="C25" s="68"/>
      <c r="D25" s="68"/>
      <c r="E25" s="66">
        <f>INDEX('All Units'!$R$5:$R$1272,MATCH("#"&amp;TEXT($A25,"00")&amp;"-"&amp;TEXT(E$6,"00"),'All Units'!$A$5:$A$1272,0))</f>
        <v>2354100</v>
      </c>
      <c r="F25" s="66">
        <f>INDEX('All Units'!$R$5:$R$1272,MATCH("#"&amp;TEXT($A25,"00")&amp;"-"&amp;TEXT(F$6,"00"),'All Units'!$A$5:$A$1272,0))</f>
        <v>2453700</v>
      </c>
      <c r="G25" s="68"/>
      <c r="H25" s="66">
        <f>INDEX('All Units'!$R$5:$R$1272,MATCH("#"&amp;TEXT($A25,"00")&amp;"-"&amp;TEXT(H$6,"00"),'All Units'!$A$5:$A$1272,0))</f>
        <v>2523400</v>
      </c>
      <c r="I25" s="66">
        <f>INDEX('All Units'!$R$5:$R$1272,MATCH("#"&amp;TEXT($A25,"00")&amp;"-"&amp;TEXT(I$6,"00"),'All Units'!$A$5:$A$1272,0))</f>
        <v>2423400</v>
      </c>
    </row>
    <row r="26" spans="1:9" x14ac:dyDescent="0.2">
      <c r="A26" s="67">
        <v>25</v>
      </c>
      <c r="B26" s="68"/>
      <c r="C26" s="68"/>
      <c r="D26" s="68"/>
      <c r="E26" s="66">
        <f>INDEX('All Units'!$R$5:$R$1272,MATCH("#"&amp;TEXT($A26,"00")&amp;"-"&amp;TEXT(E$6,"00"),'All Units'!$A$5:$A$1272,0))</f>
        <v>2347500</v>
      </c>
      <c r="F26" s="66">
        <f>INDEX('All Units'!$R$5:$R$1272,MATCH("#"&amp;TEXT($A26,"00")&amp;"-"&amp;TEXT(F$6,"00"),'All Units'!$A$5:$A$1272,0))</f>
        <v>2447100</v>
      </c>
      <c r="G26" s="68"/>
      <c r="H26" s="66">
        <f>INDEX('All Units'!$R$5:$R$1272,MATCH("#"&amp;TEXT($A26,"00")&amp;"-"&amp;TEXT(H$6,"00"),'All Units'!$A$5:$A$1272,0))</f>
        <v>2515700</v>
      </c>
      <c r="I26" s="66">
        <f>INDEX('All Units'!$R$5:$R$1272,MATCH("#"&amp;TEXT($A26,"00")&amp;"-"&amp;TEXT(I$6,"00"),'All Units'!$A$5:$A$1272,0))</f>
        <v>2414900</v>
      </c>
    </row>
    <row r="27" spans="1:9" x14ac:dyDescent="0.2">
      <c r="A27" s="67">
        <v>24</v>
      </c>
      <c r="B27" s="68"/>
      <c r="C27" s="68"/>
      <c r="D27" s="68"/>
      <c r="E27" s="66">
        <f>INDEX('All Units'!$R$5:$R$1272,MATCH("#"&amp;TEXT($A27,"00")&amp;"-"&amp;TEXT(E$6,"00"),'All Units'!$A$5:$A$1272,0))</f>
        <v>2340200</v>
      </c>
      <c r="F27" s="66">
        <f>INDEX('All Units'!$R$5:$R$1272,MATCH("#"&amp;TEXT($A27,"00")&amp;"-"&amp;TEXT(F$6,"00"),'All Units'!$A$5:$A$1272,0))</f>
        <v>2440500</v>
      </c>
      <c r="G27" s="68"/>
      <c r="H27" s="66">
        <f>INDEX('All Units'!$R$5:$R$1272,MATCH("#"&amp;TEXT($A27,"00")&amp;"-"&amp;TEXT(H$6,"00"),'All Units'!$A$5:$A$1272,0))</f>
        <v>2507100</v>
      </c>
      <c r="I27" s="66">
        <f>INDEX('All Units'!$R$5:$R$1272,MATCH("#"&amp;TEXT($A27,"00")&amp;"-"&amp;TEXT(I$6,"00"),'All Units'!$A$5:$A$1272,0))</f>
        <v>2407200</v>
      </c>
    </row>
    <row r="28" spans="1:9" x14ac:dyDescent="0.2">
      <c r="A28" s="67">
        <v>23</v>
      </c>
      <c r="B28" s="68"/>
      <c r="C28" s="68"/>
      <c r="D28" s="68"/>
      <c r="E28" s="66">
        <f>INDEX('All Units'!$R$5:$R$1272,MATCH("#"&amp;TEXT($A28,"00")&amp;"-"&amp;TEXT(E$6,"00"),'All Units'!$A$5:$A$1272,0))</f>
        <v>2333600</v>
      </c>
      <c r="F28" s="66">
        <f>INDEX('All Units'!$R$5:$R$1272,MATCH("#"&amp;TEXT($A28,"00")&amp;"-"&amp;TEXT(F$6,"00"),'All Units'!$A$5:$A$1272,0))</f>
        <v>2433900</v>
      </c>
      <c r="G28" s="68"/>
      <c r="H28" s="66">
        <f>INDEX('All Units'!$R$5:$R$1272,MATCH("#"&amp;TEXT($A28,"00")&amp;"-"&amp;TEXT(H$6,"00"),'All Units'!$A$5:$A$1272,0))</f>
        <v>2499400</v>
      </c>
      <c r="I28" s="66">
        <f>INDEX('All Units'!$R$5:$R$1272,MATCH("#"&amp;TEXT($A28,"00")&amp;"-"&amp;TEXT(I$6,"00"),'All Units'!$A$5:$A$1272,0))</f>
        <v>2398600</v>
      </c>
    </row>
    <row r="29" spans="1:9" x14ac:dyDescent="0.2">
      <c r="A29" s="67">
        <v>22</v>
      </c>
      <c r="B29" s="68"/>
      <c r="C29" s="68"/>
      <c r="D29" s="68"/>
      <c r="E29" s="66">
        <f>INDEX('All Units'!$R$5:$R$1272,MATCH("#"&amp;TEXT($A29,"00")&amp;"-"&amp;TEXT(E$6,"00"),'All Units'!$A$5:$A$1272,0))</f>
        <v>2327000</v>
      </c>
      <c r="F29" s="66">
        <f>INDEX('All Units'!$R$5:$R$1272,MATCH("#"&amp;TEXT($A29,"00")&amp;"-"&amp;TEXT(F$6,"00"),'All Units'!$A$5:$A$1272,0))</f>
        <v>2427300</v>
      </c>
      <c r="G29" s="68"/>
      <c r="H29" s="66">
        <f>INDEX('All Units'!$R$5:$R$1272,MATCH("#"&amp;TEXT($A29,"00")&amp;"-"&amp;TEXT(H$6,"00"),'All Units'!$A$5:$A$1272,0))</f>
        <v>2490900</v>
      </c>
      <c r="I29" s="66">
        <f>INDEX('All Units'!$R$5:$R$1272,MATCH("#"&amp;TEXT($A29,"00")&amp;"-"&amp;TEXT(I$6,"00"),'All Units'!$A$5:$A$1272,0))</f>
        <v>2390900</v>
      </c>
    </row>
    <row r="30" spans="1:9" x14ac:dyDescent="0.2">
      <c r="A30" s="67">
        <v>21</v>
      </c>
      <c r="B30" s="66">
        <f>INDEX('All Units'!$R$5:$R$1272,MATCH("#"&amp;TEXT($A30,"00")&amp;"-"&amp;TEXT(B$6,"00"),'All Units'!$A$5:$A$1272,0))</f>
        <v>2305100</v>
      </c>
      <c r="C30" s="66">
        <f>INDEX('All Units'!$R$5:$R$1272,MATCH("#"&amp;TEXT($A30,"00")&amp;"-"&amp;TEXT(C$6,"00"),'All Units'!$A$5:$A$1272,0))</f>
        <v>2204800</v>
      </c>
      <c r="D30" s="66">
        <f>INDEX('All Units'!$R$5:$R$1272,MATCH("#"&amp;TEXT($A30,"00")&amp;"-"&amp;TEXT(D$6,"00"),'All Units'!$A$5:$A$1272,0))</f>
        <v>2204800</v>
      </c>
      <c r="E30" s="66">
        <f>INDEX('All Units'!$R$5:$R$1272,MATCH("#"&amp;TEXT($A30,"00")&amp;"-"&amp;TEXT(E$6,"00"),'All Units'!$A$5:$A$1272,0))</f>
        <v>2320400</v>
      </c>
      <c r="F30" s="66">
        <f>INDEX('All Units'!$R$5:$R$1272,MATCH("#"&amp;TEXT($A30,"00")&amp;"-"&amp;TEXT(F$6,"00"),'All Units'!$A$5:$A$1272,0))</f>
        <v>2420000</v>
      </c>
      <c r="G30" s="66">
        <f>INDEX('All Units'!$R$5:$R$1272,MATCH("#"&amp;TEXT($A30,"00")&amp;"-"&amp;TEXT(G$6,"00"),'All Units'!$A$5:$A$1272,0))</f>
        <v>2366900</v>
      </c>
      <c r="H30" s="66">
        <f>INDEX('All Units'!$R$5:$R$1272,MATCH("#"&amp;TEXT($A30,"00")&amp;"-"&amp;TEXT(H$6,"00"),'All Units'!$A$5:$A$1272,0))</f>
        <v>2480000</v>
      </c>
      <c r="I30" s="66">
        <f>INDEX('All Units'!$R$5:$R$1272,MATCH("#"&amp;TEXT($A30,"00")&amp;"-"&amp;TEXT(I$6,"00"),'All Units'!$A$5:$A$1272,0))</f>
        <v>2383100</v>
      </c>
    </row>
    <row r="31" spans="1:9" x14ac:dyDescent="0.2">
      <c r="A31" s="67">
        <v>20</v>
      </c>
      <c r="B31" s="66">
        <f>INDEX('All Units'!$R$5:$R$1272,MATCH("#"&amp;TEXT($A31,"00")&amp;"-"&amp;TEXT(B$6,"00"),'All Units'!$A$5:$A$1272,0))</f>
        <v>2288200</v>
      </c>
      <c r="C31" s="66">
        <f>INDEX('All Units'!$R$5:$R$1272,MATCH("#"&amp;TEXT($A31,"00")&amp;"-"&amp;TEXT(C$6,"00"),'All Units'!$A$5:$A$1272,0))</f>
        <v>2187900</v>
      </c>
      <c r="D31" s="66">
        <f>INDEX('All Units'!$R$5:$R$1272,MATCH("#"&amp;TEXT($A31,"00")&amp;"-"&amp;TEXT(D$6,"00"),'All Units'!$A$5:$A$1272,0))</f>
        <v>2187900</v>
      </c>
      <c r="E31" s="66">
        <f>INDEX('All Units'!$R$5:$R$1272,MATCH("#"&amp;TEXT($A31,"00")&amp;"-"&amp;TEXT(E$6,"00"),'All Units'!$A$5:$A$1272,0))</f>
        <v>2310200</v>
      </c>
      <c r="F31" s="66">
        <f>INDEX('All Units'!$R$5:$R$1272,MATCH("#"&amp;TEXT($A31,"00")&amp;"-"&amp;TEXT(F$6,"00"),'All Units'!$A$5:$A$1272,0))</f>
        <v>2406800</v>
      </c>
      <c r="G31" s="66">
        <f>INDEX('All Units'!$R$5:$R$1272,MATCH("#"&amp;TEXT($A31,"00")&amp;"-"&amp;TEXT(G$6,"00"),'All Units'!$A$5:$A$1272,0))</f>
        <v>2349800</v>
      </c>
      <c r="H31" s="66">
        <f>INDEX('All Units'!$R$5:$R$1272,MATCH("#"&amp;TEXT($A31,"00")&amp;"-"&amp;TEXT(H$6,"00"),'All Units'!$A$5:$A$1272,0))</f>
        <v>2463000</v>
      </c>
      <c r="I31" s="66">
        <f>INDEX('All Units'!$R$5:$R$1272,MATCH("#"&amp;TEXT($A31,"00")&amp;"-"&amp;TEXT(I$6,"00"),'All Units'!$A$5:$A$1272,0))</f>
        <v>2374600</v>
      </c>
    </row>
    <row r="32" spans="1:9" x14ac:dyDescent="0.2">
      <c r="A32" s="67">
        <v>19</v>
      </c>
      <c r="B32" s="66">
        <f>INDEX('All Units'!$R$5:$R$1272,MATCH("#"&amp;TEXT($A32,"00")&amp;"-"&amp;TEXT(B$6,"00"),'All Units'!$A$5:$A$1272,0))</f>
        <v>2271400</v>
      </c>
      <c r="C32" s="66">
        <f>INDEX('All Units'!$R$5:$R$1272,MATCH("#"&amp;TEXT($A32,"00")&amp;"-"&amp;TEXT(C$6,"00"),'All Units'!$A$5:$A$1272,0))</f>
        <v>2171100</v>
      </c>
      <c r="D32" s="66">
        <f>INDEX('All Units'!$R$5:$R$1272,MATCH("#"&amp;TEXT($A32,"00")&amp;"-"&amp;TEXT(D$6,"00"),'All Units'!$A$5:$A$1272,0))</f>
        <v>2171100</v>
      </c>
      <c r="E32" s="66">
        <f>INDEX('All Units'!$R$5:$R$1272,MATCH("#"&amp;TEXT($A32,"00")&amp;"-"&amp;TEXT(E$6,"00"),'All Units'!$A$5:$A$1272,0))</f>
        <v>2299900</v>
      </c>
      <c r="F32" s="66">
        <f>INDEX('All Units'!$R$5:$R$1272,MATCH("#"&amp;TEXT($A32,"00")&amp;"-"&amp;TEXT(F$6,"00"),'All Units'!$A$5:$A$1272,0))</f>
        <v>2386300</v>
      </c>
      <c r="G32" s="66">
        <f>INDEX('All Units'!$R$5:$R$1272,MATCH("#"&amp;TEXT($A32,"00")&amp;"-"&amp;TEXT(G$6,"00"),'All Units'!$A$5:$A$1272,0))</f>
        <v>2333500</v>
      </c>
      <c r="H32" s="66">
        <f>INDEX('All Units'!$R$5:$R$1272,MATCH("#"&amp;TEXT($A32,"00")&amp;"-"&amp;TEXT(H$6,"00"),'All Units'!$A$5:$A$1272,0))</f>
        <v>2445900</v>
      </c>
      <c r="I32" s="66">
        <f>INDEX('All Units'!$R$5:$R$1272,MATCH("#"&amp;TEXT($A32,"00")&amp;"-"&amp;TEXT(I$6,"00"),'All Units'!$A$5:$A$1272,0))</f>
        <v>2366100</v>
      </c>
    </row>
    <row r="33" spans="1:9" x14ac:dyDescent="0.2">
      <c r="A33" s="67">
        <v>18</v>
      </c>
      <c r="B33" s="66">
        <f>INDEX('All Units'!$R$5:$R$1272,MATCH("#"&amp;TEXT($A33,"00")&amp;"-"&amp;TEXT(B$6,"00"),'All Units'!$A$5:$A$1272,0))</f>
        <v>2253800</v>
      </c>
      <c r="C33" s="66">
        <f>INDEX('All Units'!$R$5:$R$1272,MATCH("#"&amp;TEXT($A33,"00")&amp;"-"&amp;TEXT(C$6,"00"),'All Units'!$A$5:$A$1272,0))</f>
        <v>2154300</v>
      </c>
      <c r="D33" s="66">
        <f>INDEX('All Units'!$R$5:$R$1272,MATCH("#"&amp;TEXT($A33,"00")&amp;"-"&amp;TEXT(D$6,"00"),'All Units'!$A$5:$A$1272,0))</f>
        <v>2154300</v>
      </c>
      <c r="E33" s="66">
        <f>INDEX('All Units'!$R$5:$R$1272,MATCH("#"&amp;TEXT($A33,"00")&amp;"-"&amp;TEXT(E$6,"00"),'All Units'!$A$5:$A$1272,0))</f>
        <v>2289700</v>
      </c>
      <c r="F33" s="66">
        <f>INDEX('All Units'!$R$5:$R$1272,MATCH("#"&amp;TEXT($A33,"00")&amp;"-"&amp;TEXT(F$6,"00"),'All Units'!$A$5:$A$1272,0))</f>
        <v>2366600</v>
      </c>
      <c r="G33" s="66">
        <f>INDEX('All Units'!$R$5:$R$1272,MATCH("#"&amp;TEXT($A33,"00")&amp;"-"&amp;TEXT(G$6,"00"),'All Units'!$A$5:$A$1272,0))</f>
        <v>2316500</v>
      </c>
      <c r="H33" s="66">
        <f>INDEX('All Units'!$R$5:$R$1272,MATCH("#"&amp;TEXT($A33,"00")&amp;"-"&amp;TEXT(H$6,"00"),'All Units'!$A$5:$A$1272,0))</f>
        <v>2428900</v>
      </c>
      <c r="I33" s="66">
        <f>INDEX('All Units'!$R$5:$R$1272,MATCH("#"&amp;TEXT($A33,"00")&amp;"-"&amp;TEXT(I$6,"00"),'All Units'!$A$5:$A$1272,0))</f>
        <v>2358300</v>
      </c>
    </row>
    <row r="34" spans="1:9" x14ac:dyDescent="0.2">
      <c r="A34" s="67">
        <v>17</v>
      </c>
      <c r="B34" s="66">
        <f>INDEX('All Units'!$R$5:$R$1272,MATCH("#"&amp;TEXT($A34,"00")&amp;"-"&amp;TEXT(B$6,"00"),'All Units'!$A$5:$A$1272,0))</f>
        <v>2237000</v>
      </c>
      <c r="C34" s="66">
        <f>INDEX('All Units'!$R$5:$R$1272,MATCH("#"&amp;TEXT($A34,"00")&amp;"-"&amp;TEXT(C$6,"00"),'All Units'!$A$5:$A$1272,0))</f>
        <v>2137400</v>
      </c>
      <c r="D34" s="66">
        <f>INDEX('All Units'!$R$5:$R$1272,MATCH("#"&amp;TEXT($A34,"00")&amp;"-"&amp;TEXT(D$6,"00"),'All Units'!$A$5:$A$1272,0))</f>
        <v>2137400</v>
      </c>
      <c r="E34" s="66">
        <f>INDEX('All Units'!$R$5:$R$1272,MATCH("#"&amp;TEXT($A34,"00")&amp;"-"&amp;TEXT(E$6,"00"),'All Units'!$A$5:$A$1272,0))</f>
        <v>2279400</v>
      </c>
      <c r="F34" s="66">
        <f>INDEX('All Units'!$R$5:$R$1272,MATCH("#"&amp;TEXT($A34,"00")&amp;"-"&amp;TEXT(F$6,"00"),'All Units'!$A$5:$A$1272,0))</f>
        <v>2346800</v>
      </c>
      <c r="G34" s="66">
        <f>INDEX('All Units'!$R$5:$R$1272,MATCH("#"&amp;TEXT($A34,"00")&amp;"-"&amp;TEXT(G$6,"00"),'All Units'!$A$5:$A$1272,0))</f>
        <v>2300200</v>
      </c>
      <c r="H34" s="66">
        <f>INDEX('All Units'!$R$5:$R$1272,MATCH("#"&amp;TEXT($A34,"00")&amp;"-"&amp;TEXT(H$6,"00"),'All Units'!$A$5:$A$1272,0))</f>
        <v>2412600</v>
      </c>
      <c r="I34" s="66">
        <f>INDEX('All Units'!$R$5:$R$1272,MATCH("#"&amp;TEXT($A34,"00")&amp;"-"&amp;TEXT(I$6,"00"),'All Units'!$A$5:$A$1272,0))</f>
        <v>2349800</v>
      </c>
    </row>
    <row r="35" spans="1:9" x14ac:dyDescent="0.2">
      <c r="A35" s="67">
        <v>16</v>
      </c>
      <c r="B35" s="66">
        <f>INDEX('All Units'!$R$5:$R$1272,MATCH("#"&amp;TEXT($A35,"00")&amp;"-"&amp;TEXT(B$6,"00"),'All Units'!$A$5:$A$1272,0))</f>
        <v>2220200</v>
      </c>
      <c r="C35" s="66">
        <f>INDEX('All Units'!$R$5:$R$1272,MATCH("#"&amp;TEXT($A35,"00")&amp;"-"&amp;TEXT(C$6,"00"),'All Units'!$A$5:$A$1272,0))</f>
        <v>2120600</v>
      </c>
      <c r="D35" s="66">
        <f>INDEX('All Units'!$R$5:$R$1272,MATCH("#"&amp;TEXT($A35,"00")&amp;"-"&amp;TEXT(D$6,"00"),'All Units'!$A$5:$A$1272,0))</f>
        <v>2120600</v>
      </c>
      <c r="E35" s="66">
        <f>INDEX('All Units'!$R$5:$R$1272,MATCH("#"&amp;TEXT($A35,"00")&amp;"-"&amp;TEXT(E$6,"00"),'All Units'!$A$5:$A$1272,0))</f>
        <v>2269200</v>
      </c>
      <c r="F35" s="66">
        <f>INDEX('All Units'!$R$5:$R$1272,MATCH("#"&amp;TEXT($A35,"00")&amp;"-"&amp;TEXT(F$6,"00"),'All Units'!$A$5:$A$1272,0))</f>
        <v>2327000</v>
      </c>
      <c r="G35" s="66">
        <f>INDEX('All Units'!$R$5:$R$1272,MATCH("#"&amp;TEXT($A35,"00")&amp;"-"&amp;TEXT(G$6,"00"),'All Units'!$A$5:$A$1272,0))</f>
        <v>2283200</v>
      </c>
      <c r="H35" s="66">
        <f>INDEX('All Units'!$R$5:$R$1272,MATCH("#"&amp;TEXT($A35,"00")&amp;"-"&amp;TEXT(H$6,"00"),'All Units'!$A$5:$A$1272,0))</f>
        <v>2395500</v>
      </c>
      <c r="I35" s="66">
        <f>INDEX('All Units'!$R$5:$R$1272,MATCH("#"&amp;TEXT($A35,"00")&amp;"-"&amp;TEXT(I$6,"00"),'All Units'!$A$5:$A$1272,0))</f>
        <v>2342100</v>
      </c>
    </row>
    <row r="36" spans="1:9" x14ac:dyDescent="0.2">
      <c r="A36" s="67">
        <v>15</v>
      </c>
      <c r="B36" s="66">
        <f>INDEX('All Units'!$R$5:$R$1272,MATCH("#"&amp;TEXT($A36,"00")&amp;"-"&amp;TEXT(B$6,"00"),'All Units'!$A$5:$A$1272,0))</f>
        <v>2203300</v>
      </c>
      <c r="C36" s="66">
        <f>INDEX('All Units'!$R$5:$R$1272,MATCH("#"&amp;TEXT($A36,"00")&amp;"-"&amp;TEXT(C$6,"00"),'All Units'!$A$5:$A$1272,0))</f>
        <v>2103800</v>
      </c>
      <c r="D36" s="66">
        <f>INDEX('All Units'!$R$5:$R$1272,MATCH("#"&amp;TEXT($A36,"00")&amp;"-"&amp;TEXT(D$6,"00"),'All Units'!$A$5:$A$1272,0))</f>
        <v>2106000</v>
      </c>
      <c r="E36" s="66">
        <f>INDEX('All Units'!$R$5:$R$1272,MATCH("#"&amp;TEXT($A36,"00")&amp;"-"&amp;TEXT(E$6,"00"),'All Units'!$A$5:$A$1272,0))</f>
        <v>2254600</v>
      </c>
      <c r="F36" s="66">
        <f>INDEX('All Units'!$R$5:$R$1272,MATCH("#"&amp;TEXT($A36,"00")&amp;"-"&amp;TEXT(F$6,"00"),'All Units'!$A$5:$A$1272,0))</f>
        <v>2301400</v>
      </c>
      <c r="G36" s="66">
        <f>INDEX('All Units'!$R$5:$R$1272,MATCH("#"&amp;TEXT($A36,"00")&amp;"-"&amp;TEXT(G$6,"00"),'All Units'!$A$5:$A$1272,0))</f>
        <v>2266900</v>
      </c>
      <c r="H36" s="66">
        <f>INDEX('All Units'!$R$5:$R$1272,MATCH("#"&amp;TEXT($A36,"00")&amp;"-"&amp;TEXT(H$6,"00"),'All Units'!$A$5:$A$1272,0))</f>
        <v>2373800</v>
      </c>
      <c r="I36" s="66">
        <f>INDEX('All Units'!$R$5:$R$1272,MATCH("#"&amp;TEXT($A36,"00")&amp;"-"&amp;TEXT(I$6,"00"),'All Units'!$A$5:$A$1272,0))</f>
        <v>2329700</v>
      </c>
    </row>
    <row r="37" spans="1:9" x14ac:dyDescent="0.2">
      <c r="A37" s="67">
        <v>14</v>
      </c>
      <c r="B37" s="66">
        <f>INDEX('All Units'!$R$5:$R$1272,MATCH("#"&amp;TEXT($A37,"00")&amp;"-"&amp;TEXT(B$6,"00"),'All Units'!$A$5:$A$1272,0))</f>
        <v>2186500</v>
      </c>
      <c r="C37" s="66">
        <f>INDEX('All Units'!$R$5:$R$1272,MATCH("#"&amp;TEXT($A37,"00")&amp;"-"&amp;TEXT(C$6,"00"),'All Units'!$A$5:$A$1272,0))</f>
        <v>2086900</v>
      </c>
      <c r="D37" s="66">
        <f>INDEX('All Units'!$R$5:$R$1272,MATCH("#"&amp;TEXT($A37,"00")&amp;"-"&amp;TEXT(D$6,"00"),'All Units'!$A$5:$A$1272,0))</f>
        <v>2092100</v>
      </c>
      <c r="E37" s="66">
        <f>INDEX('All Units'!$R$5:$R$1272,MATCH("#"&amp;TEXT($A37,"00")&amp;"-"&amp;TEXT(E$6,"00"),'All Units'!$A$5:$A$1272,0))</f>
        <v>2239200</v>
      </c>
      <c r="F37" s="66">
        <f>INDEX('All Units'!$R$5:$R$1272,MATCH("#"&amp;TEXT($A37,"00")&amp;"-"&amp;TEXT(F$6,"00"),'All Units'!$A$5:$A$1272,0))</f>
        <v>2276500</v>
      </c>
      <c r="G37" s="66">
        <f>INDEX('All Units'!$R$5:$R$1272,MATCH("#"&amp;TEXT($A37,"00")&amp;"-"&amp;TEXT(G$6,"00"),'All Units'!$A$5:$A$1272,0))</f>
        <v>2249800</v>
      </c>
      <c r="H37" s="66">
        <f>INDEX('All Units'!$R$5:$R$1272,MATCH("#"&amp;TEXT($A37,"00")&amp;"-"&amp;TEXT(H$6,"00"),'All Units'!$A$5:$A$1272,0))</f>
        <v>2352900</v>
      </c>
      <c r="I37" s="66">
        <f>INDEX('All Units'!$R$5:$R$1272,MATCH("#"&amp;TEXT($A37,"00")&amp;"-"&amp;TEXT(I$6,"00"),'All Units'!$A$5:$A$1272,0))</f>
        <v>2316500</v>
      </c>
    </row>
    <row r="38" spans="1:9" x14ac:dyDescent="0.2">
      <c r="A38" s="67">
        <v>13</v>
      </c>
      <c r="B38" s="66">
        <f>INDEX('All Units'!$R$5:$R$1272,MATCH("#"&amp;TEXT($A38,"00")&amp;"-"&amp;TEXT(B$6,"00"),'All Units'!$A$5:$A$1272,0))</f>
        <v>2169600</v>
      </c>
      <c r="C38" s="66">
        <f>INDEX('All Units'!$R$5:$R$1272,MATCH("#"&amp;TEXT($A38,"00")&amp;"-"&amp;TEXT(C$6,"00"),'All Units'!$A$5:$A$1272,0))</f>
        <v>2070100</v>
      </c>
      <c r="D38" s="66">
        <f>INDEX('All Units'!$R$5:$R$1272,MATCH("#"&amp;TEXT($A38,"00")&amp;"-"&amp;TEXT(D$6,"00"),'All Units'!$A$5:$A$1272,0))</f>
        <v>2078100</v>
      </c>
      <c r="E38" s="66">
        <f>INDEX('All Units'!$R$5:$R$1272,MATCH("#"&amp;TEXT($A38,"00")&amp;"-"&amp;TEXT(E$6,"00"),'All Units'!$A$5:$A$1272,0))</f>
        <v>2224500</v>
      </c>
      <c r="F38" s="66">
        <f>INDEX('All Units'!$R$5:$R$1272,MATCH("#"&amp;TEXT($A38,"00")&amp;"-"&amp;TEXT(F$6,"00"),'All Units'!$A$5:$A$1272,0))</f>
        <v>2251600</v>
      </c>
      <c r="G38" s="66">
        <f>INDEX('All Units'!$R$5:$R$1272,MATCH("#"&amp;TEXT($A38,"00")&amp;"-"&amp;TEXT(G$6,"00"),'All Units'!$A$5:$A$1272,0))</f>
        <v>2233600</v>
      </c>
      <c r="H38" s="66">
        <f>INDEX('All Units'!$R$5:$R$1272,MATCH("#"&amp;TEXT($A38,"00")&amp;"-"&amp;TEXT(H$6,"00"),'All Units'!$A$5:$A$1272,0))</f>
        <v>2332000</v>
      </c>
      <c r="I38" s="66">
        <f>INDEX('All Units'!$R$5:$R$1272,MATCH("#"&amp;TEXT($A38,"00")&amp;"-"&amp;TEXT(I$6,"00"),'All Units'!$A$5:$A$1272,0))</f>
        <v>2304100</v>
      </c>
    </row>
    <row r="39" spans="1:9" x14ac:dyDescent="0.2">
      <c r="A39" s="67">
        <v>12</v>
      </c>
      <c r="B39" s="66">
        <f>INDEX('All Units'!$R$5:$R$1272,MATCH("#"&amp;TEXT($A39,"00")&amp;"-"&amp;TEXT(B$6,"00"),'All Units'!$A$5:$A$1272,0))</f>
        <v>2152800</v>
      </c>
      <c r="C39" s="66">
        <f>INDEX('All Units'!$R$5:$R$1272,MATCH("#"&amp;TEXT($A39,"00")&amp;"-"&amp;TEXT(C$6,"00"),'All Units'!$A$5:$A$1272,0))</f>
        <v>2052500</v>
      </c>
      <c r="D39" s="66">
        <f>INDEX('All Units'!$R$5:$R$1272,MATCH("#"&amp;TEXT($A39,"00")&amp;"-"&amp;TEXT(D$6,"00"),'All Units'!$A$5:$A$1272,0))</f>
        <v>2064200</v>
      </c>
      <c r="E39" s="66">
        <f>INDEX('All Units'!$R$5:$R$1272,MATCH("#"&amp;TEXT($A39,"00")&amp;"-"&amp;TEXT(E$6,"00"),'All Units'!$A$5:$A$1272,0))</f>
        <v>2209200</v>
      </c>
      <c r="F39" s="66">
        <f>INDEX('All Units'!$R$5:$R$1272,MATCH("#"&amp;TEXT($A39,"00")&amp;"-"&amp;TEXT(F$6,"00"),'All Units'!$A$5:$A$1272,0))</f>
        <v>2226700</v>
      </c>
      <c r="G39" s="66">
        <f>INDEX('All Units'!$R$5:$R$1272,MATCH("#"&amp;TEXT($A39,"00")&amp;"-"&amp;TEXT(G$6,"00"),'All Units'!$A$5:$A$1272,0))</f>
        <v>2217300</v>
      </c>
      <c r="H39" s="66">
        <f>INDEX('All Units'!$R$5:$R$1272,MATCH("#"&amp;TEXT($A39,"00")&amp;"-"&amp;TEXT(H$6,"00"),'All Units'!$A$5:$A$1272,0))</f>
        <v>2310300</v>
      </c>
      <c r="I39" s="66">
        <f>INDEX('All Units'!$R$5:$R$1272,MATCH("#"&amp;TEXT($A39,"00")&amp;"-"&amp;TEXT(I$6,"00"),'All Units'!$A$5:$A$1272,0))</f>
        <v>2291700</v>
      </c>
    </row>
    <row r="40" spans="1:9" x14ac:dyDescent="0.2">
      <c r="A40" s="67">
        <v>11</v>
      </c>
      <c r="B40" s="66">
        <f>INDEX('All Units'!$R$5:$R$1272,MATCH("#"&amp;TEXT($A40,"00")&amp;"-"&amp;TEXT(B$6,"00"),'All Units'!$A$5:$A$1272,0))</f>
        <v>2138200</v>
      </c>
      <c r="C40" s="66">
        <f>INDEX('All Units'!$R$5:$R$1272,MATCH("#"&amp;TEXT($A40,"00")&amp;"-"&amp;TEXT(C$6,"00"),'All Units'!$A$5:$A$1272,0))</f>
        <v>2037900</v>
      </c>
      <c r="D40" s="66">
        <f>INDEX('All Units'!$R$5:$R$1272,MATCH("#"&amp;TEXT($A40,"00")&amp;"-"&amp;TEXT(D$6,"00"),'All Units'!$A$5:$A$1272,0))</f>
        <v>2051800</v>
      </c>
      <c r="E40" s="66">
        <f>INDEX('All Units'!$R$5:$R$1272,MATCH("#"&amp;TEXT($A40,"00")&amp;"-"&amp;TEXT(E$6,"00"),'All Units'!$A$5:$A$1272,0))</f>
        <v>2193800</v>
      </c>
      <c r="F40" s="66">
        <f>INDEX('All Units'!$R$5:$R$1272,MATCH("#"&amp;TEXT($A40,"00")&amp;"-"&amp;TEXT(F$6,"00"),'All Units'!$A$5:$A$1272,0))</f>
        <v>2208400</v>
      </c>
      <c r="G40" s="66">
        <f>INDEX('All Units'!$R$5:$R$1272,MATCH("#"&amp;TEXT($A40,"00")&amp;"-"&amp;TEXT(G$6,"00"),'All Units'!$A$5:$A$1272,0))</f>
        <v>2200200</v>
      </c>
      <c r="H40" s="66">
        <f>INDEX('All Units'!$R$5:$R$1272,MATCH("#"&amp;TEXT($A40,"00")&amp;"-"&amp;TEXT(H$6,"00"),'All Units'!$A$5:$A$1272,0))</f>
        <v>2289400</v>
      </c>
      <c r="I40" s="66">
        <f>INDEX('All Units'!$R$5:$R$1272,MATCH("#"&amp;TEXT($A40,"00")&amp;"-"&amp;TEXT(I$6,"00"),'All Units'!$A$5:$A$1272,0))</f>
        <v>2277700</v>
      </c>
    </row>
    <row r="41" spans="1:9" x14ac:dyDescent="0.2">
      <c r="A41" s="67">
        <v>10</v>
      </c>
      <c r="B41" s="66">
        <f>INDEX('All Units'!$R$5:$R$1272,MATCH("#"&amp;TEXT($A41,"00")&amp;"-"&amp;TEXT(B$6,"00"),'All Units'!$A$5:$A$1272,0))</f>
        <v>2125700</v>
      </c>
      <c r="C41" s="66">
        <f>INDEX('All Units'!$R$5:$R$1272,MATCH("#"&amp;TEXT($A41,"00")&amp;"-"&amp;TEXT(C$6,"00"),'All Units'!$A$5:$A$1272,0))</f>
        <v>2025400</v>
      </c>
      <c r="D41" s="66">
        <f>INDEX('All Units'!$R$5:$R$1272,MATCH("#"&amp;TEXT($A41,"00")&amp;"-"&amp;TEXT(D$6,"00"),'All Units'!$A$5:$A$1272,0))</f>
        <v>2042300</v>
      </c>
      <c r="E41" s="66">
        <f>INDEX('All Units'!$R$5:$R$1272,MATCH("#"&amp;TEXT($A41,"00")&amp;"-"&amp;TEXT(E$6,"00"),'All Units'!$A$5:$A$1272,0))</f>
        <v>2179200</v>
      </c>
      <c r="F41" s="66">
        <f>INDEX('All Units'!$R$5:$R$1272,MATCH("#"&amp;TEXT($A41,"00")&amp;"-"&amp;TEXT(F$6,"00"),'All Units'!$A$5:$A$1272,0))</f>
        <v>2189400</v>
      </c>
      <c r="G41" s="66">
        <f>INDEX('All Units'!$R$5:$R$1272,MATCH("#"&amp;TEXT($A41,"00")&amp;"-"&amp;TEXT(G$6,"00"),'All Units'!$A$5:$A$1272,0))</f>
        <v>2184000</v>
      </c>
      <c r="H41" s="66">
        <f>INDEX('All Units'!$R$5:$R$1272,MATCH("#"&amp;TEXT($A41,"00")&amp;"-"&amp;TEXT(H$6,"00"),'All Units'!$A$5:$A$1272,0))</f>
        <v>2267700</v>
      </c>
      <c r="I41" s="66">
        <f>INDEX('All Units'!$R$5:$R$1272,MATCH("#"&amp;TEXT($A41,"00")&amp;"-"&amp;TEXT(I$6,"00"),'All Units'!$A$5:$A$1272,0))</f>
        <v>2264600</v>
      </c>
    </row>
    <row r="42" spans="1:9" x14ac:dyDescent="0.2">
      <c r="A42" s="67">
        <v>9</v>
      </c>
      <c r="B42" s="66">
        <f>INDEX('All Units'!$R$5:$R$1272,MATCH("#"&amp;TEXT($A42,"00")&amp;"-"&amp;TEXT(B$6,"00"),'All Units'!$A$5:$A$1272,0))</f>
        <v>2113300</v>
      </c>
      <c r="C42" s="66">
        <f>INDEX('All Units'!$R$5:$R$1272,MATCH("#"&amp;TEXT($A42,"00")&amp;"-"&amp;TEXT(C$6,"00"),'All Units'!$A$5:$A$1272,0))</f>
        <v>2025400</v>
      </c>
      <c r="D42" s="66">
        <f>INDEX('All Units'!$R$5:$R$1272,MATCH("#"&amp;TEXT($A42,"00")&amp;"-"&amp;TEXT(D$6,"00"),'All Units'!$A$5:$A$1272,0))</f>
        <v>2032800</v>
      </c>
      <c r="E42" s="66">
        <f>INDEX('All Units'!$R$5:$R$1272,MATCH("#"&amp;TEXT($A42,"00")&amp;"-"&amp;TEXT(E$6,"00"),'All Units'!$A$5:$A$1272,0))</f>
        <v>2163800</v>
      </c>
      <c r="F42" s="66">
        <f>INDEX('All Units'!$R$5:$R$1272,MATCH("#"&amp;TEXT($A42,"00")&amp;"-"&amp;TEXT(F$6,"00"),'All Units'!$A$5:$A$1272,0))</f>
        <v>2171100</v>
      </c>
      <c r="G42" s="66">
        <f>INDEX('All Units'!$R$5:$R$1272,MATCH("#"&amp;TEXT($A42,"00")&amp;"-"&amp;TEXT(G$6,"00"),'All Units'!$A$5:$A$1272,0))</f>
        <v>2167700</v>
      </c>
      <c r="H42" s="66">
        <f>INDEX('All Units'!$R$5:$R$1272,MATCH("#"&amp;TEXT($A42,"00")&amp;"-"&amp;TEXT(H$6,"00"),'All Units'!$A$5:$A$1272,0))</f>
        <v>2246700</v>
      </c>
      <c r="I42" s="66">
        <f>INDEX('All Units'!$R$5:$R$1272,MATCH("#"&amp;TEXT($A42,"00")&amp;"-"&amp;TEXT(I$6,"00"),'All Units'!$A$5:$A$1272,0))</f>
        <v>2251400</v>
      </c>
    </row>
    <row r="43" spans="1:9" x14ac:dyDescent="0.2">
      <c r="A43" s="67">
        <v>8</v>
      </c>
      <c r="B43" s="66">
        <f>INDEX('All Units'!$R$5:$R$1272,MATCH("#"&amp;TEXT($A43,"00")&amp;"-"&amp;TEXT(B$6,"00"),'All Units'!$A$5:$A$1272,0))</f>
        <v>2100100</v>
      </c>
      <c r="C43" s="66">
        <f>INDEX('All Units'!$R$5:$R$1272,MATCH("#"&amp;TEXT($A43,"00")&amp;"-"&amp;TEXT(C$6,"00"),'All Units'!$A$5:$A$1272,0))</f>
        <v>2025400</v>
      </c>
      <c r="D43" s="66">
        <f>INDEX('All Units'!$R$5:$R$1272,MATCH("#"&amp;TEXT($A43,"00")&amp;"-"&amp;TEXT(D$6,"00"),'All Units'!$A$5:$A$1272,0))</f>
        <v>2022500</v>
      </c>
      <c r="E43" s="66">
        <f>INDEX('All Units'!$R$5:$R$1272,MATCH("#"&amp;TEXT($A43,"00")&amp;"-"&amp;TEXT(E$6,"00"),'All Units'!$A$5:$A$1272,0))</f>
        <v>2149200</v>
      </c>
      <c r="F43" s="66">
        <f>INDEX('All Units'!$R$5:$R$1272,MATCH("#"&amp;TEXT($A43,"00")&amp;"-"&amp;TEXT(F$6,"00"),'All Units'!$A$5:$A$1272,0))</f>
        <v>2152100</v>
      </c>
      <c r="G43" s="66">
        <f>INDEX('All Units'!$R$5:$R$1272,MATCH("#"&amp;TEXT($A43,"00")&amp;"-"&amp;TEXT(G$6,"00"),'All Units'!$A$5:$A$1272,0))</f>
        <v>2151400</v>
      </c>
      <c r="H43" s="66">
        <f>INDEX('All Units'!$R$5:$R$1272,MATCH("#"&amp;TEXT($A43,"00")&amp;"-"&amp;TEXT(H$6,"00"),'All Units'!$A$5:$A$1272,0))</f>
        <v>2231200</v>
      </c>
      <c r="I43" s="66">
        <f>INDEX('All Units'!$R$5:$R$1272,MATCH("#"&amp;TEXT($A43,"00")&amp;"-"&amp;TEXT(I$6,"00"),'All Units'!$A$5:$A$1272,0))</f>
        <v>2242900</v>
      </c>
    </row>
    <row r="44" spans="1:9" x14ac:dyDescent="0.2">
      <c r="A44" s="67">
        <v>7</v>
      </c>
      <c r="B44" s="66">
        <f>INDEX('All Units'!$R$5:$R$1272,MATCH("#"&amp;TEXT($A44,"00")&amp;"-"&amp;TEXT(B$6,"00"),'All Units'!$A$5:$A$1272,0))</f>
        <v>2071600</v>
      </c>
      <c r="C44" s="66">
        <f>INDEX('All Units'!$R$5:$R$1272,MATCH("#"&amp;TEXT($A44,"00")&amp;"-"&amp;TEXT(C$6,"00"),'All Units'!$A$5:$A$1272,0))</f>
        <v>2025400</v>
      </c>
      <c r="D44" s="66">
        <f>INDEX('All Units'!$R$5:$R$1272,MATCH("#"&amp;TEXT($A44,"00")&amp;"-"&amp;TEXT(D$6,"00"),'All Units'!$A$5:$A$1272,0))</f>
        <v>2013000</v>
      </c>
      <c r="E44" s="66">
        <f>INDEX('All Units'!$R$5:$R$1272,MATCH("#"&amp;TEXT($A44,"00")&amp;"-"&amp;TEXT(E$6,"00"),'All Units'!$A$5:$A$1272,0))</f>
        <v>2133800</v>
      </c>
      <c r="F44" s="66">
        <f>INDEX('All Units'!$R$5:$R$1272,MATCH("#"&amp;TEXT($A44,"00")&amp;"-"&amp;TEXT(F$6,"00"),'All Units'!$A$5:$A$1272,0))</f>
        <v>2133800</v>
      </c>
      <c r="G44" s="66">
        <f>INDEX('All Units'!$R$5:$R$1272,MATCH("#"&amp;TEXT($A44,"00")&amp;"-"&amp;TEXT(G$6,"00"),'All Units'!$A$5:$A$1272,0))</f>
        <v>2135100</v>
      </c>
      <c r="H44" s="66">
        <f>INDEX('All Units'!$R$5:$R$1272,MATCH("#"&amp;TEXT($A44,"00")&amp;"-"&amp;TEXT(H$6,"00"),'All Units'!$A$5:$A$1272,0))</f>
        <v>2215700</v>
      </c>
      <c r="I44" s="66">
        <f>INDEX('All Units'!$R$5:$R$1272,MATCH("#"&amp;TEXT($A44,"00")&amp;"-"&amp;TEXT(I$6,"00"),'All Units'!$A$5:$A$1272,0))</f>
        <v>2235100</v>
      </c>
    </row>
    <row r="45" spans="1:9" x14ac:dyDescent="0.2">
      <c r="A45" s="67">
        <v>6</v>
      </c>
      <c r="B45" s="66">
        <f>INDEX('All Units'!$R$5:$R$1272,MATCH("#"&amp;TEXT($A45,"00")&amp;"-"&amp;TEXT(B$6,"00"),'All Units'!$A$5:$A$1272,0))</f>
        <v>2042300</v>
      </c>
      <c r="C45" s="66">
        <f>INDEX('All Units'!$R$5:$R$1272,MATCH("#"&amp;TEXT($A45,"00")&amp;"-"&amp;TEXT(C$6,"00"),'All Units'!$A$5:$A$1272,0))</f>
        <v>2025400</v>
      </c>
      <c r="D45" s="66">
        <f>INDEX('All Units'!$R$5:$R$1272,MATCH("#"&amp;TEXT($A45,"00")&amp;"-"&amp;TEXT(D$6,"00"),'All Units'!$A$5:$A$1272,0))</f>
        <v>1995400</v>
      </c>
      <c r="E45" s="66">
        <f>INDEX('All Units'!$R$5:$R$1272,MATCH("#"&amp;TEXT($A45,"00")&amp;"-"&amp;TEXT(E$6,"00"),'All Units'!$A$5:$A$1272,0))</f>
        <v>2114700</v>
      </c>
      <c r="F45" s="66">
        <f>INDEX('All Units'!$R$5:$R$1272,MATCH("#"&amp;TEXT($A45,"00")&amp;"-"&amp;TEXT(F$6,"00"),'All Units'!$A$5:$A$1272,0))</f>
        <v>2114700</v>
      </c>
      <c r="G45" s="66">
        <f>INDEX('All Units'!$R$5:$R$1272,MATCH("#"&amp;TEXT($A45,"00")&amp;"-"&amp;TEXT(G$6,"00"),'All Units'!$A$5:$A$1272,0))</f>
        <v>2118900</v>
      </c>
      <c r="H45" s="66">
        <f>INDEX('All Units'!$R$5:$R$1272,MATCH("#"&amp;TEXT($A45,"00")&amp;"-"&amp;TEXT(H$6,"00"),'All Units'!$A$5:$A$1272,0))</f>
        <v>2200200</v>
      </c>
      <c r="I45" s="66">
        <f>INDEX('All Units'!$R$5:$R$1272,MATCH("#"&amp;TEXT($A45,"00")&amp;"-"&amp;TEXT(I$6,"00"),'All Units'!$A$5:$A$1272,0))</f>
        <v>2227400</v>
      </c>
    </row>
    <row r="46" spans="1:9" x14ac:dyDescent="0.2">
      <c r="A46" s="67">
        <v>5</v>
      </c>
      <c r="B46" s="66">
        <f>INDEX('All Units'!$R$5:$R$1272,MATCH("#"&amp;TEXT($A46,"00")&amp;"-"&amp;TEXT(B$6,"00"),'All Units'!$A$5:$A$1272,0))</f>
        <v>2013000</v>
      </c>
      <c r="C46" s="66">
        <f>INDEX('All Units'!$R$5:$R$1272,MATCH("#"&amp;TEXT($A46,"00")&amp;"-"&amp;TEXT(C$6,"00"),'All Units'!$A$5:$A$1272,0))</f>
        <v>2025400</v>
      </c>
      <c r="D46" s="66">
        <f>INDEX('All Units'!$R$5:$R$1272,MATCH("#"&amp;TEXT($A46,"00")&amp;"-"&amp;TEXT(D$6,"00"),'All Units'!$A$5:$A$1272,0))</f>
        <v>1977900</v>
      </c>
      <c r="E46" s="66">
        <f>INDEX('All Units'!$R$5:$R$1272,MATCH("#"&amp;TEXT($A46,"00")&amp;"-"&amp;TEXT(E$6,"00"),'All Units'!$A$5:$A$1272,0))</f>
        <v>2096400</v>
      </c>
      <c r="F46" s="66">
        <f>INDEX('All Units'!$R$5:$R$1272,MATCH("#"&amp;TEXT($A46,"00")&amp;"-"&amp;TEXT(F$6,"00"),'All Units'!$A$5:$A$1272,0))</f>
        <v>2096400</v>
      </c>
      <c r="G46" s="66">
        <f>INDEX('All Units'!$R$5:$R$1272,MATCH("#"&amp;TEXT($A46,"00")&amp;"-"&amp;TEXT(G$6,"00"),'All Units'!$A$5:$A$1272,0))</f>
        <v>2102600</v>
      </c>
      <c r="H46" s="66">
        <f>INDEX('All Units'!$R$5:$R$1272,MATCH("#"&amp;TEXT($A46,"00")&amp;"-"&amp;TEXT(H$6,"00"),'All Units'!$A$5:$A$1272,0))</f>
        <v>2177000</v>
      </c>
      <c r="I46" s="66">
        <f>INDEX('All Units'!$R$5:$R$1272,MATCH("#"&amp;TEXT($A46,"00")&amp;"-"&amp;TEXT(I$6,"00"),'All Units'!$A$5:$A$1272,0))</f>
        <v>2218800</v>
      </c>
    </row>
    <row r="47" spans="1:9" x14ac:dyDescent="0.2">
      <c r="A47" s="67">
        <v>4</v>
      </c>
      <c r="B47" s="66">
        <f>INDEX('All Units'!$R$5:$R$1272,MATCH("#"&amp;TEXT($A47,"00")&amp;"-"&amp;TEXT(B$6,"00"),'All Units'!$A$5:$A$1272,0))</f>
        <v>1983700</v>
      </c>
      <c r="C47" s="66">
        <f>INDEX('All Units'!$R$5:$R$1272,MATCH("#"&amp;TEXT($A47,"00")&amp;"-"&amp;TEXT(C$6,"00"),'All Units'!$A$5:$A$1272,0))</f>
        <v>2025400</v>
      </c>
      <c r="D47" s="66">
        <f>INDEX('All Units'!$R$5:$R$1272,MATCH("#"&amp;TEXT($A47,"00")&amp;"-"&amp;TEXT(D$6,"00"),'All Units'!$A$5:$A$1272,0))</f>
        <v>1960300</v>
      </c>
      <c r="E47" s="66">
        <f>INDEX('All Units'!$R$5:$R$1272,MATCH("#"&amp;TEXT($A47,"00")&amp;"-"&amp;TEXT(E$6,"00"),'All Units'!$A$5:$A$1272,0))</f>
        <v>2077400</v>
      </c>
      <c r="F47" s="66">
        <f>INDEX('All Units'!$R$5:$R$1272,MATCH("#"&amp;TEXT($A47,"00")&amp;"-"&amp;TEXT(F$6,"00"),'All Units'!$A$5:$A$1272,0))</f>
        <v>2077400</v>
      </c>
      <c r="G47" s="66">
        <f>INDEX('All Units'!$R$5:$R$1272,MATCH("#"&amp;TEXT($A47,"00")&amp;"-"&amp;TEXT(G$6,"00"),'All Units'!$A$5:$A$1272,0))</f>
        <v>2086300</v>
      </c>
      <c r="H47" s="66">
        <f>INDEX('All Units'!$R$5:$R$1272,MATCH("#"&amp;TEXT($A47,"00")&amp;"-"&amp;TEXT(H$6,"00"),'All Units'!$A$5:$A$1272,0))</f>
        <v>2154500</v>
      </c>
      <c r="I47" s="66">
        <f>INDEX('All Units'!$R$5:$R$1272,MATCH("#"&amp;TEXT($A47,"00")&amp;"-"&amp;TEXT(I$6,"00"),'All Units'!$A$5:$A$1272,0))</f>
        <v>2211100</v>
      </c>
    </row>
    <row r="48" spans="1:9" x14ac:dyDescent="0.2">
      <c r="A48" s="67">
        <v>3</v>
      </c>
      <c r="B48" s="66">
        <f>INDEX('All Units'!$R$5:$R$1272,MATCH("#"&amp;TEXT($A48,"00")&amp;"-"&amp;TEXT(B$6,"00"),'All Units'!$A$5:$A$1272,0))</f>
        <v>1954400</v>
      </c>
      <c r="C48" s="66">
        <f>INDEX('All Units'!$R$5:$R$1272,MATCH("#"&amp;TEXT($A48,"00")&amp;"-"&amp;TEXT(C$6,"00"),'All Units'!$A$5:$A$1272,0))</f>
        <v>2025400</v>
      </c>
      <c r="D48" s="66">
        <f>INDEX('All Units'!$R$5:$R$1272,MATCH("#"&amp;TEXT($A48,"00")&amp;"-"&amp;TEXT(D$6,"00"),'All Units'!$A$5:$A$1272,0))</f>
        <v>1942700</v>
      </c>
      <c r="E48" s="66">
        <f>INDEX('All Units'!$R$5:$R$1272,MATCH("#"&amp;TEXT($A48,"00")&amp;"-"&amp;TEXT(E$6,"00"),'All Units'!$A$5:$A$1272,0))</f>
        <v>2059100</v>
      </c>
      <c r="F48" s="66">
        <f>INDEX('All Units'!$R$5:$R$1272,MATCH("#"&amp;TEXT($A48,"00")&amp;"-"&amp;TEXT(F$6,"00"),'All Units'!$A$5:$A$1272,0))</f>
        <v>2059100</v>
      </c>
      <c r="G48" s="66">
        <f>INDEX('All Units'!$R$5:$R$1272,MATCH("#"&amp;TEXT($A48,"00")&amp;"-"&amp;TEXT(G$6,"00"),'All Units'!$A$5:$A$1272,0))</f>
        <v>2070000</v>
      </c>
      <c r="H48" s="66">
        <f>INDEX('All Units'!$R$5:$R$1272,MATCH("#"&amp;TEXT($A48,"00")&amp;"-"&amp;TEXT(H$6,"00"),'All Units'!$A$5:$A$1272,0))</f>
        <v>2132000</v>
      </c>
      <c r="I48" s="66">
        <f>INDEX('All Units'!$R$5:$R$1272,MATCH("#"&amp;TEXT($A48,"00")&amp;"-"&amp;TEXT(I$6,"00"),'All Units'!$A$5:$A$1272,0))</f>
        <v>2203300</v>
      </c>
    </row>
    <row r="49" spans="1:9" x14ac:dyDescent="0.2">
      <c r="A49" s="67">
        <v>2</v>
      </c>
      <c r="B49" s="66">
        <f>INDEX('All Units'!$R$5:$R$1272,MATCH("#"&amp;TEXT($A49,"00")&amp;"-"&amp;TEXT(B$6,"00"),'All Units'!$A$5:$A$1272,0))</f>
        <v>1925000</v>
      </c>
      <c r="C49" s="66">
        <f>INDEX('All Units'!$R$5:$R$1272,MATCH("#"&amp;TEXT($A49,"00")&amp;"-"&amp;TEXT(C$6,"00"),'All Units'!$A$5:$A$1272,0))</f>
        <v>2025400</v>
      </c>
      <c r="D49" s="66">
        <f>INDEX('All Units'!$R$5:$R$1272,MATCH("#"&amp;TEXT($A49,"00")&amp;"-"&amp;TEXT(D$6,"00"),'All Units'!$A$5:$A$1272,0))</f>
        <v>1925000</v>
      </c>
      <c r="E49" s="66">
        <f>INDEX('All Units'!$R$5:$R$1272,MATCH("#"&amp;TEXT($A49,"00")&amp;"-"&amp;TEXT(E$6,"00"),'All Units'!$A$5:$A$1272,0))</f>
        <v>2041500</v>
      </c>
      <c r="F49" s="66">
        <f>INDEX('All Units'!$R$5:$R$1272,MATCH("#"&amp;TEXT($A49,"00")&amp;"-"&amp;TEXT(F$6,"00"),'All Units'!$A$5:$A$1272,0))</f>
        <v>2041500</v>
      </c>
      <c r="G49" s="66">
        <f>INDEX('All Units'!$R$5:$R$1272,MATCH("#"&amp;TEXT($A49,"00")&amp;"-"&amp;TEXT(G$6,"00"),'All Units'!$A$5:$A$1272,0))</f>
        <v>2053800</v>
      </c>
      <c r="H49" s="66">
        <f>INDEX('All Units'!$R$5:$R$1272,MATCH("#"&amp;TEXT($A49,"00")&amp;"-"&amp;TEXT(H$6,"00"),'All Units'!$A$5:$A$1272,0))</f>
        <v>2109600</v>
      </c>
      <c r="I49" s="66">
        <f>INDEX('All Units'!$R$5:$R$1272,MATCH("#"&amp;TEXT($A49,"00")&amp;"-"&amp;TEXT(I$6,"00"),'All Units'!$A$5:$A$1272,0))</f>
        <v>2194800</v>
      </c>
    </row>
    <row r="50" spans="1:9" x14ac:dyDescent="0.2">
      <c r="A50" s="67">
        <v>1</v>
      </c>
      <c r="B50" s="68"/>
      <c r="C50" s="68"/>
      <c r="D50" s="68"/>
      <c r="E50" s="66">
        <f>INDEX('All Units'!$R$5:$R$1272,MATCH("#"&amp;TEXT($A50,"00")&amp;"-"&amp;TEXT(E$6,"00"),'All Units'!$A$5:$A$1272,0))</f>
        <v>2029800</v>
      </c>
      <c r="F50" s="66">
        <f>INDEX('All Units'!$R$5:$R$1272,MATCH("#"&amp;TEXT($A50,"00")&amp;"-"&amp;TEXT(F$6,"00"),'All Units'!$A$5:$A$1272,0))</f>
        <v>2029800</v>
      </c>
      <c r="G50" s="68"/>
      <c r="H50" s="66">
        <f>INDEX('All Units'!$R$5:$R$1272,MATCH("#"&amp;TEXT($A50,"00")&amp;"-"&amp;TEXT(H$6,"00"),'All Units'!$A$5:$A$1272,0))</f>
        <v>2087100</v>
      </c>
      <c r="I50" s="66">
        <f>INDEX('All Units'!$R$5:$R$1272,MATCH("#"&amp;TEXT($A50,"00")&amp;"-"&amp;TEXT(I$6,"00"),'All Units'!$A$5:$A$1272,0))</f>
        <v>2187100</v>
      </c>
    </row>
    <row r="52" spans="1:9" x14ac:dyDescent="0.2">
      <c r="A52" s="99" t="s">
        <v>1472</v>
      </c>
      <c r="B52" s="99"/>
      <c r="C52" s="99"/>
      <c r="D52" s="99"/>
      <c r="E52" s="99"/>
      <c r="F52" s="99"/>
      <c r="G52" s="99"/>
      <c r="H52" s="99"/>
      <c r="I52" s="99"/>
    </row>
    <row r="53" spans="1:9" x14ac:dyDescent="0.2">
      <c r="A53" s="67">
        <v>30</v>
      </c>
      <c r="B53" s="68"/>
      <c r="C53" s="68"/>
      <c r="D53" s="68"/>
      <c r="E53" s="66">
        <f>INDEX('All Units'!$Q$5:$Q$1272,MATCH("#"&amp;TEXT($A53,"00")&amp;"-"&amp;TEXT(E$6,"00"),'All Units'!$A$5:$A$1272,0))</f>
        <v>3253</v>
      </c>
      <c r="F53" s="66">
        <f>INDEX('All Units'!$Q$5:$Q$1272,MATCH("#"&amp;TEXT($A53,"00")&amp;"-"&amp;TEXT(F$6,"00"),'All Units'!$A$5:$A$1272,0))</f>
        <v>3389</v>
      </c>
      <c r="G53" s="68"/>
      <c r="H53" s="66">
        <f>INDEX('All Units'!$Q$5:$Q$1272,MATCH("#"&amp;TEXT($A53,"00")&amp;"-"&amp;TEXT(H$6,"00"),'All Units'!$A$5:$A$1272,0))</f>
        <v>3298</v>
      </c>
      <c r="I53" s="66">
        <f>INDEX('All Units'!$Q$5:$Q$1272,MATCH("#"&amp;TEXT($A53,"00")&amp;"-"&amp;TEXT(I$6,"00"),'All Units'!$A$5:$A$1272,0))</f>
        <v>3169</v>
      </c>
    </row>
    <row r="54" spans="1:9" x14ac:dyDescent="0.2">
      <c r="A54" s="67">
        <v>29</v>
      </c>
      <c r="B54" s="68"/>
      <c r="C54" s="68"/>
      <c r="D54" s="68"/>
      <c r="E54" s="66">
        <f>INDEX('All Units'!$Q$5:$Q$1272,MATCH("#"&amp;TEXT($A54,"00")&amp;"-"&amp;TEXT(E$6,"00"),'All Units'!$A$5:$A$1272,0))</f>
        <v>3243</v>
      </c>
      <c r="F54" s="66">
        <f>INDEX('All Units'!$Q$5:$Q$1272,MATCH("#"&amp;TEXT($A54,"00")&amp;"-"&amp;TEXT(F$6,"00"),'All Units'!$A$5:$A$1272,0))</f>
        <v>3380</v>
      </c>
      <c r="G54" s="68"/>
      <c r="H54" s="66">
        <f>INDEX('All Units'!$Q$5:$Q$1272,MATCH("#"&amp;TEXT($A54,"00")&amp;"-"&amp;TEXT(H$6,"00"),'All Units'!$A$5:$A$1272,0))</f>
        <v>3287</v>
      </c>
      <c r="I54" s="66">
        <f>INDEX('All Units'!$Q$5:$Q$1272,MATCH("#"&amp;TEXT($A54,"00")&amp;"-"&amp;TEXT(I$6,"00"),'All Units'!$A$5:$A$1272,0))</f>
        <v>3158</v>
      </c>
    </row>
    <row r="55" spans="1:9" x14ac:dyDescent="0.2">
      <c r="A55" s="67">
        <v>28</v>
      </c>
      <c r="B55" s="68"/>
      <c r="C55" s="68"/>
      <c r="D55" s="68"/>
      <c r="E55" s="66">
        <f>INDEX('All Units'!$Q$5:$Q$1272,MATCH("#"&amp;TEXT($A55,"00")&amp;"-"&amp;TEXT(E$6,"00"),'All Units'!$A$5:$A$1272,0))</f>
        <v>3234</v>
      </c>
      <c r="F55" s="66">
        <f>INDEX('All Units'!$Q$5:$Q$1272,MATCH("#"&amp;TEXT($A55,"00")&amp;"-"&amp;TEXT(F$6,"00"),'All Units'!$A$5:$A$1272,0))</f>
        <v>3371</v>
      </c>
      <c r="G55" s="68"/>
      <c r="H55" s="66">
        <f>INDEX('All Units'!$Q$5:$Q$1272,MATCH("#"&amp;TEXT($A55,"00")&amp;"-"&amp;TEXT(H$6,"00"),'All Units'!$A$5:$A$1272,0))</f>
        <v>3277</v>
      </c>
      <c r="I55" s="66">
        <f>INDEX('All Units'!$Q$5:$Q$1272,MATCH("#"&amp;TEXT($A55,"00")&amp;"-"&amp;TEXT(I$6,"00"),'All Units'!$A$5:$A$1272,0))</f>
        <v>3148</v>
      </c>
    </row>
    <row r="56" spans="1:9" x14ac:dyDescent="0.2">
      <c r="A56" s="67">
        <v>27</v>
      </c>
      <c r="B56" s="68"/>
      <c r="C56" s="68"/>
      <c r="D56" s="68"/>
      <c r="E56" s="66">
        <f>INDEX('All Units'!$Q$5:$Q$1272,MATCH("#"&amp;TEXT($A56,"00")&amp;"-"&amp;TEXT(E$6,"00"),'All Units'!$A$5:$A$1272,0))</f>
        <v>3225</v>
      </c>
      <c r="F56" s="66">
        <f>INDEX('All Units'!$Q$5:$Q$1272,MATCH("#"&amp;TEXT($A56,"00")&amp;"-"&amp;TEXT(F$6,"00"),'All Units'!$A$5:$A$1272,0))</f>
        <v>3362</v>
      </c>
      <c r="G56" s="68"/>
      <c r="H56" s="66">
        <f>INDEX('All Units'!$Q$5:$Q$1272,MATCH("#"&amp;TEXT($A56,"00")&amp;"-"&amp;TEXT(H$6,"00"),'All Units'!$A$5:$A$1272,0))</f>
        <v>3267</v>
      </c>
      <c r="I56" s="66">
        <f>INDEX('All Units'!$Q$5:$Q$1272,MATCH("#"&amp;TEXT($A56,"00")&amp;"-"&amp;TEXT(I$6,"00"),'All Units'!$A$5:$A$1272,0))</f>
        <v>3137</v>
      </c>
    </row>
    <row r="57" spans="1:9" x14ac:dyDescent="0.2">
      <c r="A57" s="67">
        <v>26</v>
      </c>
      <c r="B57" s="68"/>
      <c r="C57" s="68"/>
      <c r="D57" s="68"/>
      <c r="E57" s="66">
        <f>INDEX('All Units'!$Q$5:$Q$1272,MATCH("#"&amp;TEXT($A57,"00")&amp;"-"&amp;TEXT(E$6,"00"),'All Units'!$A$5:$A$1272,0))</f>
        <v>3216</v>
      </c>
      <c r="F57" s="66">
        <f>INDEX('All Units'!$Q$5:$Q$1272,MATCH("#"&amp;TEXT($A57,"00")&amp;"-"&amp;TEXT(F$6,"00"),'All Units'!$A$5:$A$1272,0))</f>
        <v>3352</v>
      </c>
      <c r="G57" s="68"/>
      <c r="H57" s="66">
        <f>INDEX('All Units'!$Q$5:$Q$1272,MATCH("#"&amp;TEXT($A57,"00")&amp;"-"&amp;TEXT(H$6,"00"),'All Units'!$A$5:$A$1272,0))</f>
        <v>3256</v>
      </c>
      <c r="I57" s="66">
        <f>INDEX('All Units'!$Q$5:$Q$1272,MATCH("#"&amp;TEXT($A57,"00")&amp;"-"&amp;TEXT(I$6,"00"),'All Units'!$A$5:$A$1272,0))</f>
        <v>3127</v>
      </c>
    </row>
    <row r="58" spans="1:9" x14ac:dyDescent="0.2">
      <c r="A58" s="67">
        <v>25</v>
      </c>
      <c r="B58" s="68"/>
      <c r="C58" s="68"/>
      <c r="D58" s="68"/>
      <c r="E58" s="66">
        <f>INDEX('All Units'!$Q$5:$Q$1272,MATCH("#"&amp;TEXT($A58,"00")&amp;"-"&amp;TEXT(E$6,"00"),'All Units'!$A$5:$A$1272,0))</f>
        <v>3207</v>
      </c>
      <c r="F58" s="66">
        <f>INDEX('All Units'!$Q$5:$Q$1272,MATCH("#"&amp;TEXT($A58,"00")&amp;"-"&amp;TEXT(F$6,"00"),'All Units'!$A$5:$A$1272,0))</f>
        <v>3343</v>
      </c>
      <c r="G58" s="68"/>
      <c r="H58" s="66">
        <f>INDEX('All Units'!$Q$5:$Q$1272,MATCH("#"&amp;TEXT($A58,"00")&amp;"-"&amp;TEXT(H$6,"00"),'All Units'!$A$5:$A$1272,0))</f>
        <v>3246</v>
      </c>
      <c r="I58" s="66">
        <f>INDEX('All Units'!$Q$5:$Q$1272,MATCH("#"&amp;TEXT($A58,"00")&amp;"-"&amp;TEXT(I$6,"00"),'All Units'!$A$5:$A$1272,0))</f>
        <v>3116</v>
      </c>
    </row>
    <row r="59" spans="1:9" x14ac:dyDescent="0.2">
      <c r="A59" s="67">
        <v>24</v>
      </c>
      <c r="B59" s="68"/>
      <c r="C59" s="68"/>
      <c r="D59" s="68"/>
      <c r="E59" s="66">
        <f>INDEX('All Units'!$Q$5:$Q$1272,MATCH("#"&amp;TEXT($A59,"00")&amp;"-"&amp;TEXT(E$6,"00"),'All Units'!$A$5:$A$1272,0))</f>
        <v>3197</v>
      </c>
      <c r="F59" s="66">
        <f>INDEX('All Units'!$Q$5:$Q$1272,MATCH("#"&amp;TEXT($A59,"00")&amp;"-"&amp;TEXT(F$6,"00"),'All Units'!$A$5:$A$1272,0))</f>
        <v>3334</v>
      </c>
      <c r="G59" s="68"/>
      <c r="H59" s="66">
        <f>INDEX('All Units'!$Q$5:$Q$1272,MATCH("#"&amp;TEXT($A59,"00")&amp;"-"&amp;TEXT(H$6,"00"),'All Units'!$A$5:$A$1272,0))</f>
        <v>3235</v>
      </c>
      <c r="I59" s="66">
        <f>INDEX('All Units'!$Q$5:$Q$1272,MATCH("#"&amp;TEXT($A59,"00")&amp;"-"&amp;TEXT(I$6,"00"),'All Units'!$A$5:$A$1272,0))</f>
        <v>3106</v>
      </c>
    </row>
    <row r="60" spans="1:9" x14ac:dyDescent="0.2">
      <c r="A60" s="67">
        <v>23</v>
      </c>
      <c r="B60" s="68"/>
      <c r="C60" s="68"/>
      <c r="D60" s="68"/>
      <c r="E60" s="66">
        <f>INDEX('All Units'!$Q$5:$Q$1272,MATCH("#"&amp;TEXT($A60,"00")&amp;"-"&amp;TEXT(E$6,"00"),'All Units'!$A$5:$A$1272,0))</f>
        <v>3188</v>
      </c>
      <c r="F60" s="66">
        <f>INDEX('All Units'!$Q$5:$Q$1272,MATCH("#"&amp;TEXT($A60,"00")&amp;"-"&amp;TEXT(F$6,"00"),'All Units'!$A$5:$A$1272,0))</f>
        <v>3325</v>
      </c>
      <c r="G60" s="68"/>
      <c r="H60" s="66">
        <f>INDEX('All Units'!$Q$5:$Q$1272,MATCH("#"&amp;TEXT($A60,"00")&amp;"-"&amp;TEXT(H$6,"00"),'All Units'!$A$5:$A$1272,0))</f>
        <v>3225</v>
      </c>
      <c r="I60" s="66">
        <f>INDEX('All Units'!$Q$5:$Q$1272,MATCH("#"&amp;TEXT($A60,"00")&amp;"-"&amp;TEXT(I$6,"00"),'All Units'!$A$5:$A$1272,0))</f>
        <v>3095</v>
      </c>
    </row>
    <row r="61" spans="1:9" x14ac:dyDescent="0.2">
      <c r="A61" s="67">
        <v>22</v>
      </c>
      <c r="B61" s="68"/>
      <c r="C61" s="68"/>
      <c r="D61" s="68"/>
      <c r="E61" s="66">
        <f>INDEX('All Units'!$Q$5:$Q$1272,MATCH("#"&amp;TEXT($A61,"00")&amp;"-"&amp;TEXT(E$6,"00"),'All Units'!$A$5:$A$1272,0))</f>
        <v>3179</v>
      </c>
      <c r="F61" s="66">
        <f>INDEX('All Units'!$Q$5:$Q$1272,MATCH("#"&amp;TEXT($A61,"00")&amp;"-"&amp;TEXT(F$6,"00"),'All Units'!$A$5:$A$1272,0))</f>
        <v>3316</v>
      </c>
      <c r="G61" s="68"/>
      <c r="H61" s="66">
        <f>INDEX('All Units'!$Q$5:$Q$1272,MATCH("#"&amp;TEXT($A61,"00")&amp;"-"&amp;TEXT(H$6,"00"),'All Units'!$A$5:$A$1272,0))</f>
        <v>3214</v>
      </c>
      <c r="I61" s="66">
        <f>INDEX('All Units'!$Q$5:$Q$1272,MATCH("#"&amp;TEXT($A61,"00")&amp;"-"&amp;TEXT(I$6,"00"),'All Units'!$A$5:$A$1272,0))</f>
        <v>3085</v>
      </c>
    </row>
    <row r="62" spans="1:9" x14ac:dyDescent="0.2">
      <c r="A62" s="67">
        <v>21</v>
      </c>
      <c r="B62" s="66">
        <f>INDEX('All Units'!$Q$5:$Q$1272,MATCH("#"&amp;TEXT($A62,"00")&amp;"-"&amp;TEXT(B$6,"00"),'All Units'!$A$5:$A$1272,0))</f>
        <v>3149</v>
      </c>
      <c r="C62" s="66">
        <f>INDEX('All Units'!$Q$5:$Q$1272,MATCH("#"&amp;TEXT($A62,"00")&amp;"-"&amp;TEXT(C$6,"00"),'All Units'!$A$5:$A$1272,0))</f>
        <v>3012</v>
      </c>
      <c r="D62" s="66">
        <f>INDEX('All Units'!$Q$5:$Q$1272,MATCH("#"&amp;TEXT($A62,"00")&amp;"-"&amp;TEXT(D$6,"00"),'All Units'!$A$5:$A$1272,0))</f>
        <v>3012</v>
      </c>
      <c r="E62" s="66">
        <f>INDEX('All Units'!$Q$5:$Q$1272,MATCH("#"&amp;TEXT($A62,"00")&amp;"-"&amp;TEXT(E$6,"00"),'All Units'!$A$5:$A$1272,0))</f>
        <v>3170</v>
      </c>
      <c r="F62" s="66">
        <f>INDEX('All Units'!$Q$5:$Q$1272,MATCH("#"&amp;TEXT($A62,"00")&amp;"-"&amp;TEXT(F$6,"00"),'All Units'!$A$5:$A$1272,0))</f>
        <v>3306</v>
      </c>
      <c r="G62" s="66">
        <f>INDEX('All Units'!$Q$5:$Q$1272,MATCH("#"&amp;TEXT($A62,"00")&amp;"-"&amp;TEXT(G$6,"00"),'All Units'!$A$5:$A$1272,0))</f>
        <v>3054</v>
      </c>
      <c r="H62" s="66">
        <f>INDEX('All Units'!$Q$5:$Q$1272,MATCH("#"&amp;TEXT($A62,"00")&amp;"-"&amp;TEXT(H$6,"00"),'All Units'!$A$5:$A$1272,0))</f>
        <v>3200</v>
      </c>
      <c r="I62" s="66">
        <f>INDEX('All Units'!$Q$5:$Q$1272,MATCH("#"&amp;TEXT($A62,"00")&amp;"-"&amp;TEXT(I$6,"00"),'All Units'!$A$5:$A$1272,0))</f>
        <v>3075</v>
      </c>
    </row>
    <row r="63" spans="1:9" x14ac:dyDescent="0.2">
      <c r="A63" s="67">
        <v>20</v>
      </c>
      <c r="B63" s="66">
        <f>INDEX('All Units'!$Q$5:$Q$1272,MATCH("#"&amp;TEXT($A63,"00")&amp;"-"&amp;TEXT(B$6,"00"),'All Units'!$A$5:$A$1272,0))</f>
        <v>3126</v>
      </c>
      <c r="C63" s="66">
        <f>INDEX('All Units'!$Q$5:$Q$1272,MATCH("#"&amp;TEXT($A63,"00")&amp;"-"&amp;TEXT(C$6,"00"),'All Units'!$A$5:$A$1272,0))</f>
        <v>2989</v>
      </c>
      <c r="D63" s="66">
        <f>INDEX('All Units'!$Q$5:$Q$1272,MATCH("#"&amp;TEXT($A63,"00")&amp;"-"&amp;TEXT(D$6,"00"),'All Units'!$A$5:$A$1272,0))</f>
        <v>2989</v>
      </c>
      <c r="E63" s="66">
        <f>INDEX('All Units'!$Q$5:$Q$1272,MATCH("#"&amp;TEXT($A63,"00")&amp;"-"&amp;TEXT(E$6,"00"),'All Units'!$A$5:$A$1272,0))</f>
        <v>3156</v>
      </c>
      <c r="F63" s="66">
        <f>INDEX('All Units'!$Q$5:$Q$1272,MATCH("#"&amp;TEXT($A63,"00")&amp;"-"&amp;TEXT(F$6,"00"),'All Units'!$A$5:$A$1272,0))</f>
        <v>3288</v>
      </c>
      <c r="G63" s="66">
        <f>INDEX('All Units'!$Q$5:$Q$1272,MATCH("#"&amp;TEXT($A63,"00")&amp;"-"&amp;TEXT(G$6,"00"),'All Units'!$A$5:$A$1272,0))</f>
        <v>3032</v>
      </c>
      <c r="H63" s="66">
        <f>INDEX('All Units'!$Q$5:$Q$1272,MATCH("#"&amp;TEXT($A63,"00")&amp;"-"&amp;TEXT(H$6,"00"),'All Units'!$A$5:$A$1272,0))</f>
        <v>3178</v>
      </c>
      <c r="I63" s="66">
        <f>INDEX('All Units'!$Q$5:$Q$1272,MATCH("#"&amp;TEXT($A63,"00")&amp;"-"&amp;TEXT(I$6,"00"),'All Units'!$A$5:$A$1272,0))</f>
        <v>3064</v>
      </c>
    </row>
    <row r="64" spans="1:9" x14ac:dyDescent="0.2">
      <c r="A64" s="67">
        <v>19</v>
      </c>
      <c r="B64" s="66">
        <f>INDEX('All Units'!$Q$5:$Q$1272,MATCH("#"&amp;TEXT($A64,"00")&amp;"-"&amp;TEXT(B$6,"00"),'All Units'!$A$5:$A$1272,0))</f>
        <v>3103</v>
      </c>
      <c r="C64" s="66">
        <f>INDEX('All Units'!$Q$5:$Q$1272,MATCH("#"&amp;TEXT($A64,"00")&amp;"-"&amp;TEXT(C$6,"00"),'All Units'!$A$5:$A$1272,0))</f>
        <v>2966</v>
      </c>
      <c r="D64" s="66">
        <f>INDEX('All Units'!$Q$5:$Q$1272,MATCH("#"&amp;TEXT($A64,"00")&amp;"-"&amp;TEXT(D$6,"00"),'All Units'!$A$5:$A$1272,0))</f>
        <v>2966</v>
      </c>
      <c r="E64" s="66">
        <f>INDEX('All Units'!$Q$5:$Q$1272,MATCH("#"&amp;TEXT($A64,"00")&amp;"-"&amp;TEXT(E$6,"00"),'All Units'!$A$5:$A$1272,0))</f>
        <v>3142</v>
      </c>
      <c r="F64" s="66">
        <f>INDEX('All Units'!$Q$5:$Q$1272,MATCH("#"&amp;TEXT($A64,"00")&amp;"-"&amp;TEXT(F$6,"00"),'All Units'!$A$5:$A$1272,0))</f>
        <v>3260</v>
      </c>
      <c r="G64" s="66">
        <f>INDEX('All Units'!$Q$5:$Q$1272,MATCH("#"&amp;TEXT($A64,"00")&amp;"-"&amp;TEXT(G$6,"00"),'All Units'!$A$5:$A$1272,0))</f>
        <v>3011</v>
      </c>
      <c r="H64" s="66">
        <f>INDEX('All Units'!$Q$5:$Q$1272,MATCH("#"&amp;TEXT($A64,"00")&amp;"-"&amp;TEXT(H$6,"00"),'All Units'!$A$5:$A$1272,0))</f>
        <v>3156</v>
      </c>
      <c r="I64" s="66">
        <f>INDEX('All Units'!$Q$5:$Q$1272,MATCH("#"&amp;TEXT($A64,"00")&amp;"-"&amp;TEXT(I$6,"00"),'All Units'!$A$5:$A$1272,0))</f>
        <v>3053</v>
      </c>
    </row>
    <row r="65" spans="1:9" x14ac:dyDescent="0.2">
      <c r="A65" s="67">
        <v>18</v>
      </c>
      <c r="B65" s="66">
        <f>INDEX('All Units'!$Q$5:$Q$1272,MATCH("#"&amp;TEXT($A65,"00")&amp;"-"&amp;TEXT(B$6,"00"),'All Units'!$A$5:$A$1272,0))</f>
        <v>3079</v>
      </c>
      <c r="C65" s="66">
        <f>INDEX('All Units'!$Q$5:$Q$1272,MATCH("#"&amp;TEXT($A65,"00")&amp;"-"&amp;TEXT(C$6,"00"),'All Units'!$A$5:$A$1272,0))</f>
        <v>2943</v>
      </c>
      <c r="D65" s="66">
        <f>INDEX('All Units'!$Q$5:$Q$1272,MATCH("#"&amp;TEXT($A65,"00")&amp;"-"&amp;TEXT(D$6,"00"),'All Units'!$A$5:$A$1272,0))</f>
        <v>2943</v>
      </c>
      <c r="E65" s="66">
        <f>INDEX('All Units'!$Q$5:$Q$1272,MATCH("#"&amp;TEXT($A65,"00")&amp;"-"&amp;TEXT(E$6,"00"),'All Units'!$A$5:$A$1272,0))</f>
        <v>3128</v>
      </c>
      <c r="F65" s="66">
        <f>INDEX('All Units'!$Q$5:$Q$1272,MATCH("#"&amp;TEXT($A65,"00")&amp;"-"&amp;TEXT(F$6,"00"),'All Units'!$A$5:$A$1272,0))</f>
        <v>3233</v>
      </c>
      <c r="G65" s="66">
        <f>INDEX('All Units'!$Q$5:$Q$1272,MATCH("#"&amp;TEXT($A65,"00")&amp;"-"&amp;TEXT(G$6,"00"),'All Units'!$A$5:$A$1272,0))</f>
        <v>2989</v>
      </c>
      <c r="H65" s="66">
        <f>INDEX('All Units'!$Q$5:$Q$1272,MATCH("#"&amp;TEXT($A65,"00")&amp;"-"&amp;TEXT(H$6,"00"),'All Units'!$A$5:$A$1272,0))</f>
        <v>3134</v>
      </c>
      <c r="I65" s="66">
        <f>INDEX('All Units'!$Q$5:$Q$1272,MATCH("#"&amp;TEXT($A65,"00")&amp;"-"&amp;TEXT(I$6,"00"),'All Units'!$A$5:$A$1272,0))</f>
        <v>3043</v>
      </c>
    </row>
    <row r="66" spans="1:9" x14ac:dyDescent="0.2">
      <c r="A66" s="67">
        <v>17</v>
      </c>
      <c r="B66" s="66">
        <f>INDEX('All Units'!$Q$5:$Q$1272,MATCH("#"&amp;TEXT($A66,"00")&amp;"-"&amp;TEXT(B$6,"00"),'All Units'!$A$5:$A$1272,0))</f>
        <v>3056</v>
      </c>
      <c r="C66" s="66">
        <f>INDEX('All Units'!$Q$5:$Q$1272,MATCH("#"&amp;TEXT($A66,"00")&amp;"-"&amp;TEXT(C$6,"00"),'All Units'!$A$5:$A$1272,0))</f>
        <v>2920</v>
      </c>
      <c r="D66" s="66">
        <f>INDEX('All Units'!$Q$5:$Q$1272,MATCH("#"&amp;TEXT($A66,"00")&amp;"-"&amp;TEXT(D$6,"00"),'All Units'!$A$5:$A$1272,0))</f>
        <v>2920</v>
      </c>
      <c r="E66" s="66">
        <f>INDEX('All Units'!$Q$5:$Q$1272,MATCH("#"&amp;TEXT($A66,"00")&amp;"-"&amp;TEXT(E$6,"00"),'All Units'!$A$5:$A$1272,0))</f>
        <v>3114</v>
      </c>
      <c r="F66" s="66">
        <f>INDEX('All Units'!$Q$5:$Q$1272,MATCH("#"&amp;TEXT($A66,"00")&amp;"-"&amp;TEXT(F$6,"00"),'All Units'!$A$5:$A$1272,0))</f>
        <v>3206</v>
      </c>
      <c r="G66" s="66">
        <f>INDEX('All Units'!$Q$5:$Q$1272,MATCH("#"&amp;TEXT($A66,"00")&amp;"-"&amp;TEXT(G$6,"00"),'All Units'!$A$5:$A$1272,0))</f>
        <v>2968</v>
      </c>
      <c r="H66" s="66">
        <f>INDEX('All Units'!$Q$5:$Q$1272,MATCH("#"&amp;TEXT($A66,"00")&amp;"-"&amp;TEXT(H$6,"00"),'All Units'!$A$5:$A$1272,0))</f>
        <v>3113</v>
      </c>
      <c r="I66" s="66">
        <f>INDEX('All Units'!$Q$5:$Q$1272,MATCH("#"&amp;TEXT($A66,"00")&amp;"-"&amp;TEXT(I$6,"00"),'All Units'!$A$5:$A$1272,0))</f>
        <v>3032</v>
      </c>
    </row>
    <row r="67" spans="1:9" x14ac:dyDescent="0.2">
      <c r="A67" s="67">
        <v>16</v>
      </c>
      <c r="B67" s="66">
        <f>INDEX('All Units'!$Q$5:$Q$1272,MATCH("#"&amp;TEXT($A67,"00")&amp;"-"&amp;TEXT(B$6,"00"),'All Units'!$A$5:$A$1272,0))</f>
        <v>3033</v>
      </c>
      <c r="C67" s="66">
        <f>INDEX('All Units'!$Q$5:$Q$1272,MATCH("#"&amp;TEXT($A67,"00")&amp;"-"&amp;TEXT(C$6,"00"),'All Units'!$A$5:$A$1272,0))</f>
        <v>2897</v>
      </c>
      <c r="D67" s="66">
        <f>INDEX('All Units'!$Q$5:$Q$1272,MATCH("#"&amp;TEXT($A67,"00")&amp;"-"&amp;TEXT(D$6,"00"),'All Units'!$A$5:$A$1272,0))</f>
        <v>2897</v>
      </c>
      <c r="E67" s="66">
        <f>INDEX('All Units'!$Q$5:$Q$1272,MATCH("#"&amp;TEXT($A67,"00")&amp;"-"&amp;TEXT(E$6,"00"),'All Units'!$A$5:$A$1272,0))</f>
        <v>3100</v>
      </c>
      <c r="F67" s="66">
        <f>INDEX('All Units'!$Q$5:$Q$1272,MATCH("#"&amp;TEXT($A67,"00")&amp;"-"&amp;TEXT(F$6,"00"),'All Units'!$A$5:$A$1272,0))</f>
        <v>3179</v>
      </c>
      <c r="G67" s="66">
        <f>INDEX('All Units'!$Q$5:$Q$1272,MATCH("#"&amp;TEXT($A67,"00")&amp;"-"&amp;TEXT(G$6,"00"),'All Units'!$A$5:$A$1272,0))</f>
        <v>2946</v>
      </c>
      <c r="H67" s="66">
        <f>INDEX('All Units'!$Q$5:$Q$1272,MATCH("#"&amp;TEXT($A67,"00")&amp;"-"&amp;TEXT(H$6,"00"),'All Units'!$A$5:$A$1272,0))</f>
        <v>3091</v>
      </c>
      <c r="I67" s="66">
        <f>INDEX('All Units'!$Q$5:$Q$1272,MATCH("#"&amp;TEXT($A67,"00")&amp;"-"&amp;TEXT(I$6,"00"),'All Units'!$A$5:$A$1272,0))</f>
        <v>3022</v>
      </c>
    </row>
    <row r="68" spans="1:9" x14ac:dyDescent="0.2">
      <c r="A68" s="67">
        <v>15</v>
      </c>
      <c r="B68" s="66">
        <f>INDEX('All Units'!$Q$5:$Q$1272,MATCH("#"&amp;TEXT($A68,"00")&amp;"-"&amp;TEXT(B$6,"00"),'All Units'!$A$5:$A$1272,0))</f>
        <v>3010</v>
      </c>
      <c r="C68" s="66">
        <f>INDEX('All Units'!$Q$5:$Q$1272,MATCH("#"&amp;TEXT($A68,"00")&amp;"-"&amp;TEXT(C$6,"00"),'All Units'!$A$5:$A$1272,0))</f>
        <v>2874</v>
      </c>
      <c r="D68" s="66">
        <f>INDEX('All Units'!$Q$5:$Q$1272,MATCH("#"&amp;TEXT($A68,"00")&amp;"-"&amp;TEXT(D$6,"00"),'All Units'!$A$5:$A$1272,0))</f>
        <v>2877</v>
      </c>
      <c r="E68" s="66">
        <f>INDEX('All Units'!$Q$5:$Q$1272,MATCH("#"&amp;TEXT($A68,"00")&amp;"-"&amp;TEXT(E$6,"00"),'All Units'!$A$5:$A$1272,0))</f>
        <v>3080</v>
      </c>
      <c r="F68" s="66">
        <f>INDEX('All Units'!$Q$5:$Q$1272,MATCH("#"&amp;TEXT($A68,"00")&amp;"-"&amp;TEXT(F$6,"00"),'All Units'!$A$5:$A$1272,0))</f>
        <v>3144</v>
      </c>
      <c r="G68" s="66">
        <f>INDEX('All Units'!$Q$5:$Q$1272,MATCH("#"&amp;TEXT($A68,"00")&amp;"-"&amp;TEXT(G$6,"00"),'All Units'!$A$5:$A$1272,0))</f>
        <v>2925</v>
      </c>
      <c r="H68" s="66">
        <f>INDEX('All Units'!$Q$5:$Q$1272,MATCH("#"&amp;TEXT($A68,"00")&amp;"-"&amp;TEXT(H$6,"00"),'All Units'!$A$5:$A$1272,0))</f>
        <v>3063</v>
      </c>
      <c r="I68" s="66">
        <f>INDEX('All Units'!$Q$5:$Q$1272,MATCH("#"&amp;TEXT($A68,"00")&amp;"-"&amp;TEXT(I$6,"00"),'All Units'!$A$5:$A$1272,0))</f>
        <v>3006</v>
      </c>
    </row>
    <row r="69" spans="1:9" x14ac:dyDescent="0.2">
      <c r="A69" s="67">
        <v>14</v>
      </c>
      <c r="B69" s="66">
        <f>INDEX('All Units'!$Q$5:$Q$1272,MATCH("#"&amp;TEXT($A69,"00")&amp;"-"&amp;TEXT(B$6,"00"),'All Units'!$A$5:$A$1272,0))</f>
        <v>2987</v>
      </c>
      <c r="C69" s="66">
        <f>INDEX('All Units'!$Q$5:$Q$1272,MATCH("#"&amp;TEXT($A69,"00")&amp;"-"&amp;TEXT(C$6,"00"),'All Units'!$A$5:$A$1272,0))</f>
        <v>2851</v>
      </c>
      <c r="D69" s="66">
        <f>INDEX('All Units'!$Q$5:$Q$1272,MATCH("#"&amp;TEXT($A69,"00")&amp;"-"&amp;TEXT(D$6,"00"),'All Units'!$A$5:$A$1272,0))</f>
        <v>2858</v>
      </c>
      <c r="E69" s="66">
        <f>INDEX('All Units'!$Q$5:$Q$1272,MATCH("#"&amp;TEXT($A69,"00")&amp;"-"&amp;TEXT(E$6,"00"),'All Units'!$A$5:$A$1272,0))</f>
        <v>3059</v>
      </c>
      <c r="F69" s="66">
        <f>INDEX('All Units'!$Q$5:$Q$1272,MATCH("#"&amp;TEXT($A69,"00")&amp;"-"&amp;TEXT(F$6,"00"),'All Units'!$A$5:$A$1272,0))</f>
        <v>3110</v>
      </c>
      <c r="G69" s="66">
        <f>INDEX('All Units'!$Q$5:$Q$1272,MATCH("#"&amp;TEXT($A69,"00")&amp;"-"&amp;TEXT(G$6,"00"),'All Units'!$A$5:$A$1272,0))</f>
        <v>2903</v>
      </c>
      <c r="H69" s="66">
        <f>INDEX('All Units'!$Q$5:$Q$1272,MATCH("#"&amp;TEXT($A69,"00")&amp;"-"&amp;TEXT(H$6,"00"),'All Units'!$A$5:$A$1272,0))</f>
        <v>3036</v>
      </c>
      <c r="I69" s="66">
        <f>INDEX('All Units'!$Q$5:$Q$1272,MATCH("#"&amp;TEXT($A69,"00")&amp;"-"&amp;TEXT(I$6,"00"),'All Units'!$A$5:$A$1272,0))</f>
        <v>2989</v>
      </c>
    </row>
    <row r="70" spans="1:9" x14ac:dyDescent="0.2">
      <c r="A70" s="67">
        <v>13</v>
      </c>
      <c r="B70" s="66">
        <f>INDEX('All Units'!$Q$5:$Q$1272,MATCH("#"&amp;TEXT($A70,"00")&amp;"-"&amp;TEXT(B$6,"00"),'All Units'!$A$5:$A$1272,0))</f>
        <v>2964</v>
      </c>
      <c r="C70" s="66">
        <f>INDEX('All Units'!$Q$5:$Q$1272,MATCH("#"&amp;TEXT($A70,"00")&amp;"-"&amp;TEXT(C$6,"00"),'All Units'!$A$5:$A$1272,0))</f>
        <v>2828</v>
      </c>
      <c r="D70" s="66">
        <f>INDEX('All Units'!$Q$5:$Q$1272,MATCH("#"&amp;TEXT($A70,"00")&amp;"-"&amp;TEXT(D$6,"00"),'All Units'!$A$5:$A$1272,0))</f>
        <v>2839</v>
      </c>
      <c r="E70" s="66">
        <f>INDEX('All Units'!$Q$5:$Q$1272,MATCH("#"&amp;TEXT($A70,"00")&amp;"-"&amp;TEXT(E$6,"00"),'All Units'!$A$5:$A$1272,0))</f>
        <v>3039</v>
      </c>
      <c r="F70" s="66">
        <f>INDEX('All Units'!$Q$5:$Q$1272,MATCH("#"&amp;TEXT($A70,"00")&amp;"-"&amp;TEXT(F$6,"00"),'All Units'!$A$5:$A$1272,0))</f>
        <v>3076</v>
      </c>
      <c r="G70" s="66">
        <f>INDEX('All Units'!$Q$5:$Q$1272,MATCH("#"&amp;TEXT($A70,"00")&amp;"-"&amp;TEXT(G$6,"00"),'All Units'!$A$5:$A$1272,0))</f>
        <v>2882</v>
      </c>
      <c r="H70" s="66">
        <f>INDEX('All Units'!$Q$5:$Q$1272,MATCH("#"&amp;TEXT($A70,"00")&amp;"-"&amp;TEXT(H$6,"00"),'All Units'!$A$5:$A$1272,0))</f>
        <v>3009</v>
      </c>
      <c r="I70" s="66">
        <f>INDEX('All Units'!$Q$5:$Q$1272,MATCH("#"&amp;TEXT($A70,"00")&amp;"-"&amp;TEXT(I$6,"00"),'All Units'!$A$5:$A$1272,0))</f>
        <v>2973</v>
      </c>
    </row>
    <row r="71" spans="1:9" x14ac:dyDescent="0.2">
      <c r="A71" s="67">
        <v>12</v>
      </c>
      <c r="B71" s="66">
        <f>INDEX('All Units'!$Q$5:$Q$1272,MATCH("#"&amp;TEXT($A71,"00")&amp;"-"&amp;TEXT(B$6,"00"),'All Units'!$A$5:$A$1272,0))</f>
        <v>2941</v>
      </c>
      <c r="C71" s="66">
        <f>INDEX('All Units'!$Q$5:$Q$1272,MATCH("#"&amp;TEXT($A71,"00")&amp;"-"&amp;TEXT(C$6,"00"),'All Units'!$A$5:$A$1272,0))</f>
        <v>2804</v>
      </c>
      <c r="D71" s="66">
        <f>INDEX('All Units'!$Q$5:$Q$1272,MATCH("#"&amp;TEXT($A71,"00")&amp;"-"&amp;TEXT(D$6,"00"),'All Units'!$A$5:$A$1272,0))</f>
        <v>2820</v>
      </c>
      <c r="E71" s="66">
        <f>INDEX('All Units'!$Q$5:$Q$1272,MATCH("#"&amp;TEXT($A71,"00")&amp;"-"&amp;TEXT(E$6,"00"),'All Units'!$A$5:$A$1272,0))</f>
        <v>3018</v>
      </c>
      <c r="F71" s="66">
        <f>INDEX('All Units'!$Q$5:$Q$1272,MATCH("#"&amp;TEXT($A71,"00")&amp;"-"&amp;TEXT(F$6,"00"),'All Units'!$A$5:$A$1272,0))</f>
        <v>3042</v>
      </c>
      <c r="G71" s="66">
        <f>INDEX('All Units'!$Q$5:$Q$1272,MATCH("#"&amp;TEXT($A71,"00")&amp;"-"&amp;TEXT(G$6,"00"),'All Units'!$A$5:$A$1272,0))</f>
        <v>2861</v>
      </c>
      <c r="H71" s="66">
        <f>INDEX('All Units'!$Q$5:$Q$1272,MATCH("#"&amp;TEXT($A71,"00")&amp;"-"&amp;TEXT(H$6,"00"),'All Units'!$A$5:$A$1272,0))</f>
        <v>2981</v>
      </c>
      <c r="I71" s="66">
        <f>INDEX('All Units'!$Q$5:$Q$1272,MATCH("#"&amp;TEXT($A71,"00")&amp;"-"&amp;TEXT(I$6,"00"),'All Units'!$A$5:$A$1272,0))</f>
        <v>2957</v>
      </c>
    </row>
    <row r="72" spans="1:9" x14ac:dyDescent="0.2">
      <c r="A72" s="67">
        <v>11</v>
      </c>
      <c r="B72" s="66">
        <f>INDEX('All Units'!$Q$5:$Q$1272,MATCH("#"&amp;TEXT($A72,"00")&amp;"-"&amp;TEXT(B$6,"00"),'All Units'!$A$5:$A$1272,0))</f>
        <v>2921</v>
      </c>
      <c r="C72" s="66">
        <f>INDEX('All Units'!$Q$5:$Q$1272,MATCH("#"&amp;TEXT($A72,"00")&amp;"-"&amp;TEXT(C$6,"00"),'All Units'!$A$5:$A$1272,0))</f>
        <v>2784</v>
      </c>
      <c r="D72" s="66">
        <f>INDEX('All Units'!$Q$5:$Q$1272,MATCH("#"&amp;TEXT($A72,"00")&amp;"-"&amp;TEXT(D$6,"00"),'All Units'!$A$5:$A$1272,0))</f>
        <v>2803</v>
      </c>
      <c r="E72" s="66">
        <f>INDEX('All Units'!$Q$5:$Q$1272,MATCH("#"&amp;TEXT($A72,"00")&amp;"-"&amp;TEXT(E$6,"00"),'All Units'!$A$5:$A$1272,0))</f>
        <v>2997</v>
      </c>
      <c r="F72" s="66">
        <f>INDEX('All Units'!$Q$5:$Q$1272,MATCH("#"&amp;TEXT($A72,"00")&amp;"-"&amp;TEXT(F$6,"00"),'All Units'!$A$5:$A$1272,0))</f>
        <v>3017</v>
      </c>
      <c r="G72" s="66">
        <f>INDEX('All Units'!$Q$5:$Q$1272,MATCH("#"&amp;TEXT($A72,"00")&amp;"-"&amp;TEXT(G$6,"00"),'All Units'!$A$5:$A$1272,0))</f>
        <v>2839</v>
      </c>
      <c r="H72" s="66">
        <f>INDEX('All Units'!$Q$5:$Q$1272,MATCH("#"&amp;TEXT($A72,"00")&amp;"-"&amp;TEXT(H$6,"00"),'All Units'!$A$5:$A$1272,0))</f>
        <v>2954</v>
      </c>
      <c r="I72" s="66">
        <f>INDEX('All Units'!$Q$5:$Q$1272,MATCH("#"&amp;TEXT($A72,"00")&amp;"-"&amp;TEXT(I$6,"00"),'All Units'!$A$5:$A$1272,0))</f>
        <v>2939</v>
      </c>
    </row>
    <row r="73" spans="1:9" x14ac:dyDescent="0.2">
      <c r="A73" s="67">
        <v>10</v>
      </c>
      <c r="B73" s="66">
        <f>INDEX('All Units'!$Q$5:$Q$1272,MATCH("#"&amp;TEXT($A73,"00")&amp;"-"&amp;TEXT(B$6,"00"),'All Units'!$A$5:$A$1272,0))</f>
        <v>2904</v>
      </c>
      <c r="C73" s="66">
        <f>INDEX('All Units'!$Q$5:$Q$1272,MATCH("#"&amp;TEXT($A73,"00")&amp;"-"&amp;TEXT(C$6,"00"),'All Units'!$A$5:$A$1272,0))</f>
        <v>2767</v>
      </c>
      <c r="D73" s="66">
        <f>INDEX('All Units'!$Q$5:$Q$1272,MATCH("#"&amp;TEXT($A73,"00")&amp;"-"&amp;TEXT(D$6,"00"),'All Units'!$A$5:$A$1272,0))</f>
        <v>2790</v>
      </c>
      <c r="E73" s="66">
        <f>INDEX('All Units'!$Q$5:$Q$1272,MATCH("#"&amp;TEXT($A73,"00")&amp;"-"&amp;TEXT(E$6,"00"),'All Units'!$A$5:$A$1272,0))</f>
        <v>2977</v>
      </c>
      <c r="F73" s="66">
        <f>INDEX('All Units'!$Q$5:$Q$1272,MATCH("#"&amp;TEXT($A73,"00")&amp;"-"&amp;TEXT(F$6,"00"),'All Units'!$A$5:$A$1272,0))</f>
        <v>2991</v>
      </c>
      <c r="G73" s="66">
        <f>INDEX('All Units'!$Q$5:$Q$1272,MATCH("#"&amp;TEXT($A73,"00")&amp;"-"&amp;TEXT(G$6,"00"),'All Units'!$A$5:$A$1272,0))</f>
        <v>2818</v>
      </c>
      <c r="H73" s="66">
        <f>INDEX('All Units'!$Q$5:$Q$1272,MATCH("#"&amp;TEXT($A73,"00")&amp;"-"&amp;TEXT(H$6,"00"),'All Units'!$A$5:$A$1272,0))</f>
        <v>2926</v>
      </c>
      <c r="I73" s="66">
        <f>INDEX('All Units'!$Q$5:$Q$1272,MATCH("#"&amp;TEXT($A73,"00")&amp;"-"&amp;TEXT(I$6,"00"),'All Units'!$A$5:$A$1272,0))</f>
        <v>2922</v>
      </c>
    </row>
    <row r="74" spans="1:9" x14ac:dyDescent="0.2">
      <c r="A74" s="67">
        <v>9</v>
      </c>
      <c r="B74" s="66">
        <f>INDEX('All Units'!$Q$5:$Q$1272,MATCH("#"&amp;TEXT($A74,"00")&amp;"-"&amp;TEXT(B$6,"00"),'All Units'!$A$5:$A$1272,0))</f>
        <v>2887</v>
      </c>
      <c r="C74" s="66">
        <f>INDEX('All Units'!$Q$5:$Q$1272,MATCH("#"&amp;TEXT($A74,"00")&amp;"-"&amp;TEXT(C$6,"00"),'All Units'!$A$5:$A$1272,0))</f>
        <v>2767</v>
      </c>
      <c r="D74" s="66">
        <f>INDEX('All Units'!$Q$5:$Q$1272,MATCH("#"&amp;TEXT($A74,"00")&amp;"-"&amp;TEXT(D$6,"00"),'All Units'!$A$5:$A$1272,0))</f>
        <v>2777</v>
      </c>
      <c r="E74" s="66">
        <f>INDEX('All Units'!$Q$5:$Q$1272,MATCH("#"&amp;TEXT($A74,"00")&amp;"-"&amp;TEXT(E$6,"00"),'All Units'!$A$5:$A$1272,0))</f>
        <v>2956</v>
      </c>
      <c r="F74" s="66">
        <f>INDEX('All Units'!$Q$5:$Q$1272,MATCH("#"&amp;TEXT($A74,"00")&amp;"-"&amp;TEXT(F$6,"00"),'All Units'!$A$5:$A$1272,0))</f>
        <v>2966</v>
      </c>
      <c r="G74" s="66">
        <f>INDEX('All Units'!$Q$5:$Q$1272,MATCH("#"&amp;TEXT($A74,"00")&amp;"-"&amp;TEXT(G$6,"00"),'All Units'!$A$5:$A$1272,0))</f>
        <v>2797</v>
      </c>
      <c r="H74" s="66">
        <f>INDEX('All Units'!$Q$5:$Q$1272,MATCH("#"&amp;TEXT($A74,"00")&amp;"-"&amp;TEXT(H$6,"00"),'All Units'!$A$5:$A$1272,0))</f>
        <v>2899</v>
      </c>
      <c r="I74" s="66">
        <f>INDEX('All Units'!$Q$5:$Q$1272,MATCH("#"&amp;TEXT($A74,"00")&amp;"-"&amp;TEXT(I$6,"00"),'All Units'!$A$5:$A$1272,0))</f>
        <v>2905</v>
      </c>
    </row>
    <row r="75" spans="1:9" x14ac:dyDescent="0.2">
      <c r="A75" s="67">
        <v>8</v>
      </c>
      <c r="B75" s="66">
        <f>INDEX('All Units'!$Q$5:$Q$1272,MATCH("#"&amp;TEXT($A75,"00")&amp;"-"&amp;TEXT(B$6,"00"),'All Units'!$A$5:$A$1272,0))</f>
        <v>2869</v>
      </c>
      <c r="C75" s="66">
        <f>INDEX('All Units'!$Q$5:$Q$1272,MATCH("#"&amp;TEXT($A75,"00")&amp;"-"&amp;TEXT(C$6,"00"),'All Units'!$A$5:$A$1272,0))</f>
        <v>2767</v>
      </c>
      <c r="D75" s="66">
        <f>INDEX('All Units'!$Q$5:$Q$1272,MATCH("#"&amp;TEXT($A75,"00")&amp;"-"&amp;TEXT(D$6,"00"),'All Units'!$A$5:$A$1272,0))</f>
        <v>2763</v>
      </c>
      <c r="E75" s="66">
        <f>INDEX('All Units'!$Q$5:$Q$1272,MATCH("#"&amp;TEXT($A75,"00")&amp;"-"&amp;TEXT(E$6,"00"),'All Units'!$A$5:$A$1272,0))</f>
        <v>2936</v>
      </c>
      <c r="F75" s="66">
        <f>INDEX('All Units'!$Q$5:$Q$1272,MATCH("#"&amp;TEXT($A75,"00")&amp;"-"&amp;TEXT(F$6,"00"),'All Units'!$A$5:$A$1272,0))</f>
        <v>2940</v>
      </c>
      <c r="G75" s="66">
        <f>INDEX('All Units'!$Q$5:$Q$1272,MATCH("#"&amp;TEXT($A75,"00")&amp;"-"&amp;TEXT(G$6,"00"),'All Units'!$A$5:$A$1272,0))</f>
        <v>2776</v>
      </c>
      <c r="H75" s="66">
        <f>INDEX('All Units'!$Q$5:$Q$1272,MATCH("#"&amp;TEXT($A75,"00")&amp;"-"&amp;TEXT(H$6,"00"),'All Units'!$A$5:$A$1272,0))</f>
        <v>2879</v>
      </c>
      <c r="I75" s="66">
        <f>INDEX('All Units'!$Q$5:$Q$1272,MATCH("#"&amp;TEXT($A75,"00")&amp;"-"&amp;TEXT(I$6,"00"),'All Units'!$A$5:$A$1272,0))</f>
        <v>2894</v>
      </c>
    </row>
    <row r="76" spans="1:9" x14ac:dyDescent="0.2">
      <c r="A76" s="67">
        <v>7</v>
      </c>
      <c r="B76" s="66">
        <f>INDEX('All Units'!$Q$5:$Q$1272,MATCH("#"&amp;TEXT($A76,"00")&amp;"-"&amp;TEXT(B$6,"00"),'All Units'!$A$5:$A$1272,0))</f>
        <v>2830</v>
      </c>
      <c r="C76" s="66">
        <f>INDEX('All Units'!$Q$5:$Q$1272,MATCH("#"&amp;TEXT($A76,"00")&amp;"-"&amp;TEXT(C$6,"00"),'All Units'!$A$5:$A$1272,0))</f>
        <v>2767</v>
      </c>
      <c r="D76" s="66">
        <f>INDEX('All Units'!$Q$5:$Q$1272,MATCH("#"&amp;TEXT($A76,"00")&amp;"-"&amp;TEXT(D$6,"00"),'All Units'!$A$5:$A$1272,0))</f>
        <v>2750</v>
      </c>
      <c r="E76" s="66">
        <f>INDEX('All Units'!$Q$5:$Q$1272,MATCH("#"&amp;TEXT($A76,"00")&amp;"-"&amp;TEXT(E$6,"00"),'All Units'!$A$5:$A$1272,0))</f>
        <v>2915</v>
      </c>
      <c r="F76" s="66">
        <f>INDEX('All Units'!$Q$5:$Q$1272,MATCH("#"&amp;TEXT($A76,"00")&amp;"-"&amp;TEXT(F$6,"00"),'All Units'!$A$5:$A$1272,0))</f>
        <v>2915</v>
      </c>
      <c r="G76" s="66">
        <f>INDEX('All Units'!$Q$5:$Q$1272,MATCH("#"&amp;TEXT($A76,"00")&amp;"-"&amp;TEXT(G$6,"00"),'All Units'!$A$5:$A$1272,0))</f>
        <v>2755</v>
      </c>
      <c r="H76" s="66">
        <f>INDEX('All Units'!$Q$5:$Q$1272,MATCH("#"&amp;TEXT($A76,"00")&amp;"-"&amp;TEXT(H$6,"00"),'All Units'!$A$5:$A$1272,0))</f>
        <v>2859</v>
      </c>
      <c r="I76" s="66">
        <f>INDEX('All Units'!$Q$5:$Q$1272,MATCH("#"&amp;TEXT($A76,"00")&amp;"-"&amp;TEXT(I$6,"00"),'All Units'!$A$5:$A$1272,0))</f>
        <v>2884</v>
      </c>
    </row>
    <row r="77" spans="1:9" x14ac:dyDescent="0.2">
      <c r="A77" s="67">
        <v>6</v>
      </c>
      <c r="B77" s="66">
        <f>INDEX('All Units'!$Q$5:$Q$1272,MATCH("#"&amp;TEXT($A77,"00")&amp;"-"&amp;TEXT(B$6,"00"),'All Units'!$A$5:$A$1272,0))</f>
        <v>2790</v>
      </c>
      <c r="C77" s="66">
        <f>INDEX('All Units'!$Q$5:$Q$1272,MATCH("#"&amp;TEXT($A77,"00")&amp;"-"&amp;TEXT(C$6,"00"),'All Units'!$A$5:$A$1272,0))</f>
        <v>2767</v>
      </c>
      <c r="D77" s="66">
        <f>INDEX('All Units'!$Q$5:$Q$1272,MATCH("#"&amp;TEXT($A77,"00")&amp;"-"&amp;TEXT(D$6,"00"),'All Units'!$A$5:$A$1272,0))</f>
        <v>2726</v>
      </c>
      <c r="E77" s="66">
        <f>INDEX('All Units'!$Q$5:$Q$1272,MATCH("#"&amp;TEXT($A77,"00")&amp;"-"&amp;TEXT(E$6,"00"),'All Units'!$A$5:$A$1272,0))</f>
        <v>2889</v>
      </c>
      <c r="F77" s="66">
        <f>INDEX('All Units'!$Q$5:$Q$1272,MATCH("#"&amp;TEXT($A77,"00")&amp;"-"&amp;TEXT(F$6,"00"),'All Units'!$A$5:$A$1272,0))</f>
        <v>2889</v>
      </c>
      <c r="G77" s="66">
        <f>INDEX('All Units'!$Q$5:$Q$1272,MATCH("#"&amp;TEXT($A77,"00")&amp;"-"&amp;TEXT(G$6,"00"),'All Units'!$A$5:$A$1272,0))</f>
        <v>2734</v>
      </c>
      <c r="H77" s="66">
        <f>INDEX('All Units'!$Q$5:$Q$1272,MATCH("#"&amp;TEXT($A77,"00")&amp;"-"&amp;TEXT(H$6,"00"),'All Units'!$A$5:$A$1272,0))</f>
        <v>2839</v>
      </c>
      <c r="I77" s="66">
        <f>INDEX('All Units'!$Q$5:$Q$1272,MATCH("#"&amp;TEXT($A77,"00")&amp;"-"&amp;TEXT(I$6,"00"),'All Units'!$A$5:$A$1272,0))</f>
        <v>2874</v>
      </c>
    </row>
    <row r="78" spans="1:9" x14ac:dyDescent="0.2">
      <c r="A78" s="67">
        <v>5</v>
      </c>
      <c r="B78" s="66">
        <f>INDEX('All Units'!$Q$5:$Q$1272,MATCH("#"&amp;TEXT($A78,"00")&amp;"-"&amp;TEXT(B$6,"00"),'All Units'!$A$5:$A$1272,0))</f>
        <v>2750</v>
      </c>
      <c r="C78" s="66">
        <f>INDEX('All Units'!$Q$5:$Q$1272,MATCH("#"&amp;TEXT($A78,"00")&amp;"-"&amp;TEXT(C$6,"00"),'All Units'!$A$5:$A$1272,0))</f>
        <v>2767</v>
      </c>
      <c r="D78" s="66">
        <f>INDEX('All Units'!$Q$5:$Q$1272,MATCH("#"&amp;TEXT($A78,"00")&amp;"-"&amp;TEXT(D$6,"00"),'All Units'!$A$5:$A$1272,0))</f>
        <v>2702</v>
      </c>
      <c r="E78" s="66">
        <f>INDEX('All Units'!$Q$5:$Q$1272,MATCH("#"&amp;TEXT($A78,"00")&amp;"-"&amp;TEXT(E$6,"00"),'All Units'!$A$5:$A$1272,0))</f>
        <v>2864</v>
      </c>
      <c r="F78" s="66">
        <f>INDEX('All Units'!$Q$5:$Q$1272,MATCH("#"&amp;TEXT($A78,"00")&amp;"-"&amp;TEXT(F$6,"00"),'All Units'!$A$5:$A$1272,0))</f>
        <v>2864</v>
      </c>
      <c r="G78" s="66">
        <f>INDEX('All Units'!$Q$5:$Q$1272,MATCH("#"&amp;TEXT($A78,"00")&amp;"-"&amp;TEXT(G$6,"00"),'All Units'!$A$5:$A$1272,0))</f>
        <v>2713</v>
      </c>
      <c r="H78" s="66">
        <f>INDEX('All Units'!$Q$5:$Q$1272,MATCH("#"&amp;TEXT($A78,"00")&amp;"-"&amp;TEXT(H$6,"00"),'All Units'!$A$5:$A$1272,0))</f>
        <v>2809</v>
      </c>
      <c r="I78" s="66">
        <f>INDEX('All Units'!$Q$5:$Q$1272,MATCH("#"&amp;TEXT($A78,"00")&amp;"-"&amp;TEXT(I$6,"00"),'All Units'!$A$5:$A$1272,0))</f>
        <v>2863</v>
      </c>
    </row>
    <row r="79" spans="1:9" x14ac:dyDescent="0.2">
      <c r="A79" s="67">
        <v>4</v>
      </c>
      <c r="B79" s="66">
        <f>INDEX('All Units'!$Q$5:$Q$1272,MATCH("#"&amp;TEXT($A79,"00")&amp;"-"&amp;TEXT(B$6,"00"),'All Units'!$A$5:$A$1272,0))</f>
        <v>2710</v>
      </c>
      <c r="C79" s="66">
        <f>INDEX('All Units'!$Q$5:$Q$1272,MATCH("#"&amp;TEXT($A79,"00")&amp;"-"&amp;TEXT(C$6,"00"),'All Units'!$A$5:$A$1272,0))</f>
        <v>2767</v>
      </c>
      <c r="D79" s="66">
        <f>INDEX('All Units'!$Q$5:$Q$1272,MATCH("#"&amp;TEXT($A79,"00")&amp;"-"&amp;TEXT(D$6,"00"),'All Units'!$A$5:$A$1272,0))</f>
        <v>2678</v>
      </c>
      <c r="E79" s="66">
        <f>INDEX('All Units'!$Q$5:$Q$1272,MATCH("#"&amp;TEXT($A79,"00")&amp;"-"&amp;TEXT(E$6,"00"),'All Units'!$A$5:$A$1272,0))</f>
        <v>2838</v>
      </c>
      <c r="F79" s="66">
        <f>INDEX('All Units'!$Q$5:$Q$1272,MATCH("#"&amp;TEXT($A79,"00")&amp;"-"&amp;TEXT(F$6,"00"),'All Units'!$A$5:$A$1272,0))</f>
        <v>2838</v>
      </c>
      <c r="G79" s="66">
        <f>INDEX('All Units'!$Q$5:$Q$1272,MATCH("#"&amp;TEXT($A79,"00")&amp;"-"&amp;TEXT(G$6,"00"),'All Units'!$A$5:$A$1272,0))</f>
        <v>2692</v>
      </c>
      <c r="H79" s="66">
        <f>INDEX('All Units'!$Q$5:$Q$1272,MATCH("#"&amp;TEXT($A79,"00")&amp;"-"&amp;TEXT(H$6,"00"),'All Units'!$A$5:$A$1272,0))</f>
        <v>2780</v>
      </c>
      <c r="I79" s="66">
        <f>INDEX('All Units'!$Q$5:$Q$1272,MATCH("#"&amp;TEXT($A79,"00")&amp;"-"&amp;TEXT(I$6,"00"),'All Units'!$A$5:$A$1272,0))</f>
        <v>2853</v>
      </c>
    </row>
    <row r="80" spans="1:9" x14ac:dyDescent="0.2">
      <c r="A80" s="67">
        <v>3</v>
      </c>
      <c r="B80" s="66">
        <f>INDEX('All Units'!$Q$5:$Q$1272,MATCH("#"&amp;TEXT($A80,"00")&amp;"-"&amp;TEXT(B$6,"00"),'All Units'!$A$5:$A$1272,0))</f>
        <v>2670</v>
      </c>
      <c r="C80" s="66">
        <f>INDEX('All Units'!$Q$5:$Q$1272,MATCH("#"&amp;TEXT($A80,"00")&amp;"-"&amp;TEXT(C$6,"00"),'All Units'!$A$5:$A$1272,0))</f>
        <v>2767</v>
      </c>
      <c r="D80" s="66">
        <f>INDEX('All Units'!$Q$5:$Q$1272,MATCH("#"&amp;TEXT($A80,"00")&amp;"-"&amp;TEXT(D$6,"00"),'All Units'!$A$5:$A$1272,0))</f>
        <v>2654</v>
      </c>
      <c r="E80" s="66">
        <f>INDEX('All Units'!$Q$5:$Q$1272,MATCH("#"&amp;TEXT($A80,"00")&amp;"-"&amp;TEXT(E$6,"00"),'All Units'!$A$5:$A$1272,0))</f>
        <v>2813</v>
      </c>
      <c r="F80" s="66">
        <f>INDEX('All Units'!$Q$5:$Q$1272,MATCH("#"&amp;TEXT($A80,"00")&amp;"-"&amp;TEXT(F$6,"00"),'All Units'!$A$5:$A$1272,0))</f>
        <v>2813</v>
      </c>
      <c r="G80" s="66">
        <f>INDEX('All Units'!$Q$5:$Q$1272,MATCH("#"&amp;TEXT($A80,"00")&amp;"-"&amp;TEXT(G$6,"00"),'All Units'!$A$5:$A$1272,0))</f>
        <v>2671</v>
      </c>
      <c r="H80" s="66">
        <f>INDEX('All Units'!$Q$5:$Q$1272,MATCH("#"&amp;TEXT($A80,"00")&amp;"-"&amp;TEXT(H$6,"00"),'All Units'!$A$5:$A$1272,0))</f>
        <v>2751</v>
      </c>
      <c r="I80" s="66">
        <f>INDEX('All Units'!$Q$5:$Q$1272,MATCH("#"&amp;TEXT($A80,"00")&amp;"-"&amp;TEXT(I$6,"00"),'All Units'!$A$5:$A$1272,0))</f>
        <v>2843</v>
      </c>
    </row>
    <row r="81" spans="1:9" x14ac:dyDescent="0.2">
      <c r="A81" s="67">
        <v>2</v>
      </c>
      <c r="B81" s="66">
        <f>INDEX('All Units'!$Q$5:$Q$1272,MATCH("#"&amp;TEXT($A81,"00")&amp;"-"&amp;TEXT(B$6,"00"),'All Units'!$A$5:$A$1272,0))</f>
        <v>2630</v>
      </c>
      <c r="C81" s="66">
        <f>INDEX('All Units'!$Q$5:$Q$1272,MATCH("#"&amp;TEXT($A81,"00")&amp;"-"&amp;TEXT(C$6,"00"),'All Units'!$A$5:$A$1272,0))</f>
        <v>2767</v>
      </c>
      <c r="D81" s="66">
        <f>INDEX('All Units'!$Q$5:$Q$1272,MATCH("#"&amp;TEXT($A81,"00")&amp;"-"&amp;TEXT(D$6,"00"),'All Units'!$A$5:$A$1272,0))</f>
        <v>2630</v>
      </c>
      <c r="E81" s="66">
        <f>INDEX('All Units'!$Q$5:$Q$1272,MATCH("#"&amp;TEXT($A81,"00")&amp;"-"&amp;TEXT(E$6,"00"),'All Units'!$A$5:$A$1272,0))</f>
        <v>2789</v>
      </c>
      <c r="F81" s="66">
        <f>INDEX('All Units'!$Q$5:$Q$1272,MATCH("#"&amp;TEXT($A81,"00")&amp;"-"&amp;TEXT(F$6,"00"),'All Units'!$A$5:$A$1272,0))</f>
        <v>2789</v>
      </c>
      <c r="G81" s="66">
        <f>INDEX('All Units'!$Q$5:$Q$1272,MATCH("#"&amp;TEXT($A81,"00")&amp;"-"&amp;TEXT(G$6,"00"),'All Units'!$A$5:$A$1272,0))</f>
        <v>2650</v>
      </c>
      <c r="H81" s="66">
        <f>INDEX('All Units'!$Q$5:$Q$1272,MATCH("#"&amp;TEXT($A81,"00")&amp;"-"&amp;TEXT(H$6,"00"),'All Units'!$A$5:$A$1272,0))</f>
        <v>2722</v>
      </c>
      <c r="I81" s="66">
        <f>INDEX('All Units'!$Q$5:$Q$1272,MATCH("#"&amp;TEXT($A81,"00")&amp;"-"&amp;TEXT(I$6,"00"),'All Units'!$A$5:$A$1272,0))</f>
        <v>2832</v>
      </c>
    </row>
    <row r="82" spans="1:9" x14ac:dyDescent="0.2">
      <c r="A82" s="67">
        <v>1</v>
      </c>
      <c r="B82" s="68"/>
      <c r="C82" s="68"/>
      <c r="D82" s="68"/>
      <c r="E82" s="66">
        <f>INDEX('All Units'!$Q$5:$Q$1272,MATCH("#"&amp;TEXT($A82,"00")&amp;"-"&amp;TEXT(E$6,"00"),'All Units'!$A$5:$A$1272,0))</f>
        <v>2773</v>
      </c>
      <c r="F82" s="66">
        <f>INDEX('All Units'!$Q$5:$Q$1272,MATCH("#"&amp;TEXT($A82,"00")&amp;"-"&amp;TEXT(F$6,"00"),'All Units'!$A$5:$A$1272,0))</f>
        <v>2773</v>
      </c>
      <c r="G82" s="68"/>
      <c r="H82" s="66">
        <f>INDEX('All Units'!$Q$5:$Q$1272,MATCH("#"&amp;TEXT($A82,"00")&amp;"-"&amp;TEXT(H$6,"00"),'All Units'!$A$5:$A$1272,0))</f>
        <v>2693</v>
      </c>
      <c r="I82" s="66">
        <f>INDEX('All Units'!$Q$5:$Q$1272,MATCH("#"&amp;TEXT($A82,"00")&amp;"-"&amp;TEXT(I$6,"00"),'All Units'!$A$5:$A$1272,0))</f>
        <v>2822</v>
      </c>
    </row>
  </sheetData>
  <mergeCells count="2">
    <mergeCell ref="A20:I20"/>
    <mergeCell ref="A52:I52"/>
  </mergeCells>
  <conditionalFormatting sqref="B21:I50">
    <cfRule type="expression" dxfId="47" priority="2">
      <formula>AND(B21&lt;&gt;"",B$12&lt;&gt;"",$A21&lt;B$12)</formula>
    </cfRule>
    <cfRule type="expression" dxfId="46" priority="3">
      <formula>AND(B21&lt;&gt;"",$A21&gt;=B$16)</formula>
    </cfRule>
    <cfRule type="expression" dxfId="45" priority="4">
      <formula>AND(B21&lt;&gt;"",$A21&gt;=B$15)</formula>
    </cfRule>
  </conditionalFormatting>
  <conditionalFormatting sqref="B53:I82">
    <cfRule type="expression" dxfId="44" priority="5">
      <formula>AND(B53&lt;&gt;"",B$12&lt;&gt;"",$A53&lt;B$12)</formula>
    </cfRule>
    <cfRule type="expression" dxfId="43" priority="6">
      <formula>AND(B53&lt;&gt;"",$A53&gt;=B$16)</formula>
    </cfRule>
    <cfRule type="expression" dxfId="42"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6E73"/>
    <pageSetUpPr fitToPage="1"/>
  </sheetPr>
  <dimension ref="A1:F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6" width="14.5" customWidth="1"/>
  </cols>
  <sheetData>
    <row r="1" spans="1:6" ht="18" x14ac:dyDescent="0.2">
      <c r="A1" s="2" t="s">
        <v>1477</v>
      </c>
    </row>
    <row r="2" spans="1:6" x14ac:dyDescent="0.2">
      <c r="A2" s="3" t="s">
        <v>1478</v>
      </c>
    </row>
    <row r="3" spans="1:6" x14ac:dyDescent="0.2">
      <c r="A3" s="3" t="s">
        <v>1461</v>
      </c>
    </row>
    <row r="5" spans="1:6" x14ac:dyDescent="0.2">
      <c r="A5" s="58" t="s">
        <v>1462</v>
      </c>
      <c r="B5" s="21">
        <v>1</v>
      </c>
      <c r="C5" s="21">
        <v>9</v>
      </c>
      <c r="D5" s="21">
        <v>11</v>
      </c>
      <c r="E5" s="29">
        <v>5</v>
      </c>
      <c r="F5" s="29">
        <v>7</v>
      </c>
    </row>
    <row r="6" spans="1:6" x14ac:dyDescent="0.2">
      <c r="A6" s="58" t="s">
        <v>99</v>
      </c>
      <c r="B6" s="59">
        <v>9</v>
      </c>
      <c r="C6" s="59">
        <v>40</v>
      </c>
      <c r="D6" s="59">
        <v>55</v>
      </c>
      <c r="E6" s="69">
        <v>23</v>
      </c>
      <c r="F6" s="69">
        <v>33</v>
      </c>
    </row>
    <row r="7" spans="1:6" x14ac:dyDescent="0.2">
      <c r="A7" s="58" t="s">
        <v>30</v>
      </c>
      <c r="B7" s="60" t="s">
        <v>291</v>
      </c>
      <c r="C7" s="60" t="s">
        <v>1116</v>
      </c>
      <c r="D7" s="60" t="s">
        <v>1438</v>
      </c>
      <c r="E7" s="49" t="s">
        <v>620</v>
      </c>
      <c r="F7" s="49" t="s">
        <v>933</v>
      </c>
    </row>
    <row r="8" spans="1:6" x14ac:dyDescent="0.2">
      <c r="A8" s="58" t="s">
        <v>29</v>
      </c>
      <c r="B8" s="20">
        <v>947</v>
      </c>
      <c r="C8" s="20">
        <v>947</v>
      </c>
      <c r="D8" s="20">
        <v>947</v>
      </c>
      <c r="E8" s="28">
        <v>947</v>
      </c>
      <c r="F8" s="28">
        <v>947</v>
      </c>
    </row>
    <row r="9" spans="1:6" x14ac:dyDescent="0.2">
      <c r="A9" s="58" t="s">
        <v>54</v>
      </c>
      <c r="B9" s="21" t="s">
        <v>62</v>
      </c>
      <c r="C9" s="21" t="s">
        <v>62</v>
      </c>
      <c r="D9" s="21" t="s">
        <v>62</v>
      </c>
      <c r="E9" s="29" t="s">
        <v>65</v>
      </c>
      <c r="F9" s="29" t="s">
        <v>65</v>
      </c>
    </row>
    <row r="10" spans="1:6" ht="30" customHeight="1" x14ac:dyDescent="0.2">
      <c r="A10" s="102" t="s">
        <v>1463</v>
      </c>
      <c r="B10" s="61" t="str">
        <f>Assumptions!$I$135&amp;CHAR(10)&amp;TEXT(Assumptions!$AK$135/1000,"+$0;-$0;$0")&amp;"K / "&amp;TEXT(Assumptions!$AL$135/1000,"+$0;-$0;$0")&amp;"K / "&amp;TEXT(Assumptions!$AM$135/1000,"+$0;-$0;$0")&amp;"K"</f>
        <v>C
+$50K / -$7K / -$13K</v>
      </c>
      <c r="C10" s="61" t="str">
        <f>Assumptions!$I$166&amp;CHAR(10)&amp;TEXT(Assumptions!$AK$166/1000,"+$0;-$0;$0")&amp;"K / "&amp;TEXT(Assumptions!$AL$166/1000,"+$0;-$0;$0")&amp;"K / "&amp;TEXT(Assumptions!$AM$166/1000,"+$0;-$0;$0")&amp;"K"</f>
        <v>D
-$50K / -$50K / -$50K</v>
      </c>
      <c r="D10" s="61" t="str">
        <f>Assumptions!$I$181&amp;CHAR(10)&amp;TEXT(Assumptions!$AK$181/1000,"+$0;-$0;$0")&amp;"K / "&amp;TEXT(Assumptions!$AL$181/1000,"+$0;-$0;$0")&amp;"K / "&amp;TEXT(Assumptions!$AM$181/1000,"+$0;-$0;$0")&amp;"K"</f>
        <v>B
-$50K / +$50K / +$50K</v>
      </c>
      <c r="E10" s="70" t="str">
        <f>Assumptions!$I$149&amp;CHAR(10)&amp;TEXT(Assumptions!$AK$149/1000,"+$0;-$0;$0")&amp;"K / "&amp;TEXT(Assumptions!$AL$149/1000,"+$0;-$0;$0")&amp;"K / "&amp;TEXT(Assumptions!$AM$149/1000,"+$0;-$0;$0")&amp;"K"</f>
        <v>B
-$50K / $0K / $0K</v>
      </c>
      <c r="F10" s="70" t="str">
        <f>Assumptions!$I$159&amp;CHAR(10)&amp;TEXT(Assumptions!$AK$159/1000,"+$0;-$0;$0")&amp;"K / "&amp;TEXT(Assumptions!$AL$159/1000,"+$0;-$0;$0")&amp;"K / "&amp;TEXT(Assumptions!$AM$159/1000,"+$0;-$0;$0")&amp;"K"</f>
        <v>B
+$50K / $0K / $0K</v>
      </c>
    </row>
    <row r="11" spans="1:6" ht="90" customHeight="1" x14ac:dyDescent="0.2">
      <c r="A11" s="102" t="s">
        <v>113</v>
      </c>
      <c r="B11" s="62" t="str">
        <f>Assumptions!$AJ$135</f>
        <v>ENE. Faces landed estate, quiet</v>
      </c>
      <c r="C11" s="62" t="str">
        <f>Assumptions!$AJ$166</f>
        <v>NNE. 28m to boundary facing Thomson Three cluster houses, next to Relaxation Bubble Pool</v>
      </c>
      <c r="D11" s="62" t="str">
        <f>Assumptions!$AJ$181</f>
        <v>SW. 77m pool &amp; landscape (Central Lawn, Island Pool); Island Club in front of living room on low floors; nature reserve on higher floors</v>
      </c>
      <c r="E11" s="71" t="str">
        <f>Assumptions!$AJ$149</f>
        <v>NE. Inner pool &amp; landscape (Canopy Lap Pool); Olive Lounge / function rooms in front of low floors</v>
      </c>
      <c r="F11" s="71" t="str">
        <f>Assumptions!$AJ$159</f>
        <v>SE: no afternoon sun. 240m unblocked pool &amp; landscape</v>
      </c>
    </row>
    <row r="12" spans="1:6" ht="28" x14ac:dyDescent="0.2">
      <c r="A12" s="102" t="s">
        <v>1464</v>
      </c>
      <c r="B12" s="63" t="str">
        <f>IF(Assumptions!$L$135="","",Assumptions!$L$135)</f>
        <v/>
      </c>
      <c r="C12" s="63">
        <f>IF(Assumptions!$L$166="","",Assumptions!$L$166)</f>
        <v>4</v>
      </c>
      <c r="D12" s="63">
        <f>IF(Assumptions!$L$181="","",Assumptions!$L$181)</f>
        <v>7</v>
      </c>
      <c r="E12" s="63">
        <f>IF(Assumptions!$L$149="","",Assumptions!$L$149)</f>
        <v>7</v>
      </c>
      <c r="F12" s="63" t="str">
        <f>IF(Assumptions!$L$159="","",Assumptions!$L$159)</f>
        <v/>
      </c>
    </row>
    <row r="13" spans="1:6" ht="28" x14ac:dyDescent="0.2">
      <c r="A13" s="102" t="s">
        <v>1465</v>
      </c>
      <c r="B13" s="63" t="str">
        <f>IF(Assumptions!$AD$135="","",Assumptions!$AD$135)</f>
        <v/>
      </c>
      <c r="C13" s="63">
        <f>IF(Assumptions!$AD$166="","",Assumptions!$AD$166)</f>
        <v>2</v>
      </c>
      <c r="D13" s="63">
        <f>IF(Assumptions!$AD$181="","",Assumptions!$AD$181)</f>
        <v>3</v>
      </c>
      <c r="E13" s="63">
        <f>IF(Assumptions!$AD$149="","",Assumptions!$AD$149)</f>
        <v>2</v>
      </c>
      <c r="F13" s="63">
        <f>IF(Assumptions!$AD$159="","",Assumptions!$AD$159)</f>
        <v>2</v>
      </c>
    </row>
    <row r="14" spans="1:6" ht="39.75" customHeight="1" x14ac:dyDescent="0.2">
      <c r="A14" s="102" t="s">
        <v>1466</v>
      </c>
      <c r="B14" s="64" t="str">
        <f>IF(Assumptions!$M$135="","",Assumptions!$M$135)</f>
        <v/>
      </c>
      <c r="C14" s="64" t="str">
        <f>IF(Assumptions!$M$166="","",Assumptions!$M$166)</f>
        <v>Paw Garden Pavilion: 20% of view, 23 to 29.9m away</v>
      </c>
      <c r="D14" s="64" t="str">
        <f>IF(Assumptions!$M$181="","",Assumptions!$M$181)</f>
        <v>Island Club (lengthwise, in front of living room &amp; balcony): 67% of view, 32.5 to 63.1m away</v>
      </c>
      <c r="E14" s="64" t="str">
        <f>IF(Assumptions!$M$149="","",Assumptions!$M$149)</f>
        <v>Olive Lounge / function rooms (Canopy Lap Pool): 52% of view, 39.1 to 45.3m away</v>
      </c>
      <c r="F14" s="64" t="str">
        <f>IF(Assumptions!$M$159="","",Assumptions!$M$159)</f>
        <v/>
      </c>
    </row>
    <row r="15" spans="1:6" ht="28" x14ac:dyDescent="0.2">
      <c r="A15" s="102" t="s">
        <v>1467</v>
      </c>
      <c r="B15" s="65">
        <f>Assumptions!$AH$135</f>
        <v>9</v>
      </c>
      <c r="C15" s="65">
        <f>Assumptions!$AH$166</f>
        <v>9</v>
      </c>
      <c r="D15" s="65">
        <f>Assumptions!$AH$181</f>
        <v>7</v>
      </c>
      <c r="E15" s="65">
        <f>Assumptions!$AH$149</f>
        <v>7</v>
      </c>
      <c r="F15" s="65">
        <f>Assumptions!$AH$159</f>
        <v>12</v>
      </c>
    </row>
    <row r="16" spans="1:6" ht="28" x14ac:dyDescent="0.2">
      <c r="A16" s="102" t="s">
        <v>1468</v>
      </c>
      <c r="B16" s="65">
        <f>Assumptions!$P$135</f>
        <v>16</v>
      </c>
      <c r="C16" s="65">
        <f>Assumptions!$P$166</f>
        <v>16</v>
      </c>
      <c r="D16" s="65">
        <f>Assumptions!$P$181</f>
        <v>12</v>
      </c>
      <c r="E16" s="65">
        <f>Assumptions!$P$149</f>
        <v>21</v>
      </c>
      <c r="F16" s="65">
        <f>Assumptions!$P$159</f>
        <v>21</v>
      </c>
    </row>
    <row r="17" spans="1:6" x14ac:dyDescent="0.2">
      <c r="A17" s="58" t="s">
        <v>1469</v>
      </c>
      <c r="B17" s="66">
        <f>INDEX('All Units'!$R$5:$R$1272,MATCH("#"&amp;TEXT(2,"00")&amp;"-"&amp;TEXT(B$6,"00"),'All Units'!$A$5:$A$1272,0))</f>
        <v>2602400</v>
      </c>
      <c r="C17" s="66">
        <f>INDEX('All Units'!$R$5:$R$1272,MATCH("#"&amp;TEXT(2,"00")&amp;"-"&amp;TEXT(C$6,"00"),'All Units'!$A$5:$A$1272,0))</f>
        <v>2503000</v>
      </c>
      <c r="D17" s="66">
        <f>INDEX('All Units'!$R$5:$R$1272,MATCH("#"&amp;TEXT(2,"00")&amp;"-"&amp;TEXT(D$6,"00"),'All Units'!$A$5:$A$1272,0))</f>
        <v>2503000</v>
      </c>
      <c r="E17" s="66">
        <f>INDEX('All Units'!$R$5:$R$1272,MATCH("#"&amp;TEXT(1,"00")&amp;"-"&amp;TEXT(E$6,"00"),'All Units'!$A$5:$A$1272,0))</f>
        <v>2597600</v>
      </c>
      <c r="F17" s="66">
        <f>INDEX('All Units'!$R$5:$R$1272,MATCH("#"&amp;TEXT(1,"00")&amp;"-"&amp;TEXT(F$6,"00"),'All Units'!$A$5:$A$1272,0))</f>
        <v>2698000</v>
      </c>
    </row>
    <row r="18" spans="1:6" x14ac:dyDescent="0.2">
      <c r="A18" s="58" t="s">
        <v>1470</v>
      </c>
      <c r="B18" s="66">
        <f>INDEX('All Units'!$R$5:$R$1272,MATCH("#"&amp;TEXT(21,"00")&amp;"-"&amp;TEXT(B$6,"00"),'All Units'!$A$5:$A$1272,0))</f>
        <v>2890200</v>
      </c>
      <c r="C18" s="66">
        <f>INDEX('All Units'!$R$5:$R$1272,MATCH("#"&amp;TEXT(21,"00")&amp;"-"&amp;TEXT(C$6,"00"),'All Units'!$A$5:$A$1272,0))</f>
        <v>2853300</v>
      </c>
      <c r="D18" s="66">
        <f>INDEX('All Units'!$R$5:$R$1272,MATCH("#"&amp;TEXT(21,"00")&amp;"-"&amp;TEXT(D$6,"00"),'All Units'!$A$5:$A$1272,0))</f>
        <v>2952700</v>
      </c>
      <c r="E18" s="66">
        <f>INDEX('All Units'!$R$5:$R$1272,MATCH("#"&amp;TEXT(30,"00")&amp;"-"&amp;TEXT(E$6,"00"),'All Units'!$A$5:$A$1272,0))</f>
        <v>3107100</v>
      </c>
      <c r="F18" s="66">
        <f>INDEX('All Units'!$R$5:$R$1272,MATCH("#"&amp;TEXT(30,"00")&amp;"-"&amp;TEXT(F$6,"00"),'All Units'!$A$5:$A$1272,0))</f>
        <v>3107100</v>
      </c>
    </row>
    <row r="20" spans="1:6" x14ac:dyDescent="0.2">
      <c r="A20" s="99" t="s">
        <v>1471</v>
      </c>
      <c r="B20" s="99"/>
      <c r="C20" s="99"/>
      <c r="D20" s="99"/>
      <c r="E20" s="99"/>
      <c r="F20" s="99"/>
    </row>
    <row r="21" spans="1:6" x14ac:dyDescent="0.2">
      <c r="A21" s="67">
        <v>30</v>
      </c>
      <c r="B21" s="68"/>
      <c r="C21" s="68"/>
      <c r="D21" s="68"/>
      <c r="E21" s="66">
        <f>INDEX('All Units'!$R$5:$R$1272,MATCH("#"&amp;TEXT($A21,"00")&amp;"-"&amp;TEXT(E$6,"00"),'All Units'!$A$5:$A$1272,0))</f>
        <v>3107100</v>
      </c>
      <c r="F21" s="66">
        <f>INDEX('All Units'!$R$5:$R$1272,MATCH("#"&amp;TEXT($A21,"00")&amp;"-"&amp;TEXT(F$6,"00"),'All Units'!$A$5:$A$1272,0))</f>
        <v>3107100</v>
      </c>
    </row>
    <row r="22" spans="1:6" x14ac:dyDescent="0.2">
      <c r="A22" s="67">
        <v>29</v>
      </c>
      <c r="B22" s="68"/>
      <c r="C22" s="68"/>
      <c r="D22" s="68"/>
      <c r="E22" s="66">
        <f>INDEX('All Units'!$R$5:$R$1272,MATCH("#"&amp;TEXT($A22,"00")&amp;"-"&amp;TEXT(E$6,"00"),'All Units'!$A$5:$A$1272,0))</f>
        <v>3092000</v>
      </c>
      <c r="F22" s="66">
        <f>INDEX('All Units'!$R$5:$R$1272,MATCH("#"&amp;TEXT($A22,"00")&amp;"-"&amp;TEXT(F$6,"00"),'All Units'!$A$5:$A$1272,0))</f>
        <v>3092000</v>
      </c>
    </row>
    <row r="23" spans="1:6" x14ac:dyDescent="0.2">
      <c r="A23" s="67">
        <v>28</v>
      </c>
      <c r="B23" s="68"/>
      <c r="C23" s="68"/>
      <c r="D23" s="68"/>
      <c r="E23" s="66">
        <f>INDEX('All Units'!$R$5:$R$1272,MATCH("#"&amp;TEXT($A23,"00")&amp;"-"&amp;TEXT(E$6,"00"),'All Units'!$A$5:$A$1272,0))</f>
        <v>3076800</v>
      </c>
      <c r="F23" s="66">
        <f>INDEX('All Units'!$R$5:$R$1272,MATCH("#"&amp;TEXT($A23,"00")&amp;"-"&amp;TEXT(F$6,"00"),'All Units'!$A$5:$A$1272,0))</f>
        <v>3076800</v>
      </c>
    </row>
    <row r="24" spans="1:6" x14ac:dyDescent="0.2">
      <c r="A24" s="67">
        <v>27</v>
      </c>
      <c r="B24" s="68"/>
      <c r="C24" s="68"/>
      <c r="D24" s="68"/>
      <c r="E24" s="66">
        <f>INDEX('All Units'!$R$5:$R$1272,MATCH("#"&amp;TEXT($A24,"00")&amp;"-"&amp;TEXT(E$6,"00"),'All Units'!$A$5:$A$1272,0))</f>
        <v>3061700</v>
      </c>
      <c r="F24" s="66">
        <f>INDEX('All Units'!$R$5:$R$1272,MATCH("#"&amp;TEXT($A24,"00")&amp;"-"&amp;TEXT(F$6,"00"),'All Units'!$A$5:$A$1272,0))</f>
        <v>3061700</v>
      </c>
    </row>
    <row r="25" spans="1:6" x14ac:dyDescent="0.2">
      <c r="A25" s="67">
        <v>26</v>
      </c>
      <c r="B25" s="68"/>
      <c r="C25" s="68"/>
      <c r="D25" s="68"/>
      <c r="E25" s="66">
        <f>INDEX('All Units'!$R$5:$R$1272,MATCH("#"&amp;TEXT($A25,"00")&amp;"-"&amp;TEXT(E$6,"00"),'All Units'!$A$5:$A$1272,0))</f>
        <v>3047400</v>
      </c>
      <c r="F25" s="66">
        <f>INDEX('All Units'!$R$5:$R$1272,MATCH("#"&amp;TEXT($A25,"00")&amp;"-"&amp;TEXT(F$6,"00"),'All Units'!$A$5:$A$1272,0))</f>
        <v>3047400</v>
      </c>
    </row>
    <row r="26" spans="1:6" x14ac:dyDescent="0.2">
      <c r="A26" s="67">
        <v>25</v>
      </c>
      <c r="B26" s="68"/>
      <c r="C26" s="68"/>
      <c r="D26" s="68"/>
      <c r="E26" s="66">
        <f>INDEX('All Units'!$R$5:$R$1272,MATCH("#"&amp;TEXT($A26,"00")&amp;"-"&amp;TEXT(E$6,"00"),'All Units'!$A$5:$A$1272,0))</f>
        <v>3032300</v>
      </c>
      <c r="F26" s="66">
        <f>INDEX('All Units'!$R$5:$R$1272,MATCH("#"&amp;TEXT($A26,"00")&amp;"-"&amp;TEXT(F$6,"00"),'All Units'!$A$5:$A$1272,0))</f>
        <v>3032300</v>
      </c>
    </row>
    <row r="27" spans="1:6" x14ac:dyDescent="0.2">
      <c r="A27" s="67">
        <v>24</v>
      </c>
      <c r="B27" s="68"/>
      <c r="C27" s="68"/>
      <c r="D27" s="68"/>
      <c r="E27" s="66">
        <f>INDEX('All Units'!$R$5:$R$1272,MATCH("#"&amp;TEXT($A27,"00")&amp;"-"&amp;TEXT(E$6,"00"),'All Units'!$A$5:$A$1272,0))</f>
        <v>3017100</v>
      </c>
      <c r="F27" s="66">
        <f>INDEX('All Units'!$R$5:$R$1272,MATCH("#"&amp;TEXT($A27,"00")&amp;"-"&amp;TEXT(F$6,"00"),'All Units'!$A$5:$A$1272,0))</f>
        <v>3017100</v>
      </c>
    </row>
    <row r="28" spans="1:6" x14ac:dyDescent="0.2">
      <c r="A28" s="67">
        <v>23</v>
      </c>
      <c r="B28" s="68"/>
      <c r="C28" s="68"/>
      <c r="D28" s="68"/>
      <c r="E28" s="66">
        <f>INDEX('All Units'!$R$5:$R$1272,MATCH("#"&amp;TEXT($A28,"00")&amp;"-"&amp;TEXT(E$6,"00"),'All Units'!$A$5:$A$1272,0))</f>
        <v>3002000</v>
      </c>
      <c r="F28" s="66">
        <f>INDEX('All Units'!$R$5:$R$1272,MATCH("#"&amp;TEXT($A28,"00")&amp;"-"&amp;TEXT(F$6,"00"),'All Units'!$A$5:$A$1272,0))</f>
        <v>3002000</v>
      </c>
    </row>
    <row r="29" spans="1:6" x14ac:dyDescent="0.2">
      <c r="A29" s="67">
        <v>22</v>
      </c>
      <c r="B29" s="68"/>
      <c r="C29" s="68"/>
      <c r="D29" s="68"/>
      <c r="E29" s="66">
        <f>INDEX('All Units'!$R$5:$R$1272,MATCH("#"&amp;TEXT($A29,"00")&amp;"-"&amp;TEXT(E$6,"00"),'All Units'!$A$5:$A$1272,0))</f>
        <v>2986800</v>
      </c>
      <c r="F29" s="66">
        <f>INDEX('All Units'!$R$5:$R$1272,MATCH("#"&amp;TEXT($A29,"00")&amp;"-"&amp;TEXT(F$6,"00"),'All Units'!$A$5:$A$1272,0))</f>
        <v>2986800</v>
      </c>
    </row>
    <row r="30" spans="1:6" x14ac:dyDescent="0.2">
      <c r="A30" s="67">
        <v>21</v>
      </c>
      <c r="B30" s="66">
        <f>INDEX('All Units'!$R$5:$R$1272,MATCH("#"&amp;TEXT($A30,"00")&amp;"-"&amp;TEXT(B$6,"00"),'All Units'!$A$5:$A$1272,0))</f>
        <v>2890200</v>
      </c>
      <c r="C30" s="66">
        <f>INDEX('All Units'!$R$5:$R$1272,MATCH("#"&amp;TEXT($A30,"00")&amp;"-"&amp;TEXT(C$6,"00"),'All Units'!$A$5:$A$1272,0))</f>
        <v>2853300</v>
      </c>
      <c r="D30" s="66">
        <f>INDEX('All Units'!$R$5:$R$1272,MATCH("#"&amp;TEXT($A30,"00")&amp;"-"&amp;TEXT(D$6,"00"),'All Units'!$A$5:$A$1272,0))</f>
        <v>2952700</v>
      </c>
      <c r="E30" s="66">
        <f>INDEX('All Units'!$R$5:$R$1272,MATCH("#"&amp;TEXT($A30,"00")&amp;"-"&amp;TEXT(E$6,"00"),'All Units'!$A$5:$A$1272,0))</f>
        <v>2972600</v>
      </c>
      <c r="F30" s="66">
        <f>INDEX('All Units'!$R$5:$R$1272,MATCH("#"&amp;TEXT($A30,"00")&amp;"-"&amp;TEXT(F$6,"00"),'All Units'!$A$5:$A$1272,0))</f>
        <v>2972600</v>
      </c>
    </row>
    <row r="31" spans="1:6" x14ac:dyDescent="0.2">
      <c r="A31" s="67">
        <v>20</v>
      </c>
      <c r="B31" s="66">
        <f>INDEX('All Units'!$R$5:$R$1272,MATCH("#"&amp;TEXT($A31,"00")&amp;"-"&amp;TEXT(B$6,"00"),'All Units'!$A$5:$A$1272,0))</f>
        <v>2867500</v>
      </c>
      <c r="C31" s="66">
        <f>INDEX('All Units'!$R$5:$R$1272,MATCH("#"&amp;TEXT($A31,"00")&amp;"-"&amp;TEXT(C$6,"00"),'All Units'!$A$5:$A$1272,0))</f>
        <v>2829600</v>
      </c>
      <c r="D31" s="66">
        <f>INDEX('All Units'!$R$5:$R$1272,MATCH("#"&amp;TEXT($A31,"00")&amp;"-"&amp;TEXT(D$6,"00"),'All Units'!$A$5:$A$1272,0))</f>
        <v>2930000</v>
      </c>
      <c r="E31" s="66">
        <f>INDEX('All Units'!$R$5:$R$1272,MATCH("#"&amp;TEXT($A31,"00")&amp;"-"&amp;TEXT(E$6,"00"),'All Units'!$A$5:$A$1272,0))</f>
        <v>2955600</v>
      </c>
      <c r="F31" s="66">
        <f>INDEX('All Units'!$R$5:$R$1272,MATCH("#"&amp;TEXT($A31,"00")&amp;"-"&amp;TEXT(F$6,"00"),'All Units'!$A$5:$A$1272,0))</f>
        <v>2955600</v>
      </c>
    </row>
    <row r="32" spans="1:6" x14ac:dyDescent="0.2">
      <c r="A32" s="67">
        <v>19</v>
      </c>
      <c r="B32" s="66">
        <f>INDEX('All Units'!$R$5:$R$1272,MATCH("#"&amp;TEXT($A32,"00")&amp;"-"&amp;TEXT(B$6,"00"),'All Units'!$A$5:$A$1272,0))</f>
        <v>2843800</v>
      </c>
      <c r="C32" s="66">
        <f>INDEX('All Units'!$R$5:$R$1272,MATCH("#"&amp;TEXT($A32,"00")&amp;"-"&amp;TEXT(C$6,"00"),'All Units'!$A$5:$A$1272,0))</f>
        <v>2806900</v>
      </c>
      <c r="D32" s="66">
        <f>INDEX('All Units'!$R$5:$R$1272,MATCH("#"&amp;TEXT($A32,"00")&amp;"-"&amp;TEXT(D$6,"00"),'All Units'!$A$5:$A$1272,0))</f>
        <v>2906300</v>
      </c>
      <c r="E32" s="66">
        <f>INDEX('All Units'!$R$5:$R$1272,MATCH("#"&amp;TEXT($A32,"00")&amp;"-"&amp;TEXT(E$6,"00"),'All Units'!$A$5:$A$1272,0))</f>
        <v>2939500</v>
      </c>
      <c r="F32" s="66">
        <f>INDEX('All Units'!$R$5:$R$1272,MATCH("#"&amp;TEXT($A32,"00")&amp;"-"&amp;TEXT(F$6,"00"),'All Units'!$A$5:$A$1272,0))</f>
        <v>2939500</v>
      </c>
    </row>
    <row r="33" spans="1:6" x14ac:dyDescent="0.2">
      <c r="A33" s="67">
        <v>18</v>
      </c>
      <c r="B33" s="66">
        <f>INDEX('All Units'!$R$5:$R$1272,MATCH("#"&amp;TEXT($A33,"00")&amp;"-"&amp;TEXT(B$6,"00"),'All Units'!$A$5:$A$1272,0))</f>
        <v>2821100</v>
      </c>
      <c r="C33" s="66">
        <f>INDEX('All Units'!$R$5:$R$1272,MATCH("#"&amp;TEXT($A33,"00")&amp;"-"&amp;TEXT(C$6,"00"),'All Units'!$A$5:$A$1272,0))</f>
        <v>2783200</v>
      </c>
      <c r="D33" s="66">
        <f>INDEX('All Units'!$R$5:$R$1272,MATCH("#"&amp;TEXT($A33,"00")&amp;"-"&amp;TEXT(D$6,"00"),'All Units'!$A$5:$A$1272,0))</f>
        <v>2883600</v>
      </c>
      <c r="E33" s="66">
        <f>INDEX('All Units'!$R$5:$R$1272,MATCH("#"&amp;TEXT($A33,"00")&amp;"-"&amp;TEXT(E$6,"00"),'All Units'!$A$5:$A$1272,0))</f>
        <v>2923400</v>
      </c>
      <c r="F33" s="66">
        <f>INDEX('All Units'!$R$5:$R$1272,MATCH("#"&amp;TEXT($A33,"00")&amp;"-"&amp;TEXT(F$6,"00"),'All Units'!$A$5:$A$1272,0))</f>
        <v>2923400</v>
      </c>
    </row>
    <row r="34" spans="1:6" x14ac:dyDescent="0.2">
      <c r="A34" s="67">
        <v>17</v>
      </c>
      <c r="B34" s="66">
        <f>INDEX('All Units'!$R$5:$R$1272,MATCH("#"&amp;TEXT($A34,"00")&amp;"-"&amp;TEXT(B$6,"00"),'All Units'!$A$5:$A$1272,0))</f>
        <v>2797400</v>
      </c>
      <c r="C34" s="66">
        <f>INDEX('All Units'!$R$5:$R$1272,MATCH("#"&amp;TEXT($A34,"00")&amp;"-"&amp;TEXT(C$6,"00"),'All Units'!$A$5:$A$1272,0))</f>
        <v>2760500</v>
      </c>
      <c r="D34" s="66">
        <f>INDEX('All Units'!$R$5:$R$1272,MATCH("#"&amp;TEXT($A34,"00")&amp;"-"&amp;TEXT(D$6,"00"),'All Units'!$A$5:$A$1272,0))</f>
        <v>2859900</v>
      </c>
      <c r="E34" s="66">
        <f>INDEX('All Units'!$R$5:$R$1272,MATCH("#"&amp;TEXT($A34,"00")&amp;"-"&amp;TEXT(E$6,"00"),'All Units'!$A$5:$A$1272,0))</f>
        <v>2906300</v>
      </c>
      <c r="F34" s="66">
        <f>INDEX('All Units'!$R$5:$R$1272,MATCH("#"&amp;TEXT($A34,"00")&amp;"-"&amp;TEXT(F$6,"00"),'All Units'!$A$5:$A$1272,0))</f>
        <v>2906300</v>
      </c>
    </row>
    <row r="35" spans="1:6" x14ac:dyDescent="0.2">
      <c r="A35" s="67">
        <v>16</v>
      </c>
      <c r="B35" s="66">
        <f>INDEX('All Units'!$R$5:$R$1272,MATCH("#"&amp;TEXT($A35,"00")&amp;"-"&amp;TEXT(B$6,"00"),'All Units'!$A$5:$A$1272,0))</f>
        <v>2774700</v>
      </c>
      <c r="C35" s="66">
        <f>INDEX('All Units'!$R$5:$R$1272,MATCH("#"&amp;TEXT($A35,"00")&amp;"-"&amp;TEXT(C$6,"00"),'All Units'!$A$5:$A$1272,0))</f>
        <v>2736800</v>
      </c>
      <c r="D35" s="66">
        <f>INDEX('All Units'!$R$5:$R$1272,MATCH("#"&amp;TEXT($A35,"00")&amp;"-"&amp;TEXT(D$6,"00"),'All Units'!$A$5:$A$1272,0))</f>
        <v>2837200</v>
      </c>
      <c r="E35" s="66">
        <f>INDEX('All Units'!$R$5:$R$1272,MATCH("#"&amp;TEXT($A35,"00")&amp;"-"&amp;TEXT(E$6,"00"),'All Units'!$A$5:$A$1272,0))</f>
        <v>2890200</v>
      </c>
      <c r="F35" s="66">
        <f>INDEX('All Units'!$R$5:$R$1272,MATCH("#"&amp;TEXT($A35,"00")&amp;"-"&amp;TEXT(F$6,"00"),'All Units'!$A$5:$A$1272,0))</f>
        <v>2890200</v>
      </c>
    </row>
    <row r="36" spans="1:6" x14ac:dyDescent="0.2">
      <c r="A36" s="67">
        <v>15</v>
      </c>
      <c r="B36" s="66">
        <f>INDEX('All Units'!$R$5:$R$1272,MATCH("#"&amp;TEXT($A36,"00")&amp;"-"&amp;TEXT(B$6,"00"),'All Units'!$A$5:$A$1272,0))</f>
        <v>2752000</v>
      </c>
      <c r="C36" s="66">
        <f>INDEX('All Units'!$R$5:$R$1272,MATCH("#"&amp;TEXT($A36,"00")&amp;"-"&amp;TEXT(C$6,"00"),'All Units'!$A$5:$A$1272,0))</f>
        <v>2714100</v>
      </c>
      <c r="D36" s="66">
        <f>INDEX('All Units'!$R$5:$R$1272,MATCH("#"&amp;TEXT($A36,"00")&amp;"-"&amp;TEXT(D$6,"00"),'All Units'!$A$5:$A$1272,0))</f>
        <v>2813500</v>
      </c>
      <c r="E36" s="66">
        <f>INDEX('All Units'!$R$5:$R$1272,MATCH("#"&amp;TEXT($A36,"00")&amp;"-"&amp;TEXT(E$6,"00"),'All Units'!$A$5:$A$1272,0))</f>
        <v>2874100</v>
      </c>
      <c r="F36" s="66">
        <f>INDEX('All Units'!$R$5:$R$1272,MATCH("#"&amp;TEXT($A36,"00")&amp;"-"&amp;TEXT(F$6,"00"),'All Units'!$A$5:$A$1272,0))</f>
        <v>2874100</v>
      </c>
    </row>
    <row r="37" spans="1:6" x14ac:dyDescent="0.2">
      <c r="A37" s="67">
        <v>14</v>
      </c>
      <c r="B37" s="66">
        <f>INDEX('All Units'!$R$5:$R$1272,MATCH("#"&amp;TEXT($A37,"00")&amp;"-"&amp;TEXT(B$6,"00"),'All Units'!$A$5:$A$1272,0))</f>
        <v>2730200</v>
      </c>
      <c r="C37" s="66">
        <f>INDEX('All Units'!$R$5:$R$1272,MATCH("#"&amp;TEXT($A37,"00")&amp;"-"&amp;TEXT(C$6,"00"),'All Units'!$A$5:$A$1272,0))</f>
        <v>2690400</v>
      </c>
      <c r="D37" s="66">
        <f>INDEX('All Units'!$R$5:$R$1272,MATCH("#"&amp;TEXT($A37,"00")&amp;"-"&amp;TEXT(D$6,"00"),'All Units'!$A$5:$A$1272,0))</f>
        <v>2790800</v>
      </c>
      <c r="E37" s="66">
        <f>INDEX('All Units'!$R$5:$R$1272,MATCH("#"&amp;TEXT($A37,"00")&amp;"-"&amp;TEXT(E$6,"00"),'All Units'!$A$5:$A$1272,0))</f>
        <v>2858000</v>
      </c>
      <c r="F37" s="66">
        <f>INDEX('All Units'!$R$5:$R$1272,MATCH("#"&amp;TEXT($A37,"00")&amp;"-"&amp;TEXT(F$6,"00"),'All Units'!$A$5:$A$1272,0))</f>
        <v>2858000</v>
      </c>
    </row>
    <row r="38" spans="1:6" x14ac:dyDescent="0.2">
      <c r="A38" s="67">
        <v>13</v>
      </c>
      <c r="B38" s="66">
        <f>INDEX('All Units'!$R$5:$R$1272,MATCH("#"&amp;TEXT($A38,"00")&amp;"-"&amp;TEXT(B$6,"00"),'All Units'!$A$5:$A$1272,0))</f>
        <v>2707500</v>
      </c>
      <c r="C38" s="66">
        <f>INDEX('All Units'!$R$5:$R$1272,MATCH("#"&amp;TEXT($A38,"00")&amp;"-"&amp;TEXT(C$6,"00"),'All Units'!$A$5:$A$1272,0))</f>
        <v>2667700</v>
      </c>
      <c r="D38" s="66">
        <f>INDEX('All Units'!$R$5:$R$1272,MATCH("#"&amp;TEXT($A38,"00")&amp;"-"&amp;TEXT(D$6,"00"),'All Units'!$A$5:$A$1272,0))</f>
        <v>2768100</v>
      </c>
      <c r="E38" s="66">
        <f>INDEX('All Units'!$R$5:$R$1272,MATCH("#"&amp;TEXT($A38,"00")&amp;"-"&amp;TEXT(E$6,"00"),'All Units'!$A$5:$A$1272,0))</f>
        <v>2841900</v>
      </c>
      <c r="F38" s="66">
        <f>INDEX('All Units'!$R$5:$R$1272,MATCH("#"&amp;TEXT($A38,"00")&amp;"-"&amp;TEXT(F$6,"00"),'All Units'!$A$5:$A$1272,0))</f>
        <v>2841900</v>
      </c>
    </row>
    <row r="39" spans="1:6" x14ac:dyDescent="0.2">
      <c r="A39" s="67">
        <v>12</v>
      </c>
      <c r="B39" s="66">
        <f>INDEX('All Units'!$R$5:$R$1272,MATCH("#"&amp;TEXT($A39,"00")&amp;"-"&amp;TEXT(B$6,"00"),'All Units'!$A$5:$A$1272,0))</f>
        <v>2684700</v>
      </c>
      <c r="C39" s="66">
        <f>INDEX('All Units'!$R$5:$R$1272,MATCH("#"&amp;TEXT($A39,"00")&amp;"-"&amp;TEXT(C$6,"00"),'All Units'!$A$5:$A$1272,0))</f>
        <v>2645000</v>
      </c>
      <c r="D39" s="66">
        <f>INDEX('All Units'!$R$5:$R$1272,MATCH("#"&amp;TEXT($A39,"00")&amp;"-"&amp;TEXT(D$6,"00"),'All Units'!$A$5:$A$1272,0))</f>
        <v>2744400</v>
      </c>
      <c r="E39" s="66">
        <f>INDEX('All Units'!$R$5:$R$1272,MATCH("#"&amp;TEXT($A39,"00")&amp;"-"&amp;TEXT(E$6,"00"),'All Units'!$A$5:$A$1272,0))</f>
        <v>2825800</v>
      </c>
      <c r="F39" s="66">
        <f>INDEX('All Units'!$R$5:$R$1272,MATCH("#"&amp;TEXT($A39,"00")&amp;"-"&amp;TEXT(F$6,"00"),'All Units'!$A$5:$A$1272,0))</f>
        <v>2825800</v>
      </c>
    </row>
    <row r="40" spans="1:6" x14ac:dyDescent="0.2">
      <c r="A40" s="67">
        <v>11</v>
      </c>
      <c r="B40" s="66">
        <f>INDEX('All Units'!$R$5:$R$1272,MATCH("#"&amp;TEXT($A40,"00")&amp;"-"&amp;TEXT(B$6,"00"),'All Units'!$A$5:$A$1272,0))</f>
        <v>2671500</v>
      </c>
      <c r="C40" s="66">
        <f>INDEX('All Units'!$R$5:$R$1272,MATCH("#"&amp;TEXT($A40,"00")&amp;"-"&amp;TEXT(C$6,"00"),'All Units'!$A$5:$A$1272,0))</f>
        <v>2629800</v>
      </c>
      <c r="D40" s="66">
        <f>INDEX('All Units'!$R$5:$R$1272,MATCH("#"&amp;TEXT($A40,"00")&amp;"-"&amp;TEXT(D$6,"00"),'All Units'!$A$5:$A$1272,0))</f>
        <v>2730200</v>
      </c>
      <c r="E40" s="66">
        <f>INDEX('All Units'!$R$5:$R$1272,MATCH("#"&amp;TEXT($A40,"00")&amp;"-"&amp;TEXT(E$6,"00"),'All Units'!$A$5:$A$1272,0))</f>
        <v>2809700</v>
      </c>
      <c r="F40" s="66">
        <f>INDEX('All Units'!$R$5:$R$1272,MATCH("#"&amp;TEXT($A40,"00")&amp;"-"&amp;TEXT(F$6,"00"),'All Units'!$A$5:$A$1272,0))</f>
        <v>2813500</v>
      </c>
    </row>
    <row r="41" spans="1:6" x14ac:dyDescent="0.2">
      <c r="A41" s="67">
        <v>10</v>
      </c>
      <c r="B41" s="66">
        <f>INDEX('All Units'!$R$5:$R$1272,MATCH("#"&amp;TEXT($A41,"00")&amp;"-"&amp;TEXT(B$6,"00"),'All Units'!$A$5:$A$1272,0))</f>
        <v>2658200</v>
      </c>
      <c r="C41" s="66">
        <f>INDEX('All Units'!$R$5:$R$1272,MATCH("#"&amp;TEXT($A41,"00")&amp;"-"&amp;TEXT(C$6,"00"),'All Units'!$A$5:$A$1272,0))</f>
        <v>2615600</v>
      </c>
      <c r="D41" s="66">
        <f>INDEX('All Units'!$R$5:$R$1272,MATCH("#"&amp;TEXT($A41,"00")&amp;"-"&amp;TEXT(D$6,"00"),'All Units'!$A$5:$A$1272,0))</f>
        <v>2716000</v>
      </c>
      <c r="E41" s="66">
        <f>INDEX('All Units'!$R$5:$R$1272,MATCH("#"&amp;TEXT($A41,"00")&amp;"-"&amp;TEXT(E$6,"00"),'All Units'!$A$5:$A$1272,0))</f>
        <v>2792700</v>
      </c>
      <c r="F41" s="66">
        <f>INDEX('All Units'!$R$5:$R$1272,MATCH("#"&amp;TEXT($A41,"00")&amp;"-"&amp;TEXT(F$6,"00"),'All Units'!$A$5:$A$1272,0))</f>
        <v>2802200</v>
      </c>
    </row>
    <row r="42" spans="1:6" x14ac:dyDescent="0.2">
      <c r="A42" s="67">
        <v>9</v>
      </c>
      <c r="B42" s="66">
        <f>INDEX('All Units'!$R$5:$R$1272,MATCH("#"&amp;TEXT($A42,"00")&amp;"-"&amp;TEXT(B$6,"00"),'All Units'!$A$5:$A$1272,0))</f>
        <v>2645000</v>
      </c>
      <c r="C42" s="66">
        <f>INDEX('All Units'!$R$5:$R$1272,MATCH("#"&amp;TEXT($A42,"00")&amp;"-"&amp;TEXT(C$6,"00"),'All Units'!$A$5:$A$1272,0))</f>
        <v>2601400</v>
      </c>
      <c r="D42" s="66">
        <f>INDEX('All Units'!$R$5:$R$1272,MATCH("#"&amp;TEXT($A42,"00")&amp;"-"&amp;TEXT(D$6,"00"),'All Units'!$A$5:$A$1272,0))</f>
        <v>2701800</v>
      </c>
      <c r="E42" s="66">
        <f>INDEX('All Units'!$R$5:$R$1272,MATCH("#"&amp;TEXT($A42,"00")&amp;"-"&amp;TEXT(E$6,"00"),'All Units'!$A$5:$A$1272,0))</f>
        <v>2776600</v>
      </c>
      <c r="F42" s="66">
        <f>INDEX('All Units'!$R$5:$R$1272,MATCH("#"&amp;TEXT($A42,"00")&amp;"-"&amp;TEXT(F$6,"00"),'All Units'!$A$5:$A$1272,0))</f>
        <v>2790800</v>
      </c>
    </row>
    <row r="43" spans="1:6" x14ac:dyDescent="0.2">
      <c r="A43" s="67">
        <v>8</v>
      </c>
      <c r="B43" s="66">
        <f>INDEX('All Units'!$R$5:$R$1272,MATCH("#"&amp;TEXT($A43,"00")&amp;"-"&amp;TEXT(B$6,"00"),'All Units'!$A$5:$A$1272,0))</f>
        <v>2638300</v>
      </c>
      <c r="C43" s="66">
        <f>INDEX('All Units'!$R$5:$R$1272,MATCH("#"&amp;TEXT($A43,"00")&amp;"-"&amp;TEXT(C$6,"00"),'All Units'!$A$5:$A$1272,0))</f>
        <v>2587200</v>
      </c>
      <c r="D43" s="66">
        <f>INDEX('All Units'!$R$5:$R$1272,MATCH("#"&amp;TEXT($A43,"00")&amp;"-"&amp;TEXT(D$6,"00"),'All Units'!$A$5:$A$1272,0))</f>
        <v>2687600</v>
      </c>
      <c r="E43" s="66">
        <f>INDEX('All Units'!$R$5:$R$1272,MATCH("#"&amp;TEXT($A43,"00")&amp;"-"&amp;TEXT(E$6,"00"),'All Units'!$A$5:$A$1272,0))</f>
        <v>2760500</v>
      </c>
      <c r="F43" s="66">
        <f>INDEX('All Units'!$R$5:$R$1272,MATCH("#"&amp;TEXT($A43,"00")&amp;"-"&amp;TEXT(F$6,"00"),'All Units'!$A$5:$A$1272,0))</f>
        <v>2779400</v>
      </c>
    </row>
    <row r="44" spans="1:6" x14ac:dyDescent="0.2">
      <c r="A44" s="67">
        <v>7</v>
      </c>
      <c r="B44" s="66">
        <f>INDEX('All Units'!$R$5:$R$1272,MATCH("#"&amp;TEXT($A44,"00")&amp;"-"&amp;TEXT(B$6,"00"),'All Units'!$A$5:$A$1272,0))</f>
        <v>2632700</v>
      </c>
      <c r="C44" s="66">
        <f>INDEX('All Units'!$R$5:$R$1272,MATCH("#"&amp;TEXT($A44,"00")&amp;"-"&amp;TEXT(C$6,"00"),'All Units'!$A$5:$A$1272,0))</f>
        <v>2573000</v>
      </c>
      <c r="D44" s="66">
        <f>INDEX('All Units'!$R$5:$R$1272,MATCH("#"&amp;TEXT($A44,"00")&amp;"-"&amp;TEXT(D$6,"00"),'All Units'!$A$5:$A$1272,0))</f>
        <v>2673400</v>
      </c>
      <c r="E44" s="66">
        <f>INDEX('All Units'!$R$5:$R$1272,MATCH("#"&amp;TEXT($A44,"00")&amp;"-"&amp;TEXT(E$6,"00"),'All Units'!$A$5:$A$1272,0))</f>
        <v>2744400</v>
      </c>
      <c r="F44" s="66">
        <f>INDEX('All Units'!$R$5:$R$1272,MATCH("#"&amp;TEXT($A44,"00")&amp;"-"&amp;TEXT(F$6,"00"),'All Units'!$A$5:$A$1272,0))</f>
        <v>2767100</v>
      </c>
    </row>
    <row r="45" spans="1:6" x14ac:dyDescent="0.2">
      <c r="A45" s="67">
        <v>6</v>
      </c>
      <c r="B45" s="66">
        <f>INDEX('All Units'!$R$5:$R$1272,MATCH("#"&amp;TEXT($A45,"00")&amp;"-"&amp;TEXT(B$6,"00"),'All Units'!$A$5:$A$1272,0))</f>
        <v>2626000</v>
      </c>
      <c r="C45" s="66">
        <f>INDEX('All Units'!$R$5:$R$1272,MATCH("#"&amp;TEXT($A45,"00")&amp;"-"&amp;TEXT(C$6,"00"),'All Units'!$A$5:$A$1272,0))</f>
        <v>2558800</v>
      </c>
      <c r="D45" s="66">
        <f>INDEX('All Units'!$R$5:$R$1272,MATCH("#"&amp;TEXT($A45,"00")&amp;"-"&amp;TEXT(D$6,"00"),'All Units'!$A$5:$A$1272,0))</f>
        <v>2639300</v>
      </c>
      <c r="E45" s="66">
        <f>INDEX('All Units'!$R$5:$R$1272,MATCH("#"&amp;TEXT($A45,"00")&amp;"-"&amp;TEXT(E$6,"00"),'All Units'!$A$5:$A$1272,0))</f>
        <v>2719800</v>
      </c>
      <c r="F45" s="66">
        <f>INDEX('All Units'!$R$5:$R$1272,MATCH("#"&amp;TEXT($A45,"00")&amp;"-"&amp;TEXT(F$6,"00"),'All Units'!$A$5:$A$1272,0))</f>
        <v>2755800</v>
      </c>
    </row>
    <row r="46" spans="1:6" x14ac:dyDescent="0.2">
      <c r="A46" s="67">
        <v>5</v>
      </c>
      <c r="B46" s="66">
        <f>INDEX('All Units'!$R$5:$R$1272,MATCH("#"&amp;TEXT($A46,"00")&amp;"-"&amp;TEXT(B$6,"00"),'All Units'!$A$5:$A$1272,0))</f>
        <v>2620300</v>
      </c>
      <c r="C46" s="66">
        <f>INDEX('All Units'!$R$5:$R$1272,MATCH("#"&amp;TEXT($A46,"00")&amp;"-"&amp;TEXT(C$6,"00"),'All Units'!$A$5:$A$1272,0))</f>
        <v>2544600</v>
      </c>
      <c r="D46" s="66">
        <f>INDEX('All Units'!$R$5:$R$1272,MATCH("#"&amp;TEXT($A46,"00")&amp;"-"&amp;TEXT(D$6,"00"),'All Units'!$A$5:$A$1272,0))</f>
        <v>2605200</v>
      </c>
      <c r="E46" s="66">
        <f>INDEX('All Units'!$R$5:$R$1272,MATCH("#"&amp;TEXT($A46,"00")&amp;"-"&amp;TEXT(E$6,"00"),'All Units'!$A$5:$A$1272,0))</f>
        <v>2695200</v>
      </c>
      <c r="F46" s="66">
        <f>INDEX('All Units'!$R$5:$R$1272,MATCH("#"&amp;TEXT($A46,"00")&amp;"-"&amp;TEXT(F$6,"00"),'All Units'!$A$5:$A$1272,0))</f>
        <v>2744400</v>
      </c>
    </row>
    <row r="47" spans="1:6" x14ac:dyDescent="0.2">
      <c r="A47" s="67">
        <v>4</v>
      </c>
      <c r="B47" s="66">
        <f>INDEX('All Units'!$R$5:$R$1272,MATCH("#"&amp;TEXT($A47,"00")&amp;"-"&amp;TEXT(B$6,"00"),'All Units'!$A$5:$A$1272,0))</f>
        <v>2613700</v>
      </c>
      <c r="C47" s="66">
        <f>INDEX('All Units'!$R$5:$R$1272,MATCH("#"&amp;TEXT($A47,"00")&amp;"-"&amp;TEXT(C$6,"00"),'All Units'!$A$5:$A$1272,0))</f>
        <v>2530400</v>
      </c>
      <c r="D47" s="66">
        <f>INDEX('All Units'!$R$5:$R$1272,MATCH("#"&amp;TEXT($A47,"00")&amp;"-"&amp;TEXT(D$6,"00"),'All Units'!$A$5:$A$1272,0))</f>
        <v>2570200</v>
      </c>
      <c r="E47" s="66">
        <f>INDEX('All Units'!$R$5:$R$1272,MATCH("#"&amp;TEXT($A47,"00")&amp;"-"&amp;TEXT(E$6,"00"),'All Units'!$A$5:$A$1272,0))</f>
        <v>2671500</v>
      </c>
      <c r="F47" s="66">
        <f>INDEX('All Units'!$R$5:$R$1272,MATCH("#"&amp;TEXT($A47,"00")&amp;"-"&amp;TEXT(F$6,"00"),'All Units'!$A$5:$A$1272,0))</f>
        <v>2732100</v>
      </c>
    </row>
    <row r="48" spans="1:6" x14ac:dyDescent="0.2">
      <c r="A48" s="67">
        <v>3</v>
      </c>
      <c r="B48" s="66">
        <f>INDEX('All Units'!$R$5:$R$1272,MATCH("#"&amp;TEXT($A48,"00")&amp;"-"&amp;TEXT(B$6,"00"),'All Units'!$A$5:$A$1272,0))</f>
        <v>2608000</v>
      </c>
      <c r="C48" s="66">
        <f>INDEX('All Units'!$R$5:$R$1272,MATCH("#"&amp;TEXT($A48,"00")&amp;"-"&amp;TEXT(C$6,"00"),'All Units'!$A$5:$A$1272,0))</f>
        <v>2516200</v>
      </c>
      <c r="D48" s="66">
        <f>INDEX('All Units'!$R$5:$R$1272,MATCH("#"&amp;TEXT($A48,"00")&amp;"-"&amp;TEXT(D$6,"00"),'All Units'!$A$5:$A$1272,0))</f>
        <v>2536100</v>
      </c>
      <c r="E48" s="66">
        <f>INDEX('All Units'!$R$5:$R$1272,MATCH("#"&amp;TEXT($A48,"00")&amp;"-"&amp;TEXT(E$6,"00"),'All Units'!$A$5:$A$1272,0))</f>
        <v>2646900</v>
      </c>
      <c r="F48" s="66">
        <f>INDEX('All Units'!$R$5:$R$1272,MATCH("#"&amp;TEXT($A48,"00")&amp;"-"&amp;TEXT(F$6,"00"),'All Units'!$A$5:$A$1272,0))</f>
        <v>2720700</v>
      </c>
    </row>
    <row r="49" spans="1:6" x14ac:dyDescent="0.2">
      <c r="A49" s="67">
        <v>2</v>
      </c>
      <c r="B49" s="66">
        <f>INDEX('All Units'!$R$5:$R$1272,MATCH("#"&amp;TEXT($A49,"00")&amp;"-"&amp;TEXT(B$6,"00"),'All Units'!$A$5:$A$1272,0))</f>
        <v>2602400</v>
      </c>
      <c r="C49" s="66">
        <f>INDEX('All Units'!$R$5:$R$1272,MATCH("#"&amp;TEXT($A49,"00")&amp;"-"&amp;TEXT(C$6,"00"),'All Units'!$A$5:$A$1272,0))</f>
        <v>2503000</v>
      </c>
      <c r="D49" s="66">
        <f>INDEX('All Units'!$R$5:$R$1272,MATCH("#"&amp;TEXT($A49,"00")&amp;"-"&amp;TEXT(D$6,"00"),'All Units'!$A$5:$A$1272,0))</f>
        <v>2503000</v>
      </c>
      <c r="E49" s="66">
        <f>INDEX('All Units'!$R$5:$R$1272,MATCH("#"&amp;TEXT($A49,"00")&amp;"-"&amp;TEXT(E$6,"00"),'All Units'!$A$5:$A$1272,0))</f>
        <v>2622200</v>
      </c>
      <c r="F49" s="66">
        <f>INDEX('All Units'!$R$5:$R$1272,MATCH("#"&amp;TEXT($A49,"00")&amp;"-"&amp;TEXT(F$6,"00"),'All Units'!$A$5:$A$1272,0))</f>
        <v>2709400</v>
      </c>
    </row>
    <row r="50" spans="1:6" x14ac:dyDescent="0.2">
      <c r="A50" s="67">
        <v>1</v>
      </c>
      <c r="B50" s="68"/>
      <c r="C50" s="68"/>
      <c r="D50" s="68"/>
      <c r="E50" s="66">
        <f>INDEX('All Units'!$R$5:$R$1272,MATCH("#"&amp;TEXT($A50,"00")&amp;"-"&amp;TEXT(E$6,"00"),'All Units'!$A$5:$A$1272,0))</f>
        <v>2597600</v>
      </c>
      <c r="F50" s="66">
        <f>INDEX('All Units'!$R$5:$R$1272,MATCH("#"&amp;TEXT($A50,"00")&amp;"-"&amp;TEXT(F$6,"00"),'All Units'!$A$5:$A$1272,0))</f>
        <v>2698000</v>
      </c>
    </row>
    <row r="52" spans="1:6" x14ac:dyDescent="0.2">
      <c r="A52" s="99" t="s">
        <v>1472</v>
      </c>
      <c r="B52" s="99"/>
      <c r="C52" s="99"/>
      <c r="D52" s="99"/>
      <c r="E52" s="99"/>
      <c r="F52" s="99"/>
    </row>
    <row r="53" spans="1:6" x14ac:dyDescent="0.2">
      <c r="A53" s="67">
        <v>30</v>
      </c>
      <c r="B53" s="68"/>
      <c r="C53" s="68"/>
      <c r="D53" s="68"/>
      <c r="E53" s="66">
        <f>INDEX('All Units'!$Q$5:$Q$1272,MATCH("#"&amp;TEXT($A53,"00")&amp;"-"&amp;TEXT(E$6,"00"),'All Units'!$A$5:$A$1272,0))</f>
        <v>3281</v>
      </c>
      <c r="F53" s="66">
        <f>INDEX('All Units'!$Q$5:$Q$1272,MATCH("#"&amp;TEXT($A53,"00")&amp;"-"&amp;TEXT(F$6,"00"),'All Units'!$A$5:$A$1272,0))</f>
        <v>3281</v>
      </c>
    </row>
    <row r="54" spans="1:6" x14ac:dyDescent="0.2">
      <c r="A54" s="67">
        <v>29</v>
      </c>
      <c r="B54" s="68"/>
      <c r="C54" s="68"/>
      <c r="D54" s="68"/>
      <c r="E54" s="66">
        <f>INDEX('All Units'!$Q$5:$Q$1272,MATCH("#"&amp;TEXT($A54,"00")&amp;"-"&amp;TEXT(E$6,"00"),'All Units'!$A$5:$A$1272,0))</f>
        <v>3265</v>
      </c>
      <c r="F54" s="66">
        <f>INDEX('All Units'!$Q$5:$Q$1272,MATCH("#"&amp;TEXT($A54,"00")&amp;"-"&amp;TEXT(F$6,"00"),'All Units'!$A$5:$A$1272,0))</f>
        <v>3265</v>
      </c>
    </row>
    <row r="55" spans="1:6" x14ac:dyDescent="0.2">
      <c r="A55" s="67">
        <v>28</v>
      </c>
      <c r="B55" s="68"/>
      <c r="C55" s="68"/>
      <c r="D55" s="68"/>
      <c r="E55" s="66">
        <f>INDEX('All Units'!$Q$5:$Q$1272,MATCH("#"&amp;TEXT($A55,"00")&amp;"-"&amp;TEXT(E$6,"00"),'All Units'!$A$5:$A$1272,0))</f>
        <v>3249</v>
      </c>
      <c r="F55" s="66">
        <f>INDEX('All Units'!$Q$5:$Q$1272,MATCH("#"&amp;TEXT($A55,"00")&amp;"-"&amp;TEXT(F$6,"00"),'All Units'!$A$5:$A$1272,0))</f>
        <v>3249</v>
      </c>
    </row>
    <row r="56" spans="1:6" x14ac:dyDescent="0.2">
      <c r="A56" s="67">
        <v>27</v>
      </c>
      <c r="B56" s="68"/>
      <c r="C56" s="68"/>
      <c r="D56" s="68"/>
      <c r="E56" s="66">
        <f>INDEX('All Units'!$Q$5:$Q$1272,MATCH("#"&amp;TEXT($A56,"00")&amp;"-"&amp;TEXT(E$6,"00"),'All Units'!$A$5:$A$1272,0))</f>
        <v>3233</v>
      </c>
      <c r="F56" s="66">
        <f>INDEX('All Units'!$Q$5:$Q$1272,MATCH("#"&amp;TEXT($A56,"00")&amp;"-"&amp;TEXT(F$6,"00"),'All Units'!$A$5:$A$1272,0))</f>
        <v>3233</v>
      </c>
    </row>
    <row r="57" spans="1:6" x14ac:dyDescent="0.2">
      <c r="A57" s="67">
        <v>26</v>
      </c>
      <c r="B57" s="68"/>
      <c r="C57" s="68"/>
      <c r="D57" s="68"/>
      <c r="E57" s="66">
        <f>INDEX('All Units'!$Q$5:$Q$1272,MATCH("#"&amp;TEXT($A57,"00")&amp;"-"&amp;TEXT(E$6,"00"),'All Units'!$A$5:$A$1272,0))</f>
        <v>3218</v>
      </c>
      <c r="F57" s="66">
        <f>INDEX('All Units'!$Q$5:$Q$1272,MATCH("#"&amp;TEXT($A57,"00")&amp;"-"&amp;TEXT(F$6,"00"),'All Units'!$A$5:$A$1272,0))</f>
        <v>3218</v>
      </c>
    </row>
    <row r="58" spans="1:6" x14ac:dyDescent="0.2">
      <c r="A58" s="67">
        <v>25</v>
      </c>
      <c r="B58" s="68"/>
      <c r="C58" s="68"/>
      <c r="D58" s="68"/>
      <c r="E58" s="66">
        <f>INDEX('All Units'!$Q$5:$Q$1272,MATCH("#"&amp;TEXT($A58,"00")&amp;"-"&amp;TEXT(E$6,"00"),'All Units'!$A$5:$A$1272,0))</f>
        <v>3202</v>
      </c>
      <c r="F58" s="66">
        <f>INDEX('All Units'!$Q$5:$Q$1272,MATCH("#"&amp;TEXT($A58,"00")&amp;"-"&amp;TEXT(F$6,"00"),'All Units'!$A$5:$A$1272,0))</f>
        <v>3202</v>
      </c>
    </row>
    <row r="59" spans="1:6" x14ac:dyDescent="0.2">
      <c r="A59" s="67">
        <v>24</v>
      </c>
      <c r="B59" s="68"/>
      <c r="C59" s="68"/>
      <c r="D59" s="68"/>
      <c r="E59" s="66">
        <f>INDEX('All Units'!$Q$5:$Q$1272,MATCH("#"&amp;TEXT($A59,"00")&amp;"-"&amp;TEXT(E$6,"00"),'All Units'!$A$5:$A$1272,0))</f>
        <v>3186</v>
      </c>
      <c r="F59" s="66">
        <f>INDEX('All Units'!$Q$5:$Q$1272,MATCH("#"&amp;TEXT($A59,"00")&amp;"-"&amp;TEXT(F$6,"00"),'All Units'!$A$5:$A$1272,0))</f>
        <v>3186</v>
      </c>
    </row>
    <row r="60" spans="1:6" x14ac:dyDescent="0.2">
      <c r="A60" s="67">
        <v>23</v>
      </c>
      <c r="B60" s="68"/>
      <c r="C60" s="68"/>
      <c r="D60" s="68"/>
      <c r="E60" s="66">
        <f>INDEX('All Units'!$Q$5:$Q$1272,MATCH("#"&amp;TEXT($A60,"00")&amp;"-"&amp;TEXT(E$6,"00"),'All Units'!$A$5:$A$1272,0))</f>
        <v>3170</v>
      </c>
      <c r="F60" s="66">
        <f>INDEX('All Units'!$Q$5:$Q$1272,MATCH("#"&amp;TEXT($A60,"00")&amp;"-"&amp;TEXT(F$6,"00"),'All Units'!$A$5:$A$1272,0))</f>
        <v>3170</v>
      </c>
    </row>
    <row r="61" spans="1:6" x14ac:dyDescent="0.2">
      <c r="A61" s="67">
        <v>22</v>
      </c>
      <c r="B61" s="68"/>
      <c r="C61" s="68"/>
      <c r="D61" s="68"/>
      <c r="E61" s="66">
        <f>INDEX('All Units'!$Q$5:$Q$1272,MATCH("#"&amp;TEXT($A61,"00")&amp;"-"&amp;TEXT(E$6,"00"),'All Units'!$A$5:$A$1272,0))</f>
        <v>3154</v>
      </c>
      <c r="F61" s="66">
        <f>INDEX('All Units'!$Q$5:$Q$1272,MATCH("#"&amp;TEXT($A61,"00")&amp;"-"&amp;TEXT(F$6,"00"),'All Units'!$A$5:$A$1272,0))</f>
        <v>3154</v>
      </c>
    </row>
    <row r="62" spans="1:6" x14ac:dyDescent="0.2">
      <c r="A62" s="67">
        <v>21</v>
      </c>
      <c r="B62" s="66">
        <f>INDEX('All Units'!$Q$5:$Q$1272,MATCH("#"&amp;TEXT($A62,"00")&amp;"-"&amp;TEXT(B$6,"00"),'All Units'!$A$5:$A$1272,0))</f>
        <v>3052</v>
      </c>
      <c r="C62" s="66">
        <f>INDEX('All Units'!$Q$5:$Q$1272,MATCH("#"&amp;TEXT($A62,"00")&amp;"-"&amp;TEXT(C$6,"00"),'All Units'!$A$5:$A$1272,0))</f>
        <v>3013</v>
      </c>
      <c r="D62" s="66">
        <f>INDEX('All Units'!$Q$5:$Q$1272,MATCH("#"&amp;TEXT($A62,"00")&amp;"-"&amp;TEXT(D$6,"00"),'All Units'!$A$5:$A$1272,0))</f>
        <v>3118</v>
      </c>
      <c r="E62" s="66">
        <f>INDEX('All Units'!$Q$5:$Q$1272,MATCH("#"&amp;TEXT($A62,"00")&amp;"-"&amp;TEXT(E$6,"00"),'All Units'!$A$5:$A$1272,0))</f>
        <v>3139</v>
      </c>
      <c r="F62" s="66">
        <f>INDEX('All Units'!$Q$5:$Q$1272,MATCH("#"&amp;TEXT($A62,"00")&amp;"-"&amp;TEXT(F$6,"00"),'All Units'!$A$5:$A$1272,0))</f>
        <v>3139</v>
      </c>
    </row>
    <row r="63" spans="1:6" x14ac:dyDescent="0.2">
      <c r="A63" s="67">
        <v>20</v>
      </c>
      <c r="B63" s="66">
        <f>INDEX('All Units'!$Q$5:$Q$1272,MATCH("#"&amp;TEXT($A63,"00")&amp;"-"&amp;TEXT(B$6,"00"),'All Units'!$A$5:$A$1272,0))</f>
        <v>3028</v>
      </c>
      <c r="C63" s="66">
        <f>INDEX('All Units'!$Q$5:$Q$1272,MATCH("#"&amp;TEXT($A63,"00")&amp;"-"&amp;TEXT(C$6,"00"),'All Units'!$A$5:$A$1272,0))</f>
        <v>2988</v>
      </c>
      <c r="D63" s="66">
        <f>INDEX('All Units'!$Q$5:$Q$1272,MATCH("#"&amp;TEXT($A63,"00")&amp;"-"&amp;TEXT(D$6,"00"),'All Units'!$A$5:$A$1272,0))</f>
        <v>3094</v>
      </c>
      <c r="E63" s="66">
        <f>INDEX('All Units'!$Q$5:$Q$1272,MATCH("#"&amp;TEXT($A63,"00")&amp;"-"&amp;TEXT(E$6,"00"),'All Units'!$A$5:$A$1272,0))</f>
        <v>3121</v>
      </c>
      <c r="F63" s="66">
        <f>INDEX('All Units'!$Q$5:$Q$1272,MATCH("#"&amp;TEXT($A63,"00")&amp;"-"&amp;TEXT(F$6,"00"),'All Units'!$A$5:$A$1272,0))</f>
        <v>3121</v>
      </c>
    </row>
    <row r="64" spans="1:6" x14ac:dyDescent="0.2">
      <c r="A64" s="67">
        <v>19</v>
      </c>
      <c r="B64" s="66">
        <f>INDEX('All Units'!$Q$5:$Q$1272,MATCH("#"&amp;TEXT($A64,"00")&amp;"-"&amp;TEXT(B$6,"00"),'All Units'!$A$5:$A$1272,0))</f>
        <v>3003</v>
      </c>
      <c r="C64" s="66">
        <f>INDEX('All Units'!$Q$5:$Q$1272,MATCH("#"&amp;TEXT($A64,"00")&amp;"-"&amp;TEXT(C$6,"00"),'All Units'!$A$5:$A$1272,0))</f>
        <v>2964</v>
      </c>
      <c r="D64" s="66">
        <f>INDEX('All Units'!$Q$5:$Q$1272,MATCH("#"&amp;TEXT($A64,"00")&amp;"-"&amp;TEXT(D$6,"00"),'All Units'!$A$5:$A$1272,0))</f>
        <v>3069</v>
      </c>
      <c r="E64" s="66">
        <f>INDEX('All Units'!$Q$5:$Q$1272,MATCH("#"&amp;TEXT($A64,"00")&amp;"-"&amp;TEXT(E$6,"00"),'All Units'!$A$5:$A$1272,0))</f>
        <v>3104</v>
      </c>
      <c r="F64" s="66">
        <f>INDEX('All Units'!$Q$5:$Q$1272,MATCH("#"&amp;TEXT($A64,"00")&amp;"-"&amp;TEXT(F$6,"00"),'All Units'!$A$5:$A$1272,0))</f>
        <v>3104</v>
      </c>
    </row>
    <row r="65" spans="1:6" x14ac:dyDescent="0.2">
      <c r="A65" s="67">
        <v>18</v>
      </c>
      <c r="B65" s="66">
        <f>INDEX('All Units'!$Q$5:$Q$1272,MATCH("#"&amp;TEXT($A65,"00")&amp;"-"&amp;TEXT(B$6,"00"),'All Units'!$A$5:$A$1272,0))</f>
        <v>2979</v>
      </c>
      <c r="C65" s="66">
        <f>INDEX('All Units'!$Q$5:$Q$1272,MATCH("#"&amp;TEXT($A65,"00")&amp;"-"&amp;TEXT(C$6,"00"),'All Units'!$A$5:$A$1272,0))</f>
        <v>2939</v>
      </c>
      <c r="D65" s="66">
        <f>INDEX('All Units'!$Q$5:$Q$1272,MATCH("#"&amp;TEXT($A65,"00")&amp;"-"&amp;TEXT(D$6,"00"),'All Units'!$A$5:$A$1272,0))</f>
        <v>3045</v>
      </c>
      <c r="E65" s="66">
        <f>INDEX('All Units'!$Q$5:$Q$1272,MATCH("#"&amp;TEXT($A65,"00")&amp;"-"&amp;TEXT(E$6,"00"),'All Units'!$A$5:$A$1272,0))</f>
        <v>3087</v>
      </c>
      <c r="F65" s="66">
        <f>INDEX('All Units'!$Q$5:$Q$1272,MATCH("#"&amp;TEXT($A65,"00")&amp;"-"&amp;TEXT(F$6,"00"),'All Units'!$A$5:$A$1272,0))</f>
        <v>3087</v>
      </c>
    </row>
    <row r="66" spans="1:6" x14ac:dyDescent="0.2">
      <c r="A66" s="67">
        <v>17</v>
      </c>
      <c r="B66" s="66">
        <f>INDEX('All Units'!$Q$5:$Q$1272,MATCH("#"&amp;TEXT($A66,"00")&amp;"-"&amp;TEXT(B$6,"00"),'All Units'!$A$5:$A$1272,0))</f>
        <v>2954</v>
      </c>
      <c r="C66" s="66">
        <f>INDEX('All Units'!$Q$5:$Q$1272,MATCH("#"&amp;TEXT($A66,"00")&amp;"-"&amp;TEXT(C$6,"00"),'All Units'!$A$5:$A$1272,0))</f>
        <v>2915</v>
      </c>
      <c r="D66" s="66">
        <f>INDEX('All Units'!$Q$5:$Q$1272,MATCH("#"&amp;TEXT($A66,"00")&amp;"-"&amp;TEXT(D$6,"00"),'All Units'!$A$5:$A$1272,0))</f>
        <v>3020</v>
      </c>
      <c r="E66" s="66">
        <f>INDEX('All Units'!$Q$5:$Q$1272,MATCH("#"&amp;TEXT($A66,"00")&amp;"-"&amp;TEXT(E$6,"00"),'All Units'!$A$5:$A$1272,0))</f>
        <v>3069</v>
      </c>
      <c r="F66" s="66">
        <f>INDEX('All Units'!$Q$5:$Q$1272,MATCH("#"&amp;TEXT($A66,"00")&amp;"-"&amp;TEXT(F$6,"00"),'All Units'!$A$5:$A$1272,0))</f>
        <v>3069</v>
      </c>
    </row>
    <row r="67" spans="1:6" x14ac:dyDescent="0.2">
      <c r="A67" s="67">
        <v>16</v>
      </c>
      <c r="B67" s="66">
        <f>INDEX('All Units'!$Q$5:$Q$1272,MATCH("#"&amp;TEXT($A67,"00")&amp;"-"&amp;TEXT(B$6,"00"),'All Units'!$A$5:$A$1272,0))</f>
        <v>2930</v>
      </c>
      <c r="C67" s="66">
        <f>INDEX('All Units'!$Q$5:$Q$1272,MATCH("#"&amp;TEXT($A67,"00")&amp;"-"&amp;TEXT(C$6,"00"),'All Units'!$A$5:$A$1272,0))</f>
        <v>2890</v>
      </c>
      <c r="D67" s="66">
        <f>INDEX('All Units'!$Q$5:$Q$1272,MATCH("#"&amp;TEXT($A67,"00")&amp;"-"&amp;TEXT(D$6,"00"),'All Units'!$A$5:$A$1272,0))</f>
        <v>2996</v>
      </c>
      <c r="E67" s="66">
        <f>INDEX('All Units'!$Q$5:$Q$1272,MATCH("#"&amp;TEXT($A67,"00")&amp;"-"&amp;TEXT(E$6,"00"),'All Units'!$A$5:$A$1272,0))</f>
        <v>3052</v>
      </c>
      <c r="F67" s="66">
        <f>INDEX('All Units'!$Q$5:$Q$1272,MATCH("#"&amp;TEXT($A67,"00")&amp;"-"&amp;TEXT(F$6,"00"),'All Units'!$A$5:$A$1272,0))</f>
        <v>3052</v>
      </c>
    </row>
    <row r="68" spans="1:6" x14ac:dyDescent="0.2">
      <c r="A68" s="67">
        <v>15</v>
      </c>
      <c r="B68" s="66">
        <f>INDEX('All Units'!$Q$5:$Q$1272,MATCH("#"&amp;TEXT($A68,"00")&amp;"-"&amp;TEXT(B$6,"00"),'All Units'!$A$5:$A$1272,0))</f>
        <v>2906</v>
      </c>
      <c r="C68" s="66">
        <f>INDEX('All Units'!$Q$5:$Q$1272,MATCH("#"&amp;TEXT($A68,"00")&amp;"-"&amp;TEXT(C$6,"00"),'All Units'!$A$5:$A$1272,0))</f>
        <v>2866</v>
      </c>
      <c r="D68" s="66">
        <f>INDEX('All Units'!$Q$5:$Q$1272,MATCH("#"&amp;TEXT($A68,"00")&amp;"-"&amp;TEXT(D$6,"00"),'All Units'!$A$5:$A$1272,0))</f>
        <v>2971</v>
      </c>
      <c r="E68" s="66">
        <f>INDEX('All Units'!$Q$5:$Q$1272,MATCH("#"&amp;TEXT($A68,"00")&amp;"-"&amp;TEXT(E$6,"00"),'All Units'!$A$5:$A$1272,0))</f>
        <v>3035</v>
      </c>
      <c r="F68" s="66">
        <f>INDEX('All Units'!$Q$5:$Q$1272,MATCH("#"&amp;TEXT($A68,"00")&amp;"-"&amp;TEXT(F$6,"00"),'All Units'!$A$5:$A$1272,0))</f>
        <v>3035</v>
      </c>
    </row>
    <row r="69" spans="1:6" x14ac:dyDescent="0.2">
      <c r="A69" s="67">
        <v>14</v>
      </c>
      <c r="B69" s="66">
        <f>INDEX('All Units'!$Q$5:$Q$1272,MATCH("#"&amp;TEXT($A69,"00")&amp;"-"&amp;TEXT(B$6,"00"),'All Units'!$A$5:$A$1272,0))</f>
        <v>2883</v>
      </c>
      <c r="C69" s="66">
        <f>INDEX('All Units'!$Q$5:$Q$1272,MATCH("#"&amp;TEXT($A69,"00")&amp;"-"&amp;TEXT(C$6,"00"),'All Units'!$A$5:$A$1272,0))</f>
        <v>2841</v>
      </c>
      <c r="D69" s="66">
        <f>INDEX('All Units'!$Q$5:$Q$1272,MATCH("#"&amp;TEXT($A69,"00")&amp;"-"&amp;TEXT(D$6,"00"),'All Units'!$A$5:$A$1272,0))</f>
        <v>2947</v>
      </c>
      <c r="E69" s="66">
        <f>INDEX('All Units'!$Q$5:$Q$1272,MATCH("#"&amp;TEXT($A69,"00")&amp;"-"&amp;TEXT(E$6,"00"),'All Units'!$A$5:$A$1272,0))</f>
        <v>3018</v>
      </c>
      <c r="F69" s="66">
        <f>INDEX('All Units'!$Q$5:$Q$1272,MATCH("#"&amp;TEXT($A69,"00")&amp;"-"&amp;TEXT(F$6,"00"),'All Units'!$A$5:$A$1272,0))</f>
        <v>3018</v>
      </c>
    </row>
    <row r="70" spans="1:6" x14ac:dyDescent="0.2">
      <c r="A70" s="67">
        <v>13</v>
      </c>
      <c r="B70" s="66">
        <f>INDEX('All Units'!$Q$5:$Q$1272,MATCH("#"&amp;TEXT($A70,"00")&amp;"-"&amp;TEXT(B$6,"00"),'All Units'!$A$5:$A$1272,0))</f>
        <v>2859</v>
      </c>
      <c r="C70" s="66">
        <f>INDEX('All Units'!$Q$5:$Q$1272,MATCH("#"&amp;TEXT($A70,"00")&amp;"-"&amp;TEXT(C$6,"00"),'All Units'!$A$5:$A$1272,0))</f>
        <v>2817</v>
      </c>
      <c r="D70" s="66">
        <f>INDEX('All Units'!$Q$5:$Q$1272,MATCH("#"&amp;TEXT($A70,"00")&amp;"-"&amp;TEXT(D$6,"00"),'All Units'!$A$5:$A$1272,0))</f>
        <v>2923</v>
      </c>
      <c r="E70" s="66">
        <f>INDEX('All Units'!$Q$5:$Q$1272,MATCH("#"&amp;TEXT($A70,"00")&amp;"-"&amp;TEXT(E$6,"00"),'All Units'!$A$5:$A$1272,0))</f>
        <v>3001</v>
      </c>
      <c r="F70" s="66">
        <f>INDEX('All Units'!$Q$5:$Q$1272,MATCH("#"&amp;TEXT($A70,"00")&amp;"-"&amp;TEXT(F$6,"00"),'All Units'!$A$5:$A$1272,0))</f>
        <v>3001</v>
      </c>
    </row>
    <row r="71" spans="1:6" x14ac:dyDescent="0.2">
      <c r="A71" s="67">
        <v>12</v>
      </c>
      <c r="B71" s="66">
        <f>INDEX('All Units'!$Q$5:$Q$1272,MATCH("#"&amp;TEXT($A71,"00")&amp;"-"&amp;TEXT(B$6,"00"),'All Units'!$A$5:$A$1272,0))</f>
        <v>2835</v>
      </c>
      <c r="C71" s="66">
        <f>INDEX('All Units'!$Q$5:$Q$1272,MATCH("#"&amp;TEXT($A71,"00")&amp;"-"&amp;TEXT(C$6,"00"),'All Units'!$A$5:$A$1272,0))</f>
        <v>2793</v>
      </c>
      <c r="D71" s="66">
        <f>INDEX('All Units'!$Q$5:$Q$1272,MATCH("#"&amp;TEXT($A71,"00")&amp;"-"&amp;TEXT(D$6,"00"),'All Units'!$A$5:$A$1272,0))</f>
        <v>2898</v>
      </c>
      <c r="E71" s="66">
        <f>INDEX('All Units'!$Q$5:$Q$1272,MATCH("#"&amp;TEXT($A71,"00")&amp;"-"&amp;TEXT(E$6,"00"),'All Units'!$A$5:$A$1272,0))</f>
        <v>2984</v>
      </c>
      <c r="F71" s="66">
        <f>INDEX('All Units'!$Q$5:$Q$1272,MATCH("#"&amp;TEXT($A71,"00")&amp;"-"&amp;TEXT(F$6,"00"),'All Units'!$A$5:$A$1272,0))</f>
        <v>2984</v>
      </c>
    </row>
    <row r="72" spans="1:6" x14ac:dyDescent="0.2">
      <c r="A72" s="67">
        <v>11</v>
      </c>
      <c r="B72" s="66">
        <f>INDEX('All Units'!$Q$5:$Q$1272,MATCH("#"&amp;TEXT($A72,"00")&amp;"-"&amp;TEXT(B$6,"00"),'All Units'!$A$5:$A$1272,0))</f>
        <v>2821</v>
      </c>
      <c r="C72" s="66">
        <f>INDEX('All Units'!$Q$5:$Q$1272,MATCH("#"&amp;TEXT($A72,"00")&amp;"-"&amp;TEXT(C$6,"00"),'All Units'!$A$5:$A$1272,0))</f>
        <v>2777</v>
      </c>
      <c r="D72" s="66">
        <f>INDEX('All Units'!$Q$5:$Q$1272,MATCH("#"&amp;TEXT($A72,"00")&amp;"-"&amp;TEXT(D$6,"00"),'All Units'!$A$5:$A$1272,0))</f>
        <v>2883</v>
      </c>
      <c r="E72" s="66">
        <f>INDEX('All Units'!$Q$5:$Q$1272,MATCH("#"&amp;TEXT($A72,"00")&amp;"-"&amp;TEXT(E$6,"00"),'All Units'!$A$5:$A$1272,0))</f>
        <v>2967</v>
      </c>
      <c r="F72" s="66">
        <f>INDEX('All Units'!$Q$5:$Q$1272,MATCH("#"&amp;TEXT($A72,"00")&amp;"-"&amp;TEXT(F$6,"00"),'All Units'!$A$5:$A$1272,0))</f>
        <v>2971</v>
      </c>
    </row>
    <row r="73" spans="1:6" x14ac:dyDescent="0.2">
      <c r="A73" s="67">
        <v>10</v>
      </c>
      <c r="B73" s="66">
        <f>INDEX('All Units'!$Q$5:$Q$1272,MATCH("#"&amp;TEXT($A73,"00")&amp;"-"&amp;TEXT(B$6,"00"),'All Units'!$A$5:$A$1272,0))</f>
        <v>2807</v>
      </c>
      <c r="C73" s="66">
        <f>INDEX('All Units'!$Q$5:$Q$1272,MATCH("#"&amp;TEXT($A73,"00")&amp;"-"&amp;TEXT(C$6,"00"),'All Units'!$A$5:$A$1272,0))</f>
        <v>2762</v>
      </c>
      <c r="D73" s="66">
        <f>INDEX('All Units'!$Q$5:$Q$1272,MATCH("#"&amp;TEXT($A73,"00")&amp;"-"&amp;TEXT(D$6,"00"),'All Units'!$A$5:$A$1272,0))</f>
        <v>2868</v>
      </c>
      <c r="E73" s="66">
        <f>INDEX('All Units'!$Q$5:$Q$1272,MATCH("#"&amp;TEXT($A73,"00")&amp;"-"&amp;TEXT(E$6,"00"),'All Units'!$A$5:$A$1272,0))</f>
        <v>2949</v>
      </c>
      <c r="F73" s="66">
        <f>INDEX('All Units'!$Q$5:$Q$1272,MATCH("#"&amp;TEXT($A73,"00")&amp;"-"&amp;TEXT(F$6,"00"),'All Units'!$A$5:$A$1272,0))</f>
        <v>2959</v>
      </c>
    </row>
    <row r="74" spans="1:6" x14ac:dyDescent="0.2">
      <c r="A74" s="67">
        <v>9</v>
      </c>
      <c r="B74" s="66">
        <f>INDEX('All Units'!$Q$5:$Q$1272,MATCH("#"&amp;TEXT($A74,"00")&amp;"-"&amp;TEXT(B$6,"00"),'All Units'!$A$5:$A$1272,0))</f>
        <v>2793</v>
      </c>
      <c r="C74" s="66">
        <f>INDEX('All Units'!$Q$5:$Q$1272,MATCH("#"&amp;TEXT($A74,"00")&amp;"-"&amp;TEXT(C$6,"00"),'All Units'!$A$5:$A$1272,0))</f>
        <v>2747</v>
      </c>
      <c r="D74" s="66">
        <f>INDEX('All Units'!$Q$5:$Q$1272,MATCH("#"&amp;TEXT($A74,"00")&amp;"-"&amp;TEXT(D$6,"00"),'All Units'!$A$5:$A$1272,0))</f>
        <v>2853</v>
      </c>
      <c r="E74" s="66">
        <f>INDEX('All Units'!$Q$5:$Q$1272,MATCH("#"&amp;TEXT($A74,"00")&amp;"-"&amp;TEXT(E$6,"00"),'All Units'!$A$5:$A$1272,0))</f>
        <v>2932</v>
      </c>
      <c r="F74" s="66">
        <f>INDEX('All Units'!$Q$5:$Q$1272,MATCH("#"&amp;TEXT($A74,"00")&amp;"-"&amp;TEXT(F$6,"00"),'All Units'!$A$5:$A$1272,0))</f>
        <v>2947</v>
      </c>
    </row>
    <row r="75" spans="1:6" x14ac:dyDescent="0.2">
      <c r="A75" s="67">
        <v>8</v>
      </c>
      <c r="B75" s="66">
        <f>INDEX('All Units'!$Q$5:$Q$1272,MATCH("#"&amp;TEXT($A75,"00")&amp;"-"&amp;TEXT(B$6,"00"),'All Units'!$A$5:$A$1272,0))</f>
        <v>2786</v>
      </c>
      <c r="C75" s="66">
        <f>INDEX('All Units'!$Q$5:$Q$1272,MATCH("#"&amp;TEXT($A75,"00")&amp;"-"&amp;TEXT(C$6,"00"),'All Units'!$A$5:$A$1272,0))</f>
        <v>2732</v>
      </c>
      <c r="D75" s="66">
        <f>INDEX('All Units'!$Q$5:$Q$1272,MATCH("#"&amp;TEXT($A75,"00")&amp;"-"&amp;TEXT(D$6,"00"),'All Units'!$A$5:$A$1272,0))</f>
        <v>2838</v>
      </c>
      <c r="E75" s="66">
        <f>INDEX('All Units'!$Q$5:$Q$1272,MATCH("#"&amp;TEXT($A75,"00")&amp;"-"&amp;TEXT(E$6,"00"),'All Units'!$A$5:$A$1272,0))</f>
        <v>2915</v>
      </c>
      <c r="F75" s="66">
        <f>INDEX('All Units'!$Q$5:$Q$1272,MATCH("#"&amp;TEXT($A75,"00")&amp;"-"&amp;TEXT(F$6,"00"),'All Units'!$A$5:$A$1272,0))</f>
        <v>2935</v>
      </c>
    </row>
    <row r="76" spans="1:6" x14ac:dyDescent="0.2">
      <c r="A76" s="67">
        <v>7</v>
      </c>
      <c r="B76" s="66">
        <f>INDEX('All Units'!$Q$5:$Q$1272,MATCH("#"&amp;TEXT($A76,"00")&amp;"-"&amp;TEXT(B$6,"00"),'All Units'!$A$5:$A$1272,0))</f>
        <v>2780</v>
      </c>
      <c r="C76" s="66">
        <f>INDEX('All Units'!$Q$5:$Q$1272,MATCH("#"&amp;TEXT($A76,"00")&amp;"-"&amp;TEXT(C$6,"00"),'All Units'!$A$5:$A$1272,0))</f>
        <v>2717</v>
      </c>
      <c r="D76" s="66">
        <f>INDEX('All Units'!$Q$5:$Q$1272,MATCH("#"&amp;TEXT($A76,"00")&amp;"-"&amp;TEXT(D$6,"00"),'All Units'!$A$5:$A$1272,0))</f>
        <v>2823</v>
      </c>
      <c r="E76" s="66">
        <f>INDEX('All Units'!$Q$5:$Q$1272,MATCH("#"&amp;TEXT($A76,"00")&amp;"-"&amp;TEXT(E$6,"00"),'All Units'!$A$5:$A$1272,0))</f>
        <v>2898</v>
      </c>
      <c r="F76" s="66">
        <f>INDEX('All Units'!$Q$5:$Q$1272,MATCH("#"&amp;TEXT($A76,"00")&amp;"-"&amp;TEXT(F$6,"00"),'All Units'!$A$5:$A$1272,0))</f>
        <v>2922</v>
      </c>
    </row>
    <row r="77" spans="1:6" x14ac:dyDescent="0.2">
      <c r="A77" s="67">
        <v>6</v>
      </c>
      <c r="B77" s="66">
        <f>INDEX('All Units'!$Q$5:$Q$1272,MATCH("#"&amp;TEXT($A77,"00")&amp;"-"&amp;TEXT(B$6,"00"),'All Units'!$A$5:$A$1272,0))</f>
        <v>2773</v>
      </c>
      <c r="C77" s="66">
        <f>INDEX('All Units'!$Q$5:$Q$1272,MATCH("#"&amp;TEXT($A77,"00")&amp;"-"&amp;TEXT(C$6,"00"),'All Units'!$A$5:$A$1272,0))</f>
        <v>2702</v>
      </c>
      <c r="D77" s="66">
        <f>INDEX('All Units'!$Q$5:$Q$1272,MATCH("#"&amp;TEXT($A77,"00")&amp;"-"&amp;TEXT(D$6,"00"),'All Units'!$A$5:$A$1272,0))</f>
        <v>2787</v>
      </c>
      <c r="E77" s="66">
        <f>INDEX('All Units'!$Q$5:$Q$1272,MATCH("#"&amp;TEXT($A77,"00")&amp;"-"&amp;TEXT(E$6,"00"),'All Units'!$A$5:$A$1272,0))</f>
        <v>2872</v>
      </c>
      <c r="F77" s="66">
        <f>INDEX('All Units'!$Q$5:$Q$1272,MATCH("#"&amp;TEXT($A77,"00")&amp;"-"&amp;TEXT(F$6,"00"),'All Units'!$A$5:$A$1272,0))</f>
        <v>2910</v>
      </c>
    </row>
    <row r="78" spans="1:6" x14ac:dyDescent="0.2">
      <c r="A78" s="67">
        <v>5</v>
      </c>
      <c r="B78" s="66">
        <f>INDEX('All Units'!$Q$5:$Q$1272,MATCH("#"&amp;TEXT($A78,"00")&amp;"-"&amp;TEXT(B$6,"00"),'All Units'!$A$5:$A$1272,0))</f>
        <v>2767</v>
      </c>
      <c r="C78" s="66">
        <f>INDEX('All Units'!$Q$5:$Q$1272,MATCH("#"&amp;TEXT($A78,"00")&amp;"-"&amp;TEXT(C$6,"00"),'All Units'!$A$5:$A$1272,0))</f>
        <v>2687</v>
      </c>
      <c r="D78" s="66">
        <f>INDEX('All Units'!$Q$5:$Q$1272,MATCH("#"&amp;TEXT($A78,"00")&amp;"-"&amp;TEXT(D$6,"00"),'All Units'!$A$5:$A$1272,0))</f>
        <v>2751</v>
      </c>
      <c r="E78" s="66">
        <f>INDEX('All Units'!$Q$5:$Q$1272,MATCH("#"&amp;TEXT($A78,"00")&amp;"-"&amp;TEXT(E$6,"00"),'All Units'!$A$5:$A$1272,0))</f>
        <v>2846</v>
      </c>
      <c r="F78" s="66">
        <f>INDEX('All Units'!$Q$5:$Q$1272,MATCH("#"&amp;TEXT($A78,"00")&amp;"-"&amp;TEXT(F$6,"00"),'All Units'!$A$5:$A$1272,0))</f>
        <v>2898</v>
      </c>
    </row>
    <row r="79" spans="1:6" x14ac:dyDescent="0.2">
      <c r="A79" s="67">
        <v>4</v>
      </c>
      <c r="B79" s="66">
        <f>INDEX('All Units'!$Q$5:$Q$1272,MATCH("#"&amp;TEXT($A79,"00")&amp;"-"&amp;TEXT(B$6,"00"),'All Units'!$A$5:$A$1272,0))</f>
        <v>2760</v>
      </c>
      <c r="C79" s="66">
        <f>INDEX('All Units'!$Q$5:$Q$1272,MATCH("#"&amp;TEXT($A79,"00")&amp;"-"&amp;TEXT(C$6,"00"),'All Units'!$A$5:$A$1272,0))</f>
        <v>2672</v>
      </c>
      <c r="D79" s="66">
        <f>INDEX('All Units'!$Q$5:$Q$1272,MATCH("#"&amp;TEXT($A79,"00")&amp;"-"&amp;TEXT(D$6,"00"),'All Units'!$A$5:$A$1272,0))</f>
        <v>2714</v>
      </c>
      <c r="E79" s="66">
        <f>INDEX('All Units'!$Q$5:$Q$1272,MATCH("#"&amp;TEXT($A79,"00")&amp;"-"&amp;TEXT(E$6,"00"),'All Units'!$A$5:$A$1272,0))</f>
        <v>2821</v>
      </c>
      <c r="F79" s="66">
        <f>INDEX('All Units'!$Q$5:$Q$1272,MATCH("#"&amp;TEXT($A79,"00")&amp;"-"&amp;TEXT(F$6,"00"),'All Units'!$A$5:$A$1272,0))</f>
        <v>2885</v>
      </c>
    </row>
    <row r="80" spans="1:6" x14ac:dyDescent="0.2">
      <c r="A80" s="67">
        <v>3</v>
      </c>
      <c r="B80" s="66">
        <f>INDEX('All Units'!$Q$5:$Q$1272,MATCH("#"&amp;TEXT($A80,"00")&amp;"-"&amp;TEXT(B$6,"00"),'All Units'!$A$5:$A$1272,0))</f>
        <v>2754</v>
      </c>
      <c r="C80" s="66">
        <f>INDEX('All Units'!$Q$5:$Q$1272,MATCH("#"&amp;TEXT($A80,"00")&amp;"-"&amp;TEXT(C$6,"00"),'All Units'!$A$5:$A$1272,0))</f>
        <v>2657</v>
      </c>
      <c r="D80" s="66">
        <f>INDEX('All Units'!$Q$5:$Q$1272,MATCH("#"&amp;TEXT($A80,"00")&amp;"-"&amp;TEXT(D$6,"00"),'All Units'!$A$5:$A$1272,0))</f>
        <v>2678</v>
      </c>
      <c r="E80" s="66">
        <f>INDEX('All Units'!$Q$5:$Q$1272,MATCH("#"&amp;TEXT($A80,"00")&amp;"-"&amp;TEXT(E$6,"00"),'All Units'!$A$5:$A$1272,0))</f>
        <v>2795</v>
      </c>
      <c r="F80" s="66">
        <f>INDEX('All Units'!$Q$5:$Q$1272,MATCH("#"&amp;TEXT($A80,"00")&amp;"-"&amp;TEXT(F$6,"00"),'All Units'!$A$5:$A$1272,0))</f>
        <v>2873</v>
      </c>
    </row>
    <row r="81" spans="1:6" x14ac:dyDescent="0.2">
      <c r="A81" s="67">
        <v>2</v>
      </c>
      <c r="B81" s="66">
        <f>INDEX('All Units'!$Q$5:$Q$1272,MATCH("#"&amp;TEXT($A81,"00")&amp;"-"&amp;TEXT(B$6,"00"),'All Units'!$A$5:$A$1272,0))</f>
        <v>2748</v>
      </c>
      <c r="C81" s="66">
        <f>INDEX('All Units'!$Q$5:$Q$1272,MATCH("#"&amp;TEXT($A81,"00")&amp;"-"&amp;TEXT(C$6,"00"),'All Units'!$A$5:$A$1272,0))</f>
        <v>2642</v>
      </c>
      <c r="D81" s="66">
        <f>INDEX('All Units'!$Q$5:$Q$1272,MATCH("#"&amp;TEXT($A81,"00")&amp;"-"&amp;TEXT(D$6,"00"),'All Units'!$A$5:$A$1272,0))</f>
        <v>2642</v>
      </c>
      <c r="E81" s="66">
        <f>INDEX('All Units'!$Q$5:$Q$1272,MATCH("#"&amp;TEXT($A81,"00")&amp;"-"&amp;TEXT(E$6,"00"),'All Units'!$A$5:$A$1272,0))</f>
        <v>2769</v>
      </c>
      <c r="F81" s="66">
        <f>INDEX('All Units'!$Q$5:$Q$1272,MATCH("#"&amp;TEXT($A81,"00")&amp;"-"&amp;TEXT(F$6,"00"),'All Units'!$A$5:$A$1272,0))</f>
        <v>2861</v>
      </c>
    </row>
    <row r="82" spans="1:6" x14ac:dyDescent="0.2">
      <c r="A82" s="67">
        <v>1</v>
      </c>
      <c r="B82" s="68"/>
      <c r="C82" s="68"/>
      <c r="D82" s="68"/>
      <c r="E82" s="66">
        <f>INDEX('All Units'!$Q$5:$Q$1272,MATCH("#"&amp;TEXT($A82,"00")&amp;"-"&amp;TEXT(E$6,"00"),'All Units'!$A$5:$A$1272,0))</f>
        <v>2743</v>
      </c>
      <c r="F82" s="66">
        <f>INDEX('All Units'!$Q$5:$Q$1272,MATCH("#"&amp;TEXT($A82,"00")&amp;"-"&amp;TEXT(F$6,"00"),'All Units'!$A$5:$A$1272,0))</f>
        <v>2849</v>
      </c>
    </row>
  </sheetData>
  <mergeCells count="2">
    <mergeCell ref="A20:F20"/>
    <mergeCell ref="A52:F52"/>
  </mergeCells>
  <conditionalFormatting sqref="B21:F50">
    <cfRule type="expression" dxfId="41" priority="2">
      <formula>AND(B21&lt;&gt;"",B$12&lt;&gt;"",$A21&lt;B$12)</formula>
    </cfRule>
    <cfRule type="expression" dxfId="40" priority="3">
      <formula>AND(B21&lt;&gt;"",$A21&gt;=B$16)</formula>
    </cfRule>
    <cfRule type="expression" dxfId="39" priority="4">
      <formula>AND(B21&lt;&gt;"",$A21&gt;=B$15)</formula>
    </cfRule>
  </conditionalFormatting>
  <conditionalFormatting sqref="B53:F82">
    <cfRule type="expression" dxfId="38" priority="5">
      <formula>AND(B53&lt;&gt;"",B$12&lt;&gt;"",$A53&lt;B$12)</formula>
    </cfRule>
    <cfRule type="expression" dxfId="37" priority="6">
      <formula>AND(B53&lt;&gt;"",$A53&gt;=B$16)</formula>
    </cfRule>
    <cfRule type="expression" dxfId="36"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6E73"/>
    <pageSetUpPr fitToPage="1"/>
  </sheetPr>
  <dimension ref="A1:I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9" width="14.5" customWidth="1"/>
  </cols>
  <sheetData>
    <row r="1" spans="1:9" ht="18" x14ac:dyDescent="0.2">
      <c r="A1" s="2" t="s">
        <v>1479</v>
      </c>
    </row>
    <row r="2" spans="1:9" x14ac:dyDescent="0.2">
      <c r="A2" s="3" t="s">
        <v>1480</v>
      </c>
    </row>
    <row r="3" spans="1:9" x14ac:dyDescent="0.2">
      <c r="A3" s="3" t="s">
        <v>1461</v>
      </c>
    </row>
    <row r="5" spans="1:9" x14ac:dyDescent="0.2">
      <c r="A5" s="58" t="s">
        <v>1462</v>
      </c>
      <c r="B5" s="21">
        <v>1</v>
      </c>
      <c r="C5" s="21">
        <v>1</v>
      </c>
      <c r="D5" s="21">
        <v>3</v>
      </c>
      <c r="E5" s="21">
        <v>9</v>
      </c>
      <c r="F5" s="21">
        <v>11</v>
      </c>
      <c r="G5" s="21">
        <v>11</v>
      </c>
      <c r="H5" s="21">
        <v>11</v>
      </c>
      <c r="I5" s="29">
        <v>7</v>
      </c>
    </row>
    <row r="6" spans="1:9" x14ac:dyDescent="0.2">
      <c r="A6" s="58" t="s">
        <v>99</v>
      </c>
      <c r="B6" s="59">
        <v>1</v>
      </c>
      <c r="C6" s="59">
        <v>6</v>
      </c>
      <c r="D6" s="59">
        <v>18</v>
      </c>
      <c r="E6" s="59">
        <v>37</v>
      </c>
      <c r="F6" s="59">
        <v>46</v>
      </c>
      <c r="G6" s="59">
        <v>50</v>
      </c>
      <c r="H6" s="59">
        <v>51</v>
      </c>
      <c r="I6" s="69">
        <v>28</v>
      </c>
    </row>
    <row r="7" spans="1:9" x14ac:dyDescent="0.2">
      <c r="A7" s="58" t="s">
        <v>30</v>
      </c>
      <c r="B7" s="60" t="s">
        <v>115</v>
      </c>
      <c r="C7" s="60" t="s">
        <v>225</v>
      </c>
      <c r="D7" s="60" t="s">
        <v>225</v>
      </c>
      <c r="E7" s="60" t="s">
        <v>1054</v>
      </c>
      <c r="F7" s="60" t="s">
        <v>1248</v>
      </c>
      <c r="G7" s="60" t="s">
        <v>1332</v>
      </c>
      <c r="H7" s="60" t="s">
        <v>1354</v>
      </c>
      <c r="I7" s="49" t="s">
        <v>780</v>
      </c>
    </row>
    <row r="8" spans="1:9" x14ac:dyDescent="0.2">
      <c r="A8" s="58" t="s">
        <v>29</v>
      </c>
      <c r="B8" s="20">
        <v>1055</v>
      </c>
      <c r="C8" s="20">
        <v>1055</v>
      </c>
      <c r="D8" s="20">
        <v>1055</v>
      </c>
      <c r="E8" s="20">
        <v>1055</v>
      </c>
      <c r="F8" s="20">
        <v>1055</v>
      </c>
      <c r="G8" s="20">
        <v>1055</v>
      </c>
      <c r="H8" s="20">
        <v>1055</v>
      </c>
      <c r="I8" s="28">
        <v>1055</v>
      </c>
    </row>
    <row r="9" spans="1:9" x14ac:dyDescent="0.2">
      <c r="A9" s="58" t="s">
        <v>54</v>
      </c>
      <c r="B9" s="21" t="s">
        <v>62</v>
      </c>
      <c r="C9" s="21" t="s">
        <v>62</v>
      </c>
      <c r="D9" s="21" t="s">
        <v>62</v>
      </c>
      <c r="E9" s="21" t="s">
        <v>62</v>
      </c>
      <c r="F9" s="21" t="s">
        <v>62</v>
      </c>
      <c r="G9" s="21" t="s">
        <v>62</v>
      </c>
      <c r="H9" s="21" t="s">
        <v>62</v>
      </c>
      <c r="I9" s="29" t="s">
        <v>65</v>
      </c>
    </row>
    <row r="10" spans="1:9" ht="30" customHeight="1" x14ac:dyDescent="0.2">
      <c r="A10" s="102" t="s">
        <v>1463</v>
      </c>
      <c r="B10" s="61" t="str">
        <f>Assumptions!$I$127&amp;CHAR(10)&amp;TEXT(Assumptions!$AK$127/1000,"+$0;-$0;$0")&amp;"K / "&amp;TEXT(Assumptions!$AL$127/1000,"+$0;-$0;$0")&amp;"K / "&amp;TEXT(Assumptions!$AM$127/1000,"+$0;-$0;$0")&amp;"K"</f>
        <v>C
+$17K / +$50K / +$50K</v>
      </c>
      <c r="C10" s="61" t="str">
        <f>Assumptions!$I$132&amp;CHAR(10)&amp;TEXT(Assumptions!$AK$132/1000,"+$0;-$0;$0")&amp;"K / "&amp;TEXT(Assumptions!$AL$132/1000,"+$0;-$0;$0")&amp;"K / "&amp;TEXT(Assumptions!$AM$132/1000,"+$0;-$0;$0")&amp;"K"</f>
        <v>B
-$50K / +$41K / +$17K</v>
      </c>
      <c r="D10" s="61" t="str">
        <f>Assumptions!$I$144&amp;CHAR(10)&amp;TEXT(Assumptions!$AK$144/1000,"+$0;-$0;$0")&amp;"K / "&amp;TEXT(Assumptions!$AL$144/1000,"+$0;-$0;$0")&amp;"K / "&amp;TEXT(Assumptions!$AM$144/1000,"+$0;-$0;$0")&amp;"K"</f>
        <v>B
+$50K / +$41K / +$17K</v>
      </c>
      <c r="E10" s="61" t="str">
        <f>Assumptions!$I$163&amp;CHAR(10)&amp;TEXT(Assumptions!$AK$163/1000,"+$0;-$0;$0")&amp;"K / "&amp;TEXT(Assumptions!$AL$163/1000,"+$0;-$0;$0")&amp;"K / "&amp;TEXT(Assumptions!$AM$163/1000,"+$0;-$0;$0")&amp;"K"</f>
        <v>B
-$50K / +$41K / +$23K</v>
      </c>
      <c r="F10" s="61" t="str">
        <f>Assumptions!$I$172&amp;CHAR(10)&amp;TEXT(Assumptions!$AK$172/1000,"+$0;-$0;$0")&amp;"K / "&amp;TEXT(Assumptions!$AL$172/1000,"+$0;-$0;$0")&amp;"K / "&amp;TEXT(Assumptions!$AM$172/1000,"+$0;-$0;$0")&amp;"K"</f>
        <v>E
-$50K / -$50K / -$50K</v>
      </c>
      <c r="G10" s="61" t="str">
        <f>Assumptions!$I$176&amp;CHAR(10)&amp;TEXT(Assumptions!$AK$176/1000,"+$0;-$0;$0")&amp;"K / "&amp;TEXT(Assumptions!$AL$176/1000,"+$0;-$0;$0")&amp;"K / "&amp;TEXT(Assumptions!$AM$176/1000,"+$0;-$0;$0")&amp;"K"</f>
        <v>C
-$50K / +$32K / +$10K</v>
      </c>
      <c r="H10" s="61" t="str">
        <f>Assumptions!$I$177&amp;CHAR(10)&amp;TEXT(Assumptions!$AK$177/1000,"+$0;-$0;$0")&amp;"K / "&amp;TEXT(Assumptions!$AL$177/1000,"+$0;-$0;$0")&amp;"K / "&amp;TEXT(Assumptions!$AM$177/1000,"+$0;-$0;$0")&amp;"K"</f>
        <v>C
-$50K / +$32K / +$10K</v>
      </c>
      <c r="I10" s="70" t="str">
        <f>Assumptions!$I$154&amp;CHAR(10)&amp;TEXT(Assumptions!$AK$154/1000,"+$0;-$0;$0")&amp;"K / "&amp;TEXT(Assumptions!$AL$154/1000,"+$0;-$0;$0")&amp;"K / "&amp;TEXT(Assumptions!$AM$154/1000,"+$0;-$0;$0")&amp;"K"</f>
        <v>A
$0K / $0K / $0K</v>
      </c>
    </row>
    <row r="11" spans="1:9" ht="90" customHeight="1" x14ac:dyDescent="0.2">
      <c r="A11" s="102" t="s">
        <v>113</v>
      </c>
      <c r="B11" s="62" t="str">
        <f>Assumptions!$AJ$127</f>
        <v>SSE. Unblocked landed estate + nature reserve + city; MacRitchie Reservoir Park unblocked from mid floor; road noise on low floors. Tier C: below pool-facing 06/18 on low floors, dearer than them on high floors</v>
      </c>
      <c r="C11" s="62" t="str">
        <f>Assumptions!$AJ$132</f>
        <v>NNW. Inner pool facing (Island Club); clubhouse in front of low floors, pool premium loads from the clear floor</v>
      </c>
      <c r="D11" s="62" t="str">
        <f>Assumptions!$AJ$144</f>
        <v>NNE. Inner pool facing: Island Pool in front, Island Club behind it</v>
      </c>
      <c r="E11" s="62" t="str">
        <f>Assumptions!$AJ$163</f>
        <v>WNW (west sun). 190m view across the whole project; structure in front of low floors, pool properly seen from L10</v>
      </c>
      <c r="F11" s="62" t="str">
        <f>Assumptions!$AJ$172</f>
        <v>NE. Facing HDB, landed &amp; mid-view city</v>
      </c>
      <c r="G11" s="62" t="str">
        <f>Assumptions!$AJ$176</f>
        <v>SSE. Landed + nature reserve + city; low floors closest to the drop-off / driveway, premium from L10</v>
      </c>
      <c r="H11" s="62" t="str">
        <f>Assumptions!$AJ$177</f>
        <v>SE. Landed + nature reserve + city; low floors closest to the drop-off / driveway, premium from L10</v>
      </c>
      <c r="I11" s="71" t="str">
        <f>Assumptions!$AJ$154</f>
        <v>SW. Unblocked landed estate + nature reserve + city view</v>
      </c>
    </row>
    <row r="12" spans="1:9" ht="28" x14ac:dyDescent="0.2">
      <c r="A12" s="102" t="s">
        <v>1464</v>
      </c>
      <c r="B12" s="63" t="str">
        <f>IF(Assumptions!$L$127="","",Assumptions!$L$127)</f>
        <v/>
      </c>
      <c r="C12" s="63">
        <f>IF(Assumptions!$L$132="","",Assumptions!$L$132)</f>
        <v>5</v>
      </c>
      <c r="D12" s="63" t="str">
        <f>IF(Assumptions!$L$144="","",Assumptions!$L$144)</f>
        <v/>
      </c>
      <c r="E12" s="63">
        <f>IF(Assumptions!$L$163="","",Assumptions!$L$163)</f>
        <v>10</v>
      </c>
      <c r="F12" s="63" t="str">
        <f>IF(Assumptions!$L$172="","",Assumptions!$L$172)</f>
        <v/>
      </c>
      <c r="G12" s="63">
        <f>IF(Assumptions!$L$176="","",Assumptions!$L$176)</f>
        <v>10</v>
      </c>
      <c r="H12" s="63">
        <f>IF(Assumptions!$L$177="","",Assumptions!$L$177)</f>
        <v>10</v>
      </c>
      <c r="I12" s="63" t="str">
        <f>IF(Assumptions!$L$154="","",Assumptions!$L$154)</f>
        <v/>
      </c>
    </row>
    <row r="13" spans="1:9" ht="28" x14ac:dyDescent="0.2">
      <c r="A13" s="102" t="s">
        <v>1465</v>
      </c>
      <c r="B13" s="63" t="str">
        <f>IF(Assumptions!$AD$127="","",Assumptions!$AD$127)</f>
        <v/>
      </c>
      <c r="C13" s="63">
        <f>IF(Assumptions!$AD$132="","",Assumptions!$AD$132)</f>
        <v>3</v>
      </c>
      <c r="D13" s="63">
        <f>IF(Assumptions!$AD$144="","",Assumptions!$AD$144)</f>
        <v>3</v>
      </c>
      <c r="E13" s="63">
        <f>IF(Assumptions!$AD$163="","",Assumptions!$AD$163)</f>
        <v>2</v>
      </c>
      <c r="F13" s="63" t="str">
        <f>IF(Assumptions!$AD$172="","",Assumptions!$AD$172)</f>
        <v/>
      </c>
      <c r="G13" s="63" t="str">
        <f>IF(Assumptions!$AD$176="","",Assumptions!$AD$176)</f>
        <v/>
      </c>
      <c r="H13" s="63" t="str">
        <f>IF(Assumptions!$AD$177="","",Assumptions!$AD$177)</f>
        <v/>
      </c>
      <c r="I13" s="63" t="str">
        <f>IF(Assumptions!$AD$154="","",Assumptions!$AD$154)</f>
        <v/>
      </c>
    </row>
    <row r="14" spans="1:9" ht="39.75" customHeight="1" x14ac:dyDescent="0.2">
      <c r="A14" s="102" t="s">
        <v>1466</v>
      </c>
      <c r="B14" s="64" t="str">
        <f>IF(Assumptions!$M$127="","",Assumptions!$M$127)</f>
        <v/>
      </c>
      <c r="C14" s="64" t="str">
        <f>IF(Assumptions!$M$132="","",Assumptions!$M$132)</f>
        <v>Island Club: 41% of view, 16.4 to 64.1m away</v>
      </c>
      <c r="D14" s="64" t="str">
        <f>IF(Assumptions!$M$144="","",Assumptions!$M$144)</f>
        <v/>
      </c>
      <c r="E14" s="64" t="str">
        <f>IF(Assumptions!$M$163="","",Assumptions!$M$163)</f>
        <v>Structure in front of low floors; pool properly seen from L10</v>
      </c>
      <c r="F14" s="64" t="str">
        <f>IF(Assumptions!$M$172="","",Assumptions!$M$172)</f>
        <v/>
      </c>
      <c r="G14" s="64" t="str">
        <f>IF(Assumptions!$M$176="","",Assumptions!$M$176)</f>
        <v>Drop-off / driveway below (noise, cars entering and exiting)</v>
      </c>
      <c r="H14" s="64" t="str">
        <f>IF(Assumptions!$M$177="","",Assumptions!$M$177)</f>
        <v>Drop-off / driveway below (noise, cars entering and exiting)</v>
      </c>
      <c r="I14" s="64" t="str">
        <f>IF(Assumptions!$M$154="","",Assumptions!$M$154)</f>
        <v/>
      </c>
    </row>
    <row r="15" spans="1:9" ht="28" x14ac:dyDescent="0.2">
      <c r="A15" s="102" t="s">
        <v>1467</v>
      </c>
      <c r="B15" s="65">
        <f>Assumptions!$AH$127</f>
        <v>9</v>
      </c>
      <c r="C15" s="65">
        <f>Assumptions!$AH$132</f>
        <v>5</v>
      </c>
      <c r="D15" s="65">
        <f>Assumptions!$AH$144</f>
        <v>9</v>
      </c>
      <c r="E15" s="65">
        <f>Assumptions!$AH$163</f>
        <v>10</v>
      </c>
      <c r="F15" s="65">
        <f>Assumptions!$AH$172</f>
        <v>9</v>
      </c>
      <c r="G15" s="65">
        <f>Assumptions!$AH$176</f>
        <v>10</v>
      </c>
      <c r="H15" s="65">
        <f>Assumptions!$AH$177</f>
        <v>10</v>
      </c>
      <c r="I15" s="65">
        <f>Assumptions!$AH$154</f>
        <v>12</v>
      </c>
    </row>
    <row r="16" spans="1:9" ht="28" x14ac:dyDescent="0.2">
      <c r="A16" s="102" t="s">
        <v>1468</v>
      </c>
      <c r="B16" s="65">
        <f>Assumptions!$P$127</f>
        <v>17</v>
      </c>
      <c r="C16" s="65">
        <f>Assumptions!$P$132</f>
        <v>17</v>
      </c>
      <c r="D16" s="65">
        <f>Assumptions!$P$144</f>
        <v>17</v>
      </c>
      <c r="E16" s="65">
        <f>Assumptions!$P$163</f>
        <v>17</v>
      </c>
      <c r="F16" s="65">
        <f>Assumptions!$P$172</f>
        <v>17</v>
      </c>
      <c r="G16" s="65">
        <f>Assumptions!$P$176</f>
        <v>17</v>
      </c>
      <c r="H16" s="65">
        <f>Assumptions!$P$177</f>
        <v>17</v>
      </c>
      <c r="I16" s="65">
        <f>Assumptions!$P$154</f>
        <v>21</v>
      </c>
    </row>
    <row r="17" spans="1:9" x14ac:dyDescent="0.2">
      <c r="A17" s="58" t="s">
        <v>1469</v>
      </c>
      <c r="B17" s="66">
        <f>INDEX('All Units'!$R$5:$R$1272,MATCH("#"&amp;TEXT(2,"00")&amp;"-"&amp;TEXT(B$6,"00"),'All Units'!$A$5:$A$1272,0))</f>
        <v>2844300</v>
      </c>
      <c r="C17" s="66">
        <f>INDEX('All Units'!$R$5:$R$1272,MATCH("#"&amp;TEXT(2,"00")&amp;"-"&amp;TEXT(C$6,"00"),'All Units'!$A$5:$A$1272,0))</f>
        <v>2777000</v>
      </c>
      <c r="D17" s="66">
        <f>INDEX('All Units'!$R$5:$R$1272,MATCH("#"&amp;TEXT(2,"00")&amp;"-"&amp;TEXT(D$6,"00"),'All Units'!$A$5:$A$1272,0))</f>
        <v>2878000</v>
      </c>
      <c r="E17" s="66">
        <f>INDEX('All Units'!$R$5:$R$1272,MATCH("#"&amp;TEXT(2,"00")&amp;"-"&amp;TEXT(E$6,"00"),'All Units'!$A$5:$A$1272,0))</f>
        <v>2777000</v>
      </c>
      <c r="F17" s="66">
        <f>INDEX('All Units'!$R$5:$R$1272,MATCH("#"&amp;TEXT(2,"00")&amp;"-"&amp;TEXT(F$6,"00"),'All Units'!$A$5:$A$1272,0))</f>
        <v>2777000</v>
      </c>
      <c r="G17" s="66">
        <f>INDEX('All Units'!$R$5:$R$1272,MATCH("#"&amp;TEXT(2,"00")&amp;"-"&amp;TEXT(G$6,"00"),'All Units'!$A$5:$A$1272,0))</f>
        <v>2777000</v>
      </c>
      <c r="H17" s="66">
        <f>INDEX('All Units'!$R$5:$R$1272,MATCH("#"&amp;TEXT(2,"00")&amp;"-"&amp;TEXT(H$6,"00"),'All Units'!$A$5:$A$1272,0))</f>
        <v>2777000</v>
      </c>
      <c r="I17" s="66">
        <f>INDEX('All Units'!$R$5:$R$1272,MATCH("#"&amp;TEXT(1,"00")&amp;"-"&amp;TEXT(I$6,"00"),'All Units'!$A$5:$A$1272,0))</f>
        <v>2928700</v>
      </c>
    </row>
    <row r="18" spans="1:9" x14ac:dyDescent="0.2">
      <c r="A18" s="58" t="s">
        <v>1470</v>
      </c>
      <c r="B18" s="66">
        <f>INDEX('All Units'!$R$5:$R$1272,MATCH("#"&amp;TEXT(21,"00")&amp;"-"&amp;TEXT(B$6,"00"),'All Units'!$A$5:$A$1272,0))</f>
        <v>3260000</v>
      </c>
      <c r="C18" s="66">
        <f>INDEX('All Units'!$R$5:$R$1272,MATCH("#"&amp;TEXT(21,"00")&amp;"-"&amp;TEXT(C$6,"00"),'All Units'!$A$5:$A$1272,0))</f>
        <v>3226200</v>
      </c>
      <c r="D18" s="66">
        <f>INDEX('All Units'!$R$5:$R$1272,MATCH("#"&amp;TEXT(21,"00")&amp;"-"&amp;TEXT(D$6,"00"),'All Units'!$A$5:$A$1272,0))</f>
        <v>3226200</v>
      </c>
      <c r="E18" s="66">
        <f>INDEX('All Units'!$R$5:$R$1272,MATCH("#"&amp;TEXT(21,"00")&amp;"-"&amp;TEXT(E$6,"00"),'All Units'!$A$5:$A$1272,0))</f>
        <v>3232500</v>
      </c>
      <c r="F18" s="66">
        <f>INDEX('All Units'!$R$5:$R$1272,MATCH("#"&amp;TEXT(21,"00")&amp;"-"&amp;TEXT(F$6,"00"),'All Units'!$A$5:$A$1272,0))</f>
        <v>3159700</v>
      </c>
      <c r="G18" s="66">
        <f>INDEX('All Units'!$R$5:$R$1272,MATCH("#"&amp;TEXT(21,"00")&amp;"-"&amp;TEXT(G$6,"00"),'All Units'!$A$5:$A$1272,0))</f>
        <v>3219900</v>
      </c>
      <c r="H18" s="66">
        <f>INDEX('All Units'!$R$5:$R$1272,MATCH("#"&amp;TEXT(21,"00")&amp;"-"&amp;TEXT(H$6,"00"),'All Units'!$A$5:$A$1272,0))</f>
        <v>3219900</v>
      </c>
      <c r="I18" s="66">
        <f>INDEX('All Units'!$R$5:$R$1272,MATCH("#"&amp;TEXT(30,"00")&amp;"-"&amp;TEXT(I$6,"00"),'All Units'!$A$5:$A$1272,0))</f>
        <v>3433000</v>
      </c>
    </row>
    <row r="20" spans="1:9" x14ac:dyDescent="0.2">
      <c r="A20" s="99" t="s">
        <v>1471</v>
      </c>
      <c r="B20" s="99"/>
      <c r="C20" s="99"/>
      <c r="D20" s="99"/>
      <c r="E20" s="99"/>
      <c r="F20" s="99"/>
      <c r="G20" s="99"/>
      <c r="H20" s="99"/>
      <c r="I20" s="99"/>
    </row>
    <row r="21" spans="1:9" x14ac:dyDescent="0.2">
      <c r="A21" s="67">
        <v>30</v>
      </c>
      <c r="B21" s="68"/>
      <c r="C21" s="68"/>
      <c r="D21" s="68"/>
      <c r="E21" s="68"/>
      <c r="F21" s="68"/>
      <c r="G21" s="68"/>
      <c r="H21" s="68"/>
      <c r="I21" s="66">
        <f>INDEX('All Units'!$R$5:$R$1272,MATCH("#"&amp;TEXT($A21,"00")&amp;"-"&amp;TEXT(I$6,"00"),'All Units'!$A$5:$A$1272,0))</f>
        <v>3433000</v>
      </c>
    </row>
    <row r="22" spans="1:9" x14ac:dyDescent="0.2">
      <c r="A22" s="67">
        <v>29</v>
      </c>
      <c r="B22" s="68"/>
      <c r="C22" s="68"/>
      <c r="D22" s="68"/>
      <c r="E22" s="68"/>
      <c r="F22" s="68"/>
      <c r="G22" s="68"/>
      <c r="H22" s="68"/>
      <c r="I22" s="66">
        <f>INDEX('All Units'!$R$5:$R$1272,MATCH("#"&amp;TEXT($A22,"00")&amp;"-"&amp;TEXT(I$6,"00"),'All Units'!$A$5:$A$1272,0))</f>
        <v>3416100</v>
      </c>
    </row>
    <row r="23" spans="1:9" x14ac:dyDescent="0.2">
      <c r="A23" s="67">
        <v>28</v>
      </c>
      <c r="B23" s="68"/>
      <c r="C23" s="68"/>
      <c r="D23" s="68"/>
      <c r="E23" s="68"/>
      <c r="F23" s="68"/>
      <c r="G23" s="68"/>
      <c r="H23" s="68"/>
      <c r="I23" s="66">
        <f>INDEX('All Units'!$R$5:$R$1272,MATCH("#"&amp;TEXT($A23,"00")&amp;"-"&amp;TEXT(I$6,"00"),'All Units'!$A$5:$A$1272,0))</f>
        <v>3399200</v>
      </c>
    </row>
    <row r="24" spans="1:9" x14ac:dyDescent="0.2">
      <c r="A24" s="67">
        <v>27</v>
      </c>
      <c r="B24" s="68"/>
      <c r="C24" s="68"/>
      <c r="D24" s="68"/>
      <c r="E24" s="68"/>
      <c r="F24" s="68"/>
      <c r="G24" s="68"/>
      <c r="H24" s="68"/>
      <c r="I24" s="66">
        <f>INDEX('All Units'!$R$5:$R$1272,MATCH("#"&amp;TEXT($A24,"00")&amp;"-"&amp;TEXT(I$6,"00"),'All Units'!$A$5:$A$1272,0))</f>
        <v>3382300</v>
      </c>
    </row>
    <row r="25" spans="1:9" x14ac:dyDescent="0.2">
      <c r="A25" s="67">
        <v>26</v>
      </c>
      <c r="B25" s="68"/>
      <c r="C25" s="68"/>
      <c r="D25" s="68"/>
      <c r="E25" s="68"/>
      <c r="F25" s="68"/>
      <c r="G25" s="68"/>
      <c r="H25" s="68"/>
      <c r="I25" s="66">
        <f>INDEX('All Units'!$R$5:$R$1272,MATCH("#"&amp;TEXT($A25,"00")&amp;"-"&amp;TEXT(I$6,"00"),'All Units'!$A$5:$A$1272,0))</f>
        <v>3365500</v>
      </c>
    </row>
    <row r="26" spans="1:9" x14ac:dyDescent="0.2">
      <c r="A26" s="67">
        <v>25</v>
      </c>
      <c r="B26" s="68"/>
      <c r="C26" s="68"/>
      <c r="D26" s="68"/>
      <c r="E26" s="68"/>
      <c r="F26" s="68"/>
      <c r="G26" s="68"/>
      <c r="H26" s="68"/>
      <c r="I26" s="66">
        <f>INDEX('All Units'!$R$5:$R$1272,MATCH("#"&amp;TEXT($A26,"00")&amp;"-"&amp;TEXT(I$6,"00"),'All Units'!$A$5:$A$1272,0))</f>
        <v>3348600</v>
      </c>
    </row>
    <row r="27" spans="1:9" x14ac:dyDescent="0.2">
      <c r="A27" s="67">
        <v>24</v>
      </c>
      <c r="B27" s="68"/>
      <c r="C27" s="68"/>
      <c r="D27" s="68"/>
      <c r="E27" s="68"/>
      <c r="F27" s="68"/>
      <c r="G27" s="68"/>
      <c r="H27" s="68"/>
      <c r="I27" s="66">
        <f>INDEX('All Units'!$R$5:$R$1272,MATCH("#"&amp;TEXT($A27,"00")&amp;"-"&amp;TEXT(I$6,"00"),'All Units'!$A$5:$A$1272,0))</f>
        <v>3331700</v>
      </c>
    </row>
    <row r="28" spans="1:9" x14ac:dyDescent="0.2">
      <c r="A28" s="67">
        <v>23</v>
      </c>
      <c r="B28" s="68"/>
      <c r="C28" s="68"/>
      <c r="D28" s="68"/>
      <c r="E28" s="68"/>
      <c r="F28" s="68"/>
      <c r="G28" s="68"/>
      <c r="H28" s="68"/>
      <c r="I28" s="66">
        <f>INDEX('All Units'!$R$5:$R$1272,MATCH("#"&amp;TEXT($A28,"00")&amp;"-"&amp;TEXT(I$6,"00"),'All Units'!$A$5:$A$1272,0))</f>
        <v>3314800</v>
      </c>
    </row>
    <row r="29" spans="1:9" x14ac:dyDescent="0.2">
      <c r="A29" s="67">
        <v>22</v>
      </c>
      <c r="B29" s="68"/>
      <c r="C29" s="68"/>
      <c r="D29" s="68"/>
      <c r="E29" s="68"/>
      <c r="F29" s="68"/>
      <c r="G29" s="68"/>
      <c r="H29" s="68"/>
      <c r="I29" s="66">
        <f>INDEX('All Units'!$R$5:$R$1272,MATCH("#"&amp;TEXT($A29,"00")&amp;"-"&amp;TEXT(I$6,"00"),'All Units'!$A$5:$A$1272,0))</f>
        <v>3297900</v>
      </c>
    </row>
    <row r="30" spans="1:9" x14ac:dyDescent="0.2">
      <c r="A30" s="67">
        <v>21</v>
      </c>
      <c r="B30" s="66">
        <f>INDEX('All Units'!$R$5:$R$1272,MATCH("#"&amp;TEXT($A30,"00")&amp;"-"&amp;TEXT(B$6,"00"),'All Units'!$A$5:$A$1272,0))</f>
        <v>3260000</v>
      </c>
      <c r="C30" s="66">
        <f>INDEX('All Units'!$R$5:$R$1272,MATCH("#"&amp;TEXT($A30,"00")&amp;"-"&amp;TEXT(C$6,"00"),'All Units'!$A$5:$A$1272,0))</f>
        <v>3226200</v>
      </c>
      <c r="D30" s="66">
        <f>INDEX('All Units'!$R$5:$R$1272,MATCH("#"&amp;TEXT($A30,"00")&amp;"-"&amp;TEXT(D$6,"00"),'All Units'!$A$5:$A$1272,0))</f>
        <v>3226200</v>
      </c>
      <c r="E30" s="66">
        <f>INDEX('All Units'!$R$5:$R$1272,MATCH("#"&amp;TEXT($A30,"00")&amp;"-"&amp;TEXT(E$6,"00"),'All Units'!$A$5:$A$1272,0))</f>
        <v>3232500</v>
      </c>
      <c r="F30" s="66">
        <f>INDEX('All Units'!$R$5:$R$1272,MATCH("#"&amp;TEXT($A30,"00")&amp;"-"&amp;TEXT(F$6,"00"),'All Units'!$A$5:$A$1272,0))</f>
        <v>3159700</v>
      </c>
      <c r="G30" s="66">
        <f>INDEX('All Units'!$R$5:$R$1272,MATCH("#"&amp;TEXT($A30,"00")&amp;"-"&amp;TEXT(G$6,"00"),'All Units'!$A$5:$A$1272,0))</f>
        <v>3219900</v>
      </c>
      <c r="H30" s="66">
        <f>INDEX('All Units'!$R$5:$R$1272,MATCH("#"&amp;TEXT($A30,"00")&amp;"-"&amp;TEXT(H$6,"00"),'All Units'!$A$5:$A$1272,0))</f>
        <v>3219900</v>
      </c>
      <c r="I30" s="66">
        <f>INDEX('All Units'!$R$5:$R$1272,MATCH("#"&amp;TEXT($A30,"00")&amp;"-"&amp;TEXT(I$6,"00"),'All Units'!$A$5:$A$1272,0))</f>
        <v>3282100</v>
      </c>
    </row>
    <row r="31" spans="1:9" x14ac:dyDescent="0.2">
      <c r="A31" s="67">
        <v>20</v>
      </c>
      <c r="B31" s="66">
        <f>INDEX('All Units'!$R$5:$R$1272,MATCH("#"&amp;TEXT($A31,"00")&amp;"-"&amp;TEXT(B$6,"00"),'All Units'!$A$5:$A$1272,0))</f>
        <v>3231500</v>
      </c>
      <c r="C31" s="66">
        <f>INDEX('All Units'!$R$5:$R$1272,MATCH("#"&amp;TEXT($A31,"00")&amp;"-"&amp;TEXT(C$6,"00"),'All Units'!$A$5:$A$1272,0))</f>
        <v>3198800</v>
      </c>
      <c r="D31" s="66">
        <f>INDEX('All Units'!$R$5:$R$1272,MATCH("#"&amp;TEXT($A31,"00")&amp;"-"&amp;TEXT(D$6,"00"),'All Units'!$A$5:$A$1272,0))</f>
        <v>3198800</v>
      </c>
      <c r="E31" s="66">
        <f>INDEX('All Units'!$R$5:$R$1272,MATCH("#"&amp;TEXT($A31,"00")&amp;"-"&amp;TEXT(E$6,"00"),'All Units'!$A$5:$A$1272,0))</f>
        <v>3205100</v>
      </c>
      <c r="F31" s="66">
        <f>INDEX('All Units'!$R$5:$R$1272,MATCH("#"&amp;TEXT($A31,"00")&amp;"-"&amp;TEXT(F$6,"00"),'All Units'!$A$5:$A$1272,0))</f>
        <v>3131200</v>
      </c>
      <c r="G31" s="66">
        <f>INDEX('All Units'!$R$5:$R$1272,MATCH("#"&amp;TEXT($A31,"00")&amp;"-"&amp;TEXT(G$6,"00"),'All Units'!$A$5:$A$1272,0))</f>
        <v>3191400</v>
      </c>
      <c r="H31" s="66">
        <f>INDEX('All Units'!$R$5:$R$1272,MATCH("#"&amp;TEXT($A31,"00")&amp;"-"&amp;TEXT(H$6,"00"),'All Units'!$A$5:$A$1272,0))</f>
        <v>3191400</v>
      </c>
      <c r="I31" s="66">
        <f>INDEX('All Units'!$R$5:$R$1272,MATCH("#"&amp;TEXT($A31,"00")&amp;"-"&amp;TEXT(I$6,"00"),'All Units'!$A$5:$A$1272,0))</f>
        <v>3261000</v>
      </c>
    </row>
    <row r="32" spans="1:9" x14ac:dyDescent="0.2">
      <c r="A32" s="67">
        <v>19</v>
      </c>
      <c r="B32" s="66">
        <f>INDEX('All Units'!$R$5:$R$1272,MATCH("#"&amp;TEXT($A32,"00")&amp;"-"&amp;TEXT(B$6,"00"),'All Units'!$A$5:$A$1272,0))</f>
        <v>3204000</v>
      </c>
      <c r="C32" s="66">
        <f>INDEX('All Units'!$R$5:$R$1272,MATCH("#"&amp;TEXT($A32,"00")&amp;"-"&amp;TEXT(C$6,"00"),'All Units'!$A$5:$A$1272,0))</f>
        <v>3170300</v>
      </c>
      <c r="D32" s="66">
        <f>INDEX('All Units'!$R$5:$R$1272,MATCH("#"&amp;TEXT($A32,"00")&amp;"-"&amp;TEXT(D$6,"00"),'All Units'!$A$5:$A$1272,0))</f>
        <v>3170300</v>
      </c>
      <c r="E32" s="66">
        <f>INDEX('All Units'!$R$5:$R$1272,MATCH("#"&amp;TEXT($A32,"00")&amp;"-"&amp;TEXT(E$6,"00"),'All Units'!$A$5:$A$1272,0))</f>
        <v>3177700</v>
      </c>
      <c r="F32" s="66">
        <f>INDEX('All Units'!$R$5:$R$1272,MATCH("#"&amp;TEXT($A32,"00")&amp;"-"&amp;TEXT(F$6,"00"),'All Units'!$A$5:$A$1272,0))</f>
        <v>3103800</v>
      </c>
      <c r="G32" s="66">
        <f>INDEX('All Units'!$R$5:$R$1272,MATCH("#"&amp;TEXT($A32,"00")&amp;"-"&amp;TEXT(G$6,"00"),'All Units'!$A$5:$A$1272,0))</f>
        <v>3163900</v>
      </c>
      <c r="H32" s="66">
        <f>INDEX('All Units'!$R$5:$R$1272,MATCH("#"&amp;TEXT($A32,"00")&amp;"-"&amp;TEXT(H$6,"00"),'All Units'!$A$5:$A$1272,0))</f>
        <v>3163900</v>
      </c>
      <c r="I32" s="66">
        <f>INDEX('All Units'!$R$5:$R$1272,MATCH("#"&amp;TEXT($A32,"00")&amp;"-"&amp;TEXT(I$6,"00"),'All Units'!$A$5:$A$1272,0))</f>
        <v>3239900</v>
      </c>
    </row>
    <row r="33" spans="1:9" x14ac:dyDescent="0.2">
      <c r="A33" s="67">
        <v>18</v>
      </c>
      <c r="B33" s="66">
        <f>INDEX('All Units'!$R$5:$R$1272,MATCH("#"&amp;TEXT($A33,"00")&amp;"-"&amp;TEXT(B$6,"00"),'All Units'!$A$5:$A$1272,0))</f>
        <v>3176600</v>
      </c>
      <c r="C33" s="66">
        <f>INDEX('All Units'!$R$5:$R$1272,MATCH("#"&amp;TEXT($A33,"00")&amp;"-"&amp;TEXT(C$6,"00"),'All Units'!$A$5:$A$1272,0))</f>
        <v>3142800</v>
      </c>
      <c r="D33" s="66">
        <f>INDEX('All Units'!$R$5:$R$1272,MATCH("#"&amp;TEXT($A33,"00")&amp;"-"&amp;TEXT(D$6,"00"),'All Units'!$A$5:$A$1272,0))</f>
        <v>3142800</v>
      </c>
      <c r="E33" s="66">
        <f>INDEX('All Units'!$R$5:$R$1272,MATCH("#"&amp;TEXT($A33,"00")&amp;"-"&amp;TEXT(E$6,"00"),'All Units'!$A$5:$A$1272,0))</f>
        <v>3149200</v>
      </c>
      <c r="F33" s="66">
        <f>INDEX('All Units'!$R$5:$R$1272,MATCH("#"&amp;TEXT($A33,"00")&amp;"-"&amp;TEXT(F$6,"00"),'All Units'!$A$5:$A$1272,0))</f>
        <v>3076400</v>
      </c>
      <c r="G33" s="66">
        <f>INDEX('All Units'!$R$5:$R$1272,MATCH("#"&amp;TEXT($A33,"00")&amp;"-"&amp;TEXT(G$6,"00"),'All Units'!$A$5:$A$1272,0))</f>
        <v>3136500</v>
      </c>
      <c r="H33" s="66">
        <f>INDEX('All Units'!$R$5:$R$1272,MATCH("#"&amp;TEXT($A33,"00")&amp;"-"&amp;TEXT(H$6,"00"),'All Units'!$A$5:$A$1272,0))</f>
        <v>3136500</v>
      </c>
      <c r="I33" s="66">
        <f>INDEX('All Units'!$R$5:$R$1272,MATCH("#"&amp;TEXT($A33,"00")&amp;"-"&amp;TEXT(I$6,"00"),'All Units'!$A$5:$A$1272,0))</f>
        <v>3218800</v>
      </c>
    </row>
    <row r="34" spans="1:9" x14ac:dyDescent="0.2">
      <c r="A34" s="67">
        <v>17</v>
      </c>
      <c r="B34" s="66">
        <f>INDEX('All Units'!$R$5:$R$1272,MATCH("#"&amp;TEXT($A34,"00")&amp;"-"&amp;TEXT(B$6,"00"),'All Units'!$A$5:$A$1272,0))</f>
        <v>3148100</v>
      </c>
      <c r="C34" s="66">
        <f>INDEX('All Units'!$R$5:$R$1272,MATCH("#"&amp;TEXT($A34,"00")&amp;"-"&amp;TEXT(C$6,"00"),'All Units'!$A$5:$A$1272,0))</f>
        <v>3115400</v>
      </c>
      <c r="D34" s="66">
        <f>INDEX('All Units'!$R$5:$R$1272,MATCH("#"&amp;TEXT($A34,"00")&amp;"-"&amp;TEXT(D$6,"00"),'All Units'!$A$5:$A$1272,0))</f>
        <v>3115400</v>
      </c>
      <c r="E34" s="66">
        <f>INDEX('All Units'!$R$5:$R$1272,MATCH("#"&amp;TEXT($A34,"00")&amp;"-"&amp;TEXT(E$6,"00"),'All Units'!$A$5:$A$1272,0))</f>
        <v>3121700</v>
      </c>
      <c r="F34" s="66">
        <f>INDEX('All Units'!$R$5:$R$1272,MATCH("#"&amp;TEXT($A34,"00")&amp;"-"&amp;TEXT(F$6,"00"),'All Units'!$A$5:$A$1272,0))</f>
        <v>3049000</v>
      </c>
      <c r="G34" s="66">
        <f>INDEX('All Units'!$R$5:$R$1272,MATCH("#"&amp;TEXT($A34,"00")&amp;"-"&amp;TEXT(G$6,"00"),'All Units'!$A$5:$A$1272,0))</f>
        <v>3109100</v>
      </c>
      <c r="H34" s="66">
        <f>INDEX('All Units'!$R$5:$R$1272,MATCH("#"&amp;TEXT($A34,"00")&amp;"-"&amp;TEXT(H$6,"00"),'All Units'!$A$5:$A$1272,0))</f>
        <v>3109100</v>
      </c>
      <c r="I34" s="66">
        <f>INDEX('All Units'!$R$5:$R$1272,MATCH("#"&amp;TEXT($A34,"00")&amp;"-"&amp;TEXT(I$6,"00"),'All Units'!$A$5:$A$1272,0))</f>
        <v>3197700</v>
      </c>
    </row>
    <row r="35" spans="1:9" x14ac:dyDescent="0.2">
      <c r="A35" s="67">
        <v>16</v>
      </c>
      <c r="B35" s="66">
        <f>INDEX('All Units'!$R$5:$R$1272,MATCH("#"&amp;TEXT($A35,"00")&amp;"-"&amp;TEXT(B$6,"00"),'All Units'!$A$5:$A$1272,0))</f>
        <v>3120700</v>
      </c>
      <c r="C35" s="66">
        <f>INDEX('All Units'!$R$5:$R$1272,MATCH("#"&amp;TEXT($A35,"00")&amp;"-"&amp;TEXT(C$6,"00"),'All Units'!$A$5:$A$1272,0))</f>
        <v>3089000</v>
      </c>
      <c r="D35" s="66">
        <f>INDEX('All Units'!$R$5:$R$1272,MATCH("#"&amp;TEXT($A35,"00")&amp;"-"&amp;TEXT(D$6,"00"),'All Units'!$A$5:$A$1272,0))</f>
        <v>3090100</v>
      </c>
      <c r="E35" s="66">
        <f>INDEX('All Units'!$R$5:$R$1272,MATCH("#"&amp;TEXT($A35,"00")&amp;"-"&amp;TEXT(E$6,"00"),'All Units'!$A$5:$A$1272,0))</f>
        <v>3096400</v>
      </c>
      <c r="F35" s="66">
        <f>INDEX('All Units'!$R$5:$R$1272,MATCH("#"&amp;TEXT($A35,"00")&amp;"-"&amp;TEXT(F$6,"00"),'All Units'!$A$5:$A$1272,0))</f>
        <v>3020500</v>
      </c>
      <c r="G35" s="66">
        <f>INDEX('All Units'!$R$5:$R$1272,MATCH("#"&amp;TEXT($A35,"00")&amp;"-"&amp;TEXT(G$6,"00"),'All Units'!$A$5:$A$1272,0))</f>
        <v>3083800</v>
      </c>
      <c r="H35" s="66">
        <f>INDEX('All Units'!$R$5:$R$1272,MATCH("#"&amp;TEXT($A35,"00")&amp;"-"&amp;TEXT(H$6,"00"),'All Units'!$A$5:$A$1272,0))</f>
        <v>3083800</v>
      </c>
      <c r="I35" s="66">
        <f>INDEX('All Units'!$R$5:$R$1272,MATCH("#"&amp;TEXT($A35,"00")&amp;"-"&amp;TEXT(I$6,"00"),'All Units'!$A$5:$A$1272,0))</f>
        <v>3176600</v>
      </c>
    </row>
    <row r="36" spans="1:9" x14ac:dyDescent="0.2">
      <c r="A36" s="67">
        <v>15</v>
      </c>
      <c r="B36" s="66">
        <f>INDEX('All Units'!$R$5:$R$1272,MATCH("#"&amp;TEXT($A36,"00")&amp;"-"&amp;TEXT(B$6,"00"),'All Units'!$A$5:$A$1272,0))</f>
        <v>3093300</v>
      </c>
      <c r="C36" s="66">
        <f>INDEX('All Units'!$R$5:$R$1272,MATCH("#"&amp;TEXT($A36,"00")&amp;"-"&amp;TEXT(C$6,"00"),'All Units'!$A$5:$A$1272,0))</f>
        <v>3063700</v>
      </c>
      <c r="D36" s="66">
        <f>INDEX('All Units'!$R$5:$R$1272,MATCH("#"&amp;TEXT($A36,"00")&amp;"-"&amp;TEXT(D$6,"00"),'All Units'!$A$5:$A$1272,0))</f>
        <v>3065800</v>
      </c>
      <c r="E36" s="66">
        <f>INDEX('All Units'!$R$5:$R$1272,MATCH("#"&amp;TEXT($A36,"00")&amp;"-"&amp;TEXT(E$6,"00"),'All Units'!$A$5:$A$1272,0))</f>
        <v>3071100</v>
      </c>
      <c r="F36" s="66">
        <f>INDEX('All Units'!$R$5:$R$1272,MATCH("#"&amp;TEXT($A36,"00")&amp;"-"&amp;TEXT(F$6,"00"),'All Units'!$A$5:$A$1272,0))</f>
        <v>2993000</v>
      </c>
      <c r="G36" s="66">
        <f>INDEX('All Units'!$R$5:$R$1272,MATCH("#"&amp;TEXT($A36,"00")&amp;"-"&amp;TEXT(G$6,"00"),'All Units'!$A$5:$A$1272,0))</f>
        <v>3059500</v>
      </c>
      <c r="H36" s="66">
        <f>INDEX('All Units'!$R$5:$R$1272,MATCH("#"&amp;TEXT($A36,"00")&amp;"-"&amp;TEXT(H$6,"00"),'All Units'!$A$5:$A$1272,0))</f>
        <v>3059500</v>
      </c>
      <c r="I36" s="66">
        <f>INDEX('All Units'!$R$5:$R$1272,MATCH("#"&amp;TEXT($A36,"00")&amp;"-"&amp;TEXT(I$6,"00"),'All Units'!$A$5:$A$1272,0))</f>
        <v>3157600</v>
      </c>
    </row>
    <row r="37" spans="1:9" x14ac:dyDescent="0.2">
      <c r="A37" s="67">
        <v>14</v>
      </c>
      <c r="B37" s="66">
        <f>INDEX('All Units'!$R$5:$R$1272,MATCH("#"&amp;TEXT($A37,"00")&amp;"-"&amp;TEXT(B$6,"00"),'All Units'!$A$5:$A$1272,0))</f>
        <v>3065800</v>
      </c>
      <c r="C37" s="66">
        <f>INDEX('All Units'!$R$5:$R$1272,MATCH("#"&amp;TEXT($A37,"00")&amp;"-"&amp;TEXT(C$6,"00"),'All Units'!$A$5:$A$1272,0))</f>
        <v>3038400</v>
      </c>
      <c r="D37" s="66">
        <f>INDEX('All Units'!$R$5:$R$1272,MATCH("#"&amp;TEXT($A37,"00")&amp;"-"&amp;TEXT(D$6,"00"),'All Units'!$A$5:$A$1272,0))</f>
        <v>3041600</v>
      </c>
      <c r="E37" s="66">
        <f>INDEX('All Units'!$R$5:$R$1272,MATCH("#"&amp;TEXT($A37,"00")&amp;"-"&amp;TEXT(E$6,"00"),'All Units'!$A$5:$A$1272,0))</f>
        <v>3045800</v>
      </c>
      <c r="F37" s="66">
        <f>INDEX('All Units'!$R$5:$R$1272,MATCH("#"&amp;TEXT($A37,"00")&amp;"-"&amp;TEXT(F$6,"00"),'All Units'!$A$5:$A$1272,0))</f>
        <v>2965600</v>
      </c>
      <c r="G37" s="66">
        <f>INDEX('All Units'!$R$5:$R$1272,MATCH("#"&amp;TEXT($A37,"00")&amp;"-"&amp;TEXT(G$6,"00"),'All Units'!$A$5:$A$1272,0))</f>
        <v>3035200</v>
      </c>
      <c r="H37" s="66">
        <f>INDEX('All Units'!$R$5:$R$1272,MATCH("#"&amp;TEXT($A37,"00")&amp;"-"&amp;TEXT(H$6,"00"),'All Units'!$A$5:$A$1272,0))</f>
        <v>3035200</v>
      </c>
      <c r="I37" s="66">
        <f>INDEX('All Units'!$R$5:$R$1272,MATCH("#"&amp;TEXT($A37,"00")&amp;"-"&amp;TEXT(I$6,"00"),'All Units'!$A$5:$A$1272,0))</f>
        <v>3137600</v>
      </c>
    </row>
    <row r="38" spans="1:9" x14ac:dyDescent="0.2">
      <c r="A38" s="67">
        <v>13</v>
      </c>
      <c r="B38" s="66">
        <f>INDEX('All Units'!$R$5:$R$1272,MATCH("#"&amp;TEXT($A38,"00")&amp;"-"&amp;TEXT(B$6,"00"),'All Units'!$A$5:$A$1272,0))</f>
        <v>3037300</v>
      </c>
      <c r="C38" s="66">
        <f>INDEX('All Units'!$R$5:$R$1272,MATCH("#"&amp;TEXT($A38,"00")&amp;"-"&amp;TEXT(C$6,"00"),'All Units'!$A$5:$A$1272,0))</f>
        <v>3012000</v>
      </c>
      <c r="D38" s="66">
        <f>INDEX('All Units'!$R$5:$R$1272,MATCH("#"&amp;TEXT($A38,"00")&amp;"-"&amp;TEXT(D$6,"00"),'All Units'!$A$5:$A$1272,0))</f>
        <v>3016200</v>
      </c>
      <c r="E38" s="66">
        <f>INDEX('All Units'!$R$5:$R$1272,MATCH("#"&amp;TEXT($A38,"00")&amp;"-"&amp;TEXT(E$6,"00"),'All Units'!$A$5:$A$1272,0))</f>
        <v>3021500</v>
      </c>
      <c r="F38" s="66">
        <f>INDEX('All Units'!$R$5:$R$1272,MATCH("#"&amp;TEXT($A38,"00")&amp;"-"&amp;TEXT(F$6,"00"),'All Units'!$A$5:$A$1272,0))</f>
        <v>2938200</v>
      </c>
      <c r="G38" s="66">
        <f>INDEX('All Units'!$R$5:$R$1272,MATCH("#"&amp;TEXT($A38,"00")&amp;"-"&amp;TEXT(G$6,"00"),'All Units'!$A$5:$A$1272,0))</f>
        <v>3009900</v>
      </c>
      <c r="H38" s="66">
        <f>INDEX('All Units'!$R$5:$R$1272,MATCH("#"&amp;TEXT($A38,"00")&amp;"-"&amp;TEXT(H$6,"00"),'All Units'!$A$5:$A$1272,0))</f>
        <v>3009900</v>
      </c>
      <c r="I38" s="66">
        <f>INDEX('All Units'!$R$5:$R$1272,MATCH("#"&amp;TEXT($A38,"00")&amp;"-"&amp;TEXT(I$6,"00"),'All Units'!$A$5:$A$1272,0))</f>
        <v>3117500</v>
      </c>
    </row>
    <row r="39" spans="1:9" x14ac:dyDescent="0.2">
      <c r="A39" s="67">
        <v>12</v>
      </c>
      <c r="B39" s="66">
        <f>INDEX('All Units'!$R$5:$R$1272,MATCH("#"&amp;TEXT($A39,"00")&amp;"-"&amp;TEXT(B$6,"00"),'All Units'!$A$5:$A$1272,0))</f>
        <v>3017300</v>
      </c>
      <c r="C39" s="66">
        <f>INDEX('All Units'!$R$5:$R$1272,MATCH("#"&amp;TEXT($A39,"00")&amp;"-"&amp;TEXT(C$6,"00"),'All Units'!$A$5:$A$1272,0))</f>
        <v>2994100</v>
      </c>
      <c r="D39" s="66">
        <f>INDEX('All Units'!$R$5:$R$1272,MATCH("#"&amp;TEXT($A39,"00")&amp;"-"&amp;TEXT(D$6,"00"),'All Units'!$A$5:$A$1272,0))</f>
        <v>2998300</v>
      </c>
      <c r="E39" s="66">
        <f>INDEX('All Units'!$R$5:$R$1272,MATCH("#"&amp;TEXT($A39,"00")&amp;"-"&amp;TEXT(E$6,"00"),'All Units'!$A$5:$A$1272,0))</f>
        <v>3002500</v>
      </c>
      <c r="F39" s="66">
        <f>INDEX('All Units'!$R$5:$R$1272,MATCH("#"&amp;TEXT($A39,"00")&amp;"-"&amp;TEXT(F$6,"00"),'All Units'!$A$5:$A$1272,0))</f>
        <v>2917100</v>
      </c>
      <c r="G39" s="66">
        <f>INDEX('All Units'!$R$5:$R$1272,MATCH("#"&amp;TEXT($A39,"00")&amp;"-"&amp;TEXT(G$6,"00"),'All Units'!$A$5:$A$1272,0))</f>
        <v>2992000</v>
      </c>
      <c r="H39" s="66">
        <f>INDEX('All Units'!$R$5:$R$1272,MATCH("#"&amp;TEXT($A39,"00")&amp;"-"&amp;TEXT(H$6,"00"),'All Units'!$A$5:$A$1272,0))</f>
        <v>2992000</v>
      </c>
      <c r="I39" s="66">
        <f>INDEX('All Units'!$R$5:$R$1272,MATCH("#"&amp;TEXT($A39,"00")&amp;"-"&amp;TEXT(I$6,"00"),'All Units'!$A$5:$A$1272,0))</f>
        <v>3100600</v>
      </c>
    </row>
    <row r="40" spans="1:9" x14ac:dyDescent="0.2">
      <c r="A40" s="67">
        <v>11</v>
      </c>
      <c r="B40" s="66">
        <f>INDEX('All Units'!$R$5:$R$1272,MATCH("#"&amp;TEXT($A40,"00")&amp;"-"&amp;TEXT(B$6,"00"),'All Units'!$A$5:$A$1272,0))</f>
        <v>3002500</v>
      </c>
      <c r="C40" s="66">
        <f>INDEX('All Units'!$R$5:$R$1272,MATCH("#"&amp;TEXT($A40,"00")&amp;"-"&amp;TEXT(C$6,"00"),'All Units'!$A$5:$A$1272,0))</f>
        <v>2981400</v>
      </c>
      <c r="D40" s="66">
        <f>INDEX('All Units'!$R$5:$R$1272,MATCH("#"&amp;TEXT($A40,"00")&amp;"-"&amp;TEXT(D$6,"00"),'All Units'!$A$5:$A$1272,0))</f>
        <v>2987800</v>
      </c>
      <c r="E40" s="66">
        <f>INDEX('All Units'!$R$5:$R$1272,MATCH("#"&amp;TEXT($A40,"00")&amp;"-"&amp;TEXT(E$6,"00"),'All Units'!$A$5:$A$1272,0))</f>
        <v>2990900</v>
      </c>
      <c r="F40" s="66">
        <f>INDEX('All Units'!$R$5:$R$1272,MATCH("#"&amp;TEXT($A40,"00")&amp;"-"&amp;TEXT(F$6,"00"),'All Units'!$A$5:$A$1272,0))</f>
        <v>2903400</v>
      </c>
      <c r="G40" s="66">
        <f>INDEX('All Units'!$R$5:$R$1272,MATCH("#"&amp;TEXT($A40,"00")&amp;"-"&amp;TEXT(G$6,"00"),'All Units'!$A$5:$A$1272,0))</f>
        <v>2981400</v>
      </c>
      <c r="H40" s="66">
        <f>INDEX('All Units'!$R$5:$R$1272,MATCH("#"&amp;TEXT($A40,"00")&amp;"-"&amp;TEXT(H$6,"00"),'All Units'!$A$5:$A$1272,0))</f>
        <v>2981400</v>
      </c>
      <c r="I40" s="66">
        <f>INDEX('All Units'!$R$5:$R$1272,MATCH("#"&amp;TEXT($A40,"00")&amp;"-"&amp;TEXT(I$6,"00"),'All Units'!$A$5:$A$1272,0))</f>
        <v>3084800</v>
      </c>
    </row>
    <row r="41" spans="1:9" x14ac:dyDescent="0.2">
      <c r="A41" s="67">
        <v>10</v>
      </c>
      <c r="B41" s="66">
        <f>INDEX('All Units'!$R$5:$R$1272,MATCH("#"&amp;TEXT($A41,"00")&amp;"-"&amp;TEXT(B$6,"00"),'All Units'!$A$5:$A$1272,0))</f>
        <v>2988800</v>
      </c>
      <c r="C41" s="66">
        <f>INDEX('All Units'!$R$5:$R$1272,MATCH("#"&amp;TEXT($A41,"00")&amp;"-"&amp;TEXT(C$6,"00"),'All Units'!$A$5:$A$1272,0))</f>
        <v>2969800</v>
      </c>
      <c r="D41" s="66">
        <f>INDEX('All Units'!$R$5:$R$1272,MATCH("#"&amp;TEXT($A41,"00")&amp;"-"&amp;TEXT(D$6,"00"),'All Units'!$A$5:$A$1272,0))</f>
        <v>2977200</v>
      </c>
      <c r="E41" s="66">
        <f>INDEX('All Units'!$R$5:$R$1272,MATCH("#"&amp;TEXT($A41,"00")&amp;"-"&amp;TEXT(E$6,"00"),'All Units'!$A$5:$A$1272,0))</f>
        <v>2980400</v>
      </c>
      <c r="F41" s="66">
        <f>INDEX('All Units'!$R$5:$R$1272,MATCH("#"&amp;TEXT($A41,"00")&amp;"-"&amp;TEXT(F$6,"00"),'All Units'!$A$5:$A$1272,0))</f>
        <v>2888600</v>
      </c>
      <c r="G41" s="66">
        <f>INDEX('All Units'!$R$5:$R$1272,MATCH("#"&amp;TEXT($A41,"00")&amp;"-"&amp;TEXT(G$6,"00"),'All Units'!$A$5:$A$1272,0))</f>
        <v>2970900</v>
      </c>
      <c r="H41" s="66">
        <f>INDEX('All Units'!$R$5:$R$1272,MATCH("#"&amp;TEXT($A41,"00")&amp;"-"&amp;TEXT(H$6,"00"),'All Units'!$A$5:$A$1272,0))</f>
        <v>2970900</v>
      </c>
      <c r="I41" s="66">
        <f>INDEX('All Units'!$R$5:$R$1272,MATCH("#"&amp;TEXT($A41,"00")&amp;"-"&amp;TEXT(I$6,"00"),'All Units'!$A$5:$A$1272,0))</f>
        <v>3070100</v>
      </c>
    </row>
    <row r="42" spans="1:9" x14ac:dyDescent="0.2">
      <c r="A42" s="67">
        <v>9</v>
      </c>
      <c r="B42" s="66">
        <f>INDEX('All Units'!$R$5:$R$1272,MATCH("#"&amp;TEXT($A42,"00")&amp;"-"&amp;TEXT(B$6,"00"),'All Units'!$A$5:$A$1272,0))</f>
        <v>2975100</v>
      </c>
      <c r="C42" s="66">
        <f>INDEX('All Units'!$R$5:$R$1272,MATCH("#"&amp;TEXT($A42,"00")&amp;"-"&amp;TEXT(C$6,"00"),'All Units'!$A$5:$A$1272,0))</f>
        <v>2958200</v>
      </c>
      <c r="D42" s="66">
        <f>INDEX('All Units'!$R$5:$R$1272,MATCH("#"&amp;TEXT($A42,"00")&amp;"-"&amp;TEXT(D$6,"00"),'All Units'!$A$5:$A$1272,0))</f>
        <v>2965600</v>
      </c>
      <c r="E42" s="66">
        <f>INDEX('All Units'!$R$5:$R$1272,MATCH("#"&amp;TEXT($A42,"00")&amp;"-"&amp;TEXT(E$6,"00"),'All Units'!$A$5:$A$1272,0))</f>
        <v>2955100</v>
      </c>
      <c r="F42" s="66">
        <f>INDEX('All Units'!$R$5:$R$1272,MATCH("#"&amp;TEXT($A42,"00")&amp;"-"&amp;TEXT(F$6,"00"),'All Units'!$A$5:$A$1272,0))</f>
        <v>2874900</v>
      </c>
      <c r="G42" s="66">
        <f>INDEX('All Units'!$R$5:$R$1272,MATCH("#"&amp;TEXT($A42,"00")&amp;"-"&amp;TEXT(G$6,"00"),'All Units'!$A$5:$A$1272,0))</f>
        <v>2946600</v>
      </c>
      <c r="H42" s="66">
        <f>INDEX('All Units'!$R$5:$R$1272,MATCH("#"&amp;TEXT($A42,"00")&amp;"-"&amp;TEXT(H$6,"00"),'All Units'!$A$5:$A$1272,0))</f>
        <v>2946600</v>
      </c>
      <c r="I42" s="66">
        <f>INDEX('All Units'!$R$5:$R$1272,MATCH("#"&amp;TEXT($A42,"00")&amp;"-"&amp;TEXT(I$6,"00"),'All Units'!$A$5:$A$1272,0))</f>
        <v>3054200</v>
      </c>
    </row>
    <row r="43" spans="1:9" x14ac:dyDescent="0.2">
      <c r="A43" s="67">
        <v>8</v>
      </c>
      <c r="B43" s="66">
        <f>INDEX('All Units'!$R$5:$R$1272,MATCH("#"&amp;TEXT($A43,"00")&amp;"-"&amp;TEXT(B$6,"00"),'All Units'!$A$5:$A$1272,0))</f>
        <v>2956100</v>
      </c>
      <c r="C43" s="66">
        <f>INDEX('All Units'!$R$5:$R$1272,MATCH("#"&amp;TEXT($A43,"00")&amp;"-"&amp;TEXT(C$6,"00"),'All Units'!$A$5:$A$1272,0))</f>
        <v>2946600</v>
      </c>
      <c r="D43" s="66">
        <f>INDEX('All Units'!$R$5:$R$1272,MATCH("#"&amp;TEXT($A43,"00")&amp;"-"&amp;TEXT(D$6,"00"),'All Units'!$A$5:$A$1272,0))</f>
        <v>2952900</v>
      </c>
      <c r="E43" s="66">
        <f>INDEX('All Units'!$R$5:$R$1272,MATCH("#"&amp;TEXT($A43,"00")&amp;"-"&amp;TEXT(E$6,"00"),'All Units'!$A$5:$A$1272,0))</f>
        <v>2929700</v>
      </c>
      <c r="F43" s="66">
        <f>INDEX('All Units'!$R$5:$R$1272,MATCH("#"&amp;TEXT($A43,"00")&amp;"-"&amp;TEXT(F$6,"00"),'All Units'!$A$5:$A$1272,0))</f>
        <v>2861200</v>
      </c>
      <c r="G43" s="66">
        <f>INDEX('All Units'!$R$5:$R$1272,MATCH("#"&amp;TEXT($A43,"00")&amp;"-"&amp;TEXT(G$6,"00"),'All Units'!$A$5:$A$1272,0))</f>
        <v>2922400</v>
      </c>
      <c r="H43" s="66">
        <f>INDEX('All Units'!$R$5:$R$1272,MATCH("#"&amp;TEXT($A43,"00")&amp;"-"&amp;TEXT(H$6,"00"),'All Units'!$A$5:$A$1272,0))</f>
        <v>2922400</v>
      </c>
      <c r="I43" s="66">
        <f>INDEX('All Units'!$R$5:$R$1272,MATCH("#"&amp;TEXT($A43,"00")&amp;"-"&amp;TEXT(I$6,"00"),'All Units'!$A$5:$A$1272,0))</f>
        <v>3038400</v>
      </c>
    </row>
    <row r="44" spans="1:9" x14ac:dyDescent="0.2">
      <c r="A44" s="67">
        <v>7</v>
      </c>
      <c r="B44" s="66">
        <f>INDEX('All Units'!$R$5:$R$1272,MATCH("#"&amp;TEXT($A44,"00")&amp;"-"&amp;TEXT(B$6,"00"),'All Units'!$A$5:$A$1272,0))</f>
        <v>2938200</v>
      </c>
      <c r="C44" s="66">
        <f>INDEX('All Units'!$R$5:$R$1272,MATCH("#"&amp;TEXT($A44,"00")&amp;"-"&amp;TEXT(C$6,"00"),'All Units'!$A$5:$A$1272,0))</f>
        <v>2934000</v>
      </c>
      <c r="D44" s="66">
        <f>INDEX('All Units'!$R$5:$R$1272,MATCH("#"&amp;TEXT($A44,"00")&amp;"-"&amp;TEXT(D$6,"00"),'All Units'!$A$5:$A$1272,0))</f>
        <v>2941300</v>
      </c>
      <c r="E44" s="66">
        <f>INDEX('All Units'!$R$5:$R$1272,MATCH("#"&amp;TEXT($A44,"00")&amp;"-"&amp;TEXT(E$6,"00"),'All Units'!$A$5:$A$1272,0))</f>
        <v>2904400</v>
      </c>
      <c r="F44" s="66">
        <f>INDEX('All Units'!$R$5:$R$1272,MATCH("#"&amp;TEXT($A44,"00")&amp;"-"&amp;TEXT(F$6,"00"),'All Units'!$A$5:$A$1272,0))</f>
        <v>2847400</v>
      </c>
      <c r="G44" s="66">
        <f>INDEX('All Units'!$R$5:$R$1272,MATCH("#"&amp;TEXT($A44,"00")&amp;"-"&amp;TEXT(G$6,"00"),'All Units'!$A$5:$A$1272,0))</f>
        <v>2898100</v>
      </c>
      <c r="H44" s="66">
        <f>INDEX('All Units'!$R$5:$R$1272,MATCH("#"&amp;TEXT($A44,"00")&amp;"-"&amp;TEXT(H$6,"00"),'All Units'!$A$5:$A$1272,0))</f>
        <v>2898100</v>
      </c>
      <c r="I44" s="66">
        <f>INDEX('All Units'!$R$5:$R$1272,MATCH("#"&amp;TEXT($A44,"00")&amp;"-"&amp;TEXT(I$6,"00"),'All Units'!$A$5:$A$1272,0))</f>
        <v>3022600</v>
      </c>
    </row>
    <row r="45" spans="1:9" x14ac:dyDescent="0.2">
      <c r="A45" s="67">
        <v>6</v>
      </c>
      <c r="B45" s="66">
        <f>INDEX('All Units'!$R$5:$R$1272,MATCH("#"&amp;TEXT($A45,"00")&amp;"-"&amp;TEXT(B$6,"00"),'All Units'!$A$5:$A$1272,0))</f>
        <v>2919200</v>
      </c>
      <c r="C45" s="66">
        <f>INDEX('All Units'!$R$5:$R$1272,MATCH("#"&amp;TEXT($A45,"00")&amp;"-"&amp;TEXT(C$6,"00"),'All Units'!$A$5:$A$1272,0))</f>
        <v>2922400</v>
      </c>
      <c r="D45" s="66">
        <f>INDEX('All Units'!$R$5:$R$1272,MATCH("#"&amp;TEXT($A45,"00")&amp;"-"&amp;TEXT(D$6,"00"),'All Units'!$A$5:$A$1272,0))</f>
        <v>2928700</v>
      </c>
      <c r="E45" s="66">
        <f>INDEX('All Units'!$R$5:$R$1272,MATCH("#"&amp;TEXT($A45,"00")&amp;"-"&amp;TEXT(E$6,"00"),'All Units'!$A$5:$A$1272,0))</f>
        <v>2879100</v>
      </c>
      <c r="F45" s="66">
        <f>INDEX('All Units'!$R$5:$R$1272,MATCH("#"&amp;TEXT($A45,"00")&amp;"-"&amp;TEXT(F$6,"00"),'All Units'!$A$5:$A$1272,0))</f>
        <v>2833700</v>
      </c>
      <c r="G45" s="66">
        <f>INDEX('All Units'!$R$5:$R$1272,MATCH("#"&amp;TEXT($A45,"00")&amp;"-"&amp;TEXT(G$6,"00"),'All Units'!$A$5:$A$1272,0))</f>
        <v>2874900</v>
      </c>
      <c r="H45" s="66">
        <f>INDEX('All Units'!$R$5:$R$1272,MATCH("#"&amp;TEXT($A45,"00")&amp;"-"&amp;TEXT(H$6,"00"),'All Units'!$A$5:$A$1272,0))</f>
        <v>2874900</v>
      </c>
      <c r="I45" s="66">
        <f>INDEX('All Units'!$R$5:$R$1272,MATCH("#"&amp;TEXT($A45,"00")&amp;"-"&amp;TEXT(I$6,"00"),'All Units'!$A$5:$A$1272,0))</f>
        <v>3006800</v>
      </c>
    </row>
    <row r="46" spans="1:9" x14ac:dyDescent="0.2">
      <c r="A46" s="67">
        <v>5</v>
      </c>
      <c r="B46" s="66">
        <f>INDEX('All Units'!$R$5:$R$1272,MATCH("#"&amp;TEXT($A46,"00")&amp;"-"&amp;TEXT(B$6,"00"),'All Units'!$A$5:$A$1272,0))</f>
        <v>2900200</v>
      </c>
      <c r="C46" s="66">
        <f>INDEX('All Units'!$R$5:$R$1272,MATCH("#"&amp;TEXT($A46,"00")&amp;"-"&amp;TEXT(C$6,"00"),'All Units'!$A$5:$A$1272,0))</f>
        <v>2910700</v>
      </c>
      <c r="D46" s="66">
        <f>INDEX('All Units'!$R$5:$R$1272,MATCH("#"&amp;TEXT($A46,"00")&amp;"-"&amp;TEXT(D$6,"00"),'All Units'!$A$5:$A$1272,0))</f>
        <v>2916000</v>
      </c>
      <c r="E46" s="66">
        <f>INDEX('All Units'!$R$5:$R$1272,MATCH("#"&amp;TEXT($A46,"00")&amp;"-"&amp;TEXT(E$6,"00"),'All Units'!$A$5:$A$1272,0))</f>
        <v>2853800</v>
      </c>
      <c r="F46" s="66">
        <f>INDEX('All Units'!$R$5:$R$1272,MATCH("#"&amp;TEXT($A46,"00")&amp;"-"&amp;TEXT(F$6,"00"),'All Units'!$A$5:$A$1272,0))</f>
        <v>2820000</v>
      </c>
      <c r="G46" s="66">
        <f>INDEX('All Units'!$R$5:$R$1272,MATCH("#"&amp;TEXT($A46,"00")&amp;"-"&amp;TEXT(G$6,"00"),'All Units'!$A$5:$A$1272,0))</f>
        <v>2850600</v>
      </c>
      <c r="H46" s="66">
        <f>INDEX('All Units'!$R$5:$R$1272,MATCH("#"&amp;TEXT($A46,"00")&amp;"-"&amp;TEXT(H$6,"00"),'All Units'!$A$5:$A$1272,0))</f>
        <v>2850600</v>
      </c>
      <c r="I46" s="66">
        <f>INDEX('All Units'!$R$5:$R$1272,MATCH("#"&amp;TEXT($A46,"00")&amp;"-"&amp;TEXT(I$6,"00"),'All Units'!$A$5:$A$1272,0))</f>
        <v>2990900</v>
      </c>
    </row>
    <row r="47" spans="1:9" x14ac:dyDescent="0.2">
      <c r="A47" s="67">
        <v>4</v>
      </c>
      <c r="B47" s="66">
        <f>INDEX('All Units'!$R$5:$R$1272,MATCH("#"&amp;TEXT($A47,"00")&amp;"-"&amp;TEXT(B$6,"00"),'All Units'!$A$5:$A$1272,0))</f>
        <v>2882300</v>
      </c>
      <c r="C47" s="66">
        <f>INDEX('All Units'!$R$5:$R$1272,MATCH("#"&amp;TEXT($A47,"00")&amp;"-"&amp;TEXT(C$6,"00"),'All Units'!$A$5:$A$1272,0))</f>
        <v>2866400</v>
      </c>
      <c r="D47" s="66">
        <f>INDEX('All Units'!$R$5:$R$1272,MATCH("#"&amp;TEXT($A47,"00")&amp;"-"&amp;TEXT(D$6,"00"),'All Units'!$A$5:$A$1272,0))</f>
        <v>2903400</v>
      </c>
      <c r="E47" s="66">
        <f>INDEX('All Units'!$R$5:$R$1272,MATCH("#"&amp;TEXT($A47,"00")&amp;"-"&amp;TEXT(E$6,"00"),'All Units'!$A$5:$A$1272,0))</f>
        <v>2828500</v>
      </c>
      <c r="F47" s="66">
        <f>INDEX('All Units'!$R$5:$R$1272,MATCH("#"&amp;TEXT($A47,"00")&amp;"-"&amp;TEXT(F$6,"00"),'All Units'!$A$5:$A$1272,0))</f>
        <v>2805200</v>
      </c>
      <c r="G47" s="66">
        <f>INDEX('All Units'!$R$5:$R$1272,MATCH("#"&amp;TEXT($A47,"00")&amp;"-"&amp;TEXT(G$6,"00"),'All Units'!$A$5:$A$1272,0))</f>
        <v>2826300</v>
      </c>
      <c r="H47" s="66">
        <f>INDEX('All Units'!$R$5:$R$1272,MATCH("#"&amp;TEXT($A47,"00")&amp;"-"&amp;TEXT(H$6,"00"),'All Units'!$A$5:$A$1272,0))</f>
        <v>2826300</v>
      </c>
      <c r="I47" s="66">
        <f>INDEX('All Units'!$R$5:$R$1272,MATCH("#"&amp;TEXT($A47,"00")&amp;"-"&amp;TEXT(I$6,"00"),'All Units'!$A$5:$A$1272,0))</f>
        <v>2975100</v>
      </c>
    </row>
    <row r="48" spans="1:9" x14ac:dyDescent="0.2">
      <c r="A48" s="67">
        <v>3</v>
      </c>
      <c r="B48" s="66">
        <f>INDEX('All Units'!$R$5:$R$1272,MATCH("#"&amp;TEXT($A48,"00")&amp;"-"&amp;TEXT(B$6,"00"),'All Units'!$A$5:$A$1272,0))</f>
        <v>2863300</v>
      </c>
      <c r="C48" s="66">
        <f>INDEX('All Units'!$R$5:$R$1272,MATCH("#"&amp;TEXT($A48,"00")&amp;"-"&amp;TEXT(C$6,"00"),'All Units'!$A$5:$A$1272,0))</f>
        <v>2822100</v>
      </c>
      <c r="D48" s="66">
        <f>INDEX('All Units'!$R$5:$R$1272,MATCH("#"&amp;TEXT($A48,"00")&amp;"-"&amp;TEXT(D$6,"00"),'All Units'!$A$5:$A$1272,0))</f>
        <v>2890700</v>
      </c>
      <c r="E48" s="66">
        <f>INDEX('All Units'!$R$5:$R$1272,MATCH("#"&amp;TEXT($A48,"00")&amp;"-"&amp;TEXT(E$6,"00"),'All Units'!$A$5:$A$1272,0))</f>
        <v>2803100</v>
      </c>
      <c r="F48" s="66">
        <f>INDEX('All Units'!$R$5:$R$1272,MATCH("#"&amp;TEXT($A48,"00")&amp;"-"&amp;TEXT(F$6,"00"),'All Units'!$A$5:$A$1272,0))</f>
        <v>2791500</v>
      </c>
      <c r="G48" s="66">
        <f>INDEX('All Units'!$R$5:$R$1272,MATCH("#"&amp;TEXT($A48,"00")&amp;"-"&amp;TEXT(G$6,"00"),'All Units'!$A$5:$A$1272,0))</f>
        <v>2802100</v>
      </c>
      <c r="H48" s="66">
        <f>INDEX('All Units'!$R$5:$R$1272,MATCH("#"&amp;TEXT($A48,"00")&amp;"-"&amp;TEXT(H$6,"00"),'All Units'!$A$5:$A$1272,0))</f>
        <v>2802100</v>
      </c>
      <c r="I48" s="66">
        <f>INDEX('All Units'!$R$5:$R$1272,MATCH("#"&amp;TEXT($A48,"00")&amp;"-"&amp;TEXT(I$6,"00"),'All Units'!$A$5:$A$1272,0))</f>
        <v>2959300</v>
      </c>
    </row>
    <row r="49" spans="1:9" x14ac:dyDescent="0.2">
      <c r="A49" s="67">
        <v>2</v>
      </c>
      <c r="B49" s="66">
        <f>INDEX('All Units'!$R$5:$R$1272,MATCH("#"&amp;TEXT($A49,"00")&amp;"-"&amp;TEXT(B$6,"00"),'All Units'!$A$5:$A$1272,0))</f>
        <v>2844300</v>
      </c>
      <c r="C49" s="66">
        <f>INDEX('All Units'!$R$5:$R$1272,MATCH("#"&amp;TEXT($A49,"00")&amp;"-"&amp;TEXT(C$6,"00"),'All Units'!$A$5:$A$1272,0))</f>
        <v>2777000</v>
      </c>
      <c r="D49" s="66">
        <f>INDEX('All Units'!$R$5:$R$1272,MATCH("#"&amp;TEXT($A49,"00")&amp;"-"&amp;TEXT(D$6,"00"),'All Units'!$A$5:$A$1272,0))</f>
        <v>2878000</v>
      </c>
      <c r="E49" s="66">
        <f>INDEX('All Units'!$R$5:$R$1272,MATCH("#"&amp;TEXT($A49,"00")&amp;"-"&amp;TEXT(E$6,"00"),'All Units'!$A$5:$A$1272,0))</f>
        <v>2777000</v>
      </c>
      <c r="F49" s="66">
        <f>INDEX('All Units'!$R$5:$R$1272,MATCH("#"&amp;TEXT($A49,"00")&amp;"-"&amp;TEXT(F$6,"00"),'All Units'!$A$5:$A$1272,0))</f>
        <v>2777000</v>
      </c>
      <c r="G49" s="66">
        <f>INDEX('All Units'!$R$5:$R$1272,MATCH("#"&amp;TEXT($A49,"00")&amp;"-"&amp;TEXT(G$6,"00"),'All Units'!$A$5:$A$1272,0))</f>
        <v>2777000</v>
      </c>
      <c r="H49" s="66">
        <f>INDEX('All Units'!$R$5:$R$1272,MATCH("#"&amp;TEXT($A49,"00")&amp;"-"&amp;TEXT(H$6,"00"),'All Units'!$A$5:$A$1272,0))</f>
        <v>2777000</v>
      </c>
      <c r="I49" s="66">
        <f>INDEX('All Units'!$R$5:$R$1272,MATCH("#"&amp;TEXT($A49,"00")&amp;"-"&amp;TEXT(I$6,"00"),'All Units'!$A$5:$A$1272,0))</f>
        <v>2943500</v>
      </c>
    </row>
    <row r="50" spans="1:9" x14ac:dyDescent="0.2">
      <c r="A50" s="67">
        <v>1</v>
      </c>
      <c r="B50" s="68"/>
      <c r="C50" s="68"/>
      <c r="D50" s="68"/>
      <c r="E50" s="68"/>
      <c r="F50" s="68"/>
      <c r="G50" s="68"/>
      <c r="H50" s="68"/>
      <c r="I50" s="66">
        <f>INDEX('All Units'!$R$5:$R$1272,MATCH("#"&amp;TEXT($A50,"00")&amp;"-"&amp;TEXT(I$6,"00"),'All Units'!$A$5:$A$1272,0))</f>
        <v>2928700</v>
      </c>
    </row>
    <row r="52" spans="1:9" x14ac:dyDescent="0.2">
      <c r="A52" s="99" t="s">
        <v>1472</v>
      </c>
      <c r="B52" s="99"/>
      <c r="C52" s="99"/>
      <c r="D52" s="99"/>
      <c r="E52" s="99"/>
      <c r="F52" s="99"/>
      <c r="G52" s="99"/>
      <c r="H52" s="99"/>
      <c r="I52" s="99"/>
    </row>
    <row r="53" spans="1:9" x14ac:dyDescent="0.2">
      <c r="A53" s="67">
        <v>30</v>
      </c>
      <c r="B53" s="68"/>
      <c r="C53" s="68"/>
      <c r="D53" s="68"/>
      <c r="E53" s="68"/>
      <c r="F53" s="68"/>
      <c r="G53" s="68"/>
      <c r="H53" s="68"/>
      <c r="I53" s="66">
        <f>INDEX('All Units'!$Q$5:$Q$1272,MATCH("#"&amp;TEXT($A53,"00")&amp;"-"&amp;TEXT(I$6,"00"),'All Units'!$A$5:$A$1272,0))</f>
        <v>3254</v>
      </c>
    </row>
    <row r="54" spans="1:9" x14ac:dyDescent="0.2">
      <c r="A54" s="67">
        <v>29</v>
      </c>
      <c r="B54" s="68"/>
      <c r="C54" s="68"/>
      <c r="D54" s="68"/>
      <c r="E54" s="68"/>
      <c r="F54" s="68"/>
      <c r="G54" s="68"/>
      <c r="H54" s="68"/>
      <c r="I54" s="66">
        <f>INDEX('All Units'!$Q$5:$Q$1272,MATCH("#"&amp;TEXT($A54,"00")&amp;"-"&amp;TEXT(I$6,"00"),'All Units'!$A$5:$A$1272,0))</f>
        <v>3238</v>
      </c>
    </row>
    <row r="55" spans="1:9" x14ac:dyDescent="0.2">
      <c r="A55" s="67">
        <v>28</v>
      </c>
      <c r="B55" s="68"/>
      <c r="C55" s="68"/>
      <c r="D55" s="68"/>
      <c r="E55" s="68"/>
      <c r="F55" s="68"/>
      <c r="G55" s="68"/>
      <c r="H55" s="68"/>
      <c r="I55" s="66">
        <f>INDEX('All Units'!$Q$5:$Q$1272,MATCH("#"&amp;TEXT($A55,"00")&amp;"-"&amp;TEXT(I$6,"00"),'All Units'!$A$5:$A$1272,0))</f>
        <v>3222</v>
      </c>
    </row>
    <row r="56" spans="1:9" x14ac:dyDescent="0.2">
      <c r="A56" s="67">
        <v>27</v>
      </c>
      <c r="B56" s="68"/>
      <c r="C56" s="68"/>
      <c r="D56" s="68"/>
      <c r="E56" s="68"/>
      <c r="F56" s="68"/>
      <c r="G56" s="68"/>
      <c r="H56" s="68"/>
      <c r="I56" s="66">
        <f>INDEX('All Units'!$Q$5:$Q$1272,MATCH("#"&amp;TEXT($A56,"00")&amp;"-"&amp;TEXT(I$6,"00"),'All Units'!$A$5:$A$1272,0))</f>
        <v>3206</v>
      </c>
    </row>
    <row r="57" spans="1:9" x14ac:dyDescent="0.2">
      <c r="A57" s="67">
        <v>26</v>
      </c>
      <c r="B57" s="68"/>
      <c r="C57" s="68"/>
      <c r="D57" s="68"/>
      <c r="E57" s="68"/>
      <c r="F57" s="68"/>
      <c r="G57" s="68"/>
      <c r="H57" s="68"/>
      <c r="I57" s="66">
        <f>INDEX('All Units'!$Q$5:$Q$1272,MATCH("#"&amp;TEXT($A57,"00")&amp;"-"&amp;TEXT(I$6,"00"),'All Units'!$A$5:$A$1272,0))</f>
        <v>3190</v>
      </c>
    </row>
    <row r="58" spans="1:9" x14ac:dyDescent="0.2">
      <c r="A58" s="67">
        <v>25</v>
      </c>
      <c r="B58" s="68"/>
      <c r="C58" s="68"/>
      <c r="D58" s="68"/>
      <c r="E58" s="68"/>
      <c r="F58" s="68"/>
      <c r="G58" s="68"/>
      <c r="H58" s="68"/>
      <c r="I58" s="66">
        <f>INDEX('All Units'!$Q$5:$Q$1272,MATCH("#"&amp;TEXT($A58,"00")&amp;"-"&amp;TEXT(I$6,"00"),'All Units'!$A$5:$A$1272,0))</f>
        <v>3174</v>
      </c>
    </row>
    <row r="59" spans="1:9" x14ac:dyDescent="0.2">
      <c r="A59" s="67">
        <v>24</v>
      </c>
      <c r="B59" s="68"/>
      <c r="C59" s="68"/>
      <c r="D59" s="68"/>
      <c r="E59" s="68"/>
      <c r="F59" s="68"/>
      <c r="G59" s="68"/>
      <c r="H59" s="68"/>
      <c r="I59" s="66">
        <f>INDEX('All Units'!$Q$5:$Q$1272,MATCH("#"&amp;TEXT($A59,"00")&amp;"-"&amp;TEXT(I$6,"00"),'All Units'!$A$5:$A$1272,0))</f>
        <v>3158</v>
      </c>
    </row>
    <row r="60" spans="1:9" x14ac:dyDescent="0.2">
      <c r="A60" s="67">
        <v>23</v>
      </c>
      <c r="B60" s="68"/>
      <c r="C60" s="68"/>
      <c r="D60" s="68"/>
      <c r="E60" s="68"/>
      <c r="F60" s="68"/>
      <c r="G60" s="68"/>
      <c r="H60" s="68"/>
      <c r="I60" s="66">
        <f>INDEX('All Units'!$Q$5:$Q$1272,MATCH("#"&amp;TEXT($A60,"00")&amp;"-"&amp;TEXT(I$6,"00"),'All Units'!$A$5:$A$1272,0))</f>
        <v>3142</v>
      </c>
    </row>
    <row r="61" spans="1:9" x14ac:dyDescent="0.2">
      <c r="A61" s="67">
        <v>22</v>
      </c>
      <c r="B61" s="68"/>
      <c r="C61" s="68"/>
      <c r="D61" s="68"/>
      <c r="E61" s="68"/>
      <c r="F61" s="68"/>
      <c r="G61" s="68"/>
      <c r="H61" s="68"/>
      <c r="I61" s="66">
        <f>INDEX('All Units'!$Q$5:$Q$1272,MATCH("#"&amp;TEXT($A61,"00")&amp;"-"&amp;TEXT(I$6,"00"),'All Units'!$A$5:$A$1272,0))</f>
        <v>3126</v>
      </c>
    </row>
    <row r="62" spans="1:9" x14ac:dyDescent="0.2">
      <c r="A62" s="67">
        <v>21</v>
      </c>
      <c r="B62" s="66">
        <f>INDEX('All Units'!$Q$5:$Q$1272,MATCH("#"&amp;TEXT($A62,"00")&amp;"-"&amp;TEXT(B$6,"00"),'All Units'!$A$5:$A$1272,0))</f>
        <v>3090</v>
      </c>
      <c r="C62" s="66">
        <f>INDEX('All Units'!$Q$5:$Q$1272,MATCH("#"&amp;TEXT($A62,"00")&amp;"-"&amp;TEXT(C$6,"00"),'All Units'!$A$5:$A$1272,0))</f>
        <v>3058</v>
      </c>
      <c r="D62" s="66">
        <f>INDEX('All Units'!$Q$5:$Q$1272,MATCH("#"&amp;TEXT($A62,"00")&amp;"-"&amp;TEXT(D$6,"00"),'All Units'!$A$5:$A$1272,0))</f>
        <v>3058</v>
      </c>
      <c r="E62" s="66">
        <f>INDEX('All Units'!$Q$5:$Q$1272,MATCH("#"&amp;TEXT($A62,"00")&amp;"-"&amp;TEXT(E$6,"00"),'All Units'!$A$5:$A$1272,0))</f>
        <v>3064</v>
      </c>
      <c r="F62" s="66">
        <f>INDEX('All Units'!$Q$5:$Q$1272,MATCH("#"&amp;TEXT($A62,"00")&amp;"-"&amp;TEXT(F$6,"00"),'All Units'!$A$5:$A$1272,0))</f>
        <v>2995</v>
      </c>
      <c r="G62" s="66">
        <f>INDEX('All Units'!$Q$5:$Q$1272,MATCH("#"&amp;TEXT($A62,"00")&amp;"-"&amp;TEXT(G$6,"00"),'All Units'!$A$5:$A$1272,0))</f>
        <v>3052</v>
      </c>
      <c r="H62" s="66">
        <f>INDEX('All Units'!$Q$5:$Q$1272,MATCH("#"&amp;TEXT($A62,"00")&amp;"-"&amp;TEXT(H$6,"00"),'All Units'!$A$5:$A$1272,0))</f>
        <v>3052</v>
      </c>
      <c r="I62" s="66">
        <f>INDEX('All Units'!$Q$5:$Q$1272,MATCH("#"&amp;TEXT($A62,"00")&amp;"-"&amp;TEXT(I$6,"00"),'All Units'!$A$5:$A$1272,0))</f>
        <v>3111</v>
      </c>
    </row>
    <row r="63" spans="1:9" x14ac:dyDescent="0.2">
      <c r="A63" s="67">
        <v>20</v>
      </c>
      <c r="B63" s="66">
        <f>INDEX('All Units'!$Q$5:$Q$1272,MATCH("#"&amp;TEXT($A63,"00")&amp;"-"&amp;TEXT(B$6,"00"),'All Units'!$A$5:$A$1272,0))</f>
        <v>3063</v>
      </c>
      <c r="C63" s="66">
        <f>INDEX('All Units'!$Q$5:$Q$1272,MATCH("#"&amp;TEXT($A63,"00")&amp;"-"&amp;TEXT(C$6,"00"),'All Units'!$A$5:$A$1272,0))</f>
        <v>3032</v>
      </c>
      <c r="D63" s="66">
        <f>INDEX('All Units'!$Q$5:$Q$1272,MATCH("#"&amp;TEXT($A63,"00")&amp;"-"&amp;TEXT(D$6,"00"),'All Units'!$A$5:$A$1272,0))</f>
        <v>3032</v>
      </c>
      <c r="E63" s="66">
        <f>INDEX('All Units'!$Q$5:$Q$1272,MATCH("#"&amp;TEXT($A63,"00")&amp;"-"&amp;TEXT(E$6,"00"),'All Units'!$A$5:$A$1272,0))</f>
        <v>3038</v>
      </c>
      <c r="F63" s="66">
        <f>INDEX('All Units'!$Q$5:$Q$1272,MATCH("#"&amp;TEXT($A63,"00")&amp;"-"&amp;TEXT(F$6,"00"),'All Units'!$A$5:$A$1272,0))</f>
        <v>2968</v>
      </c>
      <c r="G63" s="66">
        <f>INDEX('All Units'!$Q$5:$Q$1272,MATCH("#"&amp;TEXT($A63,"00")&amp;"-"&amp;TEXT(G$6,"00"),'All Units'!$A$5:$A$1272,0))</f>
        <v>3025</v>
      </c>
      <c r="H63" s="66">
        <f>INDEX('All Units'!$Q$5:$Q$1272,MATCH("#"&amp;TEXT($A63,"00")&amp;"-"&amp;TEXT(H$6,"00"),'All Units'!$A$5:$A$1272,0))</f>
        <v>3025</v>
      </c>
      <c r="I63" s="66">
        <f>INDEX('All Units'!$Q$5:$Q$1272,MATCH("#"&amp;TEXT($A63,"00")&amp;"-"&amp;TEXT(I$6,"00"),'All Units'!$A$5:$A$1272,0))</f>
        <v>3091</v>
      </c>
    </row>
    <row r="64" spans="1:9" x14ac:dyDescent="0.2">
      <c r="A64" s="67">
        <v>19</v>
      </c>
      <c r="B64" s="66">
        <f>INDEX('All Units'!$Q$5:$Q$1272,MATCH("#"&amp;TEXT($A64,"00")&amp;"-"&amp;TEXT(B$6,"00"),'All Units'!$A$5:$A$1272,0))</f>
        <v>3037</v>
      </c>
      <c r="C64" s="66">
        <f>INDEX('All Units'!$Q$5:$Q$1272,MATCH("#"&amp;TEXT($A64,"00")&amp;"-"&amp;TEXT(C$6,"00"),'All Units'!$A$5:$A$1272,0))</f>
        <v>3005</v>
      </c>
      <c r="D64" s="66">
        <f>INDEX('All Units'!$Q$5:$Q$1272,MATCH("#"&amp;TEXT($A64,"00")&amp;"-"&amp;TEXT(D$6,"00"),'All Units'!$A$5:$A$1272,0))</f>
        <v>3005</v>
      </c>
      <c r="E64" s="66">
        <f>INDEX('All Units'!$Q$5:$Q$1272,MATCH("#"&amp;TEXT($A64,"00")&amp;"-"&amp;TEXT(E$6,"00"),'All Units'!$A$5:$A$1272,0))</f>
        <v>3012</v>
      </c>
      <c r="F64" s="66">
        <f>INDEX('All Units'!$Q$5:$Q$1272,MATCH("#"&amp;TEXT($A64,"00")&amp;"-"&amp;TEXT(F$6,"00"),'All Units'!$A$5:$A$1272,0))</f>
        <v>2942</v>
      </c>
      <c r="G64" s="66">
        <f>INDEX('All Units'!$Q$5:$Q$1272,MATCH("#"&amp;TEXT($A64,"00")&amp;"-"&amp;TEXT(G$6,"00"),'All Units'!$A$5:$A$1272,0))</f>
        <v>2999</v>
      </c>
      <c r="H64" s="66">
        <f>INDEX('All Units'!$Q$5:$Q$1272,MATCH("#"&amp;TEXT($A64,"00")&amp;"-"&amp;TEXT(H$6,"00"),'All Units'!$A$5:$A$1272,0))</f>
        <v>2999</v>
      </c>
      <c r="I64" s="66">
        <f>INDEX('All Units'!$Q$5:$Q$1272,MATCH("#"&amp;TEXT($A64,"00")&amp;"-"&amp;TEXT(I$6,"00"),'All Units'!$A$5:$A$1272,0))</f>
        <v>3071</v>
      </c>
    </row>
    <row r="65" spans="1:9" x14ac:dyDescent="0.2">
      <c r="A65" s="67">
        <v>18</v>
      </c>
      <c r="B65" s="66">
        <f>INDEX('All Units'!$Q$5:$Q$1272,MATCH("#"&amp;TEXT($A65,"00")&amp;"-"&amp;TEXT(B$6,"00"),'All Units'!$A$5:$A$1272,0))</f>
        <v>3011</v>
      </c>
      <c r="C65" s="66">
        <f>INDEX('All Units'!$Q$5:$Q$1272,MATCH("#"&amp;TEXT($A65,"00")&amp;"-"&amp;TEXT(C$6,"00"),'All Units'!$A$5:$A$1272,0))</f>
        <v>2979</v>
      </c>
      <c r="D65" s="66">
        <f>INDEX('All Units'!$Q$5:$Q$1272,MATCH("#"&amp;TEXT($A65,"00")&amp;"-"&amp;TEXT(D$6,"00"),'All Units'!$A$5:$A$1272,0))</f>
        <v>2979</v>
      </c>
      <c r="E65" s="66">
        <f>INDEX('All Units'!$Q$5:$Q$1272,MATCH("#"&amp;TEXT($A65,"00")&amp;"-"&amp;TEXT(E$6,"00"),'All Units'!$A$5:$A$1272,0))</f>
        <v>2985</v>
      </c>
      <c r="F65" s="66">
        <f>INDEX('All Units'!$Q$5:$Q$1272,MATCH("#"&amp;TEXT($A65,"00")&amp;"-"&amp;TEXT(F$6,"00"),'All Units'!$A$5:$A$1272,0))</f>
        <v>2916</v>
      </c>
      <c r="G65" s="66">
        <f>INDEX('All Units'!$Q$5:$Q$1272,MATCH("#"&amp;TEXT($A65,"00")&amp;"-"&amp;TEXT(G$6,"00"),'All Units'!$A$5:$A$1272,0))</f>
        <v>2973</v>
      </c>
      <c r="H65" s="66">
        <f>INDEX('All Units'!$Q$5:$Q$1272,MATCH("#"&amp;TEXT($A65,"00")&amp;"-"&amp;TEXT(H$6,"00"),'All Units'!$A$5:$A$1272,0))</f>
        <v>2973</v>
      </c>
      <c r="I65" s="66">
        <f>INDEX('All Units'!$Q$5:$Q$1272,MATCH("#"&amp;TEXT($A65,"00")&amp;"-"&amp;TEXT(I$6,"00"),'All Units'!$A$5:$A$1272,0))</f>
        <v>3051</v>
      </c>
    </row>
    <row r="66" spans="1:9" x14ac:dyDescent="0.2">
      <c r="A66" s="67">
        <v>17</v>
      </c>
      <c r="B66" s="66">
        <f>INDEX('All Units'!$Q$5:$Q$1272,MATCH("#"&amp;TEXT($A66,"00")&amp;"-"&amp;TEXT(B$6,"00"),'All Units'!$A$5:$A$1272,0))</f>
        <v>2984</v>
      </c>
      <c r="C66" s="66">
        <f>INDEX('All Units'!$Q$5:$Q$1272,MATCH("#"&amp;TEXT($A66,"00")&amp;"-"&amp;TEXT(C$6,"00"),'All Units'!$A$5:$A$1272,0))</f>
        <v>2953</v>
      </c>
      <c r="D66" s="66">
        <f>INDEX('All Units'!$Q$5:$Q$1272,MATCH("#"&amp;TEXT($A66,"00")&amp;"-"&amp;TEXT(D$6,"00"),'All Units'!$A$5:$A$1272,0))</f>
        <v>2953</v>
      </c>
      <c r="E66" s="66">
        <f>INDEX('All Units'!$Q$5:$Q$1272,MATCH("#"&amp;TEXT($A66,"00")&amp;"-"&amp;TEXT(E$6,"00"),'All Units'!$A$5:$A$1272,0))</f>
        <v>2959</v>
      </c>
      <c r="F66" s="66">
        <f>INDEX('All Units'!$Q$5:$Q$1272,MATCH("#"&amp;TEXT($A66,"00")&amp;"-"&amp;TEXT(F$6,"00"),'All Units'!$A$5:$A$1272,0))</f>
        <v>2890</v>
      </c>
      <c r="G66" s="66">
        <f>INDEX('All Units'!$Q$5:$Q$1272,MATCH("#"&amp;TEXT($A66,"00")&amp;"-"&amp;TEXT(G$6,"00"),'All Units'!$A$5:$A$1272,0))</f>
        <v>2947</v>
      </c>
      <c r="H66" s="66">
        <f>INDEX('All Units'!$Q$5:$Q$1272,MATCH("#"&amp;TEXT($A66,"00")&amp;"-"&amp;TEXT(H$6,"00"),'All Units'!$A$5:$A$1272,0))</f>
        <v>2947</v>
      </c>
      <c r="I66" s="66">
        <f>INDEX('All Units'!$Q$5:$Q$1272,MATCH("#"&amp;TEXT($A66,"00")&amp;"-"&amp;TEXT(I$6,"00"),'All Units'!$A$5:$A$1272,0))</f>
        <v>3031</v>
      </c>
    </row>
    <row r="67" spans="1:9" x14ac:dyDescent="0.2">
      <c r="A67" s="67">
        <v>16</v>
      </c>
      <c r="B67" s="66">
        <f>INDEX('All Units'!$Q$5:$Q$1272,MATCH("#"&amp;TEXT($A67,"00")&amp;"-"&amp;TEXT(B$6,"00"),'All Units'!$A$5:$A$1272,0))</f>
        <v>2958</v>
      </c>
      <c r="C67" s="66">
        <f>INDEX('All Units'!$Q$5:$Q$1272,MATCH("#"&amp;TEXT($A67,"00")&amp;"-"&amp;TEXT(C$6,"00"),'All Units'!$A$5:$A$1272,0))</f>
        <v>2928</v>
      </c>
      <c r="D67" s="66">
        <f>INDEX('All Units'!$Q$5:$Q$1272,MATCH("#"&amp;TEXT($A67,"00")&amp;"-"&amp;TEXT(D$6,"00"),'All Units'!$A$5:$A$1272,0))</f>
        <v>2929</v>
      </c>
      <c r="E67" s="66">
        <f>INDEX('All Units'!$Q$5:$Q$1272,MATCH("#"&amp;TEXT($A67,"00")&amp;"-"&amp;TEXT(E$6,"00"),'All Units'!$A$5:$A$1272,0))</f>
        <v>2935</v>
      </c>
      <c r="F67" s="66">
        <f>INDEX('All Units'!$Q$5:$Q$1272,MATCH("#"&amp;TEXT($A67,"00")&amp;"-"&amp;TEXT(F$6,"00"),'All Units'!$A$5:$A$1272,0))</f>
        <v>2863</v>
      </c>
      <c r="G67" s="66">
        <f>INDEX('All Units'!$Q$5:$Q$1272,MATCH("#"&amp;TEXT($A67,"00")&amp;"-"&amp;TEXT(G$6,"00"),'All Units'!$A$5:$A$1272,0))</f>
        <v>2923</v>
      </c>
      <c r="H67" s="66">
        <f>INDEX('All Units'!$Q$5:$Q$1272,MATCH("#"&amp;TEXT($A67,"00")&amp;"-"&amp;TEXT(H$6,"00"),'All Units'!$A$5:$A$1272,0))</f>
        <v>2923</v>
      </c>
      <c r="I67" s="66">
        <f>INDEX('All Units'!$Q$5:$Q$1272,MATCH("#"&amp;TEXT($A67,"00")&amp;"-"&amp;TEXT(I$6,"00"),'All Units'!$A$5:$A$1272,0))</f>
        <v>3011</v>
      </c>
    </row>
    <row r="68" spans="1:9" x14ac:dyDescent="0.2">
      <c r="A68" s="67">
        <v>15</v>
      </c>
      <c r="B68" s="66">
        <f>INDEX('All Units'!$Q$5:$Q$1272,MATCH("#"&amp;TEXT($A68,"00")&amp;"-"&amp;TEXT(B$6,"00"),'All Units'!$A$5:$A$1272,0))</f>
        <v>2932</v>
      </c>
      <c r="C68" s="66">
        <f>INDEX('All Units'!$Q$5:$Q$1272,MATCH("#"&amp;TEXT($A68,"00")&amp;"-"&amp;TEXT(C$6,"00"),'All Units'!$A$5:$A$1272,0))</f>
        <v>2904</v>
      </c>
      <c r="D68" s="66">
        <f>INDEX('All Units'!$Q$5:$Q$1272,MATCH("#"&amp;TEXT($A68,"00")&amp;"-"&amp;TEXT(D$6,"00"),'All Units'!$A$5:$A$1272,0))</f>
        <v>2906</v>
      </c>
      <c r="E68" s="66">
        <f>INDEX('All Units'!$Q$5:$Q$1272,MATCH("#"&amp;TEXT($A68,"00")&amp;"-"&amp;TEXT(E$6,"00"),'All Units'!$A$5:$A$1272,0))</f>
        <v>2911</v>
      </c>
      <c r="F68" s="66">
        <f>INDEX('All Units'!$Q$5:$Q$1272,MATCH("#"&amp;TEXT($A68,"00")&amp;"-"&amp;TEXT(F$6,"00"),'All Units'!$A$5:$A$1272,0))</f>
        <v>2837</v>
      </c>
      <c r="G68" s="66">
        <f>INDEX('All Units'!$Q$5:$Q$1272,MATCH("#"&amp;TEXT($A68,"00")&amp;"-"&amp;TEXT(G$6,"00"),'All Units'!$A$5:$A$1272,0))</f>
        <v>2900</v>
      </c>
      <c r="H68" s="66">
        <f>INDEX('All Units'!$Q$5:$Q$1272,MATCH("#"&amp;TEXT($A68,"00")&amp;"-"&amp;TEXT(H$6,"00"),'All Units'!$A$5:$A$1272,0))</f>
        <v>2900</v>
      </c>
      <c r="I68" s="66">
        <f>INDEX('All Units'!$Q$5:$Q$1272,MATCH("#"&amp;TEXT($A68,"00")&amp;"-"&amp;TEXT(I$6,"00"),'All Units'!$A$5:$A$1272,0))</f>
        <v>2993</v>
      </c>
    </row>
    <row r="69" spans="1:9" x14ac:dyDescent="0.2">
      <c r="A69" s="67">
        <v>14</v>
      </c>
      <c r="B69" s="66">
        <f>INDEX('All Units'!$Q$5:$Q$1272,MATCH("#"&amp;TEXT($A69,"00")&amp;"-"&amp;TEXT(B$6,"00"),'All Units'!$A$5:$A$1272,0))</f>
        <v>2906</v>
      </c>
      <c r="C69" s="66">
        <f>INDEX('All Units'!$Q$5:$Q$1272,MATCH("#"&amp;TEXT($A69,"00")&amp;"-"&amp;TEXT(C$6,"00"),'All Units'!$A$5:$A$1272,0))</f>
        <v>2880</v>
      </c>
      <c r="D69" s="66">
        <f>INDEX('All Units'!$Q$5:$Q$1272,MATCH("#"&amp;TEXT($A69,"00")&amp;"-"&amp;TEXT(D$6,"00"),'All Units'!$A$5:$A$1272,0))</f>
        <v>2883</v>
      </c>
      <c r="E69" s="66">
        <f>INDEX('All Units'!$Q$5:$Q$1272,MATCH("#"&amp;TEXT($A69,"00")&amp;"-"&amp;TEXT(E$6,"00"),'All Units'!$A$5:$A$1272,0))</f>
        <v>2887</v>
      </c>
      <c r="F69" s="66">
        <f>INDEX('All Units'!$Q$5:$Q$1272,MATCH("#"&amp;TEXT($A69,"00")&amp;"-"&amp;TEXT(F$6,"00"),'All Units'!$A$5:$A$1272,0))</f>
        <v>2811</v>
      </c>
      <c r="G69" s="66">
        <f>INDEX('All Units'!$Q$5:$Q$1272,MATCH("#"&amp;TEXT($A69,"00")&amp;"-"&amp;TEXT(G$6,"00"),'All Units'!$A$5:$A$1272,0))</f>
        <v>2877</v>
      </c>
      <c r="H69" s="66">
        <f>INDEX('All Units'!$Q$5:$Q$1272,MATCH("#"&amp;TEXT($A69,"00")&amp;"-"&amp;TEXT(H$6,"00"),'All Units'!$A$5:$A$1272,0))</f>
        <v>2877</v>
      </c>
      <c r="I69" s="66">
        <f>INDEX('All Units'!$Q$5:$Q$1272,MATCH("#"&amp;TEXT($A69,"00")&amp;"-"&amp;TEXT(I$6,"00"),'All Units'!$A$5:$A$1272,0))</f>
        <v>2974</v>
      </c>
    </row>
    <row r="70" spans="1:9" x14ac:dyDescent="0.2">
      <c r="A70" s="67">
        <v>13</v>
      </c>
      <c r="B70" s="66">
        <f>INDEX('All Units'!$Q$5:$Q$1272,MATCH("#"&amp;TEXT($A70,"00")&amp;"-"&amp;TEXT(B$6,"00"),'All Units'!$A$5:$A$1272,0))</f>
        <v>2879</v>
      </c>
      <c r="C70" s="66">
        <f>INDEX('All Units'!$Q$5:$Q$1272,MATCH("#"&amp;TEXT($A70,"00")&amp;"-"&amp;TEXT(C$6,"00"),'All Units'!$A$5:$A$1272,0))</f>
        <v>2855</v>
      </c>
      <c r="D70" s="66">
        <f>INDEX('All Units'!$Q$5:$Q$1272,MATCH("#"&amp;TEXT($A70,"00")&amp;"-"&amp;TEXT(D$6,"00"),'All Units'!$A$5:$A$1272,0))</f>
        <v>2859</v>
      </c>
      <c r="E70" s="66">
        <f>INDEX('All Units'!$Q$5:$Q$1272,MATCH("#"&amp;TEXT($A70,"00")&amp;"-"&amp;TEXT(E$6,"00"),'All Units'!$A$5:$A$1272,0))</f>
        <v>2864</v>
      </c>
      <c r="F70" s="66">
        <f>INDEX('All Units'!$Q$5:$Q$1272,MATCH("#"&amp;TEXT($A70,"00")&amp;"-"&amp;TEXT(F$6,"00"),'All Units'!$A$5:$A$1272,0))</f>
        <v>2785</v>
      </c>
      <c r="G70" s="66">
        <f>INDEX('All Units'!$Q$5:$Q$1272,MATCH("#"&amp;TEXT($A70,"00")&amp;"-"&amp;TEXT(G$6,"00"),'All Units'!$A$5:$A$1272,0))</f>
        <v>2853</v>
      </c>
      <c r="H70" s="66">
        <f>INDEX('All Units'!$Q$5:$Q$1272,MATCH("#"&amp;TEXT($A70,"00")&amp;"-"&amp;TEXT(H$6,"00"),'All Units'!$A$5:$A$1272,0))</f>
        <v>2853</v>
      </c>
      <c r="I70" s="66">
        <f>INDEX('All Units'!$Q$5:$Q$1272,MATCH("#"&amp;TEXT($A70,"00")&amp;"-"&amp;TEXT(I$6,"00"),'All Units'!$A$5:$A$1272,0))</f>
        <v>2955</v>
      </c>
    </row>
    <row r="71" spans="1:9" x14ac:dyDescent="0.2">
      <c r="A71" s="67">
        <v>12</v>
      </c>
      <c r="B71" s="66">
        <f>INDEX('All Units'!$Q$5:$Q$1272,MATCH("#"&amp;TEXT($A71,"00")&amp;"-"&amp;TEXT(B$6,"00"),'All Units'!$A$5:$A$1272,0))</f>
        <v>2860</v>
      </c>
      <c r="C71" s="66">
        <f>INDEX('All Units'!$Q$5:$Q$1272,MATCH("#"&amp;TEXT($A71,"00")&amp;"-"&amp;TEXT(C$6,"00"),'All Units'!$A$5:$A$1272,0))</f>
        <v>2838</v>
      </c>
      <c r="D71" s="66">
        <f>INDEX('All Units'!$Q$5:$Q$1272,MATCH("#"&amp;TEXT($A71,"00")&amp;"-"&amp;TEXT(D$6,"00"),'All Units'!$A$5:$A$1272,0))</f>
        <v>2842</v>
      </c>
      <c r="E71" s="66">
        <f>INDEX('All Units'!$Q$5:$Q$1272,MATCH("#"&amp;TEXT($A71,"00")&amp;"-"&amp;TEXT(E$6,"00"),'All Units'!$A$5:$A$1272,0))</f>
        <v>2846</v>
      </c>
      <c r="F71" s="66">
        <f>INDEX('All Units'!$Q$5:$Q$1272,MATCH("#"&amp;TEXT($A71,"00")&amp;"-"&amp;TEXT(F$6,"00"),'All Units'!$A$5:$A$1272,0))</f>
        <v>2765</v>
      </c>
      <c r="G71" s="66">
        <f>INDEX('All Units'!$Q$5:$Q$1272,MATCH("#"&amp;TEXT($A71,"00")&amp;"-"&amp;TEXT(G$6,"00"),'All Units'!$A$5:$A$1272,0))</f>
        <v>2836</v>
      </c>
      <c r="H71" s="66">
        <f>INDEX('All Units'!$Q$5:$Q$1272,MATCH("#"&amp;TEXT($A71,"00")&amp;"-"&amp;TEXT(H$6,"00"),'All Units'!$A$5:$A$1272,0))</f>
        <v>2836</v>
      </c>
      <c r="I71" s="66">
        <f>INDEX('All Units'!$Q$5:$Q$1272,MATCH("#"&amp;TEXT($A71,"00")&amp;"-"&amp;TEXT(I$6,"00"),'All Units'!$A$5:$A$1272,0))</f>
        <v>2939</v>
      </c>
    </row>
    <row r="72" spans="1:9" x14ac:dyDescent="0.2">
      <c r="A72" s="67">
        <v>11</v>
      </c>
      <c r="B72" s="66">
        <f>INDEX('All Units'!$Q$5:$Q$1272,MATCH("#"&amp;TEXT($A72,"00")&amp;"-"&amp;TEXT(B$6,"00"),'All Units'!$A$5:$A$1272,0))</f>
        <v>2846</v>
      </c>
      <c r="C72" s="66">
        <f>INDEX('All Units'!$Q$5:$Q$1272,MATCH("#"&amp;TEXT($A72,"00")&amp;"-"&amp;TEXT(C$6,"00"),'All Units'!$A$5:$A$1272,0))</f>
        <v>2826</v>
      </c>
      <c r="D72" s="66">
        <f>INDEX('All Units'!$Q$5:$Q$1272,MATCH("#"&amp;TEXT($A72,"00")&amp;"-"&amp;TEXT(D$6,"00"),'All Units'!$A$5:$A$1272,0))</f>
        <v>2832</v>
      </c>
      <c r="E72" s="66">
        <f>INDEX('All Units'!$Q$5:$Q$1272,MATCH("#"&amp;TEXT($A72,"00")&amp;"-"&amp;TEXT(E$6,"00"),'All Units'!$A$5:$A$1272,0))</f>
        <v>2835</v>
      </c>
      <c r="F72" s="66">
        <f>INDEX('All Units'!$Q$5:$Q$1272,MATCH("#"&amp;TEXT($A72,"00")&amp;"-"&amp;TEXT(F$6,"00"),'All Units'!$A$5:$A$1272,0))</f>
        <v>2752</v>
      </c>
      <c r="G72" s="66">
        <f>INDEX('All Units'!$Q$5:$Q$1272,MATCH("#"&amp;TEXT($A72,"00")&amp;"-"&amp;TEXT(G$6,"00"),'All Units'!$A$5:$A$1272,0))</f>
        <v>2826</v>
      </c>
      <c r="H72" s="66">
        <f>INDEX('All Units'!$Q$5:$Q$1272,MATCH("#"&amp;TEXT($A72,"00")&amp;"-"&amp;TEXT(H$6,"00"),'All Units'!$A$5:$A$1272,0))</f>
        <v>2826</v>
      </c>
      <c r="I72" s="66">
        <f>INDEX('All Units'!$Q$5:$Q$1272,MATCH("#"&amp;TEXT($A72,"00")&amp;"-"&amp;TEXT(I$6,"00"),'All Units'!$A$5:$A$1272,0))</f>
        <v>2924</v>
      </c>
    </row>
    <row r="73" spans="1:9" x14ac:dyDescent="0.2">
      <c r="A73" s="67">
        <v>10</v>
      </c>
      <c r="B73" s="66">
        <f>INDEX('All Units'!$Q$5:$Q$1272,MATCH("#"&amp;TEXT($A73,"00")&amp;"-"&amp;TEXT(B$6,"00"),'All Units'!$A$5:$A$1272,0))</f>
        <v>2833</v>
      </c>
      <c r="C73" s="66">
        <f>INDEX('All Units'!$Q$5:$Q$1272,MATCH("#"&amp;TEXT($A73,"00")&amp;"-"&amp;TEXT(C$6,"00"),'All Units'!$A$5:$A$1272,0))</f>
        <v>2815</v>
      </c>
      <c r="D73" s="66">
        <f>INDEX('All Units'!$Q$5:$Q$1272,MATCH("#"&amp;TEXT($A73,"00")&amp;"-"&amp;TEXT(D$6,"00"),'All Units'!$A$5:$A$1272,0))</f>
        <v>2822</v>
      </c>
      <c r="E73" s="66">
        <f>INDEX('All Units'!$Q$5:$Q$1272,MATCH("#"&amp;TEXT($A73,"00")&amp;"-"&amp;TEXT(E$6,"00"),'All Units'!$A$5:$A$1272,0))</f>
        <v>2825</v>
      </c>
      <c r="F73" s="66">
        <f>INDEX('All Units'!$Q$5:$Q$1272,MATCH("#"&amp;TEXT($A73,"00")&amp;"-"&amp;TEXT(F$6,"00"),'All Units'!$A$5:$A$1272,0))</f>
        <v>2738</v>
      </c>
      <c r="G73" s="66">
        <f>INDEX('All Units'!$Q$5:$Q$1272,MATCH("#"&amp;TEXT($A73,"00")&amp;"-"&amp;TEXT(G$6,"00"),'All Units'!$A$5:$A$1272,0))</f>
        <v>2816</v>
      </c>
      <c r="H73" s="66">
        <f>INDEX('All Units'!$Q$5:$Q$1272,MATCH("#"&amp;TEXT($A73,"00")&amp;"-"&amp;TEXT(H$6,"00"),'All Units'!$A$5:$A$1272,0))</f>
        <v>2816</v>
      </c>
      <c r="I73" s="66">
        <f>INDEX('All Units'!$Q$5:$Q$1272,MATCH("#"&amp;TEXT($A73,"00")&amp;"-"&amp;TEXT(I$6,"00"),'All Units'!$A$5:$A$1272,0))</f>
        <v>2910</v>
      </c>
    </row>
    <row r="74" spans="1:9" x14ac:dyDescent="0.2">
      <c r="A74" s="67">
        <v>9</v>
      </c>
      <c r="B74" s="66">
        <f>INDEX('All Units'!$Q$5:$Q$1272,MATCH("#"&amp;TEXT($A74,"00")&amp;"-"&amp;TEXT(B$6,"00"),'All Units'!$A$5:$A$1272,0))</f>
        <v>2820</v>
      </c>
      <c r="C74" s="66">
        <f>INDEX('All Units'!$Q$5:$Q$1272,MATCH("#"&amp;TEXT($A74,"00")&amp;"-"&amp;TEXT(C$6,"00"),'All Units'!$A$5:$A$1272,0))</f>
        <v>2804</v>
      </c>
      <c r="D74" s="66">
        <f>INDEX('All Units'!$Q$5:$Q$1272,MATCH("#"&amp;TEXT($A74,"00")&amp;"-"&amp;TEXT(D$6,"00"),'All Units'!$A$5:$A$1272,0))</f>
        <v>2811</v>
      </c>
      <c r="E74" s="66">
        <f>INDEX('All Units'!$Q$5:$Q$1272,MATCH("#"&amp;TEXT($A74,"00")&amp;"-"&amp;TEXT(E$6,"00"),'All Units'!$A$5:$A$1272,0))</f>
        <v>2801</v>
      </c>
      <c r="F74" s="66">
        <f>INDEX('All Units'!$Q$5:$Q$1272,MATCH("#"&amp;TEXT($A74,"00")&amp;"-"&amp;TEXT(F$6,"00"),'All Units'!$A$5:$A$1272,0))</f>
        <v>2725</v>
      </c>
      <c r="G74" s="66">
        <f>INDEX('All Units'!$Q$5:$Q$1272,MATCH("#"&amp;TEXT($A74,"00")&amp;"-"&amp;TEXT(G$6,"00"),'All Units'!$A$5:$A$1272,0))</f>
        <v>2793</v>
      </c>
      <c r="H74" s="66">
        <f>INDEX('All Units'!$Q$5:$Q$1272,MATCH("#"&amp;TEXT($A74,"00")&amp;"-"&amp;TEXT(H$6,"00"),'All Units'!$A$5:$A$1272,0))</f>
        <v>2793</v>
      </c>
      <c r="I74" s="66">
        <f>INDEX('All Units'!$Q$5:$Q$1272,MATCH("#"&amp;TEXT($A74,"00")&amp;"-"&amp;TEXT(I$6,"00"),'All Units'!$A$5:$A$1272,0))</f>
        <v>2895</v>
      </c>
    </row>
    <row r="75" spans="1:9" x14ac:dyDescent="0.2">
      <c r="A75" s="67">
        <v>8</v>
      </c>
      <c r="B75" s="66">
        <f>INDEX('All Units'!$Q$5:$Q$1272,MATCH("#"&amp;TEXT($A75,"00")&amp;"-"&amp;TEXT(B$6,"00"),'All Units'!$A$5:$A$1272,0))</f>
        <v>2802</v>
      </c>
      <c r="C75" s="66">
        <f>INDEX('All Units'!$Q$5:$Q$1272,MATCH("#"&amp;TEXT($A75,"00")&amp;"-"&amp;TEXT(C$6,"00"),'All Units'!$A$5:$A$1272,0))</f>
        <v>2793</v>
      </c>
      <c r="D75" s="66">
        <f>INDEX('All Units'!$Q$5:$Q$1272,MATCH("#"&amp;TEXT($A75,"00")&amp;"-"&amp;TEXT(D$6,"00"),'All Units'!$A$5:$A$1272,0))</f>
        <v>2799</v>
      </c>
      <c r="E75" s="66">
        <f>INDEX('All Units'!$Q$5:$Q$1272,MATCH("#"&amp;TEXT($A75,"00")&amp;"-"&amp;TEXT(E$6,"00"),'All Units'!$A$5:$A$1272,0))</f>
        <v>2777</v>
      </c>
      <c r="F75" s="66">
        <f>INDEX('All Units'!$Q$5:$Q$1272,MATCH("#"&amp;TEXT($A75,"00")&amp;"-"&amp;TEXT(F$6,"00"),'All Units'!$A$5:$A$1272,0))</f>
        <v>2712</v>
      </c>
      <c r="G75" s="66">
        <f>INDEX('All Units'!$Q$5:$Q$1272,MATCH("#"&amp;TEXT($A75,"00")&amp;"-"&amp;TEXT(G$6,"00"),'All Units'!$A$5:$A$1272,0))</f>
        <v>2770</v>
      </c>
      <c r="H75" s="66">
        <f>INDEX('All Units'!$Q$5:$Q$1272,MATCH("#"&amp;TEXT($A75,"00")&amp;"-"&amp;TEXT(H$6,"00"),'All Units'!$A$5:$A$1272,0))</f>
        <v>2770</v>
      </c>
      <c r="I75" s="66">
        <f>INDEX('All Units'!$Q$5:$Q$1272,MATCH("#"&amp;TEXT($A75,"00")&amp;"-"&amp;TEXT(I$6,"00"),'All Units'!$A$5:$A$1272,0))</f>
        <v>2880</v>
      </c>
    </row>
    <row r="76" spans="1:9" x14ac:dyDescent="0.2">
      <c r="A76" s="67">
        <v>7</v>
      </c>
      <c r="B76" s="66">
        <f>INDEX('All Units'!$Q$5:$Q$1272,MATCH("#"&amp;TEXT($A76,"00")&amp;"-"&amp;TEXT(B$6,"00"),'All Units'!$A$5:$A$1272,0))</f>
        <v>2785</v>
      </c>
      <c r="C76" s="66">
        <f>INDEX('All Units'!$Q$5:$Q$1272,MATCH("#"&amp;TEXT($A76,"00")&amp;"-"&amp;TEXT(C$6,"00"),'All Units'!$A$5:$A$1272,0))</f>
        <v>2781</v>
      </c>
      <c r="D76" s="66">
        <f>INDEX('All Units'!$Q$5:$Q$1272,MATCH("#"&amp;TEXT($A76,"00")&amp;"-"&amp;TEXT(D$6,"00"),'All Units'!$A$5:$A$1272,0))</f>
        <v>2788</v>
      </c>
      <c r="E76" s="66">
        <f>INDEX('All Units'!$Q$5:$Q$1272,MATCH("#"&amp;TEXT($A76,"00")&amp;"-"&amp;TEXT(E$6,"00"),'All Units'!$A$5:$A$1272,0))</f>
        <v>2753</v>
      </c>
      <c r="F76" s="66">
        <f>INDEX('All Units'!$Q$5:$Q$1272,MATCH("#"&amp;TEXT($A76,"00")&amp;"-"&amp;TEXT(F$6,"00"),'All Units'!$A$5:$A$1272,0))</f>
        <v>2699</v>
      </c>
      <c r="G76" s="66">
        <f>INDEX('All Units'!$Q$5:$Q$1272,MATCH("#"&amp;TEXT($A76,"00")&amp;"-"&amp;TEXT(G$6,"00"),'All Units'!$A$5:$A$1272,0))</f>
        <v>2747</v>
      </c>
      <c r="H76" s="66">
        <f>INDEX('All Units'!$Q$5:$Q$1272,MATCH("#"&amp;TEXT($A76,"00")&amp;"-"&amp;TEXT(H$6,"00"),'All Units'!$A$5:$A$1272,0))</f>
        <v>2747</v>
      </c>
      <c r="I76" s="66">
        <f>INDEX('All Units'!$Q$5:$Q$1272,MATCH("#"&amp;TEXT($A76,"00")&amp;"-"&amp;TEXT(I$6,"00"),'All Units'!$A$5:$A$1272,0))</f>
        <v>2865</v>
      </c>
    </row>
    <row r="77" spans="1:9" x14ac:dyDescent="0.2">
      <c r="A77" s="67">
        <v>6</v>
      </c>
      <c r="B77" s="66">
        <f>INDEX('All Units'!$Q$5:$Q$1272,MATCH("#"&amp;TEXT($A77,"00")&amp;"-"&amp;TEXT(B$6,"00"),'All Units'!$A$5:$A$1272,0))</f>
        <v>2767</v>
      </c>
      <c r="C77" s="66">
        <f>INDEX('All Units'!$Q$5:$Q$1272,MATCH("#"&amp;TEXT($A77,"00")&amp;"-"&amp;TEXT(C$6,"00"),'All Units'!$A$5:$A$1272,0))</f>
        <v>2770</v>
      </c>
      <c r="D77" s="66">
        <f>INDEX('All Units'!$Q$5:$Q$1272,MATCH("#"&amp;TEXT($A77,"00")&amp;"-"&amp;TEXT(D$6,"00"),'All Units'!$A$5:$A$1272,0))</f>
        <v>2776</v>
      </c>
      <c r="E77" s="66">
        <f>INDEX('All Units'!$Q$5:$Q$1272,MATCH("#"&amp;TEXT($A77,"00")&amp;"-"&amp;TEXT(E$6,"00"),'All Units'!$A$5:$A$1272,0))</f>
        <v>2729</v>
      </c>
      <c r="F77" s="66">
        <f>INDEX('All Units'!$Q$5:$Q$1272,MATCH("#"&amp;TEXT($A77,"00")&amp;"-"&amp;TEXT(F$6,"00"),'All Units'!$A$5:$A$1272,0))</f>
        <v>2686</v>
      </c>
      <c r="G77" s="66">
        <f>INDEX('All Units'!$Q$5:$Q$1272,MATCH("#"&amp;TEXT($A77,"00")&amp;"-"&amp;TEXT(G$6,"00"),'All Units'!$A$5:$A$1272,0))</f>
        <v>2725</v>
      </c>
      <c r="H77" s="66">
        <f>INDEX('All Units'!$Q$5:$Q$1272,MATCH("#"&amp;TEXT($A77,"00")&amp;"-"&amp;TEXT(H$6,"00"),'All Units'!$A$5:$A$1272,0))</f>
        <v>2725</v>
      </c>
      <c r="I77" s="66">
        <f>INDEX('All Units'!$Q$5:$Q$1272,MATCH("#"&amp;TEXT($A77,"00")&amp;"-"&amp;TEXT(I$6,"00"),'All Units'!$A$5:$A$1272,0))</f>
        <v>2850</v>
      </c>
    </row>
    <row r="78" spans="1:9" x14ac:dyDescent="0.2">
      <c r="A78" s="67">
        <v>5</v>
      </c>
      <c r="B78" s="66">
        <f>INDEX('All Units'!$Q$5:$Q$1272,MATCH("#"&amp;TEXT($A78,"00")&amp;"-"&amp;TEXT(B$6,"00"),'All Units'!$A$5:$A$1272,0))</f>
        <v>2749</v>
      </c>
      <c r="C78" s="66">
        <f>INDEX('All Units'!$Q$5:$Q$1272,MATCH("#"&amp;TEXT($A78,"00")&amp;"-"&amp;TEXT(C$6,"00"),'All Units'!$A$5:$A$1272,0))</f>
        <v>2759</v>
      </c>
      <c r="D78" s="66">
        <f>INDEX('All Units'!$Q$5:$Q$1272,MATCH("#"&amp;TEXT($A78,"00")&amp;"-"&amp;TEXT(D$6,"00"),'All Units'!$A$5:$A$1272,0))</f>
        <v>2764</v>
      </c>
      <c r="E78" s="66">
        <f>INDEX('All Units'!$Q$5:$Q$1272,MATCH("#"&amp;TEXT($A78,"00")&amp;"-"&amp;TEXT(E$6,"00"),'All Units'!$A$5:$A$1272,0))</f>
        <v>2705</v>
      </c>
      <c r="F78" s="66">
        <f>INDEX('All Units'!$Q$5:$Q$1272,MATCH("#"&amp;TEXT($A78,"00")&amp;"-"&amp;TEXT(F$6,"00"),'All Units'!$A$5:$A$1272,0))</f>
        <v>2673</v>
      </c>
      <c r="G78" s="66">
        <f>INDEX('All Units'!$Q$5:$Q$1272,MATCH("#"&amp;TEXT($A78,"00")&amp;"-"&amp;TEXT(G$6,"00"),'All Units'!$A$5:$A$1272,0))</f>
        <v>2702</v>
      </c>
      <c r="H78" s="66">
        <f>INDEX('All Units'!$Q$5:$Q$1272,MATCH("#"&amp;TEXT($A78,"00")&amp;"-"&amp;TEXT(H$6,"00"),'All Units'!$A$5:$A$1272,0))</f>
        <v>2702</v>
      </c>
      <c r="I78" s="66">
        <f>INDEX('All Units'!$Q$5:$Q$1272,MATCH("#"&amp;TEXT($A78,"00")&amp;"-"&amp;TEXT(I$6,"00"),'All Units'!$A$5:$A$1272,0))</f>
        <v>2835</v>
      </c>
    </row>
    <row r="79" spans="1:9" x14ac:dyDescent="0.2">
      <c r="A79" s="67">
        <v>4</v>
      </c>
      <c r="B79" s="66">
        <f>INDEX('All Units'!$Q$5:$Q$1272,MATCH("#"&amp;TEXT($A79,"00")&amp;"-"&amp;TEXT(B$6,"00"),'All Units'!$A$5:$A$1272,0))</f>
        <v>2732</v>
      </c>
      <c r="C79" s="66">
        <f>INDEX('All Units'!$Q$5:$Q$1272,MATCH("#"&amp;TEXT($A79,"00")&amp;"-"&amp;TEXT(C$6,"00"),'All Units'!$A$5:$A$1272,0))</f>
        <v>2717</v>
      </c>
      <c r="D79" s="66">
        <f>INDEX('All Units'!$Q$5:$Q$1272,MATCH("#"&amp;TEXT($A79,"00")&amp;"-"&amp;TEXT(D$6,"00"),'All Units'!$A$5:$A$1272,0))</f>
        <v>2752</v>
      </c>
      <c r="E79" s="66">
        <f>INDEX('All Units'!$Q$5:$Q$1272,MATCH("#"&amp;TEXT($A79,"00")&amp;"-"&amp;TEXT(E$6,"00"),'All Units'!$A$5:$A$1272,0))</f>
        <v>2681</v>
      </c>
      <c r="F79" s="66">
        <f>INDEX('All Units'!$Q$5:$Q$1272,MATCH("#"&amp;TEXT($A79,"00")&amp;"-"&amp;TEXT(F$6,"00"),'All Units'!$A$5:$A$1272,0))</f>
        <v>2659</v>
      </c>
      <c r="G79" s="66">
        <f>INDEX('All Units'!$Q$5:$Q$1272,MATCH("#"&amp;TEXT($A79,"00")&amp;"-"&amp;TEXT(G$6,"00"),'All Units'!$A$5:$A$1272,0))</f>
        <v>2679</v>
      </c>
      <c r="H79" s="66">
        <f>INDEX('All Units'!$Q$5:$Q$1272,MATCH("#"&amp;TEXT($A79,"00")&amp;"-"&amp;TEXT(H$6,"00"),'All Units'!$A$5:$A$1272,0))</f>
        <v>2679</v>
      </c>
      <c r="I79" s="66">
        <f>INDEX('All Units'!$Q$5:$Q$1272,MATCH("#"&amp;TEXT($A79,"00")&amp;"-"&amp;TEXT(I$6,"00"),'All Units'!$A$5:$A$1272,0))</f>
        <v>2820</v>
      </c>
    </row>
    <row r="80" spans="1:9" x14ac:dyDescent="0.2">
      <c r="A80" s="67">
        <v>3</v>
      </c>
      <c r="B80" s="66">
        <f>INDEX('All Units'!$Q$5:$Q$1272,MATCH("#"&amp;TEXT($A80,"00")&amp;"-"&amp;TEXT(B$6,"00"),'All Units'!$A$5:$A$1272,0))</f>
        <v>2714</v>
      </c>
      <c r="C80" s="66">
        <f>INDEX('All Units'!$Q$5:$Q$1272,MATCH("#"&amp;TEXT($A80,"00")&amp;"-"&amp;TEXT(C$6,"00"),'All Units'!$A$5:$A$1272,0))</f>
        <v>2675</v>
      </c>
      <c r="D80" s="66">
        <f>INDEX('All Units'!$Q$5:$Q$1272,MATCH("#"&amp;TEXT($A80,"00")&amp;"-"&amp;TEXT(D$6,"00"),'All Units'!$A$5:$A$1272,0))</f>
        <v>2740</v>
      </c>
      <c r="E80" s="66">
        <f>INDEX('All Units'!$Q$5:$Q$1272,MATCH("#"&amp;TEXT($A80,"00")&amp;"-"&amp;TEXT(E$6,"00"),'All Units'!$A$5:$A$1272,0))</f>
        <v>2657</v>
      </c>
      <c r="F80" s="66">
        <f>INDEX('All Units'!$Q$5:$Q$1272,MATCH("#"&amp;TEXT($A80,"00")&amp;"-"&amp;TEXT(F$6,"00"),'All Units'!$A$5:$A$1272,0))</f>
        <v>2646</v>
      </c>
      <c r="G80" s="66">
        <f>INDEX('All Units'!$Q$5:$Q$1272,MATCH("#"&amp;TEXT($A80,"00")&amp;"-"&amp;TEXT(G$6,"00"),'All Units'!$A$5:$A$1272,0))</f>
        <v>2656</v>
      </c>
      <c r="H80" s="66">
        <f>INDEX('All Units'!$Q$5:$Q$1272,MATCH("#"&amp;TEXT($A80,"00")&amp;"-"&amp;TEXT(H$6,"00"),'All Units'!$A$5:$A$1272,0))</f>
        <v>2656</v>
      </c>
      <c r="I80" s="66">
        <f>INDEX('All Units'!$Q$5:$Q$1272,MATCH("#"&amp;TEXT($A80,"00")&amp;"-"&amp;TEXT(I$6,"00"),'All Units'!$A$5:$A$1272,0))</f>
        <v>2805</v>
      </c>
    </row>
    <row r="81" spans="1:9" x14ac:dyDescent="0.2">
      <c r="A81" s="67">
        <v>2</v>
      </c>
      <c r="B81" s="66">
        <f>INDEX('All Units'!$Q$5:$Q$1272,MATCH("#"&amp;TEXT($A81,"00")&amp;"-"&amp;TEXT(B$6,"00"),'All Units'!$A$5:$A$1272,0))</f>
        <v>2696</v>
      </c>
      <c r="C81" s="66">
        <f>INDEX('All Units'!$Q$5:$Q$1272,MATCH("#"&amp;TEXT($A81,"00")&amp;"-"&amp;TEXT(C$6,"00"),'All Units'!$A$5:$A$1272,0))</f>
        <v>2633</v>
      </c>
      <c r="D81" s="66">
        <f>INDEX('All Units'!$Q$5:$Q$1272,MATCH("#"&amp;TEXT($A81,"00")&amp;"-"&amp;TEXT(D$6,"00"),'All Units'!$A$5:$A$1272,0))</f>
        <v>2728</v>
      </c>
      <c r="E81" s="66">
        <f>INDEX('All Units'!$Q$5:$Q$1272,MATCH("#"&amp;TEXT($A81,"00")&amp;"-"&amp;TEXT(E$6,"00"),'All Units'!$A$5:$A$1272,0))</f>
        <v>2633</v>
      </c>
      <c r="F81" s="66">
        <f>INDEX('All Units'!$Q$5:$Q$1272,MATCH("#"&amp;TEXT($A81,"00")&amp;"-"&amp;TEXT(F$6,"00"),'All Units'!$A$5:$A$1272,0))</f>
        <v>2633</v>
      </c>
      <c r="G81" s="66">
        <f>INDEX('All Units'!$Q$5:$Q$1272,MATCH("#"&amp;TEXT($A81,"00")&amp;"-"&amp;TEXT(G$6,"00"),'All Units'!$A$5:$A$1272,0))</f>
        <v>2633</v>
      </c>
      <c r="H81" s="66">
        <f>INDEX('All Units'!$Q$5:$Q$1272,MATCH("#"&amp;TEXT($A81,"00")&amp;"-"&amp;TEXT(H$6,"00"),'All Units'!$A$5:$A$1272,0))</f>
        <v>2633</v>
      </c>
      <c r="I81" s="66">
        <f>INDEX('All Units'!$Q$5:$Q$1272,MATCH("#"&amp;TEXT($A81,"00")&amp;"-"&amp;TEXT(I$6,"00"),'All Units'!$A$5:$A$1272,0))</f>
        <v>2790</v>
      </c>
    </row>
    <row r="82" spans="1:9" x14ac:dyDescent="0.2">
      <c r="A82" s="67">
        <v>1</v>
      </c>
      <c r="B82" s="68"/>
      <c r="C82" s="68"/>
      <c r="D82" s="68"/>
      <c r="E82" s="68"/>
      <c r="F82" s="68"/>
      <c r="G82" s="68"/>
      <c r="H82" s="68"/>
      <c r="I82" s="66">
        <f>INDEX('All Units'!$Q$5:$Q$1272,MATCH("#"&amp;TEXT($A82,"00")&amp;"-"&amp;TEXT(I$6,"00"),'All Units'!$A$5:$A$1272,0))</f>
        <v>2776</v>
      </c>
    </row>
  </sheetData>
  <mergeCells count="2">
    <mergeCell ref="A20:I20"/>
    <mergeCell ref="A52:I52"/>
  </mergeCells>
  <conditionalFormatting sqref="B21:I50">
    <cfRule type="expression" dxfId="35" priority="2">
      <formula>AND(B21&lt;&gt;"",B$12&lt;&gt;"",$A21&lt;B$12)</formula>
    </cfRule>
    <cfRule type="expression" dxfId="34" priority="3">
      <formula>AND(B21&lt;&gt;"",$A21&gt;=B$16)</formula>
    </cfRule>
    <cfRule type="expression" dxfId="33" priority="4">
      <formula>AND(B21&lt;&gt;"",$A21&gt;=B$15)</formula>
    </cfRule>
  </conditionalFormatting>
  <conditionalFormatting sqref="B53:I82">
    <cfRule type="expression" dxfId="32" priority="5">
      <formula>AND(B53&lt;&gt;"",B$12&lt;&gt;"",$A53&lt;B$12)</formula>
    </cfRule>
    <cfRule type="expression" dxfId="31" priority="6">
      <formula>AND(B53&lt;&gt;"",$A53&gt;=B$16)</formula>
    </cfRule>
    <cfRule type="expression" dxfId="30"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6E73"/>
    <pageSetUpPr fitToPage="1"/>
  </sheetPr>
  <dimension ref="A1:D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4" width="14.5" customWidth="1"/>
  </cols>
  <sheetData>
    <row r="1" spans="1:4" ht="18" x14ac:dyDescent="0.2">
      <c r="A1" s="2" t="s">
        <v>1481</v>
      </c>
    </row>
    <row r="2" spans="1:4" x14ac:dyDescent="0.2">
      <c r="A2" s="3" t="s">
        <v>1482</v>
      </c>
    </row>
    <row r="3" spans="1:4" x14ac:dyDescent="0.2">
      <c r="A3" s="3" t="s">
        <v>1461</v>
      </c>
    </row>
    <row r="5" spans="1:4" x14ac:dyDescent="0.2">
      <c r="A5" s="58" t="s">
        <v>1462</v>
      </c>
      <c r="B5" s="21">
        <v>1</v>
      </c>
      <c r="C5" s="21">
        <v>3</v>
      </c>
      <c r="D5" s="21">
        <v>9</v>
      </c>
    </row>
    <row r="6" spans="1:4" x14ac:dyDescent="0.2">
      <c r="A6" s="58" t="s">
        <v>99</v>
      </c>
      <c r="B6" s="59">
        <v>5</v>
      </c>
      <c r="C6" s="59">
        <v>10</v>
      </c>
      <c r="D6" s="59">
        <v>41</v>
      </c>
    </row>
    <row r="7" spans="1:4" x14ac:dyDescent="0.2">
      <c r="A7" s="58" t="s">
        <v>30</v>
      </c>
      <c r="B7" s="60" t="s">
        <v>203</v>
      </c>
      <c r="C7" s="60" t="s">
        <v>203</v>
      </c>
      <c r="D7" s="60" t="s">
        <v>1138</v>
      </c>
    </row>
    <row r="8" spans="1:4" x14ac:dyDescent="0.2">
      <c r="A8" s="58" t="s">
        <v>29</v>
      </c>
      <c r="B8" s="20">
        <v>1152</v>
      </c>
      <c r="C8" s="20">
        <v>1152</v>
      </c>
      <c r="D8" s="20">
        <v>1152</v>
      </c>
    </row>
    <row r="9" spans="1:4" x14ac:dyDescent="0.2">
      <c r="A9" s="58" t="s">
        <v>54</v>
      </c>
      <c r="B9" s="21" t="s">
        <v>62</v>
      </c>
      <c r="C9" s="21" t="s">
        <v>62</v>
      </c>
      <c r="D9" s="21" t="s">
        <v>62</v>
      </c>
    </row>
    <row r="10" spans="1:4" ht="30" customHeight="1" x14ac:dyDescent="0.2">
      <c r="A10" s="102" t="s">
        <v>1463</v>
      </c>
      <c r="B10" s="61" t="str">
        <f>Assumptions!$I$131&amp;CHAR(10)&amp;TEXT(Assumptions!$AK$131/1000,"+$0;-$0;$0")&amp;"K / "&amp;TEXT(Assumptions!$AL$131/1000,"+$0;-$0;$0")&amp;"K / "&amp;TEXT(Assumptions!$AM$131/1000,"+$0;-$0;$0")&amp;"K"</f>
        <v>B
-$50K / +$50K / +$50K</v>
      </c>
      <c r="C10" s="61" t="str">
        <f>Assumptions!$I$136&amp;CHAR(10)&amp;TEXT(Assumptions!$AK$136/1000,"+$0;-$0;$0")&amp;"K / "&amp;TEXT(Assumptions!$AL$136/1000,"+$0;-$0;$0")&amp;"K / "&amp;TEXT(Assumptions!$AM$136/1000,"+$0;-$0;$0")&amp;"K"</f>
        <v>B
+$50K / +$25K / +$39K</v>
      </c>
      <c r="D10" s="61" t="str">
        <f>Assumptions!$I$167&amp;CHAR(10)&amp;TEXT(Assumptions!$AK$167/1000,"+$0;-$0;$0")&amp;"K / "&amp;TEXT(Assumptions!$AL$167/1000,"+$0;-$0;$0")&amp;"K / "&amp;TEXT(Assumptions!$AM$167/1000,"+$0;-$0;$0")&amp;"K"</f>
        <v>B
+$50K / -$50K / -$50K</v>
      </c>
    </row>
    <row r="11" spans="1:4" ht="90" customHeight="1" x14ac:dyDescent="0.2">
      <c r="A11" s="102" t="s">
        <v>113</v>
      </c>
      <c r="B11" s="62" t="str">
        <f>Assumptions!$AJ$131</f>
        <v>SSE. Low floors face Forest Grill pavilions; super unblocked landed + nature reserve + city from mid floor; reservoir body on high floors</v>
      </c>
      <c r="C11" s="62" t="str">
        <f>Assumptions!$AJ$136</f>
        <v>SSW. Super unblocked landed estate + nature reserve; premium loaded on mid &amp; high floors</v>
      </c>
      <c r="D11" s="62" t="str">
        <f>Assumptions!$AJ$167</f>
        <v>ESE. Inner Island Pool + landed estate view (Island Club sits behind the pool)</v>
      </c>
    </row>
    <row r="12" spans="1:4" ht="28" x14ac:dyDescent="0.2">
      <c r="A12" s="102" t="s">
        <v>1464</v>
      </c>
      <c r="B12" s="63">
        <f>IF(Assumptions!$L$131="","",Assumptions!$L$131)</f>
        <v>4</v>
      </c>
      <c r="C12" s="63" t="str">
        <f>IF(Assumptions!$L$136="","",Assumptions!$L$136)</f>
        <v/>
      </c>
      <c r="D12" s="63" t="str">
        <f>IF(Assumptions!$L$167="","",Assumptions!$L$167)</f>
        <v/>
      </c>
    </row>
    <row r="13" spans="1:4" ht="28" x14ac:dyDescent="0.2">
      <c r="A13" s="102" t="s">
        <v>1465</v>
      </c>
      <c r="B13" s="63">
        <f>IF(Assumptions!$AD$131="","",Assumptions!$AD$131)</f>
        <v>2</v>
      </c>
      <c r="C13" s="63" t="str">
        <f>IF(Assumptions!$AD$136="","",Assumptions!$AD$136)</f>
        <v/>
      </c>
      <c r="D13" s="63">
        <f>IF(Assumptions!$AD$167="","",Assumptions!$AD$167)</f>
        <v>3</v>
      </c>
    </row>
    <row r="14" spans="1:4" ht="39.75" customHeight="1" x14ac:dyDescent="0.2">
      <c r="A14" s="102" t="s">
        <v>1466</v>
      </c>
      <c r="B14" s="64" t="str">
        <f>IF(Assumptions!$M$131="","",Assumptions!$M$131)</f>
        <v>Forest Grill Pavilion 1: 75% of view, 19.2 to 28m away</v>
      </c>
      <c r="C14" s="64" t="str">
        <f>IF(Assumptions!$M$136="","",Assumptions!$M$136)</f>
        <v/>
      </c>
      <c r="D14" s="64" t="str">
        <f>IF(Assumptions!$M$167="","",Assumptions!$M$167)</f>
        <v/>
      </c>
    </row>
    <row r="15" spans="1:4" ht="28" x14ac:dyDescent="0.2">
      <c r="A15" s="102" t="s">
        <v>1467</v>
      </c>
      <c r="B15" s="65">
        <f>Assumptions!$AH$131</f>
        <v>9</v>
      </c>
      <c r="C15" s="65">
        <f>Assumptions!$AH$136</f>
        <v>9</v>
      </c>
      <c r="D15" s="65">
        <f>Assumptions!$AH$167</f>
        <v>9</v>
      </c>
    </row>
    <row r="16" spans="1:4" ht="28" x14ac:dyDescent="0.2">
      <c r="A16" s="102" t="s">
        <v>1468</v>
      </c>
      <c r="B16" s="65">
        <f>Assumptions!$P$131</f>
        <v>16</v>
      </c>
      <c r="C16" s="65">
        <f>Assumptions!$P$136</f>
        <v>16</v>
      </c>
      <c r="D16" s="65">
        <f>Assumptions!$P$167</f>
        <v>16</v>
      </c>
    </row>
    <row r="17" spans="1:4" x14ac:dyDescent="0.2">
      <c r="A17" s="58" t="s">
        <v>1469</v>
      </c>
      <c r="B17" s="66">
        <f>INDEX('All Units'!$R$5:$R$1272,MATCH("#"&amp;TEXT(2,"00")&amp;"-"&amp;TEXT(B$6,"00"),'All Units'!$A$5:$A$1272,0))</f>
        <v>3052800</v>
      </c>
      <c r="C17" s="66">
        <f>INDEX('All Units'!$R$5:$R$1272,MATCH("#"&amp;TEXT(2,"00")&amp;"-"&amp;TEXT(C$6,"00"),'All Units'!$A$5:$A$1272,0))</f>
        <v>3153000</v>
      </c>
      <c r="D17" s="66">
        <f>INDEX('All Units'!$R$5:$R$1272,MATCH("#"&amp;TEXT(2,"00")&amp;"-"&amp;TEXT(D$6,"00"),'All Units'!$A$5:$A$1272,0))</f>
        <v>3153000</v>
      </c>
    </row>
    <row r="18" spans="1:4" x14ac:dyDescent="0.2">
      <c r="A18" s="58" t="s">
        <v>1470</v>
      </c>
      <c r="B18" s="66">
        <f>INDEX('All Units'!$R$5:$R$1272,MATCH("#"&amp;TEXT(21,"00")&amp;"-"&amp;TEXT(B$6,"00"),'All Units'!$A$5:$A$1272,0))</f>
        <v>3562000</v>
      </c>
      <c r="C18" s="66">
        <f>INDEX('All Units'!$R$5:$R$1272,MATCH("#"&amp;TEXT(21,"00")&amp;"-"&amp;TEXT(C$6,"00"),'All Units'!$A$5:$A$1272,0))</f>
        <v>3551600</v>
      </c>
      <c r="D18" s="66">
        <f>INDEX('All Units'!$R$5:$R$1272,MATCH("#"&amp;TEXT(21,"00")&amp;"-"&amp;TEXT(D$6,"00"),'All Units'!$A$5:$A$1272,0))</f>
        <v>3462900</v>
      </c>
    </row>
    <row r="20" spans="1:4" x14ac:dyDescent="0.2">
      <c r="A20" s="99" t="s">
        <v>1471</v>
      </c>
      <c r="B20" s="99"/>
      <c r="C20" s="99"/>
      <c r="D20" s="99"/>
    </row>
    <row r="21" spans="1:4" x14ac:dyDescent="0.2">
      <c r="A21" s="67">
        <v>30</v>
      </c>
      <c r="B21" s="68"/>
      <c r="C21" s="68"/>
      <c r="D21" s="68"/>
    </row>
    <row r="22" spans="1:4" x14ac:dyDescent="0.2">
      <c r="A22" s="67">
        <v>29</v>
      </c>
      <c r="B22" s="68"/>
      <c r="C22" s="68"/>
      <c r="D22" s="68"/>
    </row>
    <row r="23" spans="1:4" x14ac:dyDescent="0.2">
      <c r="A23" s="67">
        <v>28</v>
      </c>
      <c r="B23" s="68"/>
      <c r="C23" s="68"/>
      <c r="D23" s="68"/>
    </row>
    <row r="24" spans="1:4" x14ac:dyDescent="0.2">
      <c r="A24" s="67">
        <v>27</v>
      </c>
      <c r="B24" s="68"/>
      <c r="C24" s="68"/>
      <c r="D24" s="68"/>
    </row>
    <row r="25" spans="1:4" x14ac:dyDescent="0.2">
      <c r="A25" s="67">
        <v>26</v>
      </c>
      <c r="B25" s="68"/>
      <c r="C25" s="68"/>
      <c r="D25" s="68"/>
    </row>
    <row r="26" spans="1:4" x14ac:dyDescent="0.2">
      <c r="A26" s="67">
        <v>25</v>
      </c>
      <c r="B26" s="68"/>
      <c r="C26" s="68"/>
      <c r="D26" s="68"/>
    </row>
    <row r="27" spans="1:4" x14ac:dyDescent="0.2">
      <c r="A27" s="67">
        <v>24</v>
      </c>
      <c r="B27" s="68"/>
      <c r="C27" s="68"/>
      <c r="D27" s="68"/>
    </row>
    <row r="28" spans="1:4" x14ac:dyDescent="0.2">
      <c r="A28" s="67">
        <v>23</v>
      </c>
      <c r="B28" s="68"/>
      <c r="C28" s="68"/>
      <c r="D28" s="68"/>
    </row>
    <row r="29" spans="1:4" x14ac:dyDescent="0.2">
      <c r="A29" s="67">
        <v>22</v>
      </c>
      <c r="B29" s="68"/>
      <c r="C29" s="68"/>
      <c r="D29" s="68"/>
    </row>
    <row r="30" spans="1:4" x14ac:dyDescent="0.2">
      <c r="A30" s="67">
        <v>21</v>
      </c>
      <c r="B30" s="66">
        <f>INDEX('All Units'!$R$5:$R$1272,MATCH("#"&amp;TEXT($A30,"00")&amp;"-"&amp;TEXT(B$6,"00"),'All Units'!$A$5:$A$1272,0))</f>
        <v>3562000</v>
      </c>
      <c r="C30" s="66">
        <f>INDEX('All Units'!$R$5:$R$1272,MATCH("#"&amp;TEXT($A30,"00")&amp;"-"&amp;TEXT(C$6,"00"),'All Units'!$A$5:$A$1272,0))</f>
        <v>3551600</v>
      </c>
      <c r="D30" s="66">
        <f>INDEX('All Units'!$R$5:$R$1272,MATCH("#"&amp;TEXT($A30,"00")&amp;"-"&amp;TEXT(D$6,"00"),'All Units'!$A$5:$A$1272,0))</f>
        <v>3462900</v>
      </c>
    </row>
    <row r="31" spans="1:4" x14ac:dyDescent="0.2">
      <c r="A31" s="67">
        <v>20</v>
      </c>
      <c r="B31" s="66">
        <f>INDEX('All Units'!$R$5:$R$1272,MATCH("#"&amp;TEXT($A31,"00")&amp;"-"&amp;TEXT(B$6,"00"),'All Units'!$A$5:$A$1272,0))</f>
        <v>3534300</v>
      </c>
      <c r="C31" s="66">
        <f>INDEX('All Units'!$R$5:$R$1272,MATCH("#"&amp;TEXT($A31,"00")&amp;"-"&amp;TEXT(C$6,"00"),'All Units'!$A$5:$A$1272,0))</f>
        <v>3524000</v>
      </c>
      <c r="D31" s="66">
        <f>INDEX('All Units'!$R$5:$R$1272,MATCH("#"&amp;TEXT($A31,"00")&amp;"-"&amp;TEXT(D$6,"00"),'All Units'!$A$5:$A$1272,0))</f>
        <v>3435300</v>
      </c>
    </row>
    <row r="32" spans="1:4" x14ac:dyDescent="0.2">
      <c r="A32" s="67">
        <v>19</v>
      </c>
      <c r="B32" s="66">
        <f>INDEX('All Units'!$R$5:$R$1272,MATCH("#"&amp;TEXT($A32,"00")&amp;"-"&amp;TEXT(B$6,"00"),'All Units'!$A$5:$A$1272,0))</f>
        <v>3506700</v>
      </c>
      <c r="C32" s="66">
        <f>INDEX('All Units'!$R$5:$R$1272,MATCH("#"&amp;TEXT($A32,"00")&amp;"-"&amp;TEXT(C$6,"00"),'All Units'!$A$5:$A$1272,0))</f>
        <v>3496300</v>
      </c>
      <c r="D32" s="66">
        <f>INDEX('All Units'!$R$5:$R$1272,MATCH("#"&amp;TEXT($A32,"00")&amp;"-"&amp;TEXT(D$6,"00"),'All Units'!$A$5:$A$1272,0))</f>
        <v>3406500</v>
      </c>
    </row>
    <row r="33" spans="1:4" x14ac:dyDescent="0.2">
      <c r="A33" s="67">
        <v>18</v>
      </c>
      <c r="B33" s="66">
        <f>INDEX('All Units'!$R$5:$R$1272,MATCH("#"&amp;TEXT($A33,"00")&amp;"-"&amp;TEXT(B$6,"00"),'All Units'!$A$5:$A$1272,0))</f>
        <v>3479000</v>
      </c>
      <c r="C33" s="66">
        <f>INDEX('All Units'!$R$5:$R$1272,MATCH("#"&amp;TEXT($A33,"00")&amp;"-"&amp;TEXT(C$6,"00"),'All Units'!$A$5:$A$1272,0))</f>
        <v>3468700</v>
      </c>
      <c r="D33" s="66">
        <f>INDEX('All Units'!$R$5:$R$1272,MATCH("#"&amp;TEXT($A33,"00")&amp;"-"&amp;TEXT(D$6,"00"),'All Units'!$A$5:$A$1272,0))</f>
        <v>3378800</v>
      </c>
    </row>
    <row r="34" spans="1:4" x14ac:dyDescent="0.2">
      <c r="A34" s="67">
        <v>17</v>
      </c>
      <c r="B34" s="66">
        <f>INDEX('All Units'!$R$5:$R$1272,MATCH("#"&amp;TEXT($A34,"00")&amp;"-"&amp;TEXT(B$6,"00"),'All Units'!$A$5:$A$1272,0))</f>
        <v>3451400</v>
      </c>
      <c r="C34" s="66">
        <f>INDEX('All Units'!$R$5:$R$1272,MATCH("#"&amp;TEXT($A34,"00")&amp;"-"&amp;TEXT(C$6,"00"),'All Units'!$A$5:$A$1272,0))</f>
        <v>3439900</v>
      </c>
      <c r="D34" s="66">
        <f>INDEX('All Units'!$R$5:$R$1272,MATCH("#"&amp;TEXT($A34,"00")&amp;"-"&amp;TEXT(D$6,"00"),'All Units'!$A$5:$A$1272,0))</f>
        <v>3351200</v>
      </c>
    </row>
    <row r="35" spans="1:4" x14ac:dyDescent="0.2">
      <c r="A35" s="67">
        <v>16</v>
      </c>
      <c r="B35" s="66">
        <f>INDEX('All Units'!$R$5:$R$1272,MATCH("#"&amp;TEXT($A35,"00")&amp;"-"&amp;TEXT(B$6,"00"),'All Units'!$A$5:$A$1272,0))</f>
        <v>3423700</v>
      </c>
      <c r="C35" s="66">
        <f>INDEX('All Units'!$R$5:$R$1272,MATCH("#"&amp;TEXT($A35,"00")&amp;"-"&amp;TEXT(C$6,"00"),'All Units'!$A$5:$A$1272,0))</f>
        <v>3412200</v>
      </c>
      <c r="D35" s="66">
        <f>INDEX('All Units'!$R$5:$R$1272,MATCH("#"&amp;TEXT($A35,"00")&amp;"-"&amp;TEXT(D$6,"00"),'All Units'!$A$5:$A$1272,0))</f>
        <v>3323500</v>
      </c>
    </row>
    <row r="36" spans="1:4" x14ac:dyDescent="0.2">
      <c r="A36" s="67">
        <v>15</v>
      </c>
      <c r="B36" s="66">
        <f>INDEX('All Units'!$R$5:$R$1272,MATCH("#"&amp;TEXT($A36,"00")&amp;"-"&amp;TEXT(B$6,"00"),'All Units'!$A$5:$A$1272,0))</f>
        <v>3396100</v>
      </c>
      <c r="C36" s="66">
        <f>INDEX('All Units'!$R$5:$R$1272,MATCH("#"&amp;TEXT($A36,"00")&amp;"-"&amp;TEXT(C$6,"00"),'All Units'!$A$5:$A$1272,0))</f>
        <v>3383400</v>
      </c>
      <c r="D36" s="66">
        <f>INDEX('All Units'!$R$5:$R$1272,MATCH("#"&amp;TEXT($A36,"00")&amp;"-"&amp;TEXT(D$6,"00"),'All Units'!$A$5:$A$1272,0))</f>
        <v>3295900</v>
      </c>
    </row>
    <row r="37" spans="1:4" x14ac:dyDescent="0.2">
      <c r="A37" s="67">
        <v>14</v>
      </c>
      <c r="B37" s="66">
        <f>INDEX('All Units'!$R$5:$R$1272,MATCH("#"&amp;TEXT($A37,"00")&amp;"-"&amp;TEXT(B$6,"00"),'All Units'!$A$5:$A$1272,0))</f>
        <v>3368400</v>
      </c>
      <c r="C37" s="66">
        <f>INDEX('All Units'!$R$5:$R$1272,MATCH("#"&amp;TEXT($A37,"00")&amp;"-"&amp;TEXT(C$6,"00"),'All Units'!$A$5:$A$1272,0))</f>
        <v>3353500</v>
      </c>
      <c r="D37" s="66">
        <f>INDEX('All Units'!$R$5:$R$1272,MATCH("#"&amp;TEXT($A37,"00")&amp;"-"&amp;TEXT(D$6,"00"),'All Units'!$A$5:$A$1272,0))</f>
        <v>3268200</v>
      </c>
    </row>
    <row r="38" spans="1:4" x14ac:dyDescent="0.2">
      <c r="A38" s="67">
        <v>13</v>
      </c>
      <c r="B38" s="66">
        <f>INDEX('All Units'!$R$5:$R$1272,MATCH("#"&amp;TEXT($A38,"00")&amp;"-"&amp;TEXT(B$6,"00"),'All Units'!$A$5:$A$1272,0))</f>
        <v>3340800</v>
      </c>
      <c r="C38" s="66">
        <f>INDEX('All Units'!$R$5:$R$1272,MATCH("#"&amp;TEXT($A38,"00")&amp;"-"&amp;TEXT(C$6,"00"),'All Units'!$A$5:$A$1272,0))</f>
        <v>3323500</v>
      </c>
      <c r="D38" s="66">
        <f>INDEX('All Units'!$R$5:$R$1272,MATCH("#"&amp;TEXT($A38,"00")&amp;"-"&amp;TEXT(D$6,"00"),'All Units'!$A$5:$A$1272,0))</f>
        <v>3240600</v>
      </c>
    </row>
    <row r="39" spans="1:4" x14ac:dyDescent="0.2">
      <c r="A39" s="67">
        <v>12</v>
      </c>
      <c r="B39" s="66">
        <f>INDEX('All Units'!$R$5:$R$1272,MATCH("#"&amp;TEXT($A39,"00")&amp;"-"&amp;TEXT(B$6,"00"),'All Units'!$A$5:$A$1272,0))</f>
        <v>3313200</v>
      </c>
      <c r="C39" s="66">
        <f>INDEX('All Units'!$R$5:$R$1272,MATCH("#"&amp;TEXT($A39,"00")&amp;"-"&amp;TEXT(C$6,"00"),'All Units'!$A$5:$A$1272,0))</f>
        <v>3293600</v>
      </c>
      <c r="D39" s="66">
        <f>INDEX('All Units'!$R$5:$R$1272,MATCH("#"&amp;TEXT($A39,"00")&amp;"-"&amp;TEXT(D$6,"00"),'All Units'!$A$5:$A$1272,0))</f>
        <v>3212900</v>
      </c>
    </row>
    <row r="40" spans="1:4" x14ac:dyDescent="0.2">
      <c r="A40" s="67">
        <v>11</v>
      </c>
      <c r="B40" s="66">
        <f>INDEX('All Units'!$R$5:$R$1272,MATCH("#"&amp;TEXT($A40,"00")&amp;"-"&amp;TEXT(B$6,"00"),'All Units'!$A$5:$A$1272,0))</f>
        <v>3297000</v>
      </c>
      <c r="C40" s="66">
        <f>INDEX('All Units'!$R$5:$R$1272,MATCH("#"&amp;TEXT($A40,"00")&amp;"-"&amp;TEXT(C$6,"00"),'All Units'!$A$5:$A$1272,0))</f>
        <v>3275100</v>
      </c>
      <c r="D40" s="66">
        <f>INDEX('All Units'!$R$5:$R$1272,MATCH("#"&amp;TEXT($A40,"00")&amp;"-"&amp;TEXT(D$6,"00"),'All Units'!$A$5:$A$1272,0))</f>
        <v>3196800</v>
      </c>
    </row>
    <row r="41" spans="1:4" x14ac:dyDescent="0.2">
      <c r="A41" s="67">
        <v>10</v>
      </c>
      <c r="B41" s="66">
        <f>INDEX('All Units'!$R$5:$R$1272,MATCH("#"&amp;TEXT($A41,"00")&amp;"-"&amp;TEXT(B$6,"00"),'All Units'!$A$5:$A$1272,0))</f>
        <v>3280900</v>
      </c>
      <c r="C41" s="66">
        <f>INDEX('All Units'!$R$5:$R$1272,MATCH("#"&amp;TEXT($A41,"00")&amp;"-"&amp;TEXT(C$6,"00"),'All Units'!$A$5:$A$1272,0))</f>
        <v>3257900</v>
      </c>
      <c r="D41" s="66">
        <f>INDEX('All Units'!$R$5:$R$1272,MATCH("#"&amp;TEXT($A41,"00")&amp;"-"&amp;TEXT(D$6,"00"),'All Units'!$A$5:$A$1272,0))</f>
        <v>3180700</v>
      </c>
    </row>
    <row r="42" spans="1:4" x14ac:dyDescent="0.2">
      <c r="A42" s="67">
        <v>9</v>
      </c>
      <c r="B42" s="66">
        <f>INDEX('All Units'!$R$5:$R$1272,MATCH("#"&amp;TEXT($A42,"00")&amp;"-"&amp;TEXT(B$6,"00"),'All Units'!$A$5:$A$1272,0))</f>
        <v>3264800</v>
      </c>
      <c r="C42" s="66">
        <f>INDEX('All Units'!$R$5:$R$1272,MATCH("#"&amp;TEXT($A42,"00")&amp;"-"&amp;TEXT(C$6,"00"),'All Units'!$A$5:$A$1272,0))</f>
        <v>3239400</v>
      </c>
      <c r="D42" s="66">
        <f>INDEX('All Units'!$R$5:$R$1272,MATCH("#"&amp;TEXT($A42,"00")&amp;"-"&amp;TEXT(D$6,"00"),'All Units'!$A$5:$A$1272,0))</f>
        <v>3164500</v>
      </c>
    </row>
    <row r="43" spans="1:4" x14ac:dyDescent="0.2">
      <c r="A43" s="67">
        <v>8</v>
      </c>
      <c r="B43" s="66">
        <f>INDEX('All Units'!$R$5:$R$1272,MATCH("#"&amp;TEXT($A43,"00")&amp;"-"&amp;TEXT(B$6,"00"),'All Units'!$A$5:$A$1272,0))</f>
        <v>3234800</v>
      </c>
      <c r="C43" s="66">
        <f>INDEX('All Units'!$R$5:$R$1272,MATCH("#"&amp;TEXT($A43,"00")&amp;"-"&amp;TEXT(C$6,"00"),'All Units'!$A$5:$A$1272,0))</f>
        <v>3226800</v>
      </c>
      <c r="D43" s="66">
        <f>INDEX('All Units'!$R$5:$R$1272,MATCH("#"&amp;TEXT($A43,"00")&amp;"-"&amp;TEXT(D$6,"00"),'All Units'!$A$5:$A$1272,0))</f>
        <v>3163400</v>
      </c>
    </row>
    <row r="44" spans="1:4" x14ac:dyDescent="0.2">
      <c r="A44" s="67">
        <v>7</v>
      </c>
      <c r="B44" s="66">
        <f>INDEX('All Units'!$R$5:$R$1272,MATCH("#"&amp;TEXT($A44,"00")&amp;"-"&amp;TEXT(B$6,"00"),'All Units'!$A$5:$A$1272,0))</f>
        <v>3203700</v>
      </c>
      <c r="C44" s="66">
        <f>INDEX('All Units'!$R$5:$R$1272,MATCH("#"&amp;TEXT($A44,"00")&amp;"-"&amp;TEXT(C$6,"00"),'All Units'!$A$5:$A$1272,0))</f>
        <v>3215200</v>
      </c>
      <c r="D44" s="66">
        <f>INDEX('All Units'!$R$5:$R$1272,MATCH("#"&amp;TEXT($A44,"00")&amp;"-"&amp;TEXT(D$6,"00"),'All Units'!$A$5:$A$1272,0))</f>
        <v>3161100</v>
      </c>
    </row>
    <row r="45" spans="1:4" x14ac:dyDescent="0.2">
      <c r="A45" s="67">
        <v>6</v>
      </c>
      <c r="B45" s="66">
        <f>INDEX('All Units'!$R$5:$R$1272,MATCH("#"&amp;TEXT($A45,"00")&amp;"-"&amp;TEXT(B$6,"00"),'All Units'!$A$5:$A$1272,0))</f>
        <v>3173800</v>
      </c>
      <c r="C45" s="66">
        <f>INDEX('All Units'!$R$5:$R$1272,MATCH("#"&amp;TEXT($A45,"00")&amp;"-"&amp;TEXT(C$6,"00"),'All Units'!$A$5:$A$1272,0))</f>
        <v>3202600</v>
      </c>
      <c r="D45" s="66">
        <f>INDEX('All Units'!$R$5:$R$1272,MATCH("#"&amp;TEXT($A45,"00")&amp;"-"&amp;TEXT(D$6,"00"),'All Units'!$A$5:$A$1272,0))</f>
        <v>3159900</v>
      </c>
    </row>
    <row r="46" spans="1:4" x14ac:dyDescent="0.2">
      <c r="A46" s="67">
        <v>5</v>
      </c>
      <c r="B46" s="66">
        <f>INDEX('All Units'!$R$5:$R$1272,MATCH("#"&amp;TEXT($A46,"00")&amp;"-"&amp;TEXT(B$6,"00"),'All Units'!$A$5:$A$1272,0))</f>
        <v>3143800</v>
      </c>
      <c r="C46" s="66">
        <f>INDEX('All Units'!$R$5:$R$1272,MATCH("#"&amp;TEXT($A46,"00")&amp;"-"&amp;TEXT(C$6,"00"),'All Units'!$A$5:$A$1272,0))</f>
        <v>3189900</v>
      </c>
      <c r="D46" s="66">
        <f>INDEX('All Units'!$R$5:$R$1272,MATCH("#"&amp;TEXT($A46,"00")&amp;"-"&amp;TEXT(D$6,"00"),'All Units'!$A$5:$A$1272,0))</f>
        <v>3157600</v>
      </c>
    </row>
    <row r="47" spans="1:4" x14ac:dyDescent="0.2">
      <c r="A47" s="67">
        <v>4</v>
      </c>
      <c r="B47" s="66">
        <f>INDEX('All Units'!$R$5:$R$1272,MATCH("#"&amp;TEXT($A47,"00")&amp;"-"&amp;TEXT(B$6,"00"),'All Units'!$A$5:$A$1272,0))</f>
        <v>3113900</v>
      </c>
      <c r="C47" s="66">
        <f>INDEX('All Units'!$R$5:$R$1272,MATCH("#"&amp;TEXT($A47,"00")&amp;"-"&amp;TEXT(C$6,"00"),'All Units'!$A$5:$A$1272,0))</f>
        <v>3177200</v>
      </c>
      <c r="D47" s="66">
        <f>INDEX('All Units'!$R$5:$R$1272,MATCH("#"&amp;TEXT($A47,"00")&amp;"-"&amp;TEXT(D$6,"00"),'All Units'!$A$5:$A$1272,0))</f>
        <v>3156500</v>
      </c>
    </row>
    <row r="48" spans="1:4" x14ac:dyDescent="0.2">
      <c r="A48" s="67">
        <v>3</v>
      </c>
      <c r="B48" s="66">
        <f>INDEX('All Units'!$R$5:$R$1272,MATCH("#"&amp;TEXT($A48,"00")&amp;"-"&amp;TEXT(B$6,"00"),'All Units'!$A$5:$A$1272,0))</f>
        <v>3082800</v>
      </c>
      <c r="C48" s="66">
        <f>INDEX('All Units'!$R$5:$R$1272,MATCH("#"&amp;TEXT($A48,"00")&amp;"-"&amp;TEXT(C$6,"00"),'All Units'!$A$5:$A$1272,0))</f>
        <v>3165700</v>
      </c>
      <c r="D48" s="66">
        <f>INDEX('All Units'!$R$5:$R$1272,MATCH("#"&amp;TEXT($A48,"00")&amp;"-"&amp;TEXT(D$6,"00"),'All Units'!$A$5:$A$1272,0))</f>
        <v>3154200</v>
      </c>
    </row>
    <row r="49" spans="1:4" x14ac:dyDescent="0.2">
      <c r="A49" s="67">
        <v>2</v>
      </c>
      <c r="B49" s="66">
        <f>INDEX('All Units'!$R$5:$R$1272,MATCH("#"&amp;TEXT($A49,"00")&amp;"-"&amp;TEXT(B$6,"00"),'All Units'!$A$5:$A$1272,0))</f>
        <v>3052800</v>
      </c>
      <c r="C49" s="66">
        <f>INDEX('All Units'!$R$5:$R$1272,MATCH("#"&amp;TEXT($A49,"00")&amp;"-"&amp;TEXT(C$6,"00"),'All Units'!$A$5:$A$1272,0))</f>
        <v>3153000</v>
      </c>
      <c r="D49" s="66">
        <f>INDEX('All Units'!$R$5:$R$1272,MATCH("#"&amp;TEXT($A49,"00")&amp;"-"&amp;TEXT(D$6,"00"),'All Units'!$A$5:$A$1272,0))</f>
        <v>3153000</v>
      </c>
    </row>
    <row r="50" spans="1:4" x14ac:dyDescent="0.2">
      <c r="A50" s="67">
        <v>1</v>
      </c>
      <c r="B50" s="68"/>
      <c r="C50" s="68"/>
      <c r="D50" s="68"/>
    </row>
    <row r="52" spans="1:4" x14ac:dyDescent="0.2">
      <c r="A52" s="99" t="s">
        <v>1472</v>
      </c>
      <c r="B52" s="99"/>
      <c r="C52" s="99"/>
      <c r="D52" s="99"/>
    </row>
    <row r="53" spans="1:4" x14ac:dyDescent="0.2">
      <c r="A53" s="67">
        <v>30</v>
      </c>
      <c r="B53" s="68"/>
      <c r="C53" s="68"/>
      <c r="D53" s="68"/>
    </row>
    <row r="54" spans="1:4" x14ac:dyDescent="0.2">
      <c r="A54" s="67">
        <v>29</v>
      </c>
      <c r="B54" s="68"/>
      <c r="C54" s="68"/>
      <c r="D54" s="68"/>
    </row>
    <row r="55" spans="1:4" x14ac:dyDescent="0.2">
      <c r="A55" s="67">
        <v>28</v>
      </c>
      <c r="B55" s="68"/>
      <c r="C55" s="68"/>
      <c r="D55" s="68"/>
    </row>
    <row r="56" spans="1:4" x14ac:dyDescent="0.2">
      <c r="A56" s="67">
        <v>27</v>
      </c>
      <c r="B56" s="68"/>
      <c r="C56" s="68"/>
      <c r="D56" s="68"/>
    </row>
    <row r="57" spans="1:4" x14ac:dyDescent="0.2">
      <c r="A57" s="67">
        <v>26</v>
      </c>
      <c r="B57" s="68"/>
      <c r="C57" s="68"/>
      <c r="D57" s="68"/>
    </row>
    <row r="58" spans="1:4" x14ac:dyDescent="0.2">
      <c r="A58" s="67">
        <v>25</v>
      </c>
      <c r="B58" s="68"/>
      <c r="C58" s="68"/>
      <c r="D58" s="68"/>
    </row>
    <row r="59" spans="1:4" x14ac:dyDescent="0.2">
      <c r="A59" s="67">
        <v>24</v>
      </c>
      <c r="B59" s="68"/>
      <c r="C59" s="68"/>
      <c r="D59" s="68"/>
    </row>
    <row r="60" spans="1:4" x14ac:dyDescent="0.2">
      <c r="A60" s="67">
        <v>23</v>
      </c>
      <c r="B60" s="68"/>
      <c r="C60" s="68"/>
      <c r="D60" s="68"/>
    </row>
    <row r="61" spans="1:4" x14ac:dyDescent="0.2">
      <c r="A61" s="67">
        <v>22</v>
      </c>
      <c r="B61" s="68"/>
      <c r="C61" s="68"/>
      <c r="D61" s="68"/>
    </row>
    <row r="62" spans="1:4" x14ac:dyDescent="0.2">
      <c r="A62" s="67">
        <v>21</v>
      </c>
      <c r="B62" s="66">
        <f>INDEX('All Units'!$Q$5:$Q$1272,MATCH("#"&amp;TEXT($A62,"00")&amp;"-"&amp;TEXT(B$6,"00"),'All Units'!$A$5:$A$1272,0))</f>
        <v>3092</v>
      </c>
      <c r="C62" s="66">
        <f>INDEX('All Units'!$Q$5:$Q$1272,MATCH("#"&amp;TEXT($A62,"00")&amp;"-"&amp;TEXT(C$6,"00"),'All Units'!$A$5:$A$1272,0))</f>
        <v>3083</v>
      </c>
      <c r="D62" s="66">
        <f>INDEX('All Units'!$Q$5:$Q$1272,MATCH("#"&amp;TEXT($A62,"00")&amp;"-"&amp;TEXT(D$6,"00"),'All Units'!$A$5:$A$1272,0))</f>
        <v>3006</v>
      </c>
    </row>
    <row r="63" spans="1:4" x14ac:dyDescent="0.2">
      <c r="A63" s="67">
        <v>20</v>
      </c>
      <c r="B63" s="66">
        <f>INDEX('All Units'!$Q$5:$Q$1272,MATCH("#"&amp;TEXT($A63,"00")&amp;"-"&amp;TEXT(B$6,"00"),'All Units'!$A$5:$A$1272,0))</f>
        <v>3068</v>
      </c>
      <c r="C63" s="66">
        <f>INDEX('All Units'!$Q$5:$Q$1272,MATCH("#"&amp;TEXT($A63,"00")&amp;"-"&amp;TEXT(C$6,"00"),'All Units'!$A$5:$A$1272,0))</f>
        <v>3059</v>
      </c>
      <c r="D63" s="66">
        <f>INDEX('All Units'!$Q$5:$Q$1272,MATCH("#"&amp;TEXT($A63,"00")&amp;"-"&amp;TEXT(D$6,"00"),'All Units'!$A$5:$A$1272,0))</f>
        <v>2982</v>
      </c>
    </row>
    <row r="64" spans="1:4" x14ac:dyDescent="0.2">
      <c r="A64" s="67">
        <v>19</v>
      </c>
      <c r="B64" s="66">
        <f>INDEX('All Units'!$Q$5:$Q$1272,MATCH("#"&amp;TEXT($A64,"00")&amp;"-"&amp;TEXT(B$6,"00"),'All Units'!$A$5:$A$1272,0))</f>
        <v>3044</v>
      </c>
      <c r="C64" s="66">
        <f>INDEX('All Units'!$Q$5:$Q$1272,MATCH("#"&amp;TEXT($A64,"00")&amp;"-"&amp;TEXT(C$6,"00"),'All Units'!$A$5:$A$1272,0))</f>
        <v>3035</v>
      </c>
      <c r="D64" s="66">
        <f>INDEX('All Units'!$Q$5:$Q$1272,MATCH("#"&amp;TEXT($A64,"00")&amp;"-"&amp;TEXT(D$6,"00"),'All Units'!$A$5:$A$1272,0))</f>
        <v>2957</v>
      </c>
    </row>
    <row r="65" spans="1:4" x14ac:dyDescent="0.2">
      <c r="A65" s="67">
        <v>18</v>
      </c>
      <c r="B65" s="66">
        <f>INDEX('All Units'!$Q$5:$Q$1272,MATCH("#"&amp;TEXT($A65,"00")&amp;"-"&amp;TEXT(B$6,"00"),'All Units'!$A$5:$A$1272,0))</f>
        <v>3020</v>
      </c>
      <c r="C65" s="66">
        <f>INDEX('All Units'!$Q$5:$Q$1272,MATCH("#"&amp;TEXT($A65,"00")&amp;"-"&amp;TEXT(C$6,"00"),'All Units'!$A$5:$A$1272,0))</f>
        <v>3011</v>
      </c>
      <c r="D65" s="66">
        <f>INDEX('All Units'!$Q$5:$Q$1272,MATCH("#"&amp;TEXT($A65,"00")&amp;"-"&amp;TEXT(D$6,"00"),'All Units'!$A$5:$A$1272,0))</f>
        <v>2933</v>
      </c>
    </row>
    <row r="66" spans="1:4" x14ac:dyDescent="0.2">
      <c r="A66" s="67">
        <v>17</v>
      </c>
      <c r="B66" s="66">
        <f>INDEX('All Units'!$Q$5:$Q$1272,MATCH("#"&amp;TEXT($A66,"00")&amp;"-"&amp;TEXT(B$6,"00"),'All Units'!$A$5:$A$1272,0))</f>
        <v>2996</v>
      </c>
      <c r="C66" s="66">
        <f>INDEX('All Units'!$Q$5:$Q$1272,MATCH("#"&amp;TEXT($A66,"00")&amp;"-"&amp;TEXT(C$6,"00"),'All Units'!$A$5:$A$1272,0))</f>
        <v>2986</v>
      </c>
      <c r="D66" s="66">
        <f>INDEX('All Units'!$Q$5:$Q$1272,MATCH("#"&amp;TEXT($A66,"00")&amp;"-"&amp;TEXT(D$6,"00"),'All Units'!$A$5:$A$1272,0))</f>
        <v>2909</v>
      </c>
    </row>
    <row r="67" spans="1:4" x14ac:dyDescent="0.2">
      <c r="A67" s="67">
        <v>16</v>
      </c>
      <c r="B67" s="66">
        <f>INDEX('All Units'!$Q$5:$Q$1272,MATCH("#"&amp;TEXT($A67,"00")&amp;"-"&amp;TEXT(B$6,"00"),'All Units'!$A$5:$A$1272,0))</f>
        <v>2972</v>
      </c>
      <c r="C67" s="66">
        <f>INDEX('All Units'!$Q$5:$Q$1272,MATCH("#"&amp;TEXT($A67,"00")&amp;"-"&amp;TEXT(C$6,"00"),'All Units'!$A$5:$A$1272,0))</f>
        <v>2962</v>
      </c>
      <c r="D67" s="66">
        <f>INDEX('All Units'!$Q$5:$Q$1272,MATCH("#"&amp;TEXT($A67,"00")&amp;"-"&amp;TEXT(D$6,"00"),'All Units'!$A$5:$A$1272,0))</f>
        <v>2885</v>
      </c>
    </row>
    <row r="68" spans="1:4" x14ac:dyDescent="0.2">
      <c r="A68" s="67">
        <v>15</v>
      </c>
      <c r="B68" s="66">
        <f>INDEX('All Units'!$Q$5:$Q$1272,MATCH("#"&amp;TEXT($A68,"00")&amp;"-"&amp;TEXT(B$6,"00"),'All Units'!$A$5:$A$1272,0))</f>
        <v>2948</v>
      </c>
      <c r="C68" s="66">
        <f>INDEX('All Units'!$Q$5:$Q$1272,MATCH("#"&amp;TEXT($A68,"00")&amp;"-"&amp;TEXT(C$6,"00"),'All Units'!$A$5:$A$1272,0))</f>
        <v>2937</v>
      </c>
      <c r="D68" s="66">
        <f>INDEX('All Units'!$Q$5:$Q$1272,MATCH("#"&amp;TEXT($A68,"00")&amp;"-"&amp;TEXT(D$6,"00"),'All Units'!$A$5:$A$1272,0))</f>
        <v>2861</v>
      </c>
    </row>
    <row r="69" spans="1:4" x14ac:dyDescent="0.2">
      <c r="A69" s="67">
        <v>14</v>
      </c>
      <c r="B69" s="66">
        <f>INDEX('All Units'!$Q$5:$Q$1272,MATCH("#"&amp;TEXT($A69,"00")&amp;"-"&amp;TEXT(B$6,"00"),'All Units'!$A$5:$A$1272,0))</f>
        <v>2924</v>
      </c>
      <c r="C69" s="66">
        <f>INDEX('All Units'!$Q$5:$Q$1272,MATCH("#"&amp;TEXT($A69,"00")&amp;"-"&amp;TEXT(C$6,"00"),'All Units'!$A$5:$A$1272,0))</f>
        <v>2911</v>
      </c>
      <c r="D69" s="66">
        <f>INDEX('All Units'!$Q$5:$Q$1272,MATCH("#"&amp;TEXT($A69,"00")&amp;"-"&amp;TEXT(D$6,"00"),'All Units'!$A$5:$A$1272,0))</f>
        <v>2837</v>
      </c>
    </row>
    <row r="70" spans="1:4" x14ac:dyDescent="0.2">
      <c r="A70" s="67">
        <v>13</v>
      </c>
      <c r="B70" s="66">
        <f>INDEX('All Units'!$Q$5:$Q$1272,MATCH("#"&amp;TEXT($A70,"00")&amp;"-"&amp;TEXT(B$6,"00"),'All Units'!$A$5:$A$1272,0))</f>
        <v>2900</v>
      </c>
      <c r="C70" s="66">
        <f>INDEX('All Units'!$Q$5:$Q$1272,MATCH("#"&amp;TEXT($A70,"00")&amp;"-"&amp;TEXT(C$6,"00"),'All Units'!$A$5:$A$1272,0))</f>
        <v>2885</v>
      </c>
      <c r="D70" s="66">
        <f>INDEX('All Units'!$Q$5:$Q$1272,MATCH("#"&amp;TEXT($A70,"00")&amp;"-"&amp;TEXT(D$6,"00"),'All Units'!$A$5:$A$1272,0))</f>
        <v>2813</v>
      </c>
    </row>
    <row r="71" spans="1:4" x14ac:dyDescent="0.2">
      <c r="A71" s="67">
        <v>12</v>
      </c>
      <c r="B71" s="66">
        <f>INDEX('All Units'!$Q$5:$Q$1272,MATCH("#"&amp;TEXT($A71,"00")&amp;"-"&amp;TEXT(B$6,"00"),'All Units'!$A$5:$A$1272,0))</f>
        <v>2876</v>
      </c>
      <c r="C71" s="66">
        <f>INDEX('All Units'!$Q$5:$Q$1272,MATCH("#"&amp;TEXT($A71,"00")&amp;"-"&amp;TEXT(C$6,"00"),'All Units'!$A$5:$A$1272,0))</f>
        <v>2859</v>
      </c>
      <c r="D71" s="66">
        <f>INDEX('All Units'!$Q$5:$Q$1272,MATCH("#"&amp;TEXT($A71,"00")&amp;"-"&amp;TEXT(D$6,"00"),'All Units'!$A$5:$A$1272,0))</f>
        <v>2789</v>
      </c>
    </row>
    <row r="72" spans="1:4" x14ac:dyDescent="0.2">
      <c r="A72" s="67">
        <v>11</v>
      </c>
      <c r="B72" s="66">
        <f>INDEX('All Units'!$Q$5:$Q$1272,MATCH("#"&amp;TEXT($A72,"00")&amp;"-"&amp;TEXT(B$6,"00"),'All Units'!$A$5:$A$1272,0))</f>
        <v>2862</v>
      </c>
      <c r="C72" s="66">
        <f>INDEX('All Units'!$Q$5:$Q$1272,MATCH("#"&amp;TEXT($A72,"00")&amp;"-"&amp;TEXT(C$6,"00"),'All Units'!$A$5:$A$1272,0))</f>
        <v>2843</v>
      </c>
      <c r="D72" s="66">
        <f>INDEX('All Units'!$Q$5:$Q$1272,MATCH("#"&amp;TEXT($A72,"00")&amp;"-"&amp;TEXT(D$6,"00"),'All Units'!$A$5:$A$1272,0))</f>
        <v>2775</v>
      </c>
    </row>
    <row r="73" spans="1:4" x14ac:dyDescent="0.2">
      <c r="A73" s="67">
        <v>10</v>
      </c>
      <c r="B73" s="66">
        <f>INDEX('All Units'!$Q$5:$Q$1272,MATCH("#"&amp;TEXT($A73,"00")&amp;"-"&amp;TEXT(B$6,"00"),'All Units'!$A$5:$A$1272,0))</f>
        <v>2848</v>
      </c>
      <c r="C73" s="66">
        <f>INDEX('All Units'!$Q$5:$Q$1272,MATCH("#"&amp;TEXT($A73,"00")&amp;"-"&amp;TEXT(C$6,"00"),'All Units'!$A$5:$A$1272,0))</f>
        <v>2828</v>
      </c>
      <c r="D73" s="66">
        <f>INDEX('All Units'!$Q$5:$Q$1272,MATCH("#"&amp;TEXT($A73,"00")&amp;"-"&amp;TEXT(D$6,"00"),'All Units'!$A$5:$A$1272,0))</f>
        <v>2761</v>
      </c>
    </row>
    <row r="74" spans="1:4" x14ac:dyDescent="0.2">
      <c r="A74" s="67">
        <v>9</v>
      </c>
      <c r="B74" s="66">
        <f>INDEX('All Units'!$Q$5:$Q$1272,MATCH("#"&amp;TEXT($A74,"00")&amp;"-"&amp;TEXT(B$6,"00"),'All Units'!$A$5:$A$1272,0))</f>
        <v>2834</v>
      </c>
      <c r="C74" s="66">
        <f>INDEX('All Units'!$Q$5:$Q$1272,MATCH("#"&amp;TEXT($A74,"00")&amp;"-"&amp;TEXT(C$6,"00"),'All Units'!$A$5:$A$1272,0))</f>
        <v>2812</v>
      </c>
      <c r="D74" s="66">
        <f>INDEX('All Units'!$Q$5:$Q$1272,MATCH("#"&amp;TEXT($A74,"00")&amp;"-"&amp;TEXT(D$6,"00"),'All Units'!$A$5:$A$1272,0))</f>
        <v>2747</v>
      </c>
    </row>
    <row r="75" spans="1:4" x14ac:dyDescent="0.2">
      <c r="A75" s="67">
        <v>8</v>
      </c>
      <c r="B75" s="66">
        <f>INDEX('All Units'!$Q$5:$Q$1272,MATCH("#"&amp;TEXT($A75,"00")&amp;"-"&amp;TEXT(B$6,"00"),'All Units'!$A$5:$A$1272,0))</f>
        <v>2808</v>
      </c>
      <c r="C75" s="66">
        <f>INDEX('All Units'!$Q$5:$Q$1272,MATCH("#"&amp;TEXT($A75,"00")&amp;"-"&amp;TEXT(C$6,"00"),'All Units'!$A$5:$A$1272,0))</f>
        <v>2801</v>
      </c>
      <c r="D75" s="66">
        <f>INDEX('All Units'!$Q$5:$Q$1272,MATCH("#"&amp;TEXT($A75,"00")&amp;"-"&amp;TEXT(D$6,"00"),'All Units'!$A$5:$A$1272,0))</f>
        <v>2746</v>
      </c>
    </row>
    <row r="76" spans="1:4" x14ac:dyDescent="0.2">
      <c r="A76" s="67">
        <v>7</v>
      </c>
      <c r="B76" s="66">
        <f>INDEX('All Units'!$Q$5:$Q$1272,MATCH("#"&amp;TEXT($A76,"00")&amp;"-"&amp;TEXT(B$6,"00"),'All Units'!$A$5:$A$1272,0))</f>
        <v>2781</v>
      </c>
      <c r="C76" s="66">
        <f>INDEX('All Units'!$Q$5:$Q$1272,MATCH("#"&amp;TEXT($A76,"00")&amp;"-"&amp;TEXT(C$6,"00"),'All Units'!$A$5:$A$1272,0))</f>
        <v>2791</v>
      </c>
      <c r="D76" s="66">
        <f>INDEX('All Units'!$Q$5:$Q$1272,MATCH("#"&amp;TEXT($A76,"00")&amp;"-"&amp;TEXT(D$6,"00"),'All Units'!$A$5:$A$1272,0))</f>
        <v>2744</v>
      </c>
    </row>
    <row r="77" spans="1:4" x14ac:dyDescent="0.2">
      <c r="A77" s="67">
        <v>6</v>
      </c>
      <c r="B77" s="66">
        <f>INDEX('All Units'!$Q$5:$Q$1272,MATCH("#"&amp;TEXT($A77,"00")&amp;"-"&amp;TEXT(B$6,"00"),'All Units'!$A$5:$A$1272,0))</f>
        <v>2755</v>
      </c>
      <c r="C77" s="66">
        <f>INDEX('All Units'!$Q$5:$Q$1272,MATCH("#"&amp;TEXT($A77,"00")&amp;"-"&amp;TEXT(C$6,"00"),'All Units'!$A$5:$A$1272,0))</f>
        <v>2780</v>
      </c>
      <c r="D77" s="66">
        <f>INDEX('All Units'!$Q$5:$Q$1272,MATCH("#"&amp;TEXT($A77,"00")&amp;"-"&amp;TEXT(D$6,"00"),'All Units'!$A$5:$A$1272,0))</f>
        <v>2743</v>
      </c>
    </row>
    <row r="78" spans="1:4" x14ac:dyDescent="0.2">
      <c r="A78" s="67">
        <v>5</v>
      </c>
      <c r="B78" s="66">
        <f>INDEX('All Units'!$Q$5:$Q$1272,MATCH("#"&amp;TEXT($A78,"00")&amp;"-"&amp;TEXT(B$6,"00"),'All Units'!$A$5:$A$1272,0))</f>
        <v>2729</v>
      </c>
      <c r="C78" s="66">
        <f>INDEX('All Units'!$Q$5:$Q$1272,MATCH("#"&amp;TEXT($A78,"00")&amp;"-"&amp;TEXT(C$6,"00"),'All Units'!$A$5:$A$1272,0))</f>
        <v>2769</v>
      </c>
      <c r="D78" s="66">
        <f>INDEX('All Units'!$Q$5:$Q$1272,MATCH("#"&amp;TEXT($A78,"00")&amp;"-"&amp;TEXT(D$6,"00"),'All Units'!$A$5:$A$1272,0))</f>
        <v>2741</v>
      </c>
    </row>
    <row r="79" spans="1:4" x14ac:dyDescent="0.2">
      <c r="A79" s="67">
        <v>4</v>
      </c>
      <c r="B79" s="66">
        <f>INDEX('All Units'!$Q$5:$Q$1272,MATCH("#"&amp;TEXT($A79,"00")&amp;"-"&amp;TEXT(B$6,"00"),'All Units'!$A$5:$A$1272,0))</f>
        <v>2703</v>
      </c>
      <c r="C79" s="66">
        <f>INDEX('All Units'!$Q$5:$Q$1272,MATCH("#"&amp;TEXT($A79,"00")&amp;"-"&amp;TEXT(C$6,"00"),'All Units'!$A$5:$A$1272,0))</f>
        <v>2758</v>
      </c>
      <c r="D79" s="66">
        <f>INDEX('All Units'!$Q$5:$Q$1272,MATCH("#"&amp;TEXT($A79,"00")&amp;"-"&amp;TEXT(D$6,"00"),'All Units'!$A$5:$A$1272,0))</f>
        <v>2740</v>
      </c>
    </row>
    <row r="80" spans="1:4" x14ac:dyDescent="0.2">
      <c r="A80" s="67">
        <v>3</v>
      </c>
      <c r="B80" s="66">
        <f>INDEX('All Units'!$Q$5:$Q$1272,MATCH("#"&amp;TEXT($A80,"00")&amp;"-"&amp;TEXT(B$6,"00"),'All Units'!$A$5:$A$1272,0))</f>
        <v>2676</v>
      </c>
      <c r="C80" s="66">
        <f>INDEX('All Units'!$Q$5:$Q$1272,MATCH("#"&amp;TEXT($A80,"00")&amp;"-"&amp;TEXT(C$6,"00"),'All Units'!$A$5:$A$1272,0))</f>
        <v>2748</v>
      </c>
      <c r="D80" s="66">
        <f>INDEX('All Units'!$Q$5:$Q$1272,MATCH("#"&amp;TEXT($A80,"00")&amp;"-"&amp;TEXT(D$6,"00"),'All Units'!$A$5:$A$1272,0))</f>
        <v>2738</v>
      </c>
    </row>
    <row r="81" spans="1:4" x14ac:dyDescent="0.2">
      <c r="A81" s="67">
        <v>2</v>
      </c>
      <c r="B81" s="66">
        <f>INDEX('All Units'!$Q$5:$Q$1272,MATCH("#"&amp;TEXT($A81,"00")&amp;"-"&amp;TEXT(B$6,"00"),'All Units'!$A$5:$A$1272,0))</f>
        <v>2650</v>
      </c>
      <c r="C81" s="66">
        <f>INDEX('All Units'!$Q$5:$Q$1272,MATCH("#"&amp;TEXT($A81,"00")&amp;"-"&amp;TEXT(C$6,"00"),'All Units'!$A$5:$A$1272,0))</f>
        <v>2737</v>
      </c>
      <c r="D81" s="66">
        <f>INDEX('All Units'!$Q$5:$Q$1272,MATCH("#"&amp;TEXT($A81,"00")&amp;"-"&amp;TEXT(D$6,"00"),'All Units'!$A$5:$A$1272,0))</f>
        <v>2737</v>
      </c>
    </row>
    <row r="82" spans="1:4" x14ac:dyDescent="0.2">
      <c r="A82" s="67">
        <v>1</v>
      </c>
      <c r="B82" s="68"/>
      <c r="C82" s="68"/>
      <c r="D82" s="68"/>
    </row>
  </sheetData>
  <mergeCells count="2">
    <mergeCell ref="A20:D20"/>
    <mergeCell ref="A52:D52"/>
  </mergeCells>
  <conditionalFormatting sqref="B21:D50">
    <cfRule type="expression" dxfId="29" priority="2">
      <formula>AND(B21&lt;&gt;"",B$12&lt;&gt;"",$A21&lt;B$12)</formula>
    </cfRule>
    <cfRule type="expression" dxfId="28" priority="3">
      <formula>AND(B21&lt;&gt;"",$A21&gt;=B$16)</formula>
    </cfRule>
    <cfRule type="expression" dxfId="27" priority="4">
      <formula>AND(B21&lt;&gt;"",$A21&gt;=B$15)</formula>
    </cfRule>
  </conditionalFormatting>
  <conditionalFormatting sqref="B53:D82">
    <cfRule type="expression" dxfId="26" priority="5">
      <formula>AND(B53&lt;&gt;"",B$12&lt;&gt;"",$A53&lt;B$12)</formula>
    </cfRule>
    <cfRule type="expression" dxfId="25" priority="6">
      <formula>AND(B53&lt;&gt;"",$A53&gt;=B$16)</formula>
    </cfRule>
    <cfRule type="expression" dxfId="24"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6E73"/>
    <pageSetUpPr fitToPage="1"/>
  </sheetPr>
  <dimension ref="A1:E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5" width="14.5" customWidth="1"/>
  </cols>
  <sheetData>
    <row r="1" spans="1:5" ht="18" x14ac:dyDescent="0.2">
      <c r="A1" s="2" t="s">
        <v>1483</v>
      </c>
    </row>
    <row r="2" spans="1:5" x14ac:dyDescent="0.2">
      <c r="A2" s="3" t="s">
        <v>1484</v>
      </c>
    </row>
    <row r="3" spans="1:5" x14ac:dyDescent="0.2">
      <c r="A3" s="3" t="s">
        <v>1461</v>
      </c>
    </row>
    <row r="5" spans="1:5" x14ac:dyDescent="0.2">
      <c r="A5" s="58" t="s">
        <v>1462</v>
      </c>
      <c r="B5" s="21">
        <v>3</v>
      </c>
      <c r="C5" s="21">
        <v>3</v>
      </c>
      <c r="D5" s="21">
        <v>9</v>
      </c>
      <c r="E5" s="29">
        <v>5</v>
      </c>
    </row>
    <row r="6" spans="1:5" x14ac:dyDescent="0.2">
      <c r="A6" s="58" t="s">
        <v>99</v>
      </c>
      <c r="B6" s="59">
        <v>14</v>
      </c>
      <c r="C6" s="59">
        <v>15</v>
      </c>
      <c r="D6" s="59">
        <v>45</v>
      </c>
      <c r="E6" s="69">
        <v>27</v>
      </c>
    </row>
    <row r="7" spans="1:5" x14ac:dyDescent="0.2">
      <c r="A7" s="58" t="s">
        <v>30</v>
      </c>
      <c r="B7" s="60" t="s">
        <v>395</v>
      </c>
      <c r="C7" s="60" t="s">
        <v>417</v>
      </c>
      <c r="D7" s="60" t="s">
        <v>1226</v>
      </c>
      <c r="E7" s="49" t="s">
        <v>748</v>
      </c>
    </row>
    <row r="8" spans="1:5" x14ac:dyDescent="0.2">
      <c r="A8" s="58" t="s">
        <v>29</v>
      </c>
      <c r="B8" s="20">
        <v>1238</v>
      </c>
      <c r="C8" s="20">
        <v>1238</v>
      </c>
      <c r="D8" s="20">
        <v>1238</v>
      </c>
      <c r="E8" s="28">
        <v>1238</v>
      </c>
    </row>
    <row r="9" spans="1:5" x14ac:dyDescent="0.2">
      <c r="A9" s="58" t="s">
        <v>54</v>
      </c>
      <c r="B9" s="21" t="s">
        <v>62</v>
      </c>
      <c r="C9" s="21" t="s">
        <v>62</v>
      </c>
      <c r="D9" s="21" t="s">
        <v>62</v>
      </c>
      <c r="E9" s="29" t="s">
        <v>65</v>
      </c>
    </row>
    <row r="10" spans="1:5" ht="30" customHeight="1" x14ac:dyDescent="0.2">
      <c r="A10" s="102" t="s">
        <v>1463</v>
      </c>
      <c r="B10" s="61" t="str">
        <f>Assumptions!$I$140&amp;CHAR(10)&amp;TEXT(Assumptions!$AK$140/1000,"+$0;-$0;$0")&amp;"K / "&amp;TEXT(Assumptions!$AL$140/1000,"+$0;-$0;$0")&amp;"K / "&amp;TEXT(Assumptions!$AM$140/1000,"+$0;-$0;$0")&amp;"K"</f>
        <v>C
-$50K / -$50K / -$50K</v>
      </c>
      <c r="C10" s="61" t="str">
        <f>Assumptions!$I$141&amp;CHAR(10)&amp;TEXT(Assumptions!$AK$141/1000,"+$0;-$0;$0")&amp;"K / "&amp;TEXT(Assumptions!$AL$141/1000,"+$0;-$0;$0")&amp;"K / "&amp;TEXT(Assumptions!$AM$141/1000,"+$0;-$0;$0")&amp;"K"</f>
        <v>C
+$17K / -$50K / -$50K</v>
      </c>
      <c r="D10" s="61" t="str">
        <f>Assumptions!$I$171&amp;CHAR(10)&amp;TEXT(Assumptions!$AK$171/1000,"+$0;-$0;$0")&amp;"K / "&amp;TEXT(Assumptions!$AL$171/1000,"+$0;-$0;$0")&amp;"K / "&amp;TEXT(Assumptions!$AM$171/1000,"+$0;-$0;$0")&amp;"K"</f>
        <v>B
+$50K / +$50K / +$50K</v>
      </c>
      <c r="E10" s="70" t="str">
        <f>Assumptions!$I$153&amp;CHAR(10)&amp;TEXT(Assumptions!$AK$153/1000,"+$0;-$0;$0")&amp;"K / "&amp;TEXT(Assumptions!$AL$153/1000,"+$0;-$0;$0")&amp;"K / "&amp;TEXT(Assumptions!$AM$153/1000,"+$0;-$0;$0")&amp;"K"</f>
        <v>A
$0K / $0K / $0K</v>
      </c>
    </row>
    <row r="11" spans="1:5" ht="90" customHeight="1" x14ac:dyDescent="0.2">
      <c r="A11" s="102" t="s">
        <v>113</v>
      </c>
      <c r="B11" s="62" t="str">
        <f>Assumptions!$AJ$140</f>
        <v>WNW: almost direct west sun. 171m pool &amp; facilities view, nature reserve + landed; Pool Cabana in front of low floors</v>
      </c>
      <c r="C11" s="62" t="str">
        <f>Assumptions!$AJ$141</f>
        <v>WNW: almost direct west sun. 171m pool &amp; facilities view, nature reserve + landed</v>
      </c>
      <c r="D11" s="62" t="str">
        <f>Assumptions!$AJ$171</f>
        <v>SSW. Unblocked pool view on low floors; unblocked nature reserve from mid floor</v>
      </c>
      <c r="E11" s="71" t="str">
        <f>Assumptions!$AJ$153</f>
        <v>SE: no afternoon sun. 171m pool &amp; landscape, nature reserve + landed; Luxury block. Most premium 4BR stack</v>
      </c>
    </row>
    <row r="12" spans="1:5" ht="28" x14ac:dyDescent="0.2">
      <c r="A12" s="102" t="s">
        <v>1464</v>
      </c>
      <c r="B12" s="63">
        <f>IF(Assumptions!$L$140="","",Assumptions!$L$140)</f>
        <v>6</v>
      </c>
      <c r="C12" s="63" t="str">
        <f>IF(Assumptions!$L$141="","",Assumptions!$L$141)</f>
        <v/>
      </c>
      <c r="D12" s="63" t="str">
        <f>IF(Assumptions!$L$171="","",Assumptions!$L$171)</f>
        <v/>
      </c>
      <c r="E12" s="63" t="str">
        <f>IF(Assumptions!$L$153="","",Assumptions!$L$153)</f>
        <v/>
      </c>
    </row>
    <row r="13" spans="1:5" ht="28" x14ac:dyDescent="0.2">
      <c r="A13" s="102" t="s">
        <v>1465</v>
      </c>
      <c r="B13" s="63">
        <f>IF(Assumptions!$AD$140="","",Assumptions!$AD$140)</f>
        <v>3</v>
      </c>
      <c r="C13" s="63" t="str">
        <f>IF(Assumptions!$AD$141="","",Assumptions!$AD$141)</f>
        <v/>
      </c>
      <c r="D13" s="63" t="str">
        <f>IF(Assumptions!$AD$171="","",Assumptions!$AD$171)</f>
        <v/>
      </c>
      <c r="E13" s="63" t="str">
        <f>IF(Assumptions!$AD$153="","",Assumptions!$AD$153)</f>
        <v/>
      </c>
    </row>
    <row r="14" spans="1:5" ht="39.75" customHeight="1" x14ac:dyDescent="0.2">
      <c r="A14" s="102" t="s">
        <v>1466</v>
      </c>
      <c r="B14" s="64" t="str">
        <f>IF(Assumptions!$M$140="","",Assumptions!$M$140)</f>
        <v>Pool Cabana: 16% of view, 28.4 to 34.3m away</v>
      </c>
      <c r="C14" s="64" t="str">
        <f>IF(Assumptions!$M$141="","",Assumptions!$M$141)</f>
        <v/>
      </c>
      <c r="D14" s="64" t="str">
        <f>IF(Assumptions!$M$171="","",Assumptions!$M$171)</f>
        <v/>
      </c>
      <c r="E14" s="64" t="str">
        <f>IF(Assumptions!$M$153="","",Assumptions!$M$153)</f>
        <v/>
      </c>
    </row>
    <row r="15" spans="1:5" ht="28" x14ac:dyDescent="0.2">
      <c r="A15" s="102" t="s">
        <v>1467</v>
      </c>
      <c r="B15" s="65">
        <f>Assumptions!$AH$140</f>
        <v>8</v>
      </c>
      <c r="C15" s="65">
        <f>Assumptions!$AH$141</f>
        <v>8</v>
      </c>
      <c r="D15" s="65">
        <f>Assumptions!$AH$171</f>
        <v>8</v>
      </c>
      <c r="E15" s="65">
        <f>Assumptions!$AH$153</f>
        <v>12</v>
      </c>
    </row>
    <row r="16" spans="1:5" ht="28" x14ac:dyDescent="0.2">
      <c r="A16" s="102" t="s">
        <v>1468</v>
      </c>
      <c r="B16" s="65">
        <f>Assumptions!$P$140</f>
        <v>16</v>
      </c>
      <c r="C16" s="65">
        <f>Assumptions!$P$141</f>
        <v>16</v>
      </c>
      <c r="D16" s="65">
        <f>Assumptions!$P$171</f>
        <v>16</v>
      </c>
      <c r="E16" s="65">
        <f>Assumptions!$P$153</f>
        <v>21</v>
      </c>
    </row>
    <row r="17" spans="1:5" x14ac:dyDescent="0.2">
      <c r="A17" s="58" t="s">
        <v>1469</v>
      </c>
      <c r="B17" s="66">
        <f>INDEX('All Units'!$R$5:$R$1272,MATCH("#"&amp;TEXT(2,"00")&amp;"-"&amp;TEXT(B$6,"00"),'All Units'!$A$5:$A$1272,0))</f>
        <v>3388000</v>
      </c>
      <c r="C17" s="66">
        <f>INDEX('All Units'!$R$5:$R$1272,MATCH("#"&amp;TEXT(2,"00")&amp;"-"&amp;TEXT(C$6,"00"),'All Units'!$A$5:$A$1272,0))</f>
        <v>3455300</v>
      </c>
      <c r="D17" s="66">
        <f>INDEX('All Units'!$R$5:$R$1272,MATCH("#"&amp;TEXT(2,"00")&amp;"-"&amp;TEXT(D$6,"00"),'All Units'!$A$5:$A$1272,0))</f>
        <v>3488700</v>
      </c>
      <c r="E17" s="66">
        <f>INDEX('All Units'!$R$5:$R$1272,MATCH("#"&amp;TEXT(1,"00")&amp;"-"&amp;TEXT(E$6,"00"),'All Units'!$A$5:$A$1272,0))</f>
        <v>3497400</v>
      </c>
    </row>
    <row r="18" spans="1:5" x14ac:dyDescent="0.2">
      <c r="A18" s="58" t="s">
        <v>1470</v>
      </c>
      <c r="B18" s="66">
        <f>INDEX('All Units'!$R$5:$R$1272,MATCH("#"&amp;TEXT(21,"00")&amp;"-"&amp;TEXT(B$6,"00"),'All Units'!$A$5:$A$1272,0))</f>
        <v>3753600</v>
      </c>
      <c r="C18" s="66">
        <f>INDEX('All Units'!$R$5:$R$1272,MATCH("#"&amp;TEXT(21,"00")&amp;"-"&amp;TEXT(C$6,"00"),'All Units'!$A$5:$A$1272,0))</f>
        <v>3753600</v>
      </c>
      <c r="D18" s="66">
        <f>INDEX('All Units'!$R$5:$R$1272,MATCH("#"&amp;TEXT(21,"00")&amp;"-"&amp;TEXT(D$6,"00"),'All Units'!$A$5:$A$1272,0))</f>
        <v>3853900</v>
      </c>
      <c r="E18" s="66">
        <f>INDEX('All Units'!$R$5:$R$1272,MATCH("#"&amp;TEXT(30,"00")&amp;"-"&amp;TEXT(E$6,"00"),'All Units'!$A$5:$A$1272,0))</f>
        <v>4123800</v>
      </c>
    </row>
    <row r="20" spans="1:5" x14ac:dyDescent="0.2">
      <c r="A20" s="99" t="s">
        <v>1471</v>
      </c>
      <c r="B20" s="99"/>
      <c r="C20" s="99"/>
      <c r="D20" s="99"/>
      <c r="E20" s="99"/>
    </row>
    <row r="21" spans="1:5" x14ac:dyDescent="0.2">
      <c r="A21" s="67">
        <v>30</v>
      </c>
      <c r="B21" s="68"/>
      <c r="C21" s="68"/>
      <c r="D21" s="68"/>
      <c r="E21" s="66">
        <f>INDEX('All Units'!$R$5:$R$1272,MATCH("#"&amp;TEXT($A21,"00")&amp;"-"&amp;TEXT(E$6,"00"),'All Units'!$A$5:$A$1272,0))</f>
        <v>4123800</v>
      </c>
    </row>
    <row r="22" spans="1:5" x14ac:dyDescent="0.2">
      <c r="A22" s="67">
        <v>29</v>
      </c>
      <c r="B22" s="68"/>
      <c r="C22" s="68"/>
      <c r="D22" s="68"/>
      <c r="E22" s="66">
        <f>INDEX('All Units'!$R$5:$R$1272,MATCH("#"&amp;TEXT($A22,"00")&amp;"-"&amp;TEXT(E$6,"00"),'All Units'!$A$5:$A$1272,0))</f>
        <v>4096500</v>
      </c>
    </row>
    <row r="23" spans="1:5" x14ac:dyDescent="0.2">
      <c r="A23" s="67">
        <v>28</v>
      </c>
      <c r="B23" s="68"/>
      <c r="C23" s="68"/>
      <c r="D23" s="68"/>
      <c r="E23" s="66">
        <f>INDEX('All Units'!$R$5:$R$1272,MATCH("#"&amp;TEXT($A23,"00")&amp;"-"&amp;TEXT(E$6,"00"),'All Units'!$A$5:$A$1272,0))</f>
        <v>4069300</v>
      </c>
    </row>
    <row r="24" spans="1:5" x14ac:dyDescent="0.2">
      <c r="A24" s="67">
        <v>27</v>
      </c>
      <c r="B24" s="68"/>
      <c r="C24" s="68"/>
      <c r="D24" s="68"/>
      <c r="E24" s="66">
        <f>INDEX('All Units'!$R$5:$R$1272,MATCH("#"&amp;TEXT($A24,"00")&amp;"-"&amp;TEXT(E$6,"00"),'All Units'!$A$5:$A$1272,0))</f>
        <v>4042100</v>
      </c>
    </row>
    <row r="25" spans="1:5" x14ac:dyDescent="0.2">
      <c r="A25" s="67">
        <v>26</v>
      </c>
      <c r="B25" s="68"/>
      <c r="C25" s="68"/>
      <c r="D25" s="68"/>
      <c r="E25" s="66">
        <f>INDEX('All Units'!$R$5:$R$1272,MATCH("#"&amp;TEXT($A25,"00")&amp;"-"&amp;TEXT(E$6,"00"),'All Units'!$A$5:$A$1272,0))</f>
        <v>4014800</v>
      </c>
    </row>
    <row r="26" spans="1:5" x14ac:dyDescent="0.2">
      <c r="A26" s="67">
        <v>25</v>
      </c>
      <c r="B26" s="68"/>
      <c r="C26" s="68"/>
      <c r="D26" s="68"/>
      <c r="E26" s="66">
        <f>INDEX('All Units'!$R$5:$R$1272,MATCH("#"&amp;TEXT($A26,"00")&amp;"-"&amp;TEXT(E$6,"00"),'All Units'!$A$5:$A$1272,0))</f>
        <v>3987600</v>
      </c>
    </row>
    <row r="27" spans="1:5" x14ac:dyDescent="0.2">
      <c r="A27" s="67">
        <v>24</v>
      </c>
      <c r="B27" s="68"/>
      <c r="C27" s="68"/>
      <c r="D27" s="68"/>
      <c r="E27" s="66">
        <f>INDEX('All Units'!$R$5:$R$1272,MATCH("#"&amp;TEXT($A27,"00")&amp;"-"&amp;TEXT(E$6,"00"),'All Units'!$A$5:$A$1272,0))</f>
        <v>3960400</v>
      </c>
    </row>
    <row r="28" spans="1:5" x14ac:dyDescent="0.2">
      <c r="A28" s="67">
        <v>23</v>
      </c>
      <c r="B28" s="68"/>
      <c r="C28" s="68"/>
      <c r="D28" s="68"/>
      <c r="E28" s="66">
        <f>INDEX('All Units'!$R$5:$R$1272,MATCH("#"&amp;TEXT($A28,"00")&amp;"-"&amp;TEXT(E$6,"00"),'All Units'!$A$5:$A$1272,0))</f>
        <v>3933100</v>
      </c>
    </row>
    <row r="29" spans="1:5" x14ac:dyDescent="0.2">
      <c r="A29" s="67">
        <v>22</v>
      </c>
      <c r="B29" s="68"/>
      <c r="C29" s="68"/>
      <c r="D29" s="68"/>
      <c r="E29" s="66">
        <f>INDEX('All Units'!$R$5:$R$1272,MATCH("#"&amp;TEXT($A29,"00")&amp;"-"&amp;TEXT(E$6,"00"),'All Units'!$A$5:$A$1272,0))</f>
        <v>3905900</v>
      </c>
    </row>
    <row r="30" spans="1:5" x14ac:dyDescent="0.2">
      <c r="A30" s="67">
        <v>21</v>
      </c>
      <c r="B30" s="66">
        <f>INDEX('All Units'!$R$5:$R$1272,MATCH("#"&amp;TEXT($A30,"00")&amp;"-"&amp;TEXT(B$6,"00"),'All Units'!$A$5:$A$1272,0))</f>
        <v>3753600</v>
      </c>
      <c r="C30" s="66">
        <f>INDEX('All Units'!$R$5:$R$1272,MATCH("#"&amp;TEXT($A30,"00")&amp;"-"&amp;TEXT(C$6,"00"),'All Units'!$A$5:$A$1272,0))</f>
        <v>3753600</v>
      </c>
      <c r="D30" s="66">
        <f>INDEX('All Units'!$R$5:$R$1272,MATCH("#"&amp;TEXT($A30,"00")&amp;"-"&amp;TEXT(D$6,"00"),'All Units'!$A$5:$A$1272,0))</f>
        <v>3853900</v>
      </c>
      <c r="E30" s="66">
        <f>INDEX('All Units'!$R$5:$R$1272,MATCH("#"&amp;TEXT($A30,"00")&amp;"-"&amp;TEXT(E$6,"00"),'All Units'!$A$5:$A$1272,0))</f>
        <v>3879900</v>
      </c>
    </row>
    <row r="31" spans="1:5" x14ac:dyDescent="0.2">
      <c r="A31" s="67">
        <v>20</v>
      </c>
      <c r="B31" s="66">
        <f>INDEX('All Units'!$R$5:$R$1272,MATCH("#"&amp;TEXT($A31,"00")&amp;"-"&amp;TEXT(B$6,"00"),'All Units'!$A$5:$A$1272,0))</f>
        <v>3725100</v>
      </c>
      <c r="C31" s="66">
        <f>INDEX('All Units'!$R$5:$R$1272,MATCH("#"&amp;TEXT($A31,"00")&amp;"-"&amp;TEXT(C$6,"00"),'All Units'!$A$5:$A$1272,0))</f>
        <v>3725100</v>
      </c>
      <c r="D31" s="66">
        <f>INDEX('All Units'!$R$5:$R$1272,MATCH("#"&amp;TEXT($A31,"00")&amp;"-"&amp;TEXT(D$6,"00"),'All Units'!$A$5:$A$1272,0))</f>
        <v>3824200</v>
      </c>
      <c r="E31" s="66">
        <f>INDEX('All Units'!$R$5:$R$1272,MATCH("#"&amp;TEXT($A31,"00")&amp;"-"&amp;TEXT(E$6,"00"),'All Units'!$A$5:$A$1272,0))</f>
        <v>3852700</v>
      </c>
    </row>
    <row r="32" spans="1:5" x14ac:dyDescent="0.2">
      <c r="A32" s="67">
        <v>19</v>
      </c>
      <c r="B32" s="66">
        <f>INDEX('All Units'!$R$5:$R$1272,MATCH("#"&amp;TEXT($A32,"00")&amp;"-"&amp;TEXT(B$6,"00"),'All Units'!$A$5:$A$1272,0))</f>
        <v>3695400</v>
      </c>
      <c r="C32" s="66">
        <f>INDEX('All Units'!$R$5:$R$1272,MATCH("#"&amp;TEXT($A32,"00")&amp;"-"&amp;TEXT(C$6,"00"),'All Units'!$A$5:$A$1272,0))</f>
        <v>3695400</v>
      </c>
      <c r="D32" s="66">
        <f>INDEX('All Units'!$R$5:$R$1272,MATCH("#"&amp;TEXT($A32,"00")&amp;"-"&amp;TEXT(D$6,"00"),'All Units'!$A$5:$A$1272,0))</f>
        <v>3795700</v>
      </c>
      <c r="E32" s="66">
        <f>INDEX('All Units'!$R$5:$R$1272,MATCH("#"&amp;TEXT($A32,"00")&amp;"-"&amp;TEXT(E$6,"00"),'All Units'!$A$5:$A$1272,0))</f>
        <v>3826700</v>
      </c>
    </row>
    <row r="33" spans="1:5" x14ac:dyDescent="0.2">
      <c r="A33" s="67">
        <v>18</v>
      </c>
      <c r="B33" s="66">
        <f>INDEX('All Units'!$R$5:$R$1272,MATCH("#"&amp;TEXT($A33,"00")&amp;"-"&amp;TEXT(B$6,"00"),'All Units'!$A$5:$A$1272,0))</f>
        <v>3665700</v>
      </c>
      <c r="C33" s="66">
        <f>INDEX('All Units'!$R$5:$R$1272,MATCH("#"&amp;TEXT($A33,"00")&amp;"-"&amp;TEXT(C$6,"00"),'All Units'!$A$5:$A$1272,0))</f>
        <v>3665700</v>
      </c>
      <c r="D33" s="66">
        <f>INDEX('All Units'!$R$5:$R$1272,MATCH("#"&amp;TEXT($A33,"00")&amp;"-"&amp;TEXT(D$6,"00"),'All Units'!$A$5:$A$1272,0))</f>
        <v>3766000</v>
      </c>
      <c r="E33" s="66">
        <f>INDEX('All Units'!$R$5:$R$1272,MATCH("#"&amp;TEXT($A33,"00")&amp;"-"&amp;TEXT(E$6,"00"),'All Units'!$A$5:$A$1272,0))</f>
        <v>3800700</v>
      </c>
    </row>
    <row r="34" spans="1:5" x14ac:dyDescent="0.2">
      <c r="A34" s="67">
        <v>17</v>
      </c>
      <c r="B34" s="66">
        <f>INDEX('All Units'!$R$5:$R$1272,MATCH("#"&amp;TEXT($A34,"00")&amp;"-"&amp;TEXT(B$6,"00"),'All Units'!$A$5:$A$1272,0))</f>
        <v>3636000</v>
      </c>
      <c r="C34" s="66">
        <f>INDEX('All Units'!$R$5:$R$1272,MATCH("#"&amp;TEXT($A34,"00")&amp;"-"&amp;TEXT(C$6,"00"),'All Units'!$A$5:$A$1272,0))</f>
        <v>3636000</v>
      </c>
      <c r="D34" s="66">
        <f>INDEX('All Units'!$R$5:$R$1272,MATCH("#"&amp;TEXT($A34,"00")&amp;"-"&amp;TEXT(D$6,"00"),'All Units'!$A$5:$A$1272,0))</f>
        <v>3736300</v>
      </c>
      <c r="E34" s="66">
        <f>INDEX('All Units'!$R$5:$R$1272,MATCH("#"&amp;TEXT($A34,"00")&amp;"-"&amp;TEXT(E$6,"00"),'All Units'!$A$5:$A$1272,0))</f>
        <v>3774700</v>
      </c>
    </row>
    <row r="35" spans="1:5" x14ac:dyDescent="0.2">
      <c r="A35" s="67">
        <v>16</v>
      </c>
      <c r="B35" s="66">
        <f>INDEX('All Units'!$R$5:$R$1272,MATCH("#"&amp;TEXT($A35,"00")&amp;"-"&amp;TEXT(B$6,"00"),'All Units'!$A$5:$A$1272,0))</f>
        <v>3607500</v>
      </c>
      <c r="C35" s="66">
        <f>INDEX('All Units'!$R$5:$R$1272,MATCH("#"&amp;TEXT($A35,"00")&amp;"-"&amp;TEXT(C$6,"00"),'All Units'!$A$5:$A$1272,0))</f>
        <v>3607500</v>
      </c>
      <c r="D35" s="66">
        <f>INDEX('All Units'!$R$5:$R$1272,MATCH("#"&amp;TEXT($A35,"00")&amp;"-"&amp;TEXT(D$6,"00"),'All Units'!$A$5:$A$1272,0))</f>
        <v>3706600</v>
      </c>
      <c r="E35" s="66">
        <f>INDEX('All Units'!$R$5:$R$1272,MATCH("#"&amp;TEXT($A35,"00")&amp;"-"&amp;TEXT(E$6,"00"),'All Units'!$A$5:$A$1272,0))</f>
        <v>3747400</v>
      </c>
    </row>
    <row r="36" spans="1:5" x14ac:dyDescent="0.2">
      <c r="A36" s="67">
        <v>15</v>
      </c>
      <c r="B36" s="66">
        <f>INDEX('All Units'!$R$5:$R$1272,MATCH("#"&amp;TEXT($A36,"00")&amp;"-"&amp;TEXT(B$6,"00"),'All Units'!$A$5:$A$1272,0))</f>
        <v>3577800</v>
      </c>
      <c r="C36" s="66">
        <f>INDEX('All Units'!$R$5:$R$1272,MATCH("#"&amp;TEXT($A36,"00")&amp;"-"&amp;TEXT(C$6,"00"),'All Units'!$A$5:$A$1272,0))</f>
        <v>3577800</v>
      </c>
      <c r="D36" s="66">
        <f>INDEX('All Units'!$R$5:$R$1272,MATCH("#"&amp;TEXT($A36,"00")&amp;"-"&amp;TEXT(D$6,"00"),'All Units'!$A$5:$A$1272,0))</f>
        <v>3678100</v>
      </c>
      <c r="E36" s="66">
        <f>INDEX('All Units'!$R$5:$R$1272,MATCH("#"&amp;TEXT($A36,"00")&amp;"-"&amp;TEXT(E$6,"00"),'All Units'!$A$5:$A$1272,0))</f>
        <v>3731300</v>
      </c>
    </row>
    <row r="37" spans="1:5" x14ac:dyDescent="0.2">
      <c r="A37" s="67">
        <v>14</v>
      </c>
      <c r="B37" s="66">
        <f>INDEX('All Units'!$R$5:$R$1272,MATCH("#"&amp;TEXT($A37,"00")&amp;"-"&amp;TEXT(B$6,"00"),'All Units'!$A$5:$A$1272,0))</f>
        <v>3548100</v>
      </c>
      <c r="C37" s="66">
        <f>INDEX('All Units'!$R$5:$R$1272,MATCH("#"&amp;TEXT($A37,"00")&amp;"-"&amp;TEXT(C$6,"00"),'All Units'!$A$5:$A$1272,0))</f>
        <v>3548100</v>
      </c>
      <c r="D37" s="66">
        <f>INDEX('All Units'!$R$5:$R$1272,MATCH("#"&amp;TEXT($A37,"00")&amp;"-"&amp;TEXT(D$6,"00"),'All Units'!$A$5:$A$1272,0))</f>
        <v>3648400</v>
      </c>
      <c r="E37" s="66">
        <f>INDEX('All Units'!$R$5:$R$1272,MATCH("#"&amp;TEXT($A37,"00")&amp;"-"&amp;TEXT(E$6,"00"),'All Units'!$A$5:$A$1272,0))</f>
        <v>3714000</v>
      </c>
    </row>
    <row r="38" spans="1:5" x14ac:dyDescent="0.2">
      <c r="A38" s="67">
        <v>13</v>
      </c>
      <c r="B38" s="66">
        <f>INDEX('All Units'!$R$5:$R$1272,MATCH("#"&amp;TEXT($A38,"00")&amp;"-"&amp;TEXT(B$6,"00"),'All Units'!$A$5:$A$1272,0))</f>
        <v>3518400</v>
      </c>
      <c r="C38" s="66">
        <f>INDEX('All Units'!$R$5:$R$1272,MATCH("#"&amp;TEXT($A38,"00")&amp;"-"&amp;TEXT(C$6,"00"),'All Units'!$A$5:$A$1272,0))</f>
        <v>3518400</v>
      </c>
      <c r="D38" s="66">
        <f>INDEX('All Units'!$R$5:$R$1272,MATCH("#"&amp;TEXT($A38,"00")&amp;"-"&amp;TEXT(D$6,"00"),'All Units'!$A$5:$A$1272,0))</f>
        <v>3618700</v>
      </c>
      <c r="E38" s="66">
        <f>INDEX('All Units'!$R$5:$R$1272,MATCH("#"&amp;TEXT($A38,"00")&amp;"-"&amp;TEXT(E$6,"00"),'All Units'!$A$5:$A$1272,0))</f>
        <v>3697900</v>
      </c>
    </row>
    <row r="39" spans="1:5" x14ac:dyDescent="0.2">
      <c r="A39" s="67">
        <v>12</v>
      </c>
      <c r="B39" s="66">
        <f>INDEX('All Units'!$R$5:$R$1272,MATCH("#"&amp;TEXT($A39,"00")&amp;"-"&amp;TEXT(B$6,"00"),'All Units'!$A$5:$A$1272,0))</f>
        <v>3488700</v>
      </c>
      <c r="C39" s="66">
        <f>INDEX('All Units'!$R$5:$R$1272,MATCH("#"&amp;TEXT($A39,"00")&amp;"-"&amp;TEXT(C$6,"00"),'All Units'!$A$5:$A$1272,0))</f>
        <v>3488700</v>
      </c>
      <c r="D39" s="66">
        <f>INDEX('All Units'!$R$5:$R$1272,MATCH("#"&amp;TEXT($A39,"00")&amp;"-"&amp;TEXT(D$6,"00"),'All Units'!$A$5:$A$1272,0))</f>
        <v>3589000</v>
      </c>
      <c r="E39" s="66">
        <f>INDEX('All Units'!$R$5:$R$1272,MATCH("#"&amp;TEXT($A39,"00")&amp;"-"&amp;TEXT(E$6,"00"),'All Units'!$A$5:$A$1272,0))</f>
        <v>3680600</v>
      </c>
    </row>
    <row r="40" spans="1:5" x14ac:dyDescent="0.2">
      <c r="A40" s="67">
        <v>11</v>
      </c>
      <c r="B40" s="66">
        <f>INDEX('All Units'!$R$5:$R$1272,MATCH("#"&amp;TEXT($A40,"00")&amp;"-"&amp;TEXT(B$6,"00"),'All Units'!$A$5:$A$1272,0))</f>
        <v>3470100</v>
      </c>
      <c r="C40" s="66">
        <f>INDEX('All Units'!$R$5:$R$1272,MATCH("#"&amp;TEXT($A40,"00")&amp;"-"&amp;TEXT(C$6,"00"),'All Units'!$A$5:$A$1272,0))</f>
        <v>3470100</v>
      </c>
      <c r="D40" s="66">
        <f>INDEX('All Units'!$R$5:$R$1272,MATCH("#"&amp;TEXT($A40,"00")&amp;"-"&amp;TEXT(D$6,"00"),'All Units'!$A$5:$A$1272,0))</f>
        <v>3570400</v>
      </c>
      <c r="E40" s="66">
        <f>INDEX('All Units'!$R$5:$R$1272,MATCH("#"&amp;TEXT($A40,"00")&amp;"-"&amp;TEXT(E$6,"00"),'All Units'!$A$5:$A$1272,0))</f>
        <v>3664500</v>
      </c>
    </row>
    <row r="41" spans="1:5" x14ac:dyDescent="0.2">
      <c r="A41" s="67">
        <v>10</v>
      </c>
      <c r="B41" s="66">
        <f>INDEX('All Units'!$R$5:$R$1272,MATCH("#"&amp;TEXT($A41,"00")&amp;"-"&amp;TEXT(B$6,"00"),'All Units'!$A$5:$A$1272,0))</f>
        <v>3461400</v>
      </c>
      <c r="C41" s="66">
        <f>INDEX('All Units'!$R$5:$R$1272,MATCH("#"&amp;TEXT($A41,"00")&amp;"-"&amp;TEXT(C$6,"00"),'All Units'!$A$5:$A$1272,0))</f>
        <v>3461400</v>
      </c>
      <c r="D41" s="66">
        <f>INDEX('All Units'!$R$5:$R$1272,MATCH("#"&amp;TEXT($A41,"00")&amp;"-"&amp;TEXT(D$6,"00"),'All Units'!$A$5:$A$1272,0))</f>
        <v>3560500</v>
      </c>
      <c r="E41" s="66">
        <f>INDEX('All Units'!$R$5:$R$1272,MATCH("#"&amp;TEXT($A41,"00")&amp;"-"&amp;TEXT(E$6,"00"),'All Units'!$A$5:$A$1272,0))</f>
        <v>3648400</v>
      </c>
    </row>
    <row r="42" spans="1:5" x14ac:dyDescent="0.2">
      <c r="A42" s="67">
        <v>9</v>
      </c>
      <c r="B42" s="66">
        <f>INDEX('All Units'!$R$5:$R$1272,MATCH("#"&amp;TEXT($A42,"00")&amp;"-"&amp;TEXT(B$6,"00"),'All Units'!$A$5:$A$1272,0))</f>
        <v>3451500</v>
      </c>
      <c r="C42" s="66">
        <f>INDEX('All Units'!$R$5:$R$1272,MATCH("#"&amp;TEXT($A42,"00")&amp;"-"&amp;TEXT(C$6,"00"),'All Units'!$A$5:$A$1272,0))</f>
        <v>3455300</v>
      </c>
      <c r="D42" s="66">
        <f>INDEX('All Units'!$R$5:$R$1272,MATCH("#"&amp;TEXT($A42,"00")&amp;"-"&amp;TEXT(D$6,"00"),'All Units'!$A$5:$A$1272,0))</f>
        <v>3551800</v>
      </c>
      <c r="E42" s="66">
        <f>INDEX('All Units'!$R$5:$R$1272,MATCH("#"&amp;TEXT($A42,"00")&amp;"-"&amp;TEXT(E$6,"00"),'All Units'!$A$5:$A$1272,0))</f>
        <v>3631100</v>
      </c>
    </row>
    <row r="43" spans="1:5" x14ac:dyDescent="0.2">
      <c r="A43" s="67">
        <v>8</v>
      </c>
      <c r="B43" s="66">
        <f>INDEX('All Units'!$R$5:$R$1272,MATCH("#"&amp;TEXT($A43,"00")&amp;"-"&amp;TEXT(B$6,"00"),'All Units'!$A$5:$A$1272,0))</f>
        <v>3442900</v>
      </c>
      <c r="C43" s="66">
        <f>INDEX('All Units'!$R$5:$R$1272,MATCH("#"&amp;TEXT($A43,"00")&amp;"-"&amp;TEXT(C$6,"00"),'All Units'!$A$5:$A$1272,0))</f>
        <v>3455300</v>
      </c>
      <c r="D43" s="66">
        <f>INDEX('All Units'!$R$5:$R$1272,MATCH("#"&amp;TEXT($A43,"00")&amp;"-"&amp;TEXT(D$6,"00"),'All Units'!$A$5:$A$1272,0))</f>
        <v>3543200</v>
      </c>
      <c r="E43" s="66">
        <f>INDEX('All Units'!$R$5:$R$1272,MATCH("#"&amp;TEXT($A43,"00")&amp;"-"&amp;TEXT(E$6,"00"),'All Units'!$A$5:$A$1272,0))</f>
        <v>3615000</v>
      </c>
    </row>
    <row r="44" spans="1:5" x14ac:dyDescent="0.2">
      <c r="A44" s="67">
        <v>7</v>
      </c>
      <c r="B44" s="66">
        <f>INDEX('All Units'!$R$5:$R$1272,MATCH("#"&amp;TEXT($A44,"00")&amp;"-"&amp;TEXT(B$6,"00"),'All Units'!$A$5:$A$1272,0))</f>
        <v>3434200</v>
      </c>
      <c r="C44" s="66">
        <f>INDEX('All Units'!$R$5:$R$1272,MATCH("#"&amp;TEXT($A44,"00")&amp;"-"&amp;TEXT(C$6,"00"),'All Units'!$A$5:$A$1272,0))</f>
        <v>3455300</v>
      </c>
      <c r="D44" s="66">
        <f>INDEX('All Units'!$R$5:$R$1272,MATCH("#"&amp;TEXT($A44,"00")&amp;"-"&amp;TEXT(D$6,"00"),'All Units'!$A$5:$A$1272,0))</f>
        <v>3533300</v>
      </c>
      <c r="E44" s="66">
        <f>INDEX('All Units'!$R$5:$R$1272,MATCH("#"&amp;TEXT($A44,"00")&amp;"-"&amp;TEXT(E$6,"00"),'All Units'!$A$5:$A$1272,0))</f>
        <v>3597600</v>
      </c>
    </row>
    <row r="45" spans="1:5" x14ac:dyDescent="0.2">
      <c r="A45" s="67">
        <v>6</v>
      </c>
      <c r="B45" s="66">
        <f>INDEX('All Units'!$R$5:$R$1272,MATCH("#"&amp;TEXT($A45,"00")&amp;"-"&amp;TEXT(B$6,"00"),'All Units'!$A$5:$A$1272,0))</f>
        <v>3424300</v>
      </c>
      <c r="C45" s="66">
        <f>INDEX('All Units'!$R$5:$R$1272,MATCH("#"&amp;TEXT($A45,"00")&amp;"-"&amp;TEXT(C$6,"00"),'All Units'!$A$5:$A$1272,0))</f>
        <v>3455300</v>
      </c>
      <c r="D45" s="66">
        <f>INDEX('All Units'!$R$5:$R$1272,MATCH("#"&amp;TEXT($A45,"00")&amp;"-"&amp;TEXT(D$6,"00"),'All Units'!$A$5:$A$1272,0))</f>
        <v>3524600</v>
      </c>
      <c r="E45" s="66">
        <f>INDEX('All Units'!$R$5:$R$1272,MATCH("#"&amp;TEXT($A45,"00")&amp;"-"&amp;TEXT(E$6,"00"),'All Units'!$A$5:$A$1272,0))</f>
        <v>3581500</v>
      </c>
    </row>
    <row r="46" spans="1:5" x14ac:dyDescent="0.2">
      <c r="A46" s="67">
        <v>5</v>
      </c>
      <c r="B46" s="66">
        <f>INDEX('All Units'!$R$5:$R$1272,MATCH("#"&amp;TEXT($A46,"00")&amp;"-"&amp;TEXT(B$6,"00"),'All Units'!$A$5:$A$1272,0))</f>
        <v>3415600</v>
      </c>
      <c r="C46" s="66">
        <f>INDEX('All Units'!$R$5:$R$1272,MATCH("#"&amp;TEXT($A46,"00")&amp;"-"&amp;TEXT(C$6,"00"),'All Units'!$A$5:$A$1272,0))</f>
        <v>3455300</v>
      </c>
      <c r="D46" s="66">
        <f>INDEX('All Units'!$R$5:$R$1272,MATCH("#"&amp;TEXT($A46,"00")&amp;"-"&amp;TEXT(D$6,"00"),'All Units'!$A$5:$A$1272,0))</f>
        <v>3515900</v>
      </c>
      <c r="E46" s="66">
        <f>INDEX('All Units'!$R$5:$R$1272,MATCH("#"&amp;TEXT($A46,"00")&amp;"-"&amp;TEXT(E$6,"00"),'All Units'!$A$5:$A$1272,0))</f>
        <v>3564200</v>
      </c>
    </row>
    <row r="47" spans="1:5" x14ac:dyDescent="0.2">
      <c r="A47" s="67">
        <v>4</v>
      </c>
      <c r="B47" s="66">
        <f>INDEX('All Units'!$R$5:$R$1272,MATCH("#"&amp;TEXT($A47,"00")&amp;"-"&amp;TEXT(B$6,"00"),'All Units'!$A$5:$A$1272,0))</f>
        <v>3407000</v>
      </c>
      <c r="C47" s="66">
        <f>INDEX('All Units'!$R$5:$R$1272,MATCH("#"&amp;TEXT($A47,"00")&amp;"-"&amp;TEXT(C$6,"00"),'All Units'!$A$5:$A$1272,0))</f>
        <v>3455300</v>
      </c>
      <c r="D47" s="66">
        <f>INDEX('All Units'!$R$5:$R$1272,MATCH("#"&amp;TEXT($A47,"00")&amp;"-"&amp;TEXT(D$6,"00"),'All Units'!$A$5:$A$1272,0))</f>
        <v>3506000</v>
      </c>
      <c r="E47" s="66">
        <f>INDEX('All Units'!$R$5:$R$1272,MATCH("#"&amp;TEXT($A47,"00")&amp;"-"&amp;TEXT(E$6,"00"),'All Units'!$A$5:$A$1272,0))</f>
        <v>3548100</v>
      </c>
    </row>
    <row r="48" spans="1:5" x14ac:dyDescent="0.2">
      <c r="A48" s="67">
        <v>3</v>
      </c>
      <c r="B48" s="66">
        <f>INDEX('All Units'!$R$5:$R$1272,MATCH("#"&amp;TEXT($A48,"00")&amp;"-"&amp;TEXT(B$6,"00"),'All Units'!$A$5:$A$1272,0))</f>
        <v>3397100</v>
      </c>
      <c r="C48" s="66">
        <f>INDEX('All Units'!$R$5:$R$1272,MATCH("#"&amp;TEXT($A48,"00")&amp;"-"&amp;TEXT(C$6,"00"),'All Units'!$A$5:$A$1272,0))</f>
        <v>3455300</v>
      </c>
      <c r="D48" s="66">
        <f>INDEX('All Units'!$R$5:$R$1272,MATCH("#"&amp;TEXT($A48,"00")&amp;"-"&amp;TEXT(D$6,"00"),'All Units'!$A$5:$A$1272,0))</f>
        <v>3497400</v>
      </c>
      <c r="E48" s="66">
        <f>INDEX('All Units'!$R$5:$R$1272,MATCH("#"&amp;TEXT($A48,"00")&amp;"-"&amp;TEXT(E$6,"00"),'All Units'!$A$5:$A$1272,0))</f>
        <v>3530800</v>
      </c>
    </row>
    <row r="49" spans="1:5" x14ac:dyDescent="0.2">
      <c r="A49" s="67">
        <v>2</v>
      </c>
      <c r="B49" s="66">
        <f>INDEX('All Units'!$R$5:$R$1272,MATCH("#"&amp;TEXT($A49,"00")&amp;"-"&amp;TEXT(B$6,"00"),'All Units'!$A$5:$A$1272,0))</f>
        <v>3388000</v>
      </c>
      <c r="C49" s="66">
        <f>INDEX('All Units'!$R$5:$R$1272,MATCH("#"&amp;TEXT($A49,"00")&amp;"-"&amp;TEXT(C$6,"00"),'All Units'!$A$5:$A$1272,0))</f>
        <v>3455300</v>
      </c>
      <c r="D49" s="66">
        <f>INDEX('All Units'!$R$5:$R$1272,MATCH("#"&amp;TEXT($A49,"00")&amp;"-"&amp;TEXT(D$6,"00"),'All Units'!$A$5:$A$1272,0))</f>
        <v>3488700</v>
      </c>
      <c r="E49" s="66">
        <f>INDEX('All Units'!$R$5:$R$1272,MATCH("#"&amp;TEXT($A49,"00")&amp;"-"&amp;TEXT(E$6,"00"),'All Units'!$A$5:$A$1272,0))</f>
        <v>3514700</v>
      </c>
    </row>
    <row r="50" spans="1:5" x14ac:dyDescent="0.2">
      <c r="A50" s="67">
        <v>1</v>
      </c>
      <c r="B50" s="68"/>
      <c r="C50" s="68"/>
      <c r="D50" s="68"/>
      <c r="E50" s="66">
        <f>INDEX('All Units'!$R$5:$R$1272,MATCH("#"&amp;TEXT($A50,"00")&amp;"-"&amp;TEXT(E$6,"00"),'All Units'!$A$5:$A$1272,0))</f>
        <v>3497400</v>
      </c>
    </row>
    <row r="52" spans="1:5" x14ac:dyDescent="0.2">
      <c r="A52" s="99" t="s">
        <v>1472</v>
      </c>
      <c r="B52" s="99"/>
      <c r="C52" s="99"/>
      <c r="D52" s="99"/>
      <c r="E52" s="99"/>
    </row>
    <row r="53" spans="1:5" x14ac:dyDescent="0.2">
      <c r="A53" s="67">
        <v>30</v>
      </c>
      <c r="B53" s="68"/>
      <c r="C53" s="68"/>
      <c r="D53" s="68"/>
      <c r="E53" s="66">
        <f>INDEX('All Units'!$Q$5:$Q$1272,MATCH("#"&amp;TEXT($A53,"00")&amp;"-"&amp;TEXT(E$6,"00"),'All Units'!$A$5:$A$1272,0))</f>
        <v>3331</v>
      </c>
    </row>
    <row r="54" spans="1:5" x14ac:dyDescent="0.2">
      <c r="A54" s="67">
        <v>29</v>
      </c>
      <c r="B54" s="68"/>
      <c r="C54" s="68"/>
      <c r="D54" s="68"/>
      <c r="E54" s="66">
        <f>INDEX('All Units'!$Q$5:$Q$1272,MATCH("#"&amp;TEXT($A54,"00")&amp;"-"&amp;TEXT(E$6,"00"),'All Units'!$A$5:$A$1272,0))</f>
        <v>3309</v>
      </c>
    </row>
    <row r="55" spans="1:5" x14ac:dyDescent="0.2">
      <c r="A55" s="67">
        <v>28</v>
      </c>
      <c r="B55" s="68"/>
      <c r="C55" s="68"/>
      <c r="D55" s="68"/>
      <c r="E55" s="66">
        <f>INDEX('All Units'!$Q$5:$Q$1272,MATCH("#"&amp;TEXT($A55,"00")&amp;"-"&amp;TEXT(E$6,"00"),'All Units'!$A$5:$A$1272,0))</f>
        <v>3287</v>
      </c>
    </row>
    <row r="56" spans="1:5" x14ac:dyDescent="0.2">
      <c r="A56" s="67">
        <v>27</v>
      </c>
      <c r="B56" s="68"/>
      <c r="C56" s="68"/>
      <c r="D56" s="68"/>
      <c r="E56" s="66">
        <f>INDEX('All Units'!$Q$5:$Q$1272,MATCH("#"&amp;TEXT($A56,"00")&amp;"-"&amp;TEXT(E$6,"00"),'All Units'!$A$5:$A$1272,0))</f>
        <v>3265</v>
      </c>
    </row>
    <row r="57" spans="1:5" x14ac:dyDescent="0.2">
      <c r="A57" s="67">
        <v>26</v>
      </c>
      <c r="B57" s="68"/>
      <c r="C57" s="68"/>
      <c r="D57" s="68"/>
      <c r="E57" s="66">
        <f>INDEX('All Units'!$Q$5:$Q$1272,MATCH("#"&amp;TEXT($A57,"00")&amp;"-"&amp;TEXT(E$6,"00"),'All Units'!$A$5:$A$1272,0))</f>
        <v>3243</v>
      </c>
    </row>
    <row r="58" spans="1:5" x14ac:dyDescent="0.2">
      <c r="A58" s="67">
        <v>25</v>
      </c>
      <c r="B58" s="68"/>
      <c r="C58" s="68"/>
      <c r="D58" s="68"/>
      <c r="E58" s="66">
        <f>INDEX('All Units'!$Q$5:$Q$1272,MATCH("#"&amp;TEXT($A58,"00")&amp;"-"&amp;TEXT(E$6,"00"),'All Units'!$A$5:$A$1272,0))</f>
        <v>3221</v>
      </c>
    </row>
    <row r="59" spans="1:5" x14ac:dyDescent="0.2">
      <c r="A59" s="67">
        <v>24</v>
      </c>
      <c r="B59" s="68"/>
      <c r="C59" s="68"/>
      <c r="D59" s="68"/>
      <c r="E59" s="66">
        <f>INDEX('All Units'!$Q$5:$Q$1272,MATCH("#"&amp;TEXT($A59,"00")&amp;"-"&amp;TEXT(E$6,"00"),'All Units'!$A$5:$A$1272,0))</f>
        <v>3199</v>
      </c>
    </row>
    <row r="60" spans="1:5" x14ac:dyDescent="0.2">
      <c r="A60" s="67">
        <v>23</v>
      </c>
      <c r="B60" s="68"/>
      <c r="C60" s="68"/>
      <c r="D60" s="68"/>
      <c r="E60" s="66">
        <f>INDEX('All Units'!$Q$5:$Q$1272,MATCH("#"&amp;TEXT($A60,"00")&amp;"-"&amp;TEXT(E$6,"00"),'All Units'!$A$5:$A$1272,0))</f>
        <v>3177</v>
      </c>
    </row>
    <row r="61" spans="1:5" x14ac:dyDescent="0.2">
      <c r="A61" s="67">
        <v>22</v>
      </c>
      <c r="B61" s="68"/>
      <c r="C61" s="68"/>
      <c r="D61" s="68"/>
      <c r="E61" s="66">
        <f>INDEX('All Units'!$Q$5:$Q$1272,MATCH("#"&amp;TEXT($A61,"00")&amp;"-"&amp;TEXT(E$6,"00"),'All Units'!$A$5:$A$1272,0))</f>
        <v>3155</v>
      </c>
    </row>
    <row r="62" spans="1:5" x14ac:dyDescent="0.2">
      <c r="A62" s="67">
        <v>21</v>
      </c>
      <c r="B62" s="66">
        <f>INDEX('All Units'!$Q$5:$Q$1272,MATCH("#"&amp;TEXT($A62,"00")&amp;"-"&amp;TEXT(B$6,"00"),'All Units'!$A$5:$A$1272,0))</f>
        <v>3032</v>
      </c>
      <c r="C62" s="66">
        <f>INDEX('All Units'!$Q$5:$Q$1272,MATCH("#"&amp;TEXT($A62,"00")&amp;"-"&amp;TEXT(C$6,"00"),'All Units'!$A$5:$A$1272,0))</f>
        <v>3032</v>
      </c>
      <c r="D62" s="66">
        <f>INDEX('All Units'!$Q$5:$Q$1272,MATCH("#"&amp;TEXT($A62,"00")&amp;"-"&amp;TEXT(D$6,"00"),'All Units'!$A$5:$A$1272,0))</f>
        <v>3113</v>
      </c>
      <c r="E62" s="66">
        <f>INDEX('All Units'!$Q$5:$Q$1272,MATCH("#"&amp;TEXT($A62,"00")&amp;"-"&amp;TEXT(E$6,"00"),'All Units'!$A$5:$A$1272,0))</f>
        <v>3134</v>
      </c>
    </row>
    <row r="63" spans="1:5" x14ac:dyDescent="0.2">
      <c r="A63" s="67">
        <v>20</v>
      </c>
      <c r="B63" s="66">
        <f>INDEX('All Units'!$Q$5:$Q$1272,MATCH("#"&amp;TEXT($A63,"00")&amp;"-"&amp;TEXT(B$6,"00"),'All Units'!$A$5:$A$1272,0))</f>
        <v>3009</v>
      </c>
      <c r="C63" s="66">
        <f>INDEX('All Units'!$Q$5:$Q$1272,MATCH("#"&amp;TEXT($A63,"00")&amp;"-"&amp;TEXT(C$6,"00"),'All Units'!$A$5:$A$1272,0))</f>
        <v>3009</v>
      </c>
      <c r="D63" s="66">
        <f>INDEX('All Units'!$Q$5:$Q$1272,MATCH("#"&amp;TEXT($A63,"00")&amp;"-"&amp;TEXT(D$6,"00"),'All Units'!$A$5:$A$1272,0))</f>
        <v>3089</v>
      </c>
      <c r="E63" s="66">
        <f>INDEX('All Units'!$Q$5:$Q$1272,MATCH("#"&amp;TEXT($A63,"00")&amp;"-"&amp;TEXT(E$6,"00"),'All Units'!$A$5:$A$1272,0))</f>
        <v>3112</v>
      </c>
    </row>
    <row r="64" spans="1:5" x14ac:dyDescent="0.2">
      <c r="A64" s="67">
        <v>19</v>
      </c>
      <c r="B64" s="66">
        <f>INDEX('All Units'!$Q$5:$Q$1272,MATCH("#"&amp;TEXT($A64,"00")&amp;"-"&amp;TEXT(B$6,"00"),'All Units'!$A$5:$A$1272,0))</f>
        <v>2985</v>
      </c>
      <c r="C64" s="66">
        <f>INDEX('All Units'!$Q$5:$Q$1272,MATCH("#"&amp;TEXT($A64,"00")&amp;"-"&amp;TEXT(C$6,"00"),'All Units'!$A$5:$A$1272,0))</f>
        <v>2985</v>
      </c>
      <c r="D64" s="66">
        <f>INDEX('All Units'!$Q$5:$Q$1272,MATCH("#"&amp;TEXT($A64,"00")&amp;"-"&amp;TEXT(D$6,"00"),'All Units'!$A$5:$A$1272,0))</f>
        <v>3066</v>
      </c>
      <c r="E64" s="66">
        <f>INDEX('All Units'!$Q$5:$Q$1272,MATCH("#"&amp;TEXT($A64,"00")&amp;"-"&amp;TEXT(E$6,"00"),'All Units'!$A$5:$A$1272,0))</f>
        <v>3091</v>
      </c>
    </row>
    <row r="65" spans="1:5" x14ac:dyDescent="0.2">
      <c r="A65" s="67">
        <v>18</v>
      </c>
      <c r="B65" s="66">
        <f>INDEX('All Units'!$Q$5:$Q$1272,MATCH("#"&amp;TEXT($A65,"00")&amp;"-"&amp;TEXT(B$6,"00"),'All Units'!$A$5:$A$1272,0))</f>
        <v>2961</v>
      </c>
      <c r="C65" s="66">
        <f>INDEX('All Units'!$Q$5:$Q$1272,MATCH("#"&amp;TEXT($A65,"00")&amp;"-"&amp;TEXT(C$6,"00"),'All Units'!$A$5:$A$1272,0))</f>
        <v>2961</v>
      </c>
      <c r="D65" s="66">
        <f>INDEX('All Units'!$Q$5:$Q$1272,MATCH("#"&amp;TEXT($A65,"00")&amp;"-"&amp;TEXT(D$6,"00"),'All Units'!$A$5:$A$1272,0))</f>
        <v>3042</v>
      </c>
      <c r="E65" s="66">
        <f>INDEX('All Units'!$Q$5:$Q$1272,MATCH("#"&amp;TEXT($A65,"00")&amp;"-"&amp;TEXT(E$6,"00"),'All Units'!$A$5:$A$1272,0))</f>
        <v>3070</v>
      </c>
    </row>
    <row r="66" spans="1:5" x14ac:dyDescent="0.2">
      <c r="A66" s="67">
        <v>17</v>
      </c>
      <c r="B66" s="66">
        <f>INDEX('All Units'!$Q$5:$Q$1272,MATCH("#"&amp;TEXT($A66,"00")&amp;"-"&amp;TEXT(B$6,"00"),'All Units'!$A$5:$A$1272,0))</f>
        <v>2937</v>
      </c>
      <c r="C66" s="66">
        <f>INDEX('All Units'!$Q$5:$Q$1272,MATCH("#"&amp;TEXT($A66,"00")&amp;"-"&amp;TEXT(C$6,"00"),'All Units'!$A$5:$A$1272,0))</f>
        <v>2937</v>
      </c>
      <c r="D66" s="66">
        <f>INDEX('All Units'!$Q$5:$Q$1272,MATCH("#"&amp;TEXT($A66,"00")&amp;"-"&amp;TEXT(D$6,"00"),'All Units'!$A$5:$A$1272,0))</f>
        <v>3018</v>
      </c>
      <c r="E66" s="66">
        <f>INDEX('All Units'!$Q$5:$Q$1272,MATCH("#"&amp;TEXT($A66,"00")&amp;"-"&amp;TEXT(E$6,"00"),'All Units'!$A$5:$A$1272,0))</f>
        <v>3049</v>
      </c>
    </row>
    <row r="67" spans="1:5" x14ac:dyDescent="0.2">
      <c r="A67" s="67">
        <v>16</v>
      </c>
      <c r="B67" s="66">
        <f>INDEX('All Units'!$Q$5:$Q$1272,MATCH("#"&amp;TEXT($A67,"00")&amp;"-"&amp;TEXT(B$6,"00"),'All Units'!$A$5:$A$1272,0))</f>
        <v>2914</v>
      </c>
      <c r="C67" s="66">
        <f>INDEX('All Units'!$Q$5:$Q$1272,MATCH("#"&amp;TEXT($A67,"00")&amp;"-"&amp;TEXT(C$6,"00"),'All Units'!$A$5:$A$1272,0))</f>
        <v>2914</v>
      </c>
      <c r="D67" s="66">
        <f>INDEX('All Units'!$Q$5:$Q$1272,MATCH("#"&amp;TEXT($A67,"00")&amp;"-"&amp;TEXT(D$6,"00"),'All Units'!$A$5:$A$1272,0))</f>
        <v>2994</v>
      </c>
      <c r="E67" s="66">
        <f>INDEX('All Units'!$Q$5:$Q$1272,MATCH("#"&amp;TEXT($A67,"00")&amp;"-"&amp;TEXT(E$6,"00"),'All Units'!$A$5:$A$1272,0))</f>
        <v>3027</v>
      </c>
    </row>
    <row r="68" spans="1:5" x14ac:dyDescent="0.2">
      <c r="A68" s="67">
        <v>15</v>
      </c>
      <c r="B68" s="66">
        <f>INDEX('All Units'!$Q$5:$Q$1272,MATCH("#"&amp;TEXT($A68,"00")&amp;"-"&amp;TEXT(B$6,"00"),'All Units'!$A$5:$A$1272,0))</f>
        <v>2890</v>
      </c>
      <c r="C68" s="66">
        <f>INDEX('All Units'!$Q$5:$Q$1272,MATCH("#"&amp;TEXT($A68,"00")&amp;"-"&amp;TEXT(C$6,"00"),'All Units'!$A$5:$A$1272,0))</f>
        <v>2890</v>
      </c>
      <c r="D68" s="66">
        <f>INDEX('All Units'!$Q$5:$Q$1272,MATCH("#"&amp;TEXT($A68,"00")&amp;"-"&amp;TEXT(D$6,"00"),'All Units'!$A$5:$A$1272,0))</f>
        <v>2971</v>
      </c>
      <c r="E68" s="66">
        <f>INDEX('All Units'!$Q$5:$Q$1272,MATCH("#"&amp;TEXT($A68,"00")&amp;"-"&amp;TEXT(E$6,"00"),'All Units'!$A$5:$A$1272,0))</f>
        <v>3014</v>
      </c>
    </row>
    <row r="69" spans="1:5" x14ac:dyDescent="0.2">
      <c r="A69" s="67">
        <v>14</v>
      </c>
      <c r="B69" s="66">
        <f>INDEX('All Units'!$Q$5:$Q$1272,MATCH("#"&amp;TEXT($A69,"00")&amp;"-"&amp;TEXT(B$6,"00"),'All Units'!$A$5:$A$1272,0))</f>
        <v>2866</v>
      </c>
      <c r="C69" s="66">
        <f>INDEX('All Units'!$Q$5:$Q$1272,MATCH("#"&amp;TEXT($A69,"00")&amp;"-"&amp;TEXT(C$6,"00"),'All Units'!$A$5:$A$1272,0))</f>
        <v>2866</v>
      </c>
      <c r="D69" s="66">
        <f>INDEX('All Units'!$Q$5:$Q$1272,MATCH("#"&amp;TEXT($A69,"00")&amp;"-"&amp;TEXT(D$6,"00"),'All Units'!$A$5:$A$1272,0))</f>
        <v>2947</v>
      </c>
      <c r="E69" s="66">
        <f>INDEX('All Units'!$Q$5:$Q$1272,MATCH("#"&amp;TEXT($A69,"00")&amp;"-"&amp;TEXT(E$6,"00"),'All Units'!$A$5:$A$1272,0))</f>
        <v>3000</v>
      </c>
    </row>
    <row r="70" spans="1:5" x14ac:dyDescent="0.2">
      <c r="A70" s="67">
        <v>13</v>
      </c>
      <c r="B70" s="66">
        <f>INDEX('All Units'!$Q$5:$Q$1272,MATCH("#"&amp;TEXT($A70,"00")&amp;"-"&amp;TEXT(B$6,"00"),'All Units'!$A$5:$A$1272,0))</f>
        <v>2842</v>
      </c>
      <c r="C70" s="66">
        <f>INDEX('All Units'!$Q$5:$Q$1272,MATCH("#"&amp;TEXT($A70,"00")&amp;"-"&amp;TEXT(C$6,"00"),'All Units'!$A$5:$A$1272,0))</f>
        <v>2842</v>
      </c>
      <c r="D70" s="66">
        <f>INDEX('All Units'!$Q$5:$Q$1272,MATCH("#"&amp;TEXT($A70,"00")&amp;"-"&amp;TEXT(D$6,"00"),'All Units'!$A$5:$A$1272,0))</f>
        <v>2923</v>
      </c>
      <c r="E70" s="66">
        <f>INDEX('All Units'!$Q$5:$Q$1272,MATCH("#"&amp;TEXT($A70,"00")&amp;"-"&amp;TEXT(E$6,"00"),'All Units'!$A$5:$A$1272,0))</f>
        <v>2987</v>
      </c>
    </row>
    <row r="71" spans="1:5" x14ac:dyDescent="0.2">
      <c r="A71" s="67">
        <v>12</v>
      </c>
      <c r="B71" s="66">
        <f>INDEX('All Units'!$Q$5:$Q$1272,MATCH("#"&amp;TEXT($A71,"00")&amp;"-"&amp;TEXT(B$6,"00"),'All Units'!$A$5:$A$1272,0))</f>
        <v>2818</v>
      </c>
      <c r="C71" s="66">
        <f>INDEX('All Units'!$Q$5:$Q$1272,MATCH("#"&amp;TEXT($A71,"00")&amp;"-"&amp;TEXT(C$6,"00"),'All Units'!$A$5:$A$1272,0))</f>
        <v>2818</v>
      </c>
      <c r="D71" s="66">
        <f>INDEX('All Units'!$Q$5:$Q$1272,MATCH("#"&amp;TEXT($A71,"00")&amp;"-"&amp;TEXT(D$6,"00"),'All Units'!$A$5:$A$1272,0))</f>
        <v>2899</v>
      </c>
      <c r="E71" s="66">
        <f>INDEX('All Units'!$Q$5:$Q$1272,MATCH("#"&amp;TEXT($A71,"00")&amp;"-"&amp;TEXT(E$6,"00"),'All Units'!$A$5:$A$1272,0))</f>
        <v>2973</v>
      </c>
    </row>
    <row r="72" spans="1:5" x14ac:dyDescent="0.2">
      <c r="A72" s="67">
        <v>11</v>
      </c>
      <c r="B72" s="66">
        <f>INDEX('All Units'!$Q$5:$Q$1272,MATCH("#"&amp;TEXT($A72,"00")&amp;"-"&amp;TEXT(B$6,"00"),'All Units'!$A$5:$A$1272,0))</f>
        <v>2803</v>
      </c>
      <c r="C72" s="66">
        <f>INDEX('All Units'!$Q$5:$Q$1272,MATCH("#"&amp;TEXT($A72,"00")&amp;"-"&amp;TEXT(C$6,"00"),'All Units'!$A$5:$A$1272,0))</f>
        <v>2803</v>
      </c>
      <c r="D72" s="66">
        <f>INDEX('All Units'!$Q$5:$Q$1272,MATCH("#"&amp;TEXT($A72,"00")&amp;"-"&amp;TEXT(D$6,"00"),'All Units'!$A$5:$A$1272,0))</f>
        <v>2884</v>
      </c>
      <c r="E72" s="66">
        <f>INDEX('All Units'!$Q$5:$Q$1272,MATCH("#"&amp;TEXT($A72,"00")&amp;"-"&amp;TEXT(E$6,"00"),'All Units'!$A$5:$A$1272,0))</f>
        <v>2960</v>
      </c>
    </row>
    <row r="73" spans="1:5" x14ac:dyDescent="0.2">
      <c r="A73" s="67">
        <v>10</v>
      </c>
      <c r="B73" s="66">
        <f>INDEX('All Units'!$Q$5:$Q$1272,MATCH("#"&amp;TEXT($A73,"00")&amp;"-"&amp;TEXT(B$6,"00"),'All Units'!$A$5:$A$1272,0))</f>
        <v>2796</v>
      </c>
      <c r="C73" s="66">
        <f>INDEX('All Units'!$Q$5:$Q$1272,MATCH("#"&amp;TEXT($A73,"00")&amp;"-"&amp;TEXT(C$6,"00"),'All Units'!$A$5:$A$1272,0))</f>
        <v>2796</v>
      </c>
      <c r="D73" s="66">
        <f>INDEX('All Units'!$Q$5:$Q$1272,MATCH("#"&amp;TEXT($A73,"00")&amp;"-"&amp;TEXT(D$6,"00"),'All Units'!$A$5:$A$1272,0))</f>
        <v>2876</v>
      </c>
      <c r="E73" s="66">
        <f>INDEX('All Units'!$Q$5:$Q$1272,MATCH("#"&amp;TEXT($A73,"00")&amp;"-"&amp;TEXT(E$6,"00"),'All Units'!$A$5:$A$1272,0))</f>
        <v>2947</v>
      </c>
    </row>
    <row r="74" spans="1:5" x14ac:dyDescent="0.2">
      <c r="A74" s="67">
        <v>9</v>
      </c>
      <c r="B74" s="66">
        <f>INDEX('All Units'!$Q$5:$Q$1272,MATCH("#"&amp;TEXT($A74,"00")&amp;"-"&amp;TEXT(B$6,"00"),'All Units'!$A$5:$A$1272,0))</f>
        <v>2788</v>
      </c>
      <c r="C74" s="66">
        <f>INDEX('All Units'!$Q$5:$Q$1272,MATCH("#"&amp;TEXT($A74,"00")&amp;"-"&amp;TEXT(C$6,"00"),'All Units'!$A$5:$A$1272,0))</f>
        <v>2791</v>
      </c>
      <c r="D74" s="66">
        <f>INDEX('All Units'!$Q$5:$Q$1272,MATCH("#"&amp;TEXT($A74,"00")&amp;"-"&amp;TEXT(D$6,"00"),'All Units'!$A$5:$A$1272,0))</f>
        <v>2869</v>
      </c>
      <c r="E74" s="66">
        <f>INDEX('All Units'!$Q$5:$Q$1272,MATCH("#"&amp;TEXT($A74,"00")&amp;"-"&amp;TEXT(E$6,"00"),'All Units'!$A$5:$A$1272,0))</f>
        <v>2933</v>
      </c>
    </row>
    <row r="75" spans="1:5" x14ac:dyDescent="0.2">
      <c r="A75" s="67">
        <v>8</v>
      </c>
      <c r="B75" s="66">
        <f>INDEX('All Units'!$Q$5:$Q$1272,MATCH("#"&amp;TEXT($A75,"00")&amp;"-"&amp;TEXT(B$6,"00"),'All Units'!$A$5:$A$1272,0))</f>
        <v>2781</v>
      </c>
      <c r="C75" s="66">
        <f>INDEX('All Units'!$Q$5:$Q$1272,MATCH("#"&amp;TEXT($A75,"00")&amp;"-"&amp;TEXT(C$6,"00"),'All Units'!$A$5:$A$1272,0))</f>
        <v>2791</v>
      </c>
      <c r="D75" s="66">
        <f>INDEX('All Units'!$Q$5:$Q$1272,MATCH("#"&amp;TEXT($A75,"00")&amp;"-"&amp;TEXT(D$6,"00"),'All Units'!$A$5:$A$1272,0))</f>
        <v>2862</v>
      </c>
      <c r="E75" s="66">
        <f>INDEX('All Units'!$Q$5:$Q$1272,MATCH("#"&amp;TEXT($A75,"00")&amp;"-"&amp;TEXT(E$6,"00"),'All Units'!$A$5:$A$1272,0))</f>
        <v>2920</v>
      </c>
    </row>
    <row r="76" spans="1:5" x14ac:dyDescent="0.2">
      <c r="A76" s="67">
        <v>7</v>
      </c>
      <c r="B76" s="66">
        <f>INDEX('All Units'!$Q$5:$Q$1272,MATCH("#"&amp;TEXT($A76,"00")&amp;"-"&amp;TEXT(B$6,"00"),'All Units'!$A$5:$A$1272,0))</f>
        <v>2774</v>
      </c>
      <c r="C76" s="66">
        <f>INDEX('All Units'!$Q$5:$Q$1272,MATCH("#"&amp;TEXT($A76,"00")&amp;"-"&amp;TEXT(C$6,"00"),'All Units'!$A$5:$A$1272,0))</f>
        <v>2791</v>
      </c>
      <c r="D76" s="66">
        <f>INDEX('All Units'!$Q$5:$Q$1272,MATCH("#"&amp;TEXT($A76,"00")&amp;"-"&amp;TEXT(D$6,"00"),'All Units'!$A$5:$A$1272,0))</f>
        <v>2854</v>
      </c>
      <c r="E76" s="66">
        <f>INDEX('All Units'!$Q$5:$Q$1272,MATCH("#"&amp;TEXT($A76,"00")&amp;"-"&amp;TEXT(E$6,"00"),'All Units'!$A$5:$A$1272,0))</f>
        <v>2906</v>
      </c>
    </row>
    <row r="77" spans="1:5" x14ac:dyDescent="0.2">
      <c r="A77" s="67">
        <v>6</v>
      </c>
      <c r="B77" s="66">
        <f>INDEX('All Units'!$Q$5:$Q$1272,MATCH("#"&amp;TEXT($A77,"00")&amp;"-"&amp;TEXT(B$6,"00"),'All Units'!$A$5:$A$1272,0))</f>
        <v>2766</v>
      </c>
      <c r="C77" s="66">
        <f>INDEX('All Units'!$Q$5:$Q$1272,MATCH("#"&amp;TEXT($A77,"00")&amp;"-"&amp;TEXT(C$6,"00"),'All Units'!$A$5:$A$1272,0))</f>
        <v>2791</v>
      </c>
      <c r="D77" s="66">
        <f>INDEX('All Units'!$Q$5:$Q$1272,MATCH("#"&amp;TEXT($A77,"00")&amp;"-"&amp;TEXT(D$6,"00"),'All Units'!$A$5:$A$1272,0))</f>
        <v>2847</v>
      </c>
      <c r="E77" s="66">
        <f>INDEX('All Units'!$Q$5:$Q$1272,MATCH("#"&amp;TEXT($A77,"00")&amp;"-"&amp;TEXT(E$6,"00"),'All Units'!$A$5:$A$1272,0))</f>
        <v>2893</v>
      </c>
    </row>
    <row r="78" spans="1:5" x14ac:dyDescent="0.2">
      <c r="A78" s="67">
        <v>5</v>
      </c>
      <c r="B78" s="66">
        <f>INDEX('All Units'!$Q$5:$Q$1272,MATCH("#"&amp;TEXT($A78,"00")&amp;"-"&amp;TEXT(B$6,"00"),'All Units'!$A$5:$A$1272,0))</f>
        <v>2759</v>
      </c>
      <c r="C78" s="66">
        <f>INDEX('All Units'!$Q$5:$Q$1272,MATCH("#"&amp;TEXT($A78,"00")&amp;"-"&amp;TEXT(C$6,"00"),'All Units'!$A$5:$A$1272,0))</f>
        <v>2791</v>
      </c>
      <c r="D78" s="66">
        <f>INDEX('All Units'!$Q$5:$Q$1272,MATCH("#"&amp;TEXT($A78,"00")&amp;"-"&amp;TEXT(D$6,"00"),'All Units'!$A$5:$A$1272,0))</f>
        <v>2840</v>
      </c>
      <c r="E78" s="66">
        <f>INDEX('All Units'!$Q$5:$Q$1272,MATCH("#"&amp;TEXT($A78,"00")&amp;"-"&amp;TEXT(E$6,"00"),'All Units'!$A$5:$A$1272,0))</f>
        <v>2879</v>
      </c>
    </row>
    <row r="79" spans="1:5" x14ac:dyDescent="0.2">
      <c r="A79" s="67">
        <v>4</v>
      </c>
      <c r="B79" s="66">
        <f>INDEX('All Units'!$Q$5:$Q$1272,MATCH("#"&amp;TEXT($A79,"00")&amp;"-"&amp;TEXT(B$6,"00"),'All Units'!$A$5:$A$1272,0))</f>
        <v>2752</v>
      </c>
      <c r="C79" s="66">
        <f>INDEX('All Units'!$Q$5:$Q$1272,MATCH("#"&amp;TEXT($A79,"00")&amp;"-"&amp;TEXT(C$6,"00"),'All Units'!$A$5:$A$1272,0))</f>
        <v>2791</v>
      </c>
      <c r="D79" s="66">
        <f>INDEX('All Units'!$Q$5:$Q$1272,MATCH("#"&amp;TEXT($A79,"00")&amp;"-"&amp;TEXT(D$6,"00"),'All Units'!$A$5:$A$1272,0))</f>
        <v>2832</v>
      </c>
      <c r="E79" s="66">
        <f>INDEX('All Units'!$Q$5:$Q$1272,MATCH("#"&amp;TEXT($A79,"00")&amp;"-"&amp;TEXT(E$6,"00"),'All Units'!$A$5:$A$1272,0))</f>
        <v>2866</v>
      </c>
    </row>
    <row r="80" spans="1:5" x14ac:dyDescent="0.2">
      <c r="A80" s="67">
        <v>3</v>
      </c>
      <c r="B80" s="66">
        <f>INDEX('All Units'!$Q$5:$Q$1272,MATCH("#"&amp;TEXT($A80,"00")&amp;"-"&amp;TEXT(B$6,"00"),'All Units'!$A$5:$A$1272,0))</f>
        <v>2744</v>
      </c>
      <c r="C80" s="66">
        <f>INDEX('All Units'!$Q$5:$Q$1272,MATCH("#"&amp;TEXT($A80,"00")&amp;"-"&amp;TEXT(C$6,"00"),'All Units'!$A$5:$A$1272,0))</f>
        <v>2791</v>
      </c>
      <c r="D80" s="66">
        <f>INDEX('All Units'!$Q$5:$Q$1272,MATCH("#"&amp;TEXT($A80,"00")&amp;"-"&amp;TEXT(D$6,"00"),'All Units'!$A$5:$A$1272,0))</f>
        <v>2825</v>
      </c>
      <c r="E80" s="66">
        <f>INDEX('All Units'!$Q$5:$Q$1272,MATCH("#"&amp;TEXT($A80,"00")&amp;"-"&amp;TEXT(E$6,"00"),'All Units'!$A$5:$A$1272,0))</f>
        <v>2852</v>
      </c>
    </row>
    <row r="81" spans="1:5" x14ac:dyDescent="0.2">
      <c r="A81" s="67">
        <v>2</v>
      </c>
      <c r="B81" s="66">
        <f>INDEX('All Units'!$Q$5:$Q$1272,MATCH("#"&amp;TEXT($A81,"00")&amp;"-"&amp;TEXT(B$6,"00"),'All Units'!$A$5:$A$1272,0))</f>
        <v>2737</v>
      </c>
      <c r="C81" s="66">
        <f>INDEX('All Units'!$Q$5:$Q$1272,MATCH("#"&amp;TEXT($A81,"00")&amp;"-"&amp;TEXT(C$6,"00"),'All Units'!$A$5:$A$1272,0))</f>
        <v>2791</v>
      </c>
      <c r="D81" s="66">
        <f>INDEX('All Units'!$Q$5:$Q$1272,MATCH("#"&amp;TEXT($A81,"00")&amp;"-"&amp;TEXT(D$6,"00"),'All Units'!$A$5:$A$1272,0))</f>
        <v>2818</v>
      </c>
      <c r="E81" s="66">
        <f>INDEX('All Units'!$Q$5:$Q$1272,MATCH("#"&amp;TEXT($A81,"00")&amp;"-"&amp;TEXT(E$6,"00"),'All Units'!$A$5:$A$1272,0))</f>
        <v>2839</v>
      </c>
    </row>
    <row r="82" spans="1:5" x14ac:dyDescent="0.2">
      <c r="A82" s="67">
        <v>1</v>
      </c>
      <c r="B82" s="68"/>
      <c r="C82" s="68"/>
      <c r="D82" s="68"/>
      <c r="E82" s="66">
        <f>INDEX('All Units'!$Q$5:$Q$1272,MATCH("#"&amp;TEXT($A82,"00")&amp;"-"&amp;TEXT(E$6,"00"),'All Units'!$A$5:$A$1272,0))</f>
        <v>2825</v>
      </c>
    </row>
  </sheetData>
  <mergeCells count="2">
    <mergeCell ref="A20:E20"/>
    <mergeCell ref="A52:E52"/>
  </mergeCells>
  <conditionalFormatting sqref="B21:E50">
    <cfRule type="expression" dxfId="23" priority="2">
      <formula>AND(B21&lt;&gt;"",B$12&lt;&gt;"",$A21&lt;B$12)</formula>
    </cfRule>
    <cfRule type="expression" dxfId="22" priority="3">
      <formula>AND(B21&lt;&gt;"",$A21&gt;=B$16)</formula>
    </cfRule>
    <cfRule type="expression" dxfId="21" priority="4">
      <formula>AND(B21&lt;&gt;"",$A21&gt;=B$15)</formula>
    </cfRule>
  </conditionalFormatting>
  <conditionalFormatting sqref="B53:E82">
    <cfRule type="expression" dxfId="20" priority="5">
      <formula>AND(B53&lt;&gt;"",B$12&lt;&gt;"",$A53&lt;B$12)</formula>
    </cfRule>
    <cfRule type="expression" dxfId="19" priority="6">
      <formula>AND(B53&lt;&gt;"",$A53&gt;=B$16)</formula>
    </cfRule>
    <cfRule type="expression" dxfId="18"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6E73"/>
    <pageSetUpPr fitToPage="1"/>
  </sheetPr>
  <dimension ref="A1:C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3" width="14.5" customWidth="1"/>
  </cols>
  <sheetData>
    <row r="1" spans="1:3" ht="18" x14ac:dyDescent="0.2">
      <c r="A1" s="2" t="s">
        <v>1485</v>
      </c>
    </row>
    <row r="2" spans="1:3" x14ac:dyDescent="0.2">
      <c r="A2" s="3" t="s">
        <v>1486</v>
      </c>
    </row>
    <row r="3" spans="1:3" x14ac:dyDescent="0.2">
      <c r="A3" s="3" t="s">
        <v>1461</v>
      </c>
    </row>
    <row r="5" spans="1:3" x14ac:dyDescent="0.2">
      <c r="A5" s="58" t="s">
        <v>1462</v>
      </c>
      <c r="B5" s="29">
        <v>7</v>
      </c>
      <c r="C5" s="29">
        <v>7</v>
      </c>
    </row>
    <row r="6" spans="1:3" x14ac:dyDescent="0.2">
      <c r="A6" s="58" t="s">
        <v>99</v>
      </c>
      <c r="B6" s="69">
        <v>32</v>
      </c>
      <c r="C6" s="69">
        <v>36</v>
      </c>
    </row>
    <row r="7" spans="1:3" x14ac:dyDescent="0.2">
      <c r="A7" s="58" t="s">
        <v>30</v>
      </c>
      <c r="B7" s="49" t="s">
        <v>904</v>
      </c>
      <c r="C7" s="49" t="s">
        <v>1025</v>
      </c>
    </row>
    <row r="8" spans="1:3" x14ac:dyDescent="0.2">
      <c r="A8" s="58" t="s">
        <v>29</v>
      </c>
      <c r="B8" s="28">
        <v>1367</v>
      </c>
      <c r="C8" s="28">
        <v>1367</v>
      </c>
    </row>
    <row r="9" spans="1:3" x14ac:dyDescent="0.2">
      <c r="A9" s="58" t="s">
        <v>54</v>
      </c>
      <c r="B9" s="29" t="s">
        <v>65</v>
      </c>
      <c r="C9" s="29" t="s">
        <v>65</v>
      </c>
    </row>
    <row r="10" spans="1:3" ht="30" customHeight="1" x14ac:dyDescent="0.2">
      <c r="A10" s="102" t="s">
        <v>1463</v>
      </c>
      <c r="B10" s="70" t="str">
        <f>Assumptions!$I$158&amp;CHAR(10)&amp;TEXT(Assumptions!$AK$158/1000,"+$0;-$0;$0")&amp;"K / "&amp;TEXT(Assumptions!$AL$158/1000,"+$0;-$0;$0")&amp;"K / "&amp;TEXT(Assumptions!$AM$158/1000,"+$0;-$0;$0")&amp;"K"</f>
        <v>B
-$50K / -$50K / -$50K</v>
      </c>
      <c r="C10" s="70" t="str">
        <f>Assumptions!$I$162&amp;CHAR(10)&amp;TEXT(Assumptions!$AK$162/1000,"+$0;-$0;$0")&amp;"K / "&amp;TEXT(Assumptions!$AL$162/1000,"+$0;-$0;$0")&amp;"K / "&amp;TEXT(Assumptions!$AM$162/1000,"+$0;-$0;$0")&amp;"K"</f>
        <v>A
+$50K / +$50K / +$50K</v>
      </c>
    </row>
    <row r="11" spans="1:3" ht="90" customHeight="1" x14ac:dyDescent="0.2">
      <c r="A11" s="102" t="s">
        <v>113</v>
      </c>
      <c r="B11" s="71" t="str">
        <f>Assumptions!$AJ$158</f>
        <v>NW. Charcoal BBQ &amp; wellness pavilions in front of low floors; golf course, Lower Peirce Reservoir from L20; private lift</v>
      </c>
      <c r="C11" s="71" t="str">
        <f>Assumptions!$AJ$162</f>
        <v>SW. Direct landed estate + nature reserve; private lift</v>
      </c>
    </row>
    <row r="12" spans="1:3" ht="28" x14ac:dyDescent="0.2">
      <c r="A12" s="102" t="s">
        <v>1464</v>
      </c>
      <c r="B12" s="63">
        <f>IF(Assumptions!$L$158="","",Assumptions!$L$158)</f>
        <v>6</v>
      </c>
      <c r="C12" s="63" t="str">
        <f>IF(Assumptions!$L$162="","",Assumptions!$L$162)</f>
        <v/>
      </c>
    </row>
    <row r="13" spans="1:3" ht="28" x14ac:dyDescent="0.2">
      <c r="A13" s="102" t="s">
        <v>1465</v>
      </c>
      <c r="B13" s="63">
        <f>IF(Assumptions!$AD$158="","",Assumptions!$AD$158)</f>
        <v>3</v>
      </c>
      <c r="C13" s="63" t="str">
        <f>IF(Assumptions!$AD$162="","",Assumptions!$AD$162)</f>
        <v/>
      </c>
    </row>
    <row r="14" spans="1:3" ht="39.75" customHeight="1" x14ac:dyDescent="0.2">
      <c r="A14" s="102" t="s">
        <v>1466</v>
      </c>
      <c r="B14" s="64" t="str">
        <f>IF(Assumptions!$M$158="","",Assumptions!$M$158)</f>
        <v>Poolside BBQ Pavilion 2 (charcoal): 61% of view, 29.1 to 38m away</v>
      </c>
      <c r="C14" s="64" t="str">
        <f>IF(Assumptions!$M$162="","",Assumptions!$M$162)</f>
        <v/>
      </c>
    </row>
    <row r="15" spans="1:3" ht="28" x14ac:dyDescent="0.2">
      <c r="A15" s="102" t="s">
        <v>1467</v>
      </c>
      <c r="B15" s="65">
        <f>Assumptions!$AH$158</f>
        <v>12</v>
      </c>
      <c r="C15" s="65">
        <f>Assumptions!$AH$162</f>
        <v>15</v>
      </c>
    </row>
    <row r="16" spans="1:3" ht="28" x14ac:dyDescent="0.2">
      <c r="A16" s="102" t="s">
        <v>1468</v>
      </c>
      <c r="B16" s="65">
        <f>Assumptions!$P$158</f>
        <v>20</v>
      </c>
      <c r="C16" s="65">
        <f>Assumptions!$P$162</f>
        <v>21</v>
      </c>
    </row>
    <row r="17" spans="1:3" x14ac:dyDescent="0.2">
      <c r="A17" s="58" t="s">
        <v>1469</v>
      </c>
      <c r="B17" s="66">
        <f>INDEX('All Units'!$R$5:$R$1272,MATCH("#"&amp;TEXT(3,"00")&amp;"-"&amp;TEXT(B$6,"00"),'All Units'!$A$5:$A$1272,0))</f>
        <v>3827600</v>
      </c>
      <c r="C17" s="66">
        <f>INDEX('All Units'!$R$5:$R$1272,MATCH("#"&amp;TEXT(3,"00")&amp;"-"&amp;TEXT(C$6,"00"),'All Units'!$A$5:$A$1272,0))</f>
        <v>3927400</v>
      </c>
    </row>
    <row r="18" spans="1:3" x14ac:dyDescent="0.2">
      <c r="A18" s="58" t="s">
        <v>1470</v>
      </c>
      <c r="B18" s="66">
        <f>INDEX('All Units'!$R$5:$R$1272,MATCH("#"&amp;TEXT(30,"00")&amp;"-"&amp;TEXT(B$6,"00"),'All Units'!$A$5:$A$1272,0))</f>
        <v>4487900</v>
      </c>
      <c r="C18" s="66">
        <f>INDEX('All Units'!$R$5:$R$1272,MATCH("#"&amp;TEXT(30,"00")&amp;"-"&amp;TEXT(C$6,"00"),'All Units'!$A$5:$A$1272,0))</f>
        <v>4587700</v>
      </c>
    </row>
    <row r="20" spans="1:3" x14ac:dyDescent="0.2">
      <c r="A20" s="99" t="s">
        <v>1471</v>
      </c>
      <c r="B20" s="99"/>
      <c r="C20" s="99"/>
    </row>
    <row r="21" spans="1:3" x14ac:dyDescent="0.2">
      <c r="A21" s="67">
        <v>30</v>
      </c>
      <c r="B21" s="66">
        <f>INDEX('All Units'!$R$5:$R$1272,MATCH("#"&amp;TEXT($A21,"00")&amp;"-"&amp;TEXT(B$6,"00"),'All Units'!$A$5:$A$1272,0))</f>
        <v>4487900</v>
      </c>
      <c r="C21" s="66">
        <f>INDEX('All Units'!$R$5:$R$1272,MATCH("#"&amp;TEXT($A21,"00")&amp;"-"&amp;TEXT(C$6,"00"),'All Units'!$A$5:$A$1272,0))</f>
        <v>4587700</v>
      </c>
    </row>
    <row r="22" spans="1:3" x14ac:dyDescent="0.2">
      <c r="A22" s="67">
        <v>29</v>
      </c>
      <c r="B22" s="66">
        <f>INDEX('All Units'!$R$5:$R$1272,MATCH("#"&amp;TEXT($A22,"00")&amp;"-"&amp;TEXT(B$6,"00"),'All Units'!$A$5:$A$1272,0))</f>
        <v>4451000</v>
      </c>
      <c r="C22" s="66">
        <f>INDEX('All Units'!$R$5:$R$1272,MATCH("#"&amp;TEXT($A22,"00")&amp;"-"&amp;TEXT(C$6,"00"),'All Units'!$A$5:$A$1272,0))</f>
        <v>4550700</v>
      </c>
    </row>
    <row r="23" spans="1:3" x14ac:dyDescent="0.2">
      <c r="A23" s="67">
        <v>28</v>
      </c>
      <c r="B23" s="66">
        <f>INDEX('All Units'!$R$5:$R$1272,MATCH("#"&amp;TEXT($A23,"00")&amp;"-"&amp;TEXT(B$6,"00"),'All Units'!$A$5:$A$1272,0))</f>
        <v>4415400</v>
      </c>
      <c r="C23" s="66">
        <f>INDEX('All Units'!$R$5:$R$1272,MATCH("#"&amp;TEXT($A23,"00")&amp;"-"&amp;TEXT(C$6,"00"),'All Units'!$A$5:$A$1272,0))</f>
        <v>4515200</v>
      </c>
    </row>
    <row r="24" spans="1:3" x14ac:dyDescent="0.2">
      <c r="A24" s="67">
        <v>27</v>
      </c>
      <c r="B24" s="66">
        <f>INDEX('All Units'!$R$5:$R$1272,MATCH("#"&amp;TEXT($A24,"00")&amp;"-"&amp;TEXT(B$6,"00"),'All Units'!$A$5:$A$1272,0))</f>
        <v>4378500</v>
      </c>
      <c r="C24" s="66">
        <f>INDEX('All Units'!$R$5:$R$1272,MATCH("#"&amp;TEXT($A24,"00")&amp;"-"&amp;TEXT(C$6,"00"),'All Units'!$A$5:$A$1272,0))</f>
        <v>4478300</v>
      </c>
    </row>
    <row r="25" spans="1:3" x14ac:dyDescent="0.2">
      <c r="A25" s="67">
        <v>26</v>
      </c>
      <c r="B25" s="66">
        <f>INDEX('All Units'!$R$5:$R$1272,MATCH("#"&amp;TEXT($A25,"00")&amp;"-"&amp;TEXT(B$6,"00"),'All Units'!$A$5:$A$1272,0))</f>
        <v>4343000</v>
      </c>
      <c r="C25" s="66">
        <f>INDEX('All Units'!$R$5:$R$1272,MATCH("#"&amp;TEXT($A25,"00")&amp;"-"&amp;TEXT(C$6,"00"),'All Units'!$A$5:$A$1272,0))</f>
        <v>4442800</v>
      </c>
    </row>
    <row r="26" spans="1:3" x14ac:dyDescent="0.2">
      <c r="A26" s="67">
        <v>25</v>
      </c>
      <c r="B26" s="66">
        <f>INDEX('All Units'!$R$5:$R$1272,MATCH("#"&amp;TEXT($A26,"00")&amp;"-"&amp;TEXT(B$6,"00"),'All Units'!$A$5:$A$1272,0))</f>
        <v>4306100</v>
      </c>
      <c r="C26" s="66">
        <f>INDEX('All Units'!$R$5:$R$1272,MATCH("#"&amp;TEXT($A26,"00")&amp;"-"&amp;TEXT(C$6,"00"),'All Units'!$A$5:$A$1272,0))</f>
        <v>4405800</v>
      </c>
    </row>
    <row r="27" spans="1:3" x14ac:dyDescent="0.2">
      <c r="A27" s="67">
        <v>24</v>
      </c>
      <c r="B27" s="66">
        <f>INDEX('All Units'!$R$5:$R$1272,MATCH("#"&amp;TEXT($A27,"00")&amp;"-"&amp;TEXT(B$6,"00"),'All Units'!$A$5:$A$1272,0))</f>
        <v>4270500</v>
      </c>
      <c r="C27" s="66">
        <f>INDEX('All Units'!$R$5:$R$1272,MATCH("#"&amp;TEXT($A27,"00")&amp;"-"&amp;TEXT(C$6,"00"),'All Units'!$A$5:$A$1272,0))</f>
        <v>4370300</v>
      </c>
    </row>
    <row r="28" spans="1:3" x14ac:dyDescent="0.2">
      <c r="A28" s="67">
        <v>23</v>
      </c>
      <c r="B28" s="66">
        <f>INDEX('All Units'!$R$5:$R$1272,MATCH("#"&amp;TEXT($A28,"00")&amp;"-"&amp;TEXT(B$6,"00"),'All Units'!$A$5:$A$1272,0))</f>
        <v>4233600</v>
      </c>
      <c r="C28" s="66">
        <f>INDEX('All Units'!$R$5:$R$1272,MATCH("#"&amp;TEXT($A28,"00")&amp;"-"&amp;TEXT(C$6,"00"),'All Units'!$A$5:$A$1272,0))</f>
        <v>4333400</v>
      </c>
    </row>
    <row r="29" spans="1:3" x14ac:dyDescent="0.2">
      <c r="A29" s="67">
        <v>22</v>
      </c>
      <c r="B29" s="66">
        <f>INDEX('All Units'!$R$5:$R$1272,MATCH("#"&amp;TEXT($A29,"00")&amp;"-"&amp;TEXT(B$6,"00"),'All Units'!$A$5:$A$1272,0))</f>
        <v>4198100</v>
      </c>
      <c r="C29" s="66">
        <f>INDEX('All Units'!$R$5:$R$1272,MATCH("#"&amp;TEXT($A29,"00")&amp;"-"&amp;TEXT(C$6,"00"),'All Units'!$A$5:$A$1272,0))</f>
        <v>4297800</v>
      </c>
    </row>
    <row r="30" spans="1:3" x14ac:dyDescent="0.2">
      <c r="A30" s="67">
        <v>21</v>
      </c>
      <c r="B30" s="66">
        <f>INDEX('All Units'!$R$5:$R$1272,MATCH("#"&amp;TEXT($A30,"00")&amp;"-"&amp;TEXT(B$6,"00"),'All Units'!$A$5:$A$1272,0))</f>
        <v>4161100</v>
      </c>
      <c r="C30" s="66">
        <f>INDEX('All Units'!$R$5:$R$1272,MATCH("#"&amp;TEXT($A30,"00")&amp;"-"&amp;TEXT(C$6,"00"),'All Units'!$A$5:$A$1272,0))</f>
        <v>4260900</v>
      </c>
    </row>
    <row r="31" spans="1:3" x14ac:dyDescent="0.2">
      <c r="A31" s="67">
        <v>20</v>
      </c>
      <c r="B31" s="66">
        <f>INDEX('All Units'!$R$5:$R$1272,MATCH("#"&amp;TEXT($A31,"00")&amp;"-"&amp;TEXT(B$6,"00"),'All Units'!$A$5:$A$1272,0))</f>
        <v>4125600</v>
      </c>
      <c r="C31" s="66">
        <f>INDEX('All Units'!$R$5:$R$1272,MATCH("#"&amp;TEXT($A31,"00")&amp;"-"&amp;TEXT(C$6,"00"),'All Units'!$A$5:$A$1272,0))</f>
        <v>4225400</v>
      </c>
    </row>
    <row r="32" spans="1:3" x14ac:dyDescent="0.2">
      <c r="A32" s="67">
        <v>19</v>
      </c>
      <c r="B32" s="66">
        <f>INDEX('All Units'!$R$5:$R$1272,MATCH("#"&amp;TEXT($A32,"00")&amp;"-"&amp;TEXT(B$6,"00"),'All Units'!$A$5:$A$1272,0))</f>
        <v>4088700</v>
      </c>
      <c r="C32" s="66">
        <f>INDEX('All Units'!$R$5:$R$1272,MATCH("#"&amp;TEXT($A32,"00")&amp;"-"&amp;TEXT(C$6,"00"),'All Units'!$A$5:$A$1272,0))</f>
        <v>4188500</v>
      </c>
    </row>
    <row r="33" spans="1:3" x14ac:dyDescent="0.2">
      <c r="A33" s="67">
        <v>18</v>
      </c>
      <c r="B33" s="66">
        <f>INDEX('All Units'!$R$5:$R$1272,MATCH("#"&amp;TEXT($A33,"00")&amp;"-"&amp;TEXT(B$6,"00"),'All Units'!$A$5:$A$1272,0))</f>
        <v>4053200</v>
      </c>
      <c r="C33" s="66">
        <f>INDEX('All Units'!$R$5:$R$1272,MATCH("#"&amp;TEXT($A33,"00")&amp;"-"&amp;TEXT(C$6,"00"),'All Units'!$A$5:$A$1272,0))</f>
        <v>4152900</v>
      </c>
    </row>
    <row r="34" spans="1:3" x14ac:dyDescent="0.2">
      <c r="A34" s="67">
        <v>17</v>
      </c>
      <c r="B34" s="66">
        <f>INDEX('All Units'!$R$5:$R$1272,MATCH("#"&amp;TEXT($A34,"00")&amp;"-"&amp;TEXT(B$6,"00"),'All Units'!$A$5:$A$1272,0))</f>
        <v>4027200</v>
      </c>
      <c r="C34" s="66">
        <f>INDEX('All Units'!$R$5:$R$1272,MATCH("#"&amp;TEXT($A34,"00")&amp;"-"&amp;TEXT(C$6,"00"),'All Units'!$A$5:$A$1272,0))</f>
        <v>4127000</v>
      </c>
    </row>
    <row r="35" spans="1:3" x14ac:dyDescent="0.2">
      <c r="A35" s="67">
        <v>16</v>
      </c>
      <c r="B35" s="66">
        <f>INDEX('All Units'!$R$5:$R$1272,MATCH("#"&amp;TEXT($A35,"00")&amp;"-"&amp;TEXT(B$6,"00"),'All Units'!$A$5:$A$1272,0))</f>
        <v>4013500</v>
      </c>
      <c r="C35" s="66">
        <f>INDEX('All Units'!$R$5:$R$1272,MATCH("#"&amp;TEXT($A35,"00")&amp;"-"&amp;TEXT(C$6,"00"),'All Units'!$A$5:$A$1272,0))</f>
        <v>4113300</v>
      </c>
    </row>
    <row r="36" spans="1:3" x14ac:dyDescent="0.2">
      <c r="A36" s="67">
        <v>15</v>
      </c>
      <c r="B36" s="66">
        <f>INDEX('All Units'!$R$5:$R$1272,MATCH("#"&amp;TEXT($A36,"00")&amp;"-"&amp;TEXT(B$6,"00"),'All Units'!$A$5:$A$1272,0))</f>
        <v>3998500</v>
      </c>
      <c r="C36" s="66">
        <f>INDEX('All Units'!$R$5:$R$1272,MATCH("#"&amp;TEXT($A36,"00")&amp;"-"&amp;TEXT(C$6,"00"),'All Units'!$A$5:$A$1272,0))</f>
        <v>4098300</v>
      </c>
    </row>
    <row r="37" spans="1:3" x14ac:dyDescent="0.2">
      <c r="A37" s="67">
        <v>14</v>
      </c>
      <c r="B37" s="66">
        <f>INDEX('All Units'!$R$5:$R$1272,MATCH("#"&amp;TEXT($A37,"00")&amp;"-"&amp;TEXT(B$6,"00"),'All Units'!$A$5:$A$1272,0))</f>
        <v>3984800</v>
      </c>
      <c r="C37" s="66">
        <f>INDEX('All Units'!$R$5:$R$1272,MATCH("#"&amp;TEXT($A37,"00")&amp;"-"&amp;TEXT(C$6,"00"),'All Units'!$A$5:$A$1272,0))</f>
        <v>4084600</v>
      </c>
    </row>
    <row r="38" spans="1:3" x14ac:dyDescent="0.2">
      <c r="A38" s="67">
        <v>13</v>
      </c>
      <c r="B38" s="66">
        <f>INDEX('All Units'!$R$5:$R$1272,MATCH("#"&amp;TEXT($A38,"00")&amp;"-"&amp;TEXT(B$6,"00"),'All Units'!$A$5:$A$1272,0))</f>
        <v>3969800</v>
      </c>
      <c r="C38" s="66">
        <f>INDEX('All Units'!$R$5:$R$1272,MATCH("#"&amp;TEXT($A38,"00")&amp;"-"&amp;TEXT(C$6,"00"),'All Units'!$A$5:$A$1272,0))</f>
        <v>4070900</v>
      </c>
    </row>
    <row r="39" spans="1:3" x14ac:dyDescent="0.2">
      <c r="A39" s="67">
        <v>12</v>
      </c>
      <c r="B39" s="66">
        <f>INDEX('All Units'!$R$5:$R$1272,MATCH("#"&amp;TEXT($A39,"00")&amp;"-"&amp;TEXT(B$6,"00"),'All Units'!$A$5:$A$1272,0))</f>
        <v>3956100</v>
      </c>
      <c r="C39" s="66">
        <f>INDEX('All Units'!$R$5:$R$1272,MATCH("#"&amp;TEXT($A39,"00")&amp;"-"&amp;TEXT(C$6,"00"),'All Units'!$A$5:$A$1272,0))</f>
        <v>4055900</v>
      </c>
    </row>
    <row r="40" spans="1:3" x14ac:dyDescent="0.2">
      <c r="A40" s="67">
        <v>11</v>
      </c>
      <c r="B40" s="66">
        <f>INDEX('All Units'!$R$5:$R$1272,MATCH("#"&amp;TEXT($A40,"00")&amp;"-"&amp;TEXT(B$6,"00"),'All Units'!$A$5:$A$1272,0))</f>
        <v>3942400</v>
      </c>
      <c r="C40" s="66">
        <f>INDEX('All Units'!$R$5:$R$1272,MATCH("#"&amp;TEXT($A40,"00")&amp;"-"&amp;TEXT(C$6,"00"),'All Units'!$A$5:$A$1272,0))</f>
        <v>4042200</v>
      </c>
    </row>
    <row r="41" spans="1:3" x14ac:dyDescent="0.2">
      <c r="A41" s="67">
        <v>10</v>
      </c>
      <c r="B41" s="66">
        <f>INDEX('All Units'!$R$5:$R$1272,MATCH("#"&amp;TEXT($A41,"00")&amp;"-"&amp;TEXT(B$6,"00"),'All Units'!$A$5:$A$1272,0))</f>
        <v>3927400</v>
      </c>
      <c r="C41" s="66">
        <f>INDEX('All Units'!$R$5:$R$1272,MATCH("#"&amp;TEXT($A41,"00")&amp;"-"&amp;TEXT(C$6,"00"),'All Units'!$A$5:$A$1272,0))</f>
        <v>4027200</v>
      </c>
    </row>
    <row r="42" spans="1:3" x14ac:dyDescent="0.2">
      <c r="A42" s="67">
        <v>9</v>
      </c>
      <c r="B42" s="66">
        <f>INDEX('All Units'!$R$5:$R$1272,MATCH("#"&amp;TEXT($A42,"00")&amp;"-"&amp;TEXT(B$6,"00"),'All Units'!$A$5:$A$1272,0))</f>
        <v>3913700</v>
      </c>
      <c r="C42" s="66">
        <f>INDEX('All Units'!$R$5:$R$1272,MATCH("#"&amp;TEXT($A42,"00")&amp;"-"&amp;TEXT(C$6,"00"),'All Units'!$A$5:$A$1272,0))</f>
        <v>4013500</v>
      </c>
    </row>
    <row r="43" spans="1:3" x14ac:dyDescent="0.2">
      <c r="A43" s="67">
        <v>8</v>
      </c>
      <c r="B43" s="66">
        <f>INDEX('All Units'!$R$5:$R$1272,MATCH("#"&amp;TEXT($A43,"00")&amp;"-"&amp;TEXT(B$6,"00"),'All Units'!$A$5:$A$1272,0))</f>
        <v>3898700</v>
      </c>
      <c r="C43" s="66">
        <f>INDEX('All Units'!$R$5:$R$1272,MATCH("#"&amp;TEXT($A43,"00")&amp;"-"&amp;TEXT(C$6,"00"),'All Units'!$A$5:$A$1272,0))</f>
        <v>3998500</v>
      </c>
    </row>
    <row r="44" spans="1:3" x14ac:dyDescent="0.2">
      <c r="A44" s="67">
        <v>7</v>
      </c>
      <c r="B44" s="66">
        <f>INDEX('All Units'!$R$5:$R$1272,MATCH("#"&amp;TEXT($A44,"00")&amp;"-"&amp;TEXT(B$6,"00"),'All Units'!$A$5:$A$1272,0))</f>
        <v>3885000</v>
      </c>
      <c r="C44" s="66">
        <f>INDEX('All Units'!$R$5:$R$1272,MATCH("#"&amp;TEXT($A44,"00")&amp;"-"&amp;TEXT(C$6,"00"),'All Units'!$A$5:$A$1272,0))</f>
        <v>3984800</v>
      </c>
    </row>
    <row r="45" spans="1:3" x14ac:dyDescent="0.2">
      <c r="A45" s="67">
        <v>6</v>
      </c>
      <c r="B45" s="66">
        <f>INDEX('All Units'!$R$5:$R$1272,MATCH("#"&amp;TEXT($A45,"00")&amp;"-"&amp;TEXT(B$6,"00"),'All Units'!$A$5:$A$1272,0))</f>
        <v>3870000</v>
      </c>
      <c r="C45" s="66">
        <f>INDEX('All Units'!$R$5:$R$1272,MATCH("#"&amp;TEXT($A45,"00")&amp;"-"&amp;TEXT(C$6,"00"),'All Units'!$A$5:$A$1272,0))</f>
        <v>3969800</v>
      </c>
    </row>
    <row r="46" spans="1:3" x14ac:dyDescent="0.2">
      <c r="A46" s="67">
        <v>5</v>
      </c>
      <c r="B46" s="66">
        <f>INDEX('All Units'!$R$5:$R$1272,MATCH("#"&amp;TEXT($A46,"00")&amp;"-"&amp;TEXT(B$6,"00"),'All Units'!$A$5:$A$1272,0))</f>
        <v>3856300</v>
      </c>
      <c r="C46" s="66">
        <f>INDEX('All Units'!$R$5:$R$1272,MATCH("#"&amp;TEXT($A46,"00")&amp;"-"&amp;TEXT(C$6,"00"),'All Units'!$A$5:$A$1272,0))</f>
        <v>3956100</v>
      </c>
    </row>
    <row r="47" spans="1:3" x14ac:dyDescent="0.2">
      <c r="A47" s="67">
        <v>4</v>
      </c>
      <c r="B47" s="66">
        <f>INDEX('All Units'!$R$5:$R$1272,MATCH("#"&amp;TEXT($A47,"00")&amp;"-"&amp;TEXT(B$6,"00"),'All Units'!$A$5:$A$1272,0))</f>
        <v>3841300</v>
      </c>
      <c r="C47" s="66">
        <f>INDEX('All Units'!$R$5:$R$1272,MATCH("#"&amp;TEXT($A47,"00")&amp;"-"&amp;TEXT(C$6,"00"),'All Units'!$A$5:$A$1272,0))</f>
        <v>3942400</v>
      </c>
    </row>
    <row r="48" spans="1:3" x14ac:dyDescent="0.2">
      <c r="A48" s="67">
        <v>3</v>
      </c>
      <c r="B48" s="66">
        <f>INDEX('All Units'!$R$5:$R$1272,MATCH("#"&amp;TEXT($A48,"00")&amp;"-"&amp;TEXT(B$6,"00"),'All Units'!$A$5:$A$1272,0))</f>
        <v>3827600</v>
      </c>
      <c r="C48" s="66">
        <f>INDEX('All Units'!$R$5:$R$1272,MATCH("#"&amp;TEXT($A48,"00")&amp;"-"&amp;TEXT(C$6,"00"),'All Units'!$A$5:$A$1272,0))</f>
        <v>3927400</v>
      </c>
    </row>
    <row r="49" spans="1:3" x14ac:dyDescent="0.2">
      <c r="A49" s="67">
        <v>2</v>
      </c>
      <c r="B49" s="68"/>
      <c r="C49" s="68"/>
    </row>
    <row r="50" spans="1:3" x14ac:dyDescent="0.2">
      <c r="A50" s="67">
        <v>1</v>
      </c>
      <c r="B50" s="68"/>
      <c r="C50" s="68"/>
    </row>
    <row r="52" spans="1:3" x14ac:dyDescent="0.2">
      <c r="A52" s="99" t="s">
        <v>1472</v>
      </c>
      <c r="B52" s="99"/>
      <c r="C52" s="99"/>
    </row>
    <row r="53" spans="1:3" x14ac:dyDescent="0.2">
      <c r="A53" s="67">
        <v>30</v>
      </c>
      <c r="B53" s="66">
        <f>INDEX('All Units'!$Q$5:$Q$1272,MATCH("#"&amp;TEXT($A53,"00")&amp;"-"&amp;TEXT(B$6,"00"),'All Units'!$A$5:$A$1272,0))</f>
        <v>3283</v>
      </c>
      <c r="C53" s="66">
        <f>INDEX('All Units'!$Q$5:$Q$1272,MATCH("#"&amp;TEXT($A53,"00")&amp;"-"&amp;TEXT(C$6,"00"),'All Units'!$A$5:$A$1272,0))</f>
        <v>3356</v>
      </c>
    </row>
    <row r="54" spans="1:3" x14ac:dyDescent="0.2">
      <c r="A54" s="67">
        <v>29</v>
      </c>
      <c r="B54" s="66">
        <f>INDEX('All Units'!$Q$5:$Q$1272,MATCH("#"&amp;TEXT($A54,"00")&amp;"-"&amp;TEXT(B$6,"00"),'All Units'!$A$5:$A$1272,0))</f>
        <v>3256</v>
      </c>
      <c r="C54" s="66">
        <f>INDEX('All Units'!$Q$5:$Q$1272,MATCH("#"&amp;TEXT($A54,"00")&amp;"-"&amp;TEXT(C$6,"00"),'All Units'!$A$5:$A$1272,0))</f>
        <v>3329</v>
      </c>
    </row>
    <row r="55" spans="1:3" x14ac:dyDescent="0.2">
      <c r="A55" s="67">
        <v>28</v>
      </c>
      <c r="B55" s="66">
        <f>INDEX('All Units'!$Q$5:$Q$1272,MATCH("#"&amp;TEXT($A55,"00")&amp;"-"&amp;TEXT(B$6,"00"),'All Units'!$A$5:$A$1272,0))</f>
        <v>3230</v>
      </c>
      <c r="C55" s="66">
        <f>INDEX('All Units'!$Q$5:$Q$1272,MATCH("#"&amp;TEXT($A55,"00")&amp;"-"&amp;TEXT(C$6,"00"),'All Units'!$A$5:$A$1272,0))</f>
        <v>3303</v>
      </c>
    </row>
    <row r="56" spans="1:3" x14ac:dyDescent="0.2">
      <c r="A56" s="67">
        <v>27</v>
      </c>
      <c r="B56" s="66">
        <f>INDEX('All Units'!$Q$5:$Q$1272,MATCH("#"&amp;TEXT($A56,"00")&amp;"-"&amp;TEXT(B$6,"00"),'All Units'!$A$5:$A$1272,0))</f>
        <v>3203</v>
      </c>
      <c r="C56" s="66">
        <f>INDEX('All Units'!$Q$5:$Q$1272,MATCH("#"&amp;TEXT($A56,"00")&amp;"-"&amp;TEXT(C$6,"00"),'All Units'!$A$5:$A$1272,0))</f>
        <v>3276</v>
      </c>
    </row>
    <row r="57" spans="1:3" x14ac:dyDescent="0.2">
      <c r="A57" s="67">
        <v>26</v>
      </c>
      <c r="B57" s="66">
        <f>INDEX('All Units'!$Q$5:$Q$1272,MATCH("#"&amp;TEXT($A57,"00")&amp;"-"&amp;TEXT(B$6,"00"),'All Units'!$A$5:$A$1272,0))</f>
        <v>3177</v>
      </c>
      <c r="C57" s="66">
        <f>INDEX('All Units'!$Q$5:$Q$1272,MATCH("#"&amp;TEXT($A57,"00")&amp;"-"&amp;TEXT(C$6,"00"),'All Units'!$A$5:$A$1272,0))</f>
        <v>3250</v>
      </c>
    </row>
    <row r="58" spans="1:3" x14ac:dyDescent="0.2">
      <c r="A58" s="67">
        <v>25</v>
      </c>
      <c r="B58" s="66">
        <f>INDEX('All Units'!$Q$5:$Q$1272,MATCH("#"&amp;TEXT($A58,"00")&amp;"-"&amp;TEXT(B$6,"00"),'All Units'!$A$5:$A$1272,0))</f>
        <v>3150</v>
      </c>
      <c r="C58" s="66">
        <f>INDEX('All Units'!$Q$5:$Q$1272,MATCH("#"&amp;TEXT($A58,"00")&amp;"-"&amp;TEXT(C$6,"00"),'All Units'!$A$5:$A$1272,0))</f>
        <v>3223</v>
      </c>
    </row>
    <row r="59" spans="1:3" x14ac:dyDescent="0.2">
      <c r="A59" s="67">
        <v>24</v>
      </c>
      <c r="B59" s="66">
        <f>INDEX('All Units'!$Q$5:$Q$1272,MATCH("#"&amp;TEXT($A59,"00")&amp;"-"&amp;TEXT(B$6,"00"),'All Units'!$A$5:$A$1272,0))</f>
        <v>3124</v>
      </c>
      <c r="C59" s="66">
        <f>INDEX('All Units'!$Q$5:$Q$1272,MATCH("#"&amp;TEXT($A59,"00")&amp;"-"&amp;TEXT(C$6,"00"),'All Units'!$A$5:$A$1272,0))</f>
        <v>3197</v>
      </c>
    </row>
    <row r="60" spans="1:3" x14ac:dyDescent="0.2">
      <c r="A60" s="67">
        <v>23</v>
      </c>
      <c r="B60" s="66">
        <f>INDEX('All Units'!$Q$5:$Q$1272,MATCH("#"&amp;TEXT($A60,"00")&amp;"-"&amp;TEXT(B$6,"00"),'All Units'!$A$5:$A$1272,0))</f>
        <v>3097</v>
      </c>
      <c r="C60" s="66">
        <f>INDEX('All Units'!$Q$5:$Q$1272,MATCH("#"&amp;TEXT($A60,"00")&amp;"-"&amp;TEXT(C$6,"00"),'All Units'!$A$5:$A$1272,0))</f>
        <v>3170</v>
      </c>
    </row>
    <row r="61" spans="1:3" x14ac:dyDescent="0.2">
      <c r="A61" s="67">
        <v>22</v>
      </c>
      <c r="B61" s="66">
        <f>INDEX('All Units'!$Q$5:$Q$1272,MATCH("#"&amp;TEXT($A61,"00")&amp;"-"&amp;TEXT(B$6,"00"),'All Units'!$A$5:$A$1272,0))</f>
        <v>3071</v>
      </c>
      <c r="C61" s="66">
        <f>INDEX('All Units'!$Q$5:$Q$1272,MATCH("#"&amp;TEXT($A61,"00")&amp;"-"&amp;TEXT(C$6,"00"),'All Units'!$A$5:$A$1272,0))</f>
        <v>3144</v>
      </c>
    </row>
    <row r="62" spans="1:3" x14ac:dyDescent="0.2">
      <c r="A62" s="67">
        <v>21</v>
      </c>
      <c r="B62" s="66">
        <f>INDEX('All Units'!$Q$5:$Q$1272,MATCH("#"&amp;TEXT($A62,"00")&amp;"-"&amp;TEXT(B$6,"00"),'All Units'!$A$5:$A$1272,0))</f>
        <v>3044</v>
      </c>
      <c r="C62" s="66">
        <f>INDEX('All Units'!$Q$5:$Q$1272,MATCH("#"&amp;TEXT($A62,"00")&amp;"-"&amp;TEXT(C$6,"00"),'All Units'!$A$5:$A$1272,0))</f>
        <v>3117</v>
      </c>
    </row>
    <row r="63" spans="1:3" x14ac:dyDescent="0.2">
      <c r="A63" s="67">
        <v>20</v>
      </c>
      <c r="B63" s="66">
        <f>INDEX('All Units'!$Q$5:$Q$1272,MATCH("#"&amp;TEXT($A63,"00")&amp;"-"&amp;TEXT(B$6,"00"),'All Units'!$A$5:$A$1272,0))</f>
        <v>3018</v>
      </c>
      <c r="C63" s="66">
        <f>INDEX('All Units'!$Q$5:$Q$1272,MATCH("#"&amp;TEXT($A63,"00")&amp;"-"&amp;TEXT(C$6,"00"),'All Units'!$A$5:$A$1272,0))</f>
        <v>3091</v>
      </c>
    </row>
    <row r="64" spans="1:3" x14ac:dyDescent="0.2">
      <c r="A64" s="67">
        <v>19</v>
      </c>
      <c r="B64" s="66">
        <f>INDEX('All Units'!$Q$5:$Q$1272,MATCH("#"&amp;TEXT($A64,"00")&amp;"-"&amp;TEXT(B$6,"00"),'All Units'!$A$5:$A$1272,0))</f>
        <v>2991</v>
      </c>
      <c r="C64" s="66">
        <f>INDEX('All Units'!$Q$5:$Q$1272,MATCH("#"&amp;TEXT($A64,"00")&amp;"-"&amp;TEXT(C$6,"00"),'All Units'!$A$5:$A$1272,0))</f>
        <v>3064</v>
      </c>
    </row>
    <row r="65" spans="1:3" x14ac:dyDescent="0.2">
      <c r="A65" s="67">
        <v>18</v>
      </c>
      <c r="B65" s="66">
        <f>INDEX('All Units'!$Q$5:$Q$1272,MATCH("#"&amp;TEXT($A65,"00")&amp;"-"&amp;TEXT(B$6,"00"),'All Units'!$A$5:$A$1272,0))</f>
        <v>2965</v>
      </c>
      <c r="C65" s="66">
        <f>INDEX('All Units'!$Q$5:$Q$1272,MATCH("#"&amp;TEXT($A65,"00")&amp;"-"&amp;TEXT(C$6,"00"),'All Units'!$A$5:$A$1272,0))</f>
        <v>3038</v>
      </c>
    </row>
    <row r="66" spans="1:3" x14ac:dyDescent="0.2">
      <c r="A66" s="67">
        <v>17</v>
      </c>
      <c r="B66" s="66">
        <f>INDEX('All Units'!$Q$5:$Q$1272,MATCH("#"&amp;TEXT($A66,"00")&amp;"-"&amp;TEXT(B$6,"00"),'All Units'!$A$5:$A$1272,0))</f>
        <v>2946</v>
      </c>
      <c r="C66" s="66">
        <f>INDEX('All Units'!$Q$5:$Q$1272,MATCH("#"&amp;TEXT($A66,"00")&amp;"-"&amp;TEXT(C$6,"00"),'All Units'!$A$5:$A$1272,0))</f>
        <v>3019</v>
      </c>
    </row>
    <row r="67" spans="1:3" x14ac:dyDescent="0.2">
      <c r="A67" s="67">
        <v>16</v>
      </c>
      <c r="B67" s="66">
        <f>INDEX('All Units'!$Q$5:$Q$1272,MATCH("#"&amp;TEXT($A67,"00")&amp;"-"&amp;TEXT(B$6,"00"),'All Units'!$A$5:$A$1272,0))</f>
        <v>2936</v>
      </c>
      <c r="C67" s="66">
        <f>INDEX('All Units'!$Q$5:$Q$1272,MATCH("#"&amp;TEXT($A67,"00")&amp;"-"&amp;TEXT(C$6,"00"),'All Units'!$A$5:$A$1272,0))</f>
        <v>3009</v>
      </c>
    </row>
    <row r="68" spans="1:3" x14ac:dyDescent="0.2">
      <c r="A68" s="67">
        <v>15</v>
      </c>
      <c r="B68" s="66">
        <f>INDEX('All Units'!$Q$5:$Q$1272,MATCH("#"&amp;TEXT($A68,"00")&amp;"-"&amp;TEXT(B$6,"00"),'All Units'!$A$5:$A$1272,0))</f>
        <v>2925</v>
      </c>
      <c r="C68" s="66">
        <f>INDEX('All Units'!$Q$5:$Q$1272,MATCH("#"&amp;TEXT($A68,"00")&amp;"-"&amp;TEXT(C$6,"00"),'All Units'!$A$5:$A$1272,0))</f>
        <v>2998</v>
      </c>
    </row>
    <row r="69" spans="1:3" x14ac:dyDescent="0.2">
      <c r="A69" s="67">
        <v>14</v>
      </c>
      <c r="B69" s="66">
        <f>INDEX('All Units'!$Q$5:$Q$1272,MATCH("#"&amp;TEXT($A69,"00")&amp;"-"&amp;TEXT(B$6,"00"),'All Units'!$A$5:$A$1272,0))</f>
        <v>2915</v>
      </c>
      <c r="C69" s="66">
        <f>INDEX('All Units'!$Q$5:$Q$1272,MATCH("#"&amp;TEXT($A69,"00")&amp;"-"&amp;TEXT(C$6,"00"),'All Units'!$A$5:$A$1272,0))</f>
        <v>2988</v>
      </c>
    </row>
    <row r="70" spans="1:3" x14ac:dyDescent="0.2">
      <c r="A70" s="67">
        <v>13</v>
      </c>
      <c r="B70" s="66">
        <f>INDEX('All Units'!$Q$5:$Q$1272,MATCH("#"&amp;TEXT($A70,"00")&amp;"-"&amp;TEXT(B$6,"00"),'All Units'!$A$5:$A$1272,0))</f>
        <v>2904</v>
      </c>
      <c r="C70" s="66">
        <f>INDEX('All Units'!$Q$5:$Q$1272,MATCH("#"&amp;TEXT($A70,"00")&amp;"-"&amp;TEXT(C$6,"00"),'All Units'!$A$5:$A$1272,0))</f>
        <v>2978</v>
      </c>
    </row>
    <row r="71" spans="1:3" x14ac:dyDescent="0.2">
      <c r="A71" s="67">
        <v>12</v>
      </c>
      <c r="B71" s="66">
        <f>INDEX('All Units'!$Q$5:$Q$1272,MATCH("#"&amp;TEXT($A71,"00")&amp;"-"&amp;TEXT(B$6,"00"),'All Units'!$A$5:$A$1272,0))</f>
        <v>2894</v>
      </c>
      <c r="C71" s="66">
        <f>INDEX('All Units'!$Q$5:$Q$1272,MATCH("#"&amp;TEXT($A71,"00")&amp;"-"&amp;TEXT(C$6,"00"),'All Units'!$A$5:$A$1272,0))</f>
        <v>2967</v>
      </c>
    </row>
    <row r="72" spans="1:3" x14ac:dyDescent="0.2">
      <c r="A72" s="67">
        <v>11</v>
      </c>
      <c r="B72" s="66">
        <f>INDEX('All Units'!$Q$5:$Q$1272,MATCH("#"&amp;TEXT($A72,"00")&amp;"-"&amp;TEXT(B$6,"00"),'All Units'!$A$5:$A$1272,0))</f>
        <v>2884</v>
      </c>
      <c r="C72" s="66">
        <f>INDEX('All Units'!$Q$5:$Q$1272,MATCH("#"&amp;TEXT($A72,"00")&amp;"-"&amp;TEXT(C$6,"00"),'All Units'!$A$5:$A$1272,0))</f>
        <v>2957</v>
      </c>
    </row>
    <row r="73" spans="1:3" x14ac:dyDescent="0.2">
      <c r="A73" s="67">
        <v>10</v>
      </c>
      <c r="B73" s="66">
        <f>INDEX('All Units'!$Q$5:$Q$1272,MATCH("#"&amp;TEXT($A73,"00")&amp;"-"&amp;TEXT(B$6,"00"),'All Units'!$A$5:$A$1272,0))</f>
        <v>2873</v>
      </c>
      <c r="C73" s="66">
        <f>INDEX('All Units'!$Q$5:$Q$1272,MATCH("#"&amp;TEXT($A73,"00")&amp;"-"&amp;TEXT(C$6,"00"),'All Units'!$A$5:$A$1272,0))</f>
        <v>2946</v>
      </c>
    </row>
    <row r="74" spans="1:3" x14ac:dyDescent="0.2">
      <c r="A74" s="67">
        <v>9</v>
      </c>
      <c r="B74" s="66">
        <f>INDEX('All Units'!$Q$5:$Q$1272,MATCH("#"&amp;TEXT($A74,"00")&amp;"-"&amp;TEXT(B$6,"00"),'All Units'!$A$5:$A$1272,0))</f>
        <v>2863</v>
      </c>
      <c r="C74" s="66">
        <f>INDEX('All Units'!$Q$5:$Q$1272,MATCH("#"&amp;TEXT($A74,"00")&amp;"-"&amp;TEXT(C$6,"00"),'All Units'!$A$5:$A$1272,0))</f>
        <v>2936</v>
      </c>
    </row>
    <row r="75" spans="1:3" x14ac:dyDescent="0.2">
      <c r="A75" s="67">
        <v>8</v>
      </c>
      <c r="B75" s="66">
        <f>INDEX('All Units'!$Q$5:$Q$1272,MATCH("#"&amp;TEXT($A75,"00")&amp;"-"&amp;TEXT(B$6,"00"),'All Units'!$A$5:$A$1272,0))</f>
        <v>2852</v>
      </c>
      <c r="C75" s="66">
        <f>INDEX('All Units'!$Q$5:$Q$1272,MATCH("#"&amp;TEXT($A75,"00")&amp;"-"&amp;TEXT(C$6,"00"),'All Units'!$A$5:$A$1272,0))</f>
        <v>2925</v>
      </c>
    </row>
    <row r="76" spans="1:3" x14ac:dyDescent="0.2">
      <c r="A76" s="67">
        <v>7</v>
      </c>
      <c r="B76" s="66">
        <f>INDEX('All Units'!$Q$5:$Q$1272,MATCH("#"&amp;TEXT($A76,"00")&amp;"-"&amp;TEXT(B$6,"00"),'All Units'!$A$5:$A$1272,0))</f>
        <v>2842</v>
      </c>
      <c r="C76" s="66">
        <f>INDEX('All Units'!$Q$5:$Q$1272,MATCH("#"&amp;TEXT($A76,"00")&amp;"-"&amp;TEXT(C$6,"00"),'All Units'!$A$5:$A$1272,0))</f>
        <v>2915</v>
      </c>
    </row>
    <row r="77" spans="1:3" x14ac:dyDescent="0.2">
      <c r="A77" s="67">
        <v>6</v>
      </c>
      <c r="B77" s="66">
        <f>INDEX('All Units'!$Q$5:$Q$1272,MATCH("#"&amp;TEXT($A77,"00")&amp;"-"&amp;TEXT(B$6,"00"),'All Units'!$A$5:$A$1272,0))</f>
        <v>2831</v>
      </c>
      <c r="C77" s="66">
        <f>INDEX('All Units'!$Q$5:$Q$1272,MATCH("#"&amp;TEXT($A77,"00")&amp;"-"&amp;TEXT(C$6,"00"),'All Units'!$A$5:$A$1272,0))</f>
        <v>2904</v>
      </c>
    </row>
    <row r="78" spans="1:3" x14ac:dyDescent="0.2">
      <c r="A78" s="67">
        <v>5</v>
      </c>
      <c r="B78" s="66">
        <f>INDEX('All Units'!$Q$5:$Q$1272,MATCH("#"&amp;TEXT($A78,"00")&amp;"-"&amp;TEXT(B$6,"00"),'All Units'!$A$5:$A$1272,0))</f>
        <v>2821</v>
      </c>
      <c r="C78" s="66">
        <f>INDEX('All Units'!$Q$5:$Q$1272,MATCH("#"&amp;TEXT($A78,"00")&amp;"-"&amp;TEXT(C$6,"00"),'All Units'!$A$5:$A$1272,0))</f>
        <v>2894</v>
      </c>
    </row>
    <row r="79" spans="1:3" x14ac:dyDescent="0.2">
      <c r="A79" s="67">
        <v>4</v>
      </c>
      <c r="B79" s="66">
        <f>INDEX('All Units'!$Q$5:$Q$1272,MATCH("#"&amp;TEXT($A79,"00")&amp;"-"&amp;TEXT(B$6,"00"),'All Units'!$A$5:$A$1272,0))</f>
        <v>2810</v>
      </c>
      <c r="C79" s="66">
        <f>INDEX('All Units'!$Q$5:$Q$1272,MATCH("#"&amp;TEXT($A79,"00")&amp;"-"&amp;TEXT(C$6,"00"),'All Units'!$A$5:$A$1272,0))</f>
        <v>2884</v>
      </c>
    </row>
    <row r="80" spans="1:3" x14ac:dyDescent="0.2">
      <c r="A80" s="67">
        <v>3</v>
      </c>
      <c r="B80" s="66">
        <f>INDEX('All Units'!$Q$5:$Q$1272,MATCH("#"&amp;TEXT($A80,"00")&amp;"-"&amp;TEXT(B$6,"00"),'All Units'!$A$5:$A$1272,0))</f>
        <v>2800</v>
      </c>
      <c r="C80" s="66">
        <f>INDEX('All Units'!$Q$5:$Q$1272,MATCH("#"&amp;TEXT($A80,"00")&amp;"-"&amp;TEXT(C$6,"00"),'All Units'!$A$5:$A$1272,0))</f>
        <v>2873</v>
      </c>
    </row>
    <row r="81" spans="1:3" x14ac:dyDescent="0.2">
      <c r="A81" s="67">
        <v>2</v>
      </c>
      <c r="B81" s="68"/>
      <c r="C81" s="68"/>
    </row>
    <row r="82" spans="1:3" x14ac:dyDescent="0.2">
      <c r="A82" s="67">
        <v>1</v>
      </c>
      <c r="B82" s="68"/>
      <c r="C82" s="68"/>
    </row>
  </sheetData>
  <mergeCells count="2">
    <mergeCell ref="A20:C20"/>
    <mergeCell ref="A52:C52"/>
  </mergeCells>
  <conditionalFormatting sqref="B21:C50">
    <cfRule type="expression" dxfId="17" priority="2">
      <formula>AND(B21&lt;&gt;"",B$12&lt;&gt;"",$A21&lt;B$12)</formula>
    </cfRule>
    <cfRule type="expression" dxfId="16" priority="3">
      <formula>AND(B21&lt;&gt;"",$A21&gt;=B$16)</formula>
    </cfRule>
    <cfRule type="expression" dxfId="15" priority="4">
      <formula>AND(B21&lt;&gt;"",$A21&gt;=B$15)</formula>
    </cfRule>
  </conditionalFormatting>
  <conditionalFormatting sqref="B53:C82">
    <cfRule type="expression" dxfId="14" priority="5">
      <formula>AND(B53&lt;&gt;"",B$12&lt;&gt;"",$A53&lt;B$12)</formula>
    </cfRule>
    <cfRule type="expression" dxfId="13" priority="6">
      <formula>AND(B53&lt;&gt;"",$A53&gt;=B$16)</formula>
    </cfRule>
    <cfRule type="expression" dxfId="12"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6E73"/>
    <pageSetUpPr fitToPage="1"/>
  </sheetPr>
  <dimension ref="A1:B82"/>
  <sheetViews>
    <sheetView showGridLines="0" zoomScale="90" zoomScaleNormal="90" workbookViewId="0">
      <pane xSplit="1" ySplit="7" topLeftCell="B8"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2" width="14.5" customWidth="1"/>
  </cols>
  <sheetData>
    <row r="1" spans="1:2" ht="18" x14ac:dyDescent="0.2">
      <c r="A1" s="2" t="s">
        <v>1487</v>
      </c>
    </row>
    <row r="2" spans="1:2" x14ac:dyDescent="0.2">
      <c r="A2" s="3" t="s">
        <v>1488</v>
      </c>
    </row>
    <row r="3" spans="1:2" x14ac:dyDescent="0.2">
      <c r="A3" s="3" t="s">
        <v>1461</v>
      </c>
    </row>
    <row r="5" spans="1:2" x14ac:dyDescent="0.2">
      <c r="A5" s="58" t="s">
        <v>1462</v>
      </c>
      <c r="B5" s="29">
        <v>5</v>
      </c>
    </row>
    <row r="6" spans="1:2" x14ac:dyDescent="0.2">
      <c r="A6" s="58" t="s">
        <v>99</v>
      </c>
      <c r="B6" s="69">
        <v>22</v>
      </c>
    </row>
    <row r="7" spans="1:2" x14ac:dyDescent="0.2">
      <c r="A7" s="58" t="s">
        <v>30</v>
      </c>
      <c r="B7" s="49" t="s">
        <v>591</v>
      </c>
    </row>
    <row r="8" spans="1:2" x14ac:dyDescent="0.2">
      <c r="A8" s="58" t="s">
        <v>29</v>
      </c>
      <c r="B8" s="28">
        <v>1485</v>
      </c>
    </row>
    <row r="9" spans="1:2" x14ac:dyDescent="0.2">
      <c r="A9" s="58" t="s">
        <v>54</v>
      </c>
      <c r="B9" s="29" t="s">
        <v>65</v>
      </c>
    </row>
    <row r="10" spans="1:2" ht="30" customHeight="1" x14ac:dyDescent="0.2">
      <c r="A10" s="102" t="s">
        <v>1463</v>
      </c>
      <c r="B10" s="70" t="str">
        <f>Assumptions!$I$148&amp;CHAR(10)&amp;TEXT(Assumptions!$AK$148/1000,"+$0;-$0;$0")&amp;"K / "&amp;TEXT(Assumptions!$AL$148/1000,"+$0;-$0;$0")&amp;"K / "&amp;TEXT(Assumptions!$AM$148/1000,"+$0;-$0;$0")&amp;"K"</f>
        <v>A
$0K / $0K / $0K</v>
      </c>
    </row>
    <row r="11" spans="1:2" ht="90" customHeight="1" x14ac:dyDescent="0.2">
      <c r="A11" s="102" t="s">
        <v>113</v>
      </c>
      <c r="B11" s="71" t="str">
        <f>Assumptions!$AJ$148</f>
        <v>SW, same direction as the 5BR. Direct landed estate + nature reserve; private lift</v>
      </c>
    </row>
    <row r="12" spans="1:2" ht="28" x14ac:dyDescent="0.2">
      <c r="A12" s="102" t="s">
        <v>1464</v>
      </c>
      <c r="B12" s="63" t="str">
        <f>IF(Assumptions!$L$148="","",Assumptions!$L$148)</f>
        <v/>
      </c>
    </row>
    <row r="13" spans="1:2" ht="28" x14ac:dyDescent="0.2">
      <c r="A13" s="102" t="s">
        <v>1465</v>
      </c>
      <c r="B13" s="63" t="str">
        <f>IF(Assumptions!$AD$148="","",Assumptions!$AD$148)</f>
        <v/>
      </c>
    </row>
    <row r="14" spans="1:2" ht="39.75" customHeight="1" x14ac:dyDescent="0.2">
      <c r="A14" s="102" t="s">
        <v>1466</v>
      </c>
      <c r="B14" s="64" t="str">
        <f>IF(Assumptions!$M$148="","",Assumptions!$M$148)</f>
        <v/>
      </c>
    </row>
    <row r="15" spans="1:2" ht="28" x14ac:dyDescent="0.2">
      <c r="A15" s="102" t="s">
        <v>1467</v>
      </c>
      <c r="B15" s="65">
        <f>Assumptions!$AH$148</f>
        <v>12</v>
      </c>
    </row>
    <row r="16" spans="1:2" ht="28" x14ac:dyDescent="0.2">
      <c r="A16" s="102" t="s">
        <v>1468</v>
      </c>
      <c r="B16" s="65">
        <f>Assumptions!$P$148</f>
        <v>21</v>
      </c>
    </row>
    <row r="17" spans="1:2" x14ac:dyDescent="0.2">
      <c r="A17" s="58" t="s">
        <v>1469</v>
      </c>
      <c r="B17" s="66">
        <f>INDEX('All Units'!$R$5:$R$1272,MATCH("#"&amp;TEXT(3,"00")&amp;"-"&amp;TEXT(B$6,"00"),'All Units'!$A$5:$A$1272,0))</f>
        <v>4158000</v>
      </c>
    </row>
    <row r="18" spans="1:2" x14ac:dyDescent="0.2">
      <c r="A18" s="58" t="s">
        <v>1470</v>
      </c>
      <c r="B18" s="66">
        <f>INDEX('All Units'!$R$5:$R$1272,MATCH("#"&amp;TEXT(30,"00")&amp;"-"&amp;TEXT(B$6,"00"),'All Units'!$A$5:$A$1272,0))</f>
        <v>4942100</v>
      </c>
    </row>
    <row r="20" spans="1:2" x14ac:dyDescent="0.2">
      <c r="A20" s="99" t="s">
        <v>1471</v>
      </c>
      <c r="B20" s="99"/>
    </row>
    <row r="21" spans="1:2" x14ac:dyDescent="0.2">
      <c r="A21" s="67">
        <v>30</v>
      </c>
      <c r="B21" s="66">
        <f>INDEX('All Units'!$R$5:$R$1272,MATCH("#"&amp;TEXT($A21,"00")&amp;"-"&amp;TEXT(B$6,"00"),'All Units'!$A$5:$A$1272,0))</f>
        <v>4942100</v>
      </c>
    </row>
    <row r="22" spans="1:2" x14ac:dyDescent="0.2">
      <c r="A22" s="67">
        <v>29</v>
      </c>
      <c r="B22" s="66">
        <f>INDEX('All Units'!$R$5:$R$1272,MATCH("#"&amp;TEXT($A22,"00")&amp;"-"&amp;TEXT(B$6,"00"),'All Units'!$A$5:$A$1272,0))</f>
        <v>4900500</v>
      </c>
    </row>
    <row r="23" spans="1:2" x14ac:dyDescent="0.2">
      <c r="A23" s="67">
        <v>28</v>
      </c>
      <c r="B23" s="66">
        <f>INDEX('All Units'!$R$5:$R$1272,MATCH("#"&amp;TEXT($A23,"00")&amp;"-"&amp;TEXT(B$6,"00"),'All Units'!$A$5:$A$1272,0))</f>
        <v>4857400</v>
      </c>
    </row>
    <row r="24" spans="1:2" x14ac:dyDescent="0.2">
      <c r="A24" s="67">
        <v>27</v>
      </c>
      <c r="B24" s="66">
        <f>INDEX('All Units'!$R$5:$R$1272,MATCH("#"&amp;TEXT($A24,"00")&amp;"-"&amp;TEXT(B$6,"00"),'All Units'!$A$5:$A$1272,0))</f>
        <v>4815900</v>
      </c>
    </row>
    <row r="25" spans="1:2" x14ac:dyDescent="0.2">
      <c r="A25" s="67">
        <v>26</v>
      </c>
      <c r="B25" s="66">
        <f>INDEX('All Units'!$R$5:$R$1272,MATCH("#"&amp;TEXT($A25,"00")&amp;"-"&amp;TEXT(B$6,"00"),'All Units'!$A$5:$A$1272,0))</f>
        <v>4772800</v>
      </c>
    </row>
    <row r="26" spans="1:2" x14ac:dyDescent="0.2">
      <c r="A26" s="67">
        <v>25</v>
      </c>
      <c r="B26" s="66">
        <f>INDEX('All Units'!$R$5:$R$1272,MATCH("#"&amp;TEXT($A26,"00")&amp;"-"&amp;TEXT(B$6,"00"),'All Units'!$A$5:$A$1272,0))</f>
        <v>4731200</v>
      </c>
    </row>
    <row r="27" spans="1:2" x14ac:dyDescent="0.2">
      <c r="A27" s="67">
        <v>24</v>
      </c>
      <c r="B27" s="66">
        <f>INDEX('All Units'!$R$5:$R$1272,MATCH("#"&amp;TEXT($A27,"00")&amp;"-"&amp;TEXT(B$6,"00"),'All Units'!$A$5:$A$1272,0))</f>
        <v>4688100</v>
      </c>
    </row>
    <row r="28" spans="1:2" x14ac:dyDescent="0.2">
      <c r="A28" s="67">
        <v>23</v>
      </c>
      <c r="B28" s="66">
        <f>INDEX('All Units'!$R$5:$R$1272,MATCH("#"&amp;TEXT($A28,"00")&amp;"-"&amp;TEXT(B$6,"00"),'All Units'!$A$5:$A$1272,0))</f>
        <v>4646600</v>
      </c>
    </row>
    <row r="29" spans="1:2" x14ac:dyDescent="0.2">
      <c r="A29" s="67">
        <v>22</v>
      </c>
      <c r="B29" s="66">
        <f>INDEX('All Units'!$R$5:$R$1272,MATCH("#"&amp;TEXT($A29,"00")&amp;"-"&amp;TEXT(B$6,"00"),'All Units'!$A$5:$A$1272,0))</f>
        <v>4603500</v>
      </c>
    </row>
    <row r="30" spans="1:2" x14ac:dyDescent="0.2">
      <c r="A30" s="67">
        <v>21</v>
      </c>
      <c r="B30" s="66">
        <f>INDEX('All Units'!$R$5:$R$1272,MATCH("#"&amp;TEXT($A30,"00")&amp;"-"&amp;TEXT(B$6,"00"),'All Units'!$A$5:$A$1272,0))</f>
        <v>4561900</v>
      </c>
    </row>
    <row r="31" spans="1:2" x14ac:dyDescent="0.2">
      <c r="A31" s="67">
        <v>20</v>
      </c>
      <c r="B31" s="66">
        <f>INDEX('All Units'!$R$5:$R$1272,MATCH("#"&amp;TEXT($A31,"00")&amp;"-"&amp;TEXT(B$6,"00"),'All Units'!$A$5:$A$1272,0))</f>
        <v>4518900</v>
      </c>
    </row>
    <row r="32" spans="1:2" x14ac:dyDescent="0.2">
      <c r="A32" s="67">
        <v>19</v>
      </c>
      <c r="B32" s="66">
        <f>INDEX('All Units'!$R$5:$R$1272,MATCH("#"&amp;TEXT($A32,"00")&amp;"-"&amp;TEXT(B$6,"00"),'All Units'!$A$5:$A$1272,0))</f>
        <v>4477300</v>
      </c>
    </row>
    <row r="33" spans="1:2" x14ac:dyDescent="0.2">
      <c r="A33" s="67">
        <v>18</v>
      </c>
      <c r="B33" s="66">
        <f>INDEX('All Units'!$R$5:$R$1272,MATCH("#"&amp;TEXT($A33,"00")&amp;"-"&amp;TEXT(B$6,"00"),'All Units'!$A$5:$A$1272,0))</f>
        <v>4434200</v>
      </c>
    </row>
    <row r="34" spans="1:2" x14ac:dyDescent="0.2">
      <c r="A34" s="67">
        <v>17</v>
      </c>
      <c r="B34" s="66">
        <f>INDEX('All Units'!$R$5:$R$1272,MATCH("#"&amp;TEXT($A34,"00")&amp;"-"&amp;TEXT(B$6,"00"),'All Units'!$A$5:$A$1272,0))</f>
        <v>4392600</v>
      </c>
    </row>
    <row r="35" spans="1:2" x14ac:dyDescent="0.2">
      <c r="A35" s="67">
        <v>16</v>
      </c>
      <c r="B35" s="66">
        <f>INDEX('All Units'!$R$5:$R$1272,MATCH("#"&amp;TEXT($A35,"00")&amp;"-"&amp;TEXT(B$6,"00"),'All Units'!$A$5:$A$1272,0))</f>
        <v>4349600</v>
      </c>
    </row>
    <row r="36" spans="1:2" x14ac:dyDescent="0.2">
      <c r="A36" s="67">
        <v>15</v>
      </c>
      <c r="B36" s="66">
        <f>INDEX('All Units'!$R$5:$R$1272,MATCH("#"&amp;TEXT($A36,"00")&amp;"-"&amp;TEXT(B$6,"00"),'All Units'!$A$5:$A$1272,0))</f>
        <v>4334700</v>
      </c>
    </row>
    <row r="37" spans="1:2" x14ac:dyDescent="0.2">
      <c r="A37" s="67">
        <v>14</v>
      </c>
      <c r="B37" s="66">
        <f>INDEX('All Units'!$R$5:$R$1272,MATCH("#"&amp;TEXT($A37,"00")&amp;"-"&amp;TEXT(B$6,"00"),'All Units'!$A$5:$A$1272,0))</f>
        <v>4319900</v>
      </c>
    </row>
    <row r="38" spans="1:2" x14ac:dyDescent="0.2">
      <c r="A38" s="67">
        <v>13</v>
      </c>
      <c r="B38" s="66">
        <f>INDEX('All Units'!$R$5:$R$1272,MATCH("#"&amp;TEXT($A38,"00")&amp;"-"&amp;TEXT(B$6,"00"),'All Units'!$A$5:$A$1272,0))</f>
        <v>4305000</v>
      </c>
    </row>
    <row r="39" spans="1:2" x14ac:dyDescent="0.2">
      <c r="A39" s="67">
        <v>12</v>
      </c>
      <c r="B39" s="66">
        <f>INDEX('All Units'!$R$5:$R$1272,MATCH("#"&amp;TEXT($A39,"00")&amp;"-"&amp;TEXT(B$6,"00"),'All Units'!$A$5:$A$1272,0))</f>
        <v>4291700</v>
      </c>
    </row>
    <row r="40" spans="1:2" x14ac:dyDescent="0.2">
      <c r="A40" s="67">
        <v>11</v>
      </c>
      <c r="B40" s="66">
        <f>INDEX('All Units'!$R$5:$R$1272,MATCH("#"&amp;TEXT($A40,"00")&amp;"-"&amp;TEXT(B$6,"00"),'All Units'!$A$5:$A$1272,0))</f>
        <v>4276800</v>
      </c>
    </row>
    <row r="41" spans="1:2" x14ac:dyDescent="0.2">
      <c r="A41" s="67">
        <v>10</v>
      </c>
      <c r="B41" s="66">
        <f>INDEX('All Units'!$R$5:$R$1272,MATCH("#"&amp;TEXT($A41,"00")&amp;"-"&amp;TEXT(B$6,"00"),'All Units'!$A$5:$A$1272,0))</f>
        <v>4262000</v>
      </c>
    </row>
    <row r="42" spans="1:2" x14ac:dyDescent="0.2">
      <c r="A42" s="67">
        <v>9</v>
      </c>
      <c r="B42" s="66">
        <f>INDEX('All Units'!$R$5:$R$1272,MATCH("#"&amp;TEXT($A42,"00")&amp;"-"&amp;TEXT(B$6,"00"),'All Units'!$A$5:$A$1272,0))</f>
        <v>4247100</v>
      </c>
    </row>
    <row r="43" spans="1:2" x14ac:dyDescent="0.2">
      <c r="A43" s="67">
        <v>8</v>
      </c>
      <c r="B43" s="66">
        <f>INDEX('All Units'!$R$5:$R$1272,MATCH("#"&amp;TEXT($A43,"00")&amp;"-"&amp;TEXT(B$6,"00"),'All Units'!$A$5:$A$1272,0))</f>
        <v>4232300</v>
      </c>
    </row>
    <row r="44" spans="1:2" x14ac:dyDescent="0.2">
      <c r="A44" s="67">
        <v>7</v>
      </c>
      <c r="B44" s="66">
        <f>INDEX('All Units'!$R$5:$R$1272,MATCH("#"&amp;TEXT($A44,"00")&amp;"-"&amp;TEXT(B$6,"00"),'All Units'!$A$5:$A$1272,0))</f>
        <v>4217400</v>
      </c>
    </row>
    <row r="45" spans="1:2" x14ac:dyDescent="0.2">
      <c r="A45" s="67">
        <v>6</v>
      </c>
      <c r="B45" s="66">
        <f>INDEX('All Units'!$R$5:$R$1272,MATCH("#"&amp;TEXT($A45,"00")&amp;"-"&amp;TEXT(B$6,"00"),'All Units'!$A$5:$A$1272,0))</f>
        <v>4202600</v>
      </c>
    </row>
    <row r="46" spans="1:2" x14ac:dyDescent="0.2">
      <c r="A46" s="67">
        <v>5</v>
      </c>
      <c r="B46" s="66">
        <f>INDEX('All Units'!$R$5:$R$1272,MATCH("#"&amp;TEXT($A46,"00")&amp;"-"&amp;TEXT(B$6,"00"),'All Units'!$A$5:$A$1272,0))</f>
        <v>4187700</v>
      </c>
    </row>
    <row r="47" spans="1:2" x14ac:dyDescent="0.2">
      <c r="A47" s="67">
        <v>4</v>
      </c>
      <c r="B47" s="66">
        <f>INDEX('All Units'!$R$5:$R$1272,MATCH("#"&amp;TEXT($A47,"00")&amp;"-"&amp;TEXT(B$6,"00"),'All Units'!$A$5:$A$1272,0))</f>
        <v>4172900</v>
      </c>
    </row>
    <row r="48" spans="1:2" x14ac:dyDescent="0.2">
      <c r="A48" s="67">
        <v>3</v>
      </c>
      <c r="B48" s="66">
        <f>INDEX('All Units'!$R$5:$R$1272,MATCH("#"&amp;TEXT($A48,"00")&amp;"-"&amp;TEXT(B$6,"00"),'All Units'!$A$5:$A$1272,0))</f>
        <v>4158000</v>
      </c>
    </row>
    <row r="49" spans="1:2" x14ac:dyDescent="0.2">
      <c r="A49" s="67">
        <v>2</v>
      </c>
      <c r="B49" s="68"/>
    </row>
    <row r="50" spans="1:2" x14ac:dyDescent="0.2">
      <c r="A50" s="67">
        <v>1</v>
      </c>
      <c r="B50" s="68"/>
    </row>
    <row r="52" spans="1:2" x14ac:dyDescent="0.2">
      <c r="A52" s="99" t="s">
        <v>1472</v>
      </c>
      <c r="B52" s="99"/>
    </row>
    <row r="53" spans="1:2" x14ac:dyDescent="0.2">
      <c r="A53" s="67">
        <v>30</v>
      </c>
      <c r="B53" s="66">
        <f>INDEX('All Units'!$Q$5:$Q$1272,MATCH("#"&amp;TEXT($A53,"00")&amp;"-"&amp;TEXT(B$6,"00"),'All Units'!$A$5:$A$1272,0))</f>
        <v>3328</v>
      </c>
    </row>
    <row r="54" spans="1:2" x14ac:dyDescent="0.2">
      <c r="A54" s="67">
        <v>29</v>
      </c>
      <c r="B54" s="66">
        <f>INDEX('All Units'!$Q$5:$Q$1272,MATCH("#"&amp;TEXT($A54,"00")&amp;"-"&amp;TEXT(B$6,"00"),'All Units'!$A$5:$A$1272,0))</f>
        <v>3300</v>
      </c>
    </row>
    <row r="55" spans="1:2" x14ac:dyDescent="0.2">
      <c r="A55" s="67">
        <v>28</v>
      </c>
      <c r="B55" s="66">
        <f>INDEX('All Units'!$Q$5:$Q$1272,MATCH("#"&amp;TEXT($A55,"00")&amp;"-"&amp;TEXT(B$6,"00"),'All Units'!$A$5:$A$1272,0))</f>
        <v>3271</v>
      </c>
    </row>
    <row r="56" spans="1:2" x14ac:dyDescent="0.2">
      <c r="A56" s="67">
        <v>27</v>
      </c>
      <c r="B56" s="66">
        <f>INDEX('All Units'!$Q$5:$Q$1272,MATCH("#"&amp;TEXT($A56,"00")&amp;"-"&amp;TEXT(B$6,"00"),'All Units'!$A$5:$A$1272,0))</f>
        <v>3243</v>
      </c>
    </row>
    <row r="57" spans="1:2" x14ac:dyDescent="0.2">
      <c r="A57" s="67">
        <v>26</v>
      </c>
      <c r="B57" s="66">
        <f>INDEX('All Units'!$Q$5:$Q$1272,MATCH("#"&amp;TEXT($A57,"00")&amp;"-"&amp;TEXT(B$6,"00"),'All Units'!$A$5:$A$1272,0))</f>
        <v>3214</v>
      </c>
    </row>
    <row r="58" spans="1:2" x14ac:dyDescent="0.2">
      <c r="A58" s="67">
        <v>25</v>
      </c>
      <c r="B58" s="66">
        <f>INDEX('All Units'!$Q$5:$Q$1272,MATCH("#"&amp;TEXT($A58,"00")&amp;"-"&amp;TEXT(B$6,"00"),'All Units'!$A$5:$A$1272,0))</f>
        <v>3186</v>
      </c>
    </row>
    <row r="59" spans="1:2" x14ac:dyDescent="0.2">
      <c r="A59" s="67">
        <v>24</v>
      </c>
      <c r="B59" s="66">
        <f>INDEX('All Units'!$Q$5:$Q$1272,MATCH("#"&amp;TEXT($A59,"00")&amp;"-"&amp;TEXT(B$6,"00"),'All Units'!$A$5:$A$1272,0))</f>
        <v>3157</v>
      </c>
    </row>
    <row r="60" spans="1:2" x14ac:dyDescent="0.2">
      <c r="A60" s="67">
        <v>23</v>
      </c>
      <c r="B60" s="66">
        <f>INDEX('All Units'!$Q$5:$Q$1272,MATCH("#"&amp;TEXT($A60,"00")&amp;"-"&amp;TEXT(B$6,"00"),'All Units'!$A$5:$A$1272,0))</f>
        <v>3129</v>
      </c>
    </row>
    <row r="61" spans="1:2" x14ac:dyDescent="0.2">
      <c r="A61" s="67">
        <v>22</v>
      </c>
      <c r="B61" s="66">
        <f>INDEX('All Units'!$Q$5:$Q$1272,MATCH("#"&amp;TEXT($A61,"00")&amp;"-"&amp;TEXT(B$6,"00"),'All Units'!$A$5:$A$1272,0))</f>
        <v>3100</v>
      </c>
    </row>
    <row r="62" spans="1:2" x14ac:dyDescent="0.2">
      <c r="A62" s="67">
        <v>21</v>
      </c>
      <c r="B62" s="66">
        <f>INDEX('All Units'!$Q$5:$Q$1272,MATCH("#"&amp;TEXT($A62,"00")&amp;"-"&amp;TEXT(B$6,"00"),'All Units'!$A$5:$A$1272,0))</f>
        <v>3072</v>
      </c>
    </row>
    <row r="63" spans="1:2" x14ac:dyDescent="0.2">
      <c r="A63" s="67">
        <v>20</v>
      </c>
      <c r="B63" s="66">
        <f>INDEX('All Units'!$Q$5:$Q$1272,MATCH("#"&amp;TEXT($A63,"00")&amp;"-"&amp;TEXT(B$6,"00"),'All Units'!$A$5:$A$1272,0))</f>
        <v>3043</v>
      </c>
    </row>
    <row r="64" spans="1:2" x14ac:dyDescent="0.2">
      <c r="A64" s="67">
        <v>19</v>
      </c>
      <c r="B64" s="66">
        <f>INDEX('All Units'!$Q$5:$Q$1272,MATCH("#"&amp;TEXT($A64,"00")&amp;"-"&amp;TEXT(B$6,"00"),'All Units'!$A$5:$A$1272,0))</f>
        <v>3015</v>
      </c>
    </row>
    <row r="65" spans="1:2" x14ac:dyDescent="0.2">
      <c r="A65" s="67">
        <v>18</v>
      </c>
      <c r="B65" s="66">
        <f>INDEX('All Units'!$Q$5:$Q$1272,MATCH("#"&amp;TEXT($A65,"00")&amp;"-"&amp;TEXT(B$6,"00"),'All Units'!$A$5:$A$1272,0))</f>
        <v>2986</v>
      </c>
    </row>
    <row r="66" spans="1:2" x14ac:dyDescent="0.2">
      <c r="A66" s="67">
        <v>17</v>
      </c>
      <c r="B66" s="66">
        <f>INDEX('All Units'!$Q$5:$Q$1272,MATCH("#"&amp;TEXT($A66,"00")&amp;"-"&amp;TEXT(B$6,"00"),'All Units'!$A$5:$A$1272,0))</f>
        <v>2958</v>
      </c>
    </row>
    <row r="67" spans="1:2" x14ac:dyDescent="0.2">
      <c r="A67" s="67">
        <v>16</v>
      </c>
      <c r="B67" s="66">
        <f>INDEX('All Units'!$Q$5:$Q$1272,MATCH("#"&amp;TEXT($A67,"00")&amp;"-"&amp;TEXT(B$6,"00"),'All Units'!$A$5:$A$1272,0))</f>
        <v>2929</v>
      </c>
    </row>
    <row r="68" spans="1:2" x14ac:dyDescent="0.2">
      <c r="A68" s="67">
        <v>15</v>
      </c>
      <c r="B68" s="66">
        <f>INDEX('All Units'!$Q$5:$Q$1272,MATCH("#"&amp;TEXT($A68,"00")&amp;"-"&amp;TEXT(B$6,"00"),'All Units'!$A$5:$A$1272,0))</f>
        <v>2919</v>
      </c>
    </row>
    <row r="69" spans="1:2" x14ac:dyDescent="0.2">
      <c r="A69" s="67">
        <v>14</v>
      </c>
      <c r="B69" s="66">
        <f>INDEX('All Units'!$Q$5:$Q$1272,MATCH("#"&amp;TEXT($A69,"00")&amp;"-"&amp;TEXT(B$6,"00"),'All Units'!$A$5:$A$1272,0))</f>
        <v>2909</v>
      </c>
    </row>
    <row r="70" spans="1:2" x14ac:dyDescent="0.2">
      <c r="A70" s="67">
        <v>13</v>
      </c>
      <c r="B70" s="66">
        <f>INDEX('All Units'!$Q$5:$Q$1272,MATCH("#"&amp;TEXT($A70,"00")&amp;"-"&amp;TEXT(B$6,"00"),'All Units'!$A$5:$A$1272,0))</f>
        <v>2899</v>
      </c>
    </row>
    <row r="71" spans="1:2" x14ac:dyDescent="0.2">
      <c r="A71" s="67">
        <v>12</v>
      </c>
      <c r="B71" s="66">
        <f>INDEX('All Units'!$Q$5:$Q$1272,MATCH("#"&amp;TEXT($A71,"00")&amp;"-"&amp;TEXT(B$6,"00"),'All Units'!$A$5:$A$1272,0))</f>
        <v>2890</v>
      </c>
    </row>
    <row r="72" spans="1:2" x14ac:dyDescent="0.2">
      <c r="A72" s="67">
        <v>11</v>
      </c>
      <c r="B72" s="66">
        <f>INDEX('All Units'!$Q$5:$Q$1272,MATCH("#"&amp;TEXT($A72,"00")&amp;"-"&amp;TEXT(B$6,"00"),'All Units'!$A$5:$A$1272,0))</f>
        <v>2880</v>
      </c>
    </row>
    <row r="73" spans="1:2" x14ac:dyDescent="0.2">
      <c r="A73" s="67">
        <v>10</v>
      </c>
      <c r="B73" s="66">
        <f>INDEX('All Units'!$Q$5:$Q$1272,MATCH("#"&amp;TEXT($A73,"00")&amp;"-"&amp;TEXT(B$6,"00"),'All Units'!$A$5:$A$1272,0))</f>
        <v>2870</v>
      </c>
    </row>
    <row r="74" spans="1:2" x14ac:dyDescent="0.2">
      <c r="A74" s="67">
        <v>9</v>
      </c>
      <c r="B74" s="66">
        <f>INDEX('All Units'!$Q$5:$Q$1272,MATCH("#"&amp;TEXT($A74,"00")&amp;"-"&amp;TEXT(B$6,"00"),'All Units'!$A$5:$A$1272,0))</f>
        <v>2860</v>
      </c>
    </row>
    <row r="75" spans="1:2" x14ac:dyDescent="0.2">
      <c r="A75" s="67">
        <v>8</v>
      </c>
      <c r="B75" s="66">
        <f>INDEX('All Units'!$Q$5:$Q$1272,MATCH("#"&amp;TEXT($A75,"00")&amp;"-"&amp;TEXT(B$6,"00"),'All Units'!$A$5:$A$1272,0))</f>
        <v>2850</v>
      </c>
    </row>
    <row r="76" spans="1:2" x14ac:dyDescent="0.2">
      <c r="A76" s="67">
        <v>7</v>
      </c>
      <c r="B76" s="66">
        <f>INDEX('All Units'!$Q$5:$Q$1272,MATCH("#"&amp;TEXT($A76,"00")&amp;"-"&amp;TEXT(B$6,"00"),'All Units'!$A$5:$A$1272,0))</f>
        <v>2840</v>
      </c>
    </row>
    <row r="77" spans="1:2" x14ac:dyDescent="0.2">
      <c r="A77" s="67">
        <v>6</v>
      </c>
      <c r="B77" s="66">
        <f>INDEX('All Units'!$Q$5:$Q$1272,MATCH("#"&amp;TEXT($A77,"00")&amp;"-"&amp;TEXT(B$6,"00"),'All Units'!$A$5:$A$1272,0))</f>
        <v>2830</v>
      </c>
    </row>
    <row r="78" spans="1:2" x14ac:dyDescent="0.2">
      <c r="A78" s="67">
        <v>5</v>
      </c>
      <c r="B78" s="66">
        <f>INDEX('All Units'!$Q$5:$Q$1272,MATCH("#"&amp;TEXT($A78,"00")&amp;"-"&amp;TEXT(B$6,"00"),'All Units'!$A$5:$A$1272,0))</f>
        <v>2820</v>
      </c>
    </row>
    <row r="79" spans="1:2" x14ac:dyDescent="0.2">
      <c r="A79" s="67">
        <v>4</v>
      </c>
      <c r="B79" s="66">
        <f>INDEX('All Units'!$Q$5:$Q$1272,MATCH("#"&amp;TEXT($A79,"00")&amp;"-"&amp;TEXT(B$6,"00"),'All Units'!$A$5:$A$1272,0))</f>
        <v>2810</v>
      </c>
    </row>
    <row r="80" spans="1:2" x14ac:dyDescent="0.2">
      <c r="A80" s="67">
        <v>3</v>
      </c>
      <c r="B80" s="66">
        <f>INDEX('All Units'!$Q$5:$Q$1272,MATCH("#"&amp;TEXT($A80,"00")&amp;"-"&amp;TEXT(B$6,"00"),'All Units'!$A$5:$A$1272,0))</f>
        <v>2800</v>
      </c>
    </row>
    <row r="81" spans="1:2" x14ac:dyDescent="0.2">
      <c r="A81" s="67">
        <v>2</v>
      </c>
      <c r="B81" s="68"/>
    </row>
    <row r="82" spans="1:2" x14ac:dyDescent="0.2">
      <c r="A82" s="67">
        <v>1</v>
      </c>
      <c r="B82" s="68"/>
    </row>
  </sheetData>
  <mergeCells count="2">
    <mergeCell ref="A20:B20"/>
    <mergeCell ref="A52:B52"/>
  </mergeCells>
  <conditionalFormatting sqref="B21:B50">
    <cfRule type="expression" dxfId="11" priority="2">
      <formula>AND(B21&lt;&gt;"",B$12&lt;&gt;"",$A21&lt;B$12)</formula>
    </cfRule>
    <cfRule type="expression" dxfId="10" priority="3">
      <formula>AND(B21&lt;&gt;"",$A21&gt;=B$16)</formula>
    </cfRule>
    <cfRule type="expression" dxfId="9" priority="4">
      <formula>AND(B21&lt;&gt;"",$A21&gt;=B$15)</formula>
    </cfRule>
  </conditionalFormatting>
  <conditionalFormatting sqref="B53:B82">
    <cfRule type="expression" dxfId="8" priority="5">
      <formula>AND(B53&lt;&gt;"",B$12&lt;&gt;"",$A53&lt;B$12)</formula>
    </cfRule>
    <cfRule type="expression" dxfId="7" priority="6">
      <formula>AND(B53&lt;&gt;"",$A53&gt;=B$16)</formula>
    </cfRule>
    <cfRule type="expression" dxfId="6"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6E73"/>
    <pageSetUpPr fitToPage="1"/>
  </sheetPr>
  <dimension ref="A1:B82"/>
  <sheetViews>
    <sheetView showGridLines="0" zoomScale="90" zoomScaleNormal="90" workbookViewId="0">
      <pane xSplit="1" ySplit="7" topLeftCell="B14" activePane="bottomRight" state="frozen"/>
      <selection pane="topRight" activeCell="B1" sqref="B1"/>
      <selection pane="bottomLeft" activeCell="A8" sqref="A8"/>
      <selection pane="bottomRight" activeCell="A10" sqref="A10:A16"/>
    </sheetView>
  </sheetViews>
  <sheetFormatPr baseColWidth="10" defaultColWidth="8.6640625" defaultRowHeight="15" x14ac:dyDescent="0.2"/>
  <cols>
    <col min="1" max="1" width="18" customWidth="1"/>
    <col min="2" max="2" width="14.5" customWidth="1"/>
  </cols>
  <sheetData>
    <row r="1" spans="1:2" ht="18" x14ac:dyDescent="0.2">
      <c r="A1" s="2" t="s">
        <v>1489</v>
      </c>
    </row>
    <row r="2" spans="1:2" x14ac:dyDescent="0.2">
      <c r="A2" s="3" t="s">
        <v>1490</v>
      </c>
    </row>
    <row r="3" spans="1:2" x14ac:dyDescent="0.2">
      <c r="A3" s="3" t="s">
        <v>1461</v>
      </c>
    </row>
    <row r="5" spans="1:2" x14ac:dyDescent="0.2">
      <c r="A5" s="58" t="s">
        <v>1462</v>
      </c>
      <c r="B5" s="29">
        <v>5</v>
      </c>
    </row>
    <row r="6" spans="1:2" x14ac:dyDescent="0.2">
      <c r="A6" s="58" t="s">
        <v>99</v>
      </c>
      <c r="B6" s="69">
        <v>19</v>
      </c>
    </row>
    <row r="7" spans="1:2" x14ac:dyDescent="0.2">
      <c r="A7" s="58" t="s">
        <v>30</v>
      </c>
      <c r="B7" s="49" t="s">
        <v>501</v>
      </c>
    </row>
    <row r="8" spans="1:2" x14ac:dyDescent="0.2">
      <c r="A8" s="58" t="s">
        <v>29</v>
      </c>
      <c r="B8" s="28">
        <v>1808</v>
      </c>
    </row>
    <row r="9" spans="1:2" x14ac:dyDescent="0.2">
      <c r="A9" s="58" t="s">
        <v>54</v>
      </c>
      <c r="B9" s="29" t="s">
        <v>65</v>
      </c>
    </row>
    <row r="10" spans="1:2" ht="30" customHeight="1" x14ac:dyDescent="0.2">
      <c r="A10" s="102" t="s">
        <v>1463</v>
      </c>
      <c r="B10" s="70" t="str">
        <f>Assumptions!$I$145&amp;CHAR(10)&amp;TEXT(Assumptions!$AK$145/1000,"+$0;-$0;$0")&amp;"K / "&amp;TEXT(Assumptions!$AL$145/1000,"+$0;-$0;$0")&amp;"K / "&amp;TEXT(Assumptions!$AM$145/1000,"+$0;-$0;$0")&amp;"K"</f>
        <v>A
$0K / $0K / $0K</v>
      </c>
    </row>
    <row r="11" spans="1:2" ht="90" customHeight="1" x14ac:dyDescent="0.2">
      <c r="A11" s="102" t="s">
        <v>113</v>
      </c>
      <c r="B11" s="71" t="str">
        <f>Assumptions!$AJ$145</f>
        <v>SW. The only 5BR: direct landed + nature reserve, 171m pool; possible MacRitchie Reservoir on top floors</v>
      </c>
    </row>
    <row r="12" spans="1:2" ht="28" x14ac:dyDescent="0.2">
      <c r="A12" s="102" t="s">
        <v>1464</v>
      </c>
      <c r="B12" s="63" t="str">
        <f>IF(Assumptions!$L$145="","",Assumptions!$L$145)</f>
        <v/>
      </c>
    </row>
    <row r="13" spans="1:2" ht="28" x14ac:dyDescent="0.2">
      <c r="A13" s="102" t="s">
        <v>1465</v>
      </c>
      <c r="B13" s="63" t="str">
        <f>IF(Assumptions!$AD$145="","",Assumptions!$AD$145)</f>
        <v/>
      </c>
    </row>
    <row r="14" spans="1:2" ht="39.75" customHeight="1" x14ac:dyDescent="0.2">
      <c r="A14" s="102" t="s">
        <v>1466</v>
      </c>
      <c r="B14" s="64" t="str">
        <f>IF(Assumptions!$M$145="","",Assumptions!$M$145)</f>
        <v/>
      </c>
    </row>
    <row r="15" spans="1:2" ht="28" x14ac:dyDescent="0.2">
      <c r="A15" s="102" t="s">
        <v>1467</v>
      </c>
      <c r="B15" s="65">
        <f>Assumptions!$AH$145</f>
        <v>12</v>
      </c>
    </row>
    <row r="16" spans="1:2" ht="28" x14ac:dyDescent="0.2">
      <c r="A16" s="102" t="s">
        <v>1468</v>
      </c>
      <c r="B16" s="65">
        <f>Assumptions!$P$145</f>
        <v>21</v>
      </c>
    </row>
    <row r="17" spans="1:2" x14ac:dyDescent="0.2">
      <c r="A17" s="58" t="s">
        <v>1469</v>
      </c>
      <c r="B17" s="66">
        <f>INDEX('All Units'!$R$5:$R$1272,MATCH("#"&amp;TEXT(3,"00")&amp;"-"&amp;TEXT(B$6,"00"),'All Units'!$A$5:$A$1272,0))</f>
        <v>5062400</v>
      </c>
    </row>
    <row r="18" spans="1:2" x14ac:dyDescent="0.2">
      <c r="A18" s="58" t="s">
        <v>1470</v>
      </c>
      <c r="B18" s="66">
        <f>INDEX('All Units'!$R$5:$R$1272,MATCH("#"&amp;TEXT(30,"00")&amp;"-"&amp;TEXT(B$6,"00"),'All Units'!$A$5:$A$1272,0))</f>
        <v>6017000</v>
      </c>
    </row>
    <row r="20" spans="1:2" x14ac:dyDescent="0.2">
      <c r="A20" s="99" t="s">
        <v>1471</v>
      </c>
      <c r="B20" s="99"/>
    </row>
    <row r="21" spans="1:2" x14ac:dyDescent="0.2">
      <c r="A21" s="67">
        <v>30</v>
      </c>
      <c r="B21" s="66">
        <f>INDEX('All Units'!$R$5:$R$1272,MATCH("#"&amp;TEXT($A21,"00")&amp;"-"&amp;TEXT(B$6,"00"),'All Units'!$A$5:$A$1272,0))</f>
        <v>6017000</v>
      </c>
    </row>
    <row r="22" spans="1:2" x14ac:dyDescent="0.2">
      <c r="A22" s="67">
        <v>29</v>
      </c>
      <c r="B22" s="66">
        <f>INDEX('All Units'!$R$5:$R$1272,MATCH("#"&amp;TEXT($A22,"00")&amp;"-"&amp;TEXT(B$6,"00"),'All Units'!$A$5:$A$1272,0))</f>
        <v>5966400</v>
      </c>
    </row>
    <row r="23" spans="1:2" x14ac:dyDescent="0.2">
      <c r="A23" s="67">
        <v>28</v>
      </c>
      <c r="B23" s="66">
        <f>INDEX('All Units'!$R$5:$R$1272,MATCH("#"&amp;TEXT($A23,"00")&amp;"-"&amp;TEXT(B$6,"00"),'All Units'!$A$5:$A$1272,0))</f>
        <v>5914000</v>
      </c>
    </row>
    <row r="24" spans="1:2" x14ac:dyDescent="0.2">
      <c r="A24" s="67">
        <v>27</v>
      </c>
      <c r="B24" s="66">
        <f>INDEX('All Units'!$R$5:$R$1272,MATCH("#"&amp;TEXT($A24,"00")&amp;"-"&amp;TEXT(B$6,"00"),'All Units'!$A$5:$A$1272,0))</f>
        <v>5863300</v>
      </c>
    </row>
    <row r="25" spans="1:2" x14ac:dyDescent="0.2">
      <c r="A25" s="67">
        <v>26</v>
      </c>
      <c r="B25" s="66">
        <f>INDEX('All Units'!$R$5:$R$1272,MATCH("#"&amp;TEXT($A25,"00")&amp;"-"&amp;TEXT(B$6,"00"),'All Units'!$A$5:$A$1272,0))</f>
        <v>5810900</v>
      </c>
    </row>
    <row r="26" spans="1:2" x14ac:dyDescent="0.2">
      <c r="A26" s="67">
        <v>25</v>
      </c>
      <c r="B26" s="66">
        <f>INDEX('All Units'!$R$5:$R$1272,MATCH("#"&amp;TEXT($A26,"00")&amp;"-"&amp;TEXT(B$6,"00"),'All Units'!$A$5:$A$1272,0))</f>
        <v>5760300</v>
      </c>
    </row>
    <row r="27" spans="1:2" x14ac:dyDescent="0.2">
      <c r="A27" s="67">
        <v>24</v>
      </c>
      <c r="B27" s="66">
        <f>INDEX('All Units'!$R$5:$R$1272,MATCH("#"&amp;TEXT($A27,"00")&amp;"-"&amp;TEXT(B$6,"00"),'All Units'!$A$5:$A$1272,0))</f>
        <v>5707900</v>
      </c>
    </row>
    <row r="28" spans="1:2" x14ac:dyDescent="0.2">
      <c r="A28" s="67">
        <v>23</v>
      </c>
      <c r="B28" s="66">
        <f>INDEX('All Units'!$R$5:$R$1272,MATCH("#"&amp;TEXT($A28,"00")&amp;"-"&amp;TEXT(B$6,"00"),'All Units'!$A$5:$A$1272,0))</f>
        <v>5657200</v>
      </c>
    </row>
    <row r="29" spans="1:2" x14ac:dyDescent="0.2">
      <c r="A29" s="67">
        <v>22</v>
      </c>
      <c r="B29" s="66">
        <f>INDEX('All Units'!$R$5:$R$1272,MATCH("#"&amp;TEXT($A29,"00")&amp;"-"&amp;TEXT(B$6,"00"),'All Units'!$A$5:$A$1272,0))</f>
        <v>5604800</v>
      </c>
    </row>
    <row r="30" spans="1:2" x14ac:dyDescent="0.2">
      <c r="A30" s="67">
        <v>21</v>
      </c>
      <c r="B30" s="66">
        <f>INDEX('All Units'!$R$5:$R$1272,MATCH("#"&amp;TEXT($A30,"00")&amp;"-"&amp;TEXT(B$6,"00"),'All Units'!$A$5:$A$1272,0))</f>
        <v>5554200</v>
      </c>
    </row>
    <row r="31" spans="1:2" x14ac:dyDescent="0.2">
      <c r="A31" s="67">
        <v>20</v>
      </c>
      <c r="B31" s="66">
        <f>INDEX('All Units'!$R$5:$R$1272,MATCH("#"&amp;TEXT($A31,"00")&amp;"-"&amp;TEXT(B$6,"00"),'All Units'!$A$5:$A$1272,0))</f>
        <v>5501700</v>
      </c>
    </row>
    <row r="32" spans="1:2" x14ac:dyDescent="0.2">
      <c r="A32" s="67">
        <v>19</v>
      </c>
      <c r="B32" s="66">
        <f>INDEX('All Units'!$R$5:$R$1272,MATCH("#"&amp;TEXT($A32,"00")&amp;"-"&amp;TEXT(B$6,"00"),'All Units'!$A$5:$A$1272,0))</f>
        <v>5451100</v>
      </c>
    </row>
    <row r="33" spans="1:2" x14ac:dyDescent="0.2">
      <c r="A33" s="67">
        <v>18</v>
      </c>
      <c r="B33" s="66">
        <f>INDEX('All Units'!$R$5:$R$1272,MATCH("#"&amp;TEXT($A33,"00")&amp;"-"&amp;TEXT(B$6,"00"),'All Units'!$A$5:$A$1272,0))</f>
        <v>5398700</v>
      </c>
    </row>
    <row r="34" spans="1:2" x14ac:dyDescent="0.2">
      <c r="A34" s="67">
        <v>17</v>
      </c>
      <c r="B34" s="66">
        <f>INDEX('All Units'!$R$5:$R$1272,MATCH("#"&amp;TEXT($A34,"00")&amp;"-"&amp;TEXT(B$6,"00"),'All Units'!$A$5:$A$1272,0))</f>
        <v>5348100</v>
      </c>
    </row>
    <row r="35" spans="1:2" x14ac:dyDescent="0.2">
      <c r="A35" s="67">
        <v>16</v>
      </c>
      <c r="B35" s="66">
        <f>INDEX('All Units'!$R$5:$R$1272,MATCH("#"&amp;TEXT($A35,"00")&amp;"-"&amp;TEXT(B$6,"00"),'All Units'!$A$5:$A$1272,0))</f>
        <v>5295600</v>
      </c>
    </row>
    <row r="36" spans="1:2" x14ac:dyDescent="0.2">
      <c r="A36" s="67">
        <v>15</v>
      </c>
      <c r="B36" s="66">
        <f>INDEX('All Units'!$R$5:$R$1272,MATCH("#"&amp;TEXT($A36,"00")&amp;"-"&amp;TEXT(B$6,"00"),'All Units'!$A$5:$A$1272,0))</f>
        <v>5277600</v>
      </c>
    </row>
    <row r="37" spans="1:2" x14ac:dyDescent="0.2">
      <c r="A37" s="67">
        <v>14</v>
      </c>
      <c r="B37" s="66">
        <f>INDEX('All Units'!$R$5:$R$1272,MATCH("#"&amp;TEXT($A37,"00")&amp;"-"&amp;TEXT(B$6,"00"),'All Units'!$A$5:$A$1272,0))</f>
        <v>5259500</v>
      </c>
    </row>
    <row r="38" spans="1:2" x14ac:dyDescent="0.2">
      <c r="A38" s="67">
        <v>13</v>
      </c>
      <c r="B38" s="66">
        <f>INDEX('All Units'!$R$5:$R$1272,MATCH("#"&amp;TEXT($A38,"00")&amp;"-"&amp;TEXT(B$6,"00"),'All Units'!$A$5:$A$1272,0))</f>
        <v>5241400</v>
      </c>
    </row>
    <row r="39" spans="1:2" x14ac:dyDescent="0.2">
      <c r="A39" s="67">
        <v>12</v>
      </c>
      <c r="B39" s="66">
        <f>INDEX('All Units'!$R$5:$R$1272,MATCH("#"&amp;TEXT($A39,"00")&amp;"-"&amp;TEXT(B$6,"00"),'All Units'!$A$5:$A$1272,0))</f>
        <v>5225100</v>
      </c>
    </row>
    <row r="40" spans="1:2" x14ac:dyDescent="0.2">
      <c r="A40" s="67">
        <v>11</v>
      </c>
      <c r="B40" s="66">
        <f>INDEX('All Units'!$R$5:$R$1272,MATCH("#"&amp;TEXT($A40,"00")&amp;"-"&amp;TEXT(B$6,"00"),'All Units'!$A$5:$A$1272,0))</f>
        <v>5207000</v>
      </c>
    </row>
    <row r="41" spans="1:2" x14ac:dyDescent="0.2">
      <c r="A41" s="67">
        <v>10</v>
      </c>
      <c r="B41" s="66">
        <f>INDEX('All Units'!$R$5:$R$1272,MATCH("#"&amp;TEXT($A41,"00")&amp;"-"&amp;TEXT(B$6,"00"),'All Units'!$A$5:$A$1272,0))</f>
        <v>5189000</v>
      </c>
    </row>
    <row r="42" spans="1:2" x14ac:dyDescent="0.2">
      <c r="A42" s="67">
        <v>9</v>
      </c>
      <c r="B42" s="66">
        <f>INDEX('All Units'!$R$5:$R$1272,MATCH("#"&amp;TEXT($A42,"00")&amp;"-"&amp;TEXT(B$6,"00"),'All Units'!$A$5:$A$1272,0))</f>
        <v>5170900</v>
      </c>
    </row>
    <row r="43" spans="1:2" x14ac:dyDescent="0.2">
      <c r="A43" s="67">
        <v>8</v>
      </c>
      <c r="B43" s="66">
        <f>INDEX('All Units'!$R$5:$R$1272,MATCH("#"&amp;TEXT($A43,"00")&amp;"-"&amp;TEXT(B$6,"00"),'All Units'!$A$5:$A$1272,0))</f>
        <v>5152800</v>
      </c>
    </row>
    <row r="44" spans="1:2" x14ac:dyDescent="0.2">
      <c r="A44" s="67">
        <v>7</v>
      </c>
      <c r="B44" s="66">
        <f>INDEX('All Units'!$R$5:$R$1272,MATCH("#"&amp;TEXT($A44,"00")&amp;"-"&amp;TEXT(B$6,"00"),'All Units'!$A$5:$A$1272,0))</f>
        <v>5134700</v>
      </c>
    </row>
    <row r="45" spans="1:2" x14ac:dyDescent="0.2">
      <c r="A45" s="67">
        <v>6</v>
      </c>
      <c r="B45" s="66">
        <f>INDEX('All Units'!$R$5:$R$1272,MATCH("#"&amp;TEXT($A45,"00")&amp;"-"&amp;TEXT(B$6,"00"),'All Units'!$A$5:$A$1272,0))</f>
        <v>5116600</v>
      </c>
    </row>
    <row r="46" spans="1:2" x14ac:dyDescent="0.2">
      <c r="A46" s="67">
        <v>5</v>
      </c>
      <c r="B46" s="66">
        <f>INDEX('All Units'!$R$5:$R$1272,MATCH("#"&amp;TEXT($A46,"00")&amp;"-"&amp;TEXT(B$6,"00"),'All Units'!$A$5:$A$1272,0))</f>
        <v>5098600</v>
      </c>
    </row>
    <row r="47" spans="1:2" x14ac:dyDescent="0.2">
      <c r="A47" s="67">
        <v>4</v>
      </c>
      <c r="B47" s="66">
        <f>INDEX('All Units'!$R$5:$R$1272,MATCH("#"&amp;TEXT($A47,"00")&amp;"-"&amp;TEXT(B$6,"00"),'All Units'!$A$5:$A$1272,0))</f>
        <v>5080500</v>
      </c>
    </row>
    <row r="48" spans="1:2" x14ac:dyDescent="0.2">
      <c r="A48" s="67">
        <v>3</v>
      </c>
      <c r="B48" s="66">
        <f>INDEX('All Units'!$R$5:$R$1272,MATCH("#"&amp;TEXT($A48,"00")&amp;"-"&amp;TEXT(B$6,"00"),'All Units'!$A$5:$A$1272,0))</f>
        <v>5062400</v>
      </c>
    </row>
    <row r="49" spans="1:2" x14ac:dyDescent="0.2">
      <c r="A49" s="67">
        <v>2</v>
      </c>
      <c r="B49" s="68"/>
    </row>
    <row r="50" spans="1:2" x14ac:dyDescent="0.2">
      <c r="A50" s="67">
        <v>1</v>
      </c>
      <c r="B50" s="68"/>
    </row>
    <row r="52" spans="1:2" x14ac:dyDescent="0.2">
      <c r="A52" s="99" t="s">
        <v>1472</v>
      </c>
      <c r="B52" s="99"/>
    </row>
    <row r="53" spans="1:2" x14ac:dyDescent="0.2">
      <c r="A53" s="67">
        <v>30</v>
      </c>
      <c r="B53" s="66">
        <f>INDEX('All Units'!$Q$5:$Q$1272,MATCH("#"&amp;TEXT($A53,"00")&amp;"-"&amp;TEXT(B$6,"00"),'All Units'!$A$5:$A$1272,0))</f>
        <v>3328</v>
      </c>
    </row>
    <row r="54" spans="1:2" x14ac:dyDescent="0.2">
      <c r="A54" s="67">
        <v>29</v>
      </c>
      <c r="B54" s="66">
        <f>INDEX('All Units'!$Q$5:$Q$1272,MATCH("#"&amp;TEXT($A54,"00")&amp;"-"&amp;TEXT(B$6,"00"),'All Units'!$A$5:$A$1272,0))</f>
        <v>3300</v>
      </c>
    </row>
    <row r="55" spans="1:2" x14ac:dyDescent="0.2">
      <c r="A55" s="67">
        <v>28</v>
      </c>
      <c r="B55" s="66">
        <f>INDEX('All Units'!$Q$5:$Q$1272,MATCH("#"&amp;TEXT($A55,"00")&amp;"-"&amp;TEXT(B$6,"00"),'All Units'!$A$5:$A$1272,0))</f>
        <v>3271</v>
      </c>
    </row>
    <row r="56" spans="1:2" x14ac:dyDescent="0.2">
      <c r="A56" s="67">
        <v>27</v>
      </c>
      <c r="B56" s="66">
        <f>INDEX('All Units'!$Q$5:$Q$1272,MATCH("#"&amp;TEXT($A56,"00")&amp;"-"&amp;TEXT(B$6,"00"),'All Units'!$A$5:$A$1272,0))</f>
        <v>3243</v>
      </c>
    </row>
    <row r="57" spans="1:2" x14ac:dyDescent="0.2">
      <c r="A57" s="67">
        <v>26</v>
      </c>
      <c r="B57" s="66">
        <f>INDEX('All Units'!$Q$5:$Q$1272,MATCH("#"&amp;TEXT($A57,"00")&amp;"-"&amp;TEXT(B$6,"00"),'All Units'!$A$5:$A$1272,0))</f>
        <v>3214</v>
      </c>
    </row>
    <row r="58" spans="1:2" x14ac:dyDescent="0.2">
      <c r="A58" s="67">
        <v>25</v>
      </c>
      <c r="B58" s="66">
        <f>INDEX('All Units'!$Q$5:$Q$1272,MATCH("#"&amp;TEXT($A58,"00")&amp;"-"&amp;TEXT(B$6,"00"),'All Units'!$A$5:$A$1272,0))</f>
        <v>3186</v>
      </c>
    </row>
    <row r="59" spans="1:2" x14ac:dyDescent="0.2">
      <c r="A59" s="67">
        <v>24</v>
      </c>
      <c r="B59" s="66">
        <f>INDEX('All Units'!$Q$5:$Q$1272,MATCH("#"&amp;TEXT($A59,"00")&amp;"-"&amp;TEXT(B$6,"00"),'All Units'!$A$5:$A$1272,0))</f>
        <v>3157</v>
      </c>
    </row>
    <row r="60" spans="1:2" x14ac:dyDescent="0.2">
      <c r="A60" s="67">
        <v>23</v>
      </c>
      <c r="B60" s="66">
        <f>INDEX('All Units'!$Q$5:$Q$1272,MATCH("#"&amp;TEXT($A60,"00")&amp;"-"&amp;TEXT(B$6,"00"),'All Units'!$A$5:$A$1272,0))</f>
        <v>3129</v>
      </c>
    </row>
    <row r="61" spans="1:2" x14ac:dyDescent="0.2">
      <c r="A61" s="67">
        <v>22</v>
      </c>
      <c r="B61" s="66">
        <f>INDEX('All Units'!$Q$5:$Q$1272,MATCH("#"&amp;TEXT($A61,"00")&amp;"-"&amp;TEXT(B$6,"00"),'All Units'!$A$5:$A$1272,0))</f>
        <v>3100</v>
      </c>
    </row>
    <row r="62" spans="1:2" x14ac:dyDescent="0.2">
      <c r="A62" s="67">
        <v>21</v>
      </c>
      <c r="B62" s="66">
        <f>INDEX('All Units'!$Q$5:$Q$1272,MATCH("#"&amp;TEXT($A62,"00")&amp;"-"&amp;TEXT(B$6,"00"),'All Units'!$A$5:$A$1272,0))</f>
        <v>3072</v>
      </c>
    </row>
    <row r="63" spans="1:2" x14ac:dyDescent="0.2">
      <c r="A63" s="67">
        <v>20</v>
      </c>
      <c r="B63" s="66">
        <f>INDEX('All Units'!$Q$5:$Q$1272,MATCH("#"&amp;TEXT($A63,"00")&amp;"-"&amp;TEXT(B$6,"00"),'All Units'!$A$5:$A$1272,0))</f>
        <v>3043</v>
      </c>
    </row>
    <row r="64" spans="1:2" x14ac:dyDescent="0.2">
      <c r="A64" s="67">
        <v>19</v>
      </c>
      <c r="B64" s="66">
        <f>INDEX('All Units'!$Q$5:$Q$1272,MATCH("#"&amp;TEXT($A64,"00")&amp;"-"&amp;TEXT(B$6,"00"),'All Units'!$A$5:$A$1272,0))</f>
        <v>3015</v>
      </c>
    </row>
    <row r="65" spans="1:2" x14ac:dyDescent="0.2">
      <c r="A65" s="67">
        <v>18</v>
      </c>
      <c r="B65" s="66">
        <f>INDEX('All Units'!$Q$5:$Q$1272,MATCH("#"&amp;TEXT($A65,"00")&amp;"-"&amp;TEXT(B$6,"00"),'All Units'!$A$5:$A$1272,0))</f>
        <v>2986</v>
      </c>
    </row>
    <row r="66" spans="1:2" x14ac:dyDescent="0.2">
      <c r="A66" s="67">
        <v>17</v>
      </c>
      <c r="B66" s="66">
        <f>INDEX('All Units'!$Q$5:$Q$1272,MATCH("#"&amp;TEXT($A66,"00")&amp;"-"&amp;TEXT(B$6,"00"),'All Units'!$A$5:$A$1272,0))</f>
        <v>2958</v>
      </c>
    </row>
    <row r="67" spans="1:2" x14ac:dyDescent="0.2">
      <c r="A67" s="67">
        <v>16</v>
      </c>
      <c r="B67" s="66">
        <f>INDEX('All Units'!$Q$5:$Q$1272,MATCH("#"&amp;TEXT($A67,"00")&amp;"-"&amp;TEXT(B$6,"00"),'All Units'!$A$5:$A$1272,0))</f>
        <v>2929</v>
      </c>
    </row>
    <row r="68" spans="1:2" x14ac:dyDescent="0.2">
      <c r="A68" s="67">
        <v>15</v>
      </c>
      <c r="B68" s="66">
        <f>INDEX('All Units'!$Q$5:$Q$1272,MATCH("#"&amp;TEXT($A68,"00")&amp;"-"&amp;TEXT(B$6,"00"),'All Units'!$A$5:$A$1272,0))</f>
        <v>2919</v>
      </c>
    </row>
    <row r="69" spans="1:2" x14ac:dyDescent="0.2">
      <c r="A69" s="67">
        <v>14</v>
      </c>
      <c r="B69" s="66">
        <f>INDEX('All Units'!$Q$5:$Q$1272,MATCH("#"&amp;TEXT($A69,"00")&amp;"-"&amp;TEXT(B$6,"00"),'All Units'!$A$5:$A$1272,0))</f>
        <v>2909</v>
      </c>
    </row>
    <row r="70" spans="1:2" x14ac:dyDescent="0.2">
      <c r="A70" s="67">
        <v>13</v>
      </c>
      <c r="B70" s="66">
        <f>INDEX('All Units'!$Q$5:$Q$1272,MATCH("#"&amp;TEXT($A70,"00")&amp;"-"&amp;TEXT(B$6,"00"),'All Units'!$A$5:$A$1272,0))</f>
        <v>2899</v>
      </c>
    </row>
    <row r="71" spans="1:2" x14ac:dyDescent="0.2">
      <c r="A71" s="67">
        <v>12</v>
      </c>
      <c r="B71" s="66">
        <f>INDEX('All Units'!$Q$5:$Q$1272,MATCH("#"&amp;TEXT($A71,"00")&amp;"-"&amp;TEXT(B$6,"00"),'All Units'!$A$5:$A$1272,0))</f>
        <v>2890</v>
      </c>
    </row>
    <row r="72" spans="1:2" x14ac:dyDescent="0.2">
      <c r="A72" s="67">
        <v>11</v>
      </c>
      <c r="B72" s="66">
        <f>INDEX('All Units'!$Q$5:$Q$1272,MATCH("#"&amp;TEXT($A72,"00")&amp;"-"&amp;TEXT(B$6,"00"),'All Units'!$A$5:$A$1272,0))</f>
        <v>2880</v>
      </c>
    </row>
    <row r="73" spans="1:2" x14ac:dyDescent="0.2">
      <c r="A73" s="67">
        <v>10</v>
      </c>
      <c r="B73" s="66">
        <f>INDEX('All Units'!$Q$5:$Q$1272,MATCH("#"&amp;TEXT($A73,"00")&amp;"-"&amp;TEXT(B$6,"00"),'All Units'!$A$5:$A$1272,0))</f>
        <v>2870</v>
      </c>
    </row>
    <row r="74" spans="1:2" x14ac:dyDescent="0.2">
      <c r="A74" s="67">
        <v>9</v>
      </c>
      <c r="B74" s="66">
        <f>INDEX('All Units'!$Q$5:$Q$1272,MATCH("#"&amp;TEXT($A74,"00")&amp;"-"&amp;TEXT(B$6,"00"),'All Units'!$A$5:$A$1272,0))</f>
        <v>2860</v>
      </c>
    </row>
    <row r="75" spans="1:2" x14ac:dyDescent="0.2">
      <c r="A75" s="67">
        <v>8</v>
      </c>
      <c r="B75" s="66">
        <f>INDEX('All Units'!$Q$5:$Q$1272,MATCH("#"&amp;TEXT($A75,"00")&amp;"-"&amp;TEXT(B$6,"00"),'All Units'!$A$5:$A$1272,0))</f>
        <v>2850</v>
      </c>
    </row>
    <row r="76" spans="1:2" x14ac:dyDescent="0.2">
      <c r="A76" s="67">
        <v>7</v>
      </c>
      <c r="B76" s="66">
        <f>INDEX('All Units'!$Q$5:$Q$1272,MATCH("#"&amp;TEXT($A76,"00")&amp;"-"&amp;TEXT(B$6,"00"),'All Units'!$A$5:$A$1272,0))</f>
        <v>2840</v>
      </c>
    </row>
    <row r="77" spans="1:2" x14ac:dyDescent="0.2">
      <c r="A77" s="67">
        <v>6</v>
      </c>
      <c r="B77" s="66">
        <f>INDEX('All Units'!$Q$5:$Q$1272,MATCH("#"&amp;TEXT($A77,"00")&amp;"-"&amp;TEXT(B$6,"00"),'All Units'!$A$5:$A$1272,0))</f>
        <v>2830</v>
      </c>
    </row>
    <row r="78" spans="1:2" x14ac:dyDescent="0.2">
      <c r="A78" s="67">
        <v>5</v>
      </c>
      <c r="B78" s="66">
        <f>INDEX('All Units'!$Q$5:$Q$1272,MATCH("#"&amp;TEXT($A78,"00")&amp;"-"&amp;TEXT(B$6,"00"),'All Units'!$A$5:$A$1272,0))</f>
        <v>2820</v>
      </c>
    </row>
    <row r="79" spans="1:2" x14ac:dyDescent="0.2">
      <c r="A79" s="67">
        <v>4</v>
      </c>
      <c r="B79" s="66">
        <f>INDEX('All Units'!$Q$5:$Q$1272,MATCH("#"&amp;TEXT($A79,"00")&amp;"-"&amp;TEXT(B$6,"00"),'All Units'!$A$5:$A$1272,0))</f>
        <v>2810</v>
      </c>
    </row>
    <row r="80" spans="1:2" x14ac:dyDescent="0.2">
      <c r="A80" s="67">
        <v>3</v>
      </c>
      <c r="B80" s="66">
        <f>INDEX('All Units'!$Q$5:$Q$1272,MATCH("#"&amp;TEXT($A80,"00")&amp;"-"&amp;TEXT(B$6,"00"),'All Units'!$A$5:$A$1272,0))</f>
        <v>2800</v>
      </c>
    </row>
    <row r="81" spans="1:2" x14ac:dyDescent="0.2">
      <c r="A81" s="67">
        <v>2</v>
      </c>
      <c r="B81" s="68"/>
    </row>
    <row r="82" spans="1:2" x14ac:dyDescent="0.2">
      <c r="A82" s="67">
        <v>1</v>
      </c>
      <c r="B82" s="68"/>
    </row>
  </sheetData>
  <mergeCells count="2">
    <mergeCell ref="A20:B20"/>
    <mergeCell ref="A52:B52"/>
  </mergeCells>
  <conditionalFormatting sqref="B21:B50">
    <cfRule type="expression" dxfId="5" priority="2">
      <formula>AND(B21&lt;&gt;"",B$12&lt;&gt;"",$A21&lt;B$12)</formula>
    </cfRule>
    <cfRule type="expression" dxfId="4" priority="3">
      <formula>AND(B21&lt;&gt;"",$A21&gt;=B$16)</formula>
    </cfRule>
    <cfRule type="expression" dxfId="3" priority="4">
      <formula>AND(B21&lt;&gt;"",$A21&gt;=B$15)</formula>
    </cfRule>
  </conditionalFormatting>
  <conditionalFormatting sqref="B53:B82">
    <cfRule type="expression" dxfId="2" priority="5">
      <formula>AND(B53&lt;&gt;"",B$12&lt;&gt;"",$A53&lt;B$12)</formula>
    </cfRule>
    <cfRule type="expression" dxfId="1" priority="6">
      <formula>AND(B53&lt;&gt;"",$A53&gt;=B$16)</formula>
    </cfRule>
    <cfRule type="expression" dxfId="0" priority="7">
      <formula>AND(B53&lt;&gt;"",$A53&gt;=B$15)</formula>
    </cfRule>
  </conditionalFormatting>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6"/>
  <sheetViews>
    <sheetView showGridLines="0" zoomScale="90" zoomScaleNormal="90" workbookViewId="0"/>
  </sheetViews>
  <sheetFormatPr baseColWidth="10" defaultColWidth="8.6640625" defaultRowHeight="15" x14ac:dyDescent="0.2"/>
  <cols>
    <col min="1" max="1" width="16" customWidth="1"/>
    <col min="2" max="12" width="14" customWidth="1"/>
  </cols>
  <sheetData>
    <row r="1" spans="1:12" ht="18" x14ac:dyDescent="0.2">
      <c r="A1" s="2" t="s">
        <v>1491</v>
      </c>
    </row>
    <row r="2" spans="1:12" x14ac:dyDescent="0.2">
      <c r="A2" s="3" t="s">
        <v>1492</v>
      </c>
    </row>
    <row r="4" spans="1:12" ht="30" customHeight="1" x14ac:dyDescent="0.2">
      <c r="A4" s="7" t="s">
        <v>30</v>
      </c>
      <c r="B4" s="7" t="s">
        <v>1493</v>
      </c>
      <c r="C4" s="7" t="s">
        <v>1494</v>
      </c>
      <c r="D4" s="7" t="s">
        <v>1495</v>
      </c>
      <c r="E4" s="7" t="s">
        <v>1495</v>
      </c>
      <c r="F4" s="7" t="s">
        <v>1496</v>
      </c>
      <c r="G4" s="7" t="s">
        <v>1497</v>
      </c>
      <c r="H4" s="7" t="s">
        <v>1498</v>
      </c>
      <c r="I4" s="7" t="s">
        <v>48</v>
      </c>
      <c r="J4" s="7" t="s">
        <v>1499</v>
      </c>
      <c r="K4" s="7" t="s">
        <v>1500</v>
      </c>
      <c r="L4" s="7" t="s">
        <v>1501</v>
      </c>
    </row>
    <row r="5" spans="1:12" x14ac:dyDescent="0.2">
      <c r="A5" s="7" t="s">
        <v>29</v>
      </c>
      <c r="B5" s="17">
        <v>592</v>
      </c>
      <c r="C5" s="17">
        <v>678</v>
      </c>
      <c r="D5" s="17">
        <v>732</v>
      </c>
      <c r="E5" s="17">
        <v>775</v>
      </c>
      <c r="F5" s="17">
        <v>947</v>
      </c>
      <c r="G5" s="17">
        <v>1055</v>
      </c>
      <c r="H5" s="17">
        <v>1152</v>
      </c>
      <c r="I5" s="17">
        <v>1238</v>
      </c>
      <c r="J5" s="17">
        <v>1367</v>
      </c>
      <c r="K5" s="17">
        <v>1485</v>
      </c>
      <c r="L5" s="17">
        <v>1808</v>
      </c>
    </row>
    <row r="6" spans="1:12" x14ac:dyDescent="0.2">
      <c r="A6" s="72">
        <v>3300</v>
      </c>
      <c r="B6" s="73"/>
      <c r="C6" s="73"/>
      <c r="D6" s="73"/>
      <c r="E6" s="73"/>
      <c r="F6" s="73"/>
      <c r="G6" s="73"/>
      <c r="H6" s="73"/>
      <c r="I6" s="73"/>
      <c r="J6" s="74">
        <f t="shared" ref="J6:L11" si="0">$A6*J$5</f>
        <v>4511100</v>
      </c>
      <c r="K6" s="74">
        <f t="shared" si="0"/>
        <v>4900500</v>
      </c>
      <c r="L6" s="74">
        <f t="shared" si="0"/>
        <v>5966400</v>
      </c>
    </row>
    <row r="7" spans="1:12" x14ac:dyDescent="0.2">
      <c r="A7" s="72">
        <v>3200</v>
      </c>
      <c r="B7" s="73"/>
      <c r="C7" s="73"/>
      <c r="D7" s="73"/>
      <c r="E7" s="73"/>
      <c r="F7" s="74">
        <f t="shared" ref="F7:G13" si="1">$A7*F$5</f>
        <v>3030400</v>
      </c>
      <c r="G7" s="74">
        <f t="shared" si="1"/>
        <v>3376000</v>
      </c>
      <c r="H7" s="73"/>
      <c r="I7" s="74">
        <f>$A7*I$5</f>
        <v>3961600</v>
      </c>
      <c r="J7" s="74">
        <f t="shared" si="0"/>
        <v>4374400</v>
      </c>
      <c r="K7" s="74">
        <f t="shared" si="0"/>
        <v>4752000</v>
      </c>
      <c r="L7" s="74">
        <f t="shared" si="0"/>
        <v>5785600</v>
      </c>
    </row>
    <row r="8" spans="1:12" x14ac:dyDescent="0.2">
      <c r="A8" s="72">
        <v>3100</v>
      </c>
      <c r="B8" s="73"/>
      <c r="C8" s="74">
        <f t="shared" ref="C8:E13" si="2">$A8*C$5</f>
        <v>2101800</v>
      </c>
      <c r="D8" s="74">
        <f t="shared" si="2"/>
        <v>2269200</v>
      </c>
      <c r="E8" s="74">
        <f t="shared" si="2"/>
        <v>2402500</v>
      </c>
      <c r="F8" s="74">
        <f t="shared" si="1"/>
        <v>2935700</v>
      </c>
      <c r="G8" s="74">
        <f t="shared" si="1"/>
        <v>3270500</v>
      </c>
      <c r="H8" s="73"/>
      <c r="I8" s="74">
        <f>$A8*I$5</f>
        <v>3837800</v>
      </c>
      <c r="J8" s="66">
        <f t="shared" si="0"/>
        <v>4237700</v>
      </c>
      <c r="K8" s="66">
        <f t="shared" si="0"/>
        <v>4603500</v>
      </c>
      <c r="L8" s="66">
        <f t="shared" si="0"/>
        <v>5604800</v>
      </c>
    </row>
    <row r="9" spans="1:12" x14ac:dyDescent="0.2">
      <c r="A9" s="72">
        <v>3000</v>
      </c>
      <c r="B9" s="66">
        <f>$A9*B$5</f>
        <v>1776000</v>
      </c>
      <c r="C9" s="74">
        <f t="shared" si="2"/>
        <v>2034000</v>
      </c>
      <c r="D9" s="74">
        <f t="shared" si="2"/>
        <v>2196000</v>
      </c>
      <c r="E9" s="74">
        <f t="shared" si="2"/>
        <v>2325000</v>
      </c>
      <c r="F9" s="66">
        <f t="shared" si="1"/>
        <v>2841000</v>
      </c>
      <c r="G9" s="66">
        <f t="shared" si="1"/>
        <v>3165000</v>
      </c>
      <c r="H9" s="66">
        <f>$A9*H$5</f>
        <v>3456000</v>
      </c>
      <c r="I9" s="66">
        <f>$A9*I$5</f>
        <v>3714000</v>
      </c>
      <c r="J9" s="66">
        <f t="shared" si="0"/>
        <v>4101000</v>
      </c>
      <c r="K9" s="66">
        <f t="shared" si="0"/>
        <v>4455000</v>
      </c>
      <c r="L9" s="66">
        <f t="shared" si="0"/>
        <v>5424000</v>
      </c>
    </row>
    <row r="10" spans="1:12" x14ac:dyDescent="0.2">
      <c r="A10" s="72">
        <v>2900</v>
      </c>
      <c r="B10" s="66">
        <f>$A10*B$5</f>
        <v>1716800</v>
      </c>
      <c r="C10" s="66">
        <f t="shared" si="2"/>
        <v>1966200</v>
      </c>
      <c r="D10" s="66">
        <f t="shared" si="2"/>
        <v>2122800</v>
      </c>
      <c r="E10" s="66">
        <f t="shared" si="2"/>
        <v>2247500</v>
      </c>
      <c r="F10" s="66">
        <f t="shared" si="1"/>
        <v>2746300</v>
      </c>
      <c r="G10" s="66">
        <f t="shared" si="1"/>
        <v>3059500</v>
      </c>
      <c r="H10" s="66">
        <f>$A10*H$5</f>
        <v>3340800</v>
      </c>
      <c r="I10" s="66">
        <f>$A10*I$5</f>
        <v>3590200</v>
      </c>
      <c r="J10" s="66">
        <f t="shared" si="0"/>
        <v>3964300</v>
      </c>
      <c r="K10" s="66">
        <f t="shared" si="0"/>
        <v>4306500</v>
      </c>
      <c r="L10" s="66">
        <f t="shared" si="0"/>
        <v>5243200</v>
      </c>
    </row>
    <row r="11" spans="1:12" x14ac:dyDescent="0.2">
      <c r="A11" s="72">
        <v>2800</v>
      </c>
      <c r="B11" s="66">
        <f>$A11*B$5</f>
        <v>1657600</v>
      </c>
      <c r="C11" s="66">
        <f t="shared" si="2"/>
        <v>1898400</v>
      </c>
      <c r="D11" s="66">
        <f t="shared" si="2"/>
        <v>2049600</v>
      </c>
      <c r="E11" s="66">
        <f t="shared" si="2"/>
        <v>2170000</v>
      </c>
      <c r="F11" s="66">
        <f t="shared" si="1"/>
        <v>2651600</v>
      </c>
      <c r="G11" s="66">
        <f t="shared" si="1"/>
        <v>2954000</v>
      </c>
      <c r="H11" s="66">
        <f>$A11*H$5</f>
        <v>3225600</v>
      </c>
      <c r="I11" s="66">
        <f>$A11*I$5</f>
        <v>3466400</v>
      </c>
      <c r="J11" s="66">
        <f t="shared" si="0"/>
        <v>3827600</v>
      </c>
      <c r="K11" s="66">
        <f t="shared" si="0"/>
        <v>4158000</v>
      </c>
      <c r="L11" s="66">
        <f t="shared" si="0"/>
        <v>5062400</v>
      </c>
    </row>
    <row r="12" spans="1:12" x14ac:dyDescent="0.2">
      <c r="A12" s="72">
        <v>2700</v>
      </c>
      <c r="B12" s="66">
        <f>$A12*B$5</f>
        <v>1598400</v>
      </c>
      <c r="C12" s="66">
        <f t="shared" si="2"/>
        <v>1830600</v>
      </c>
      <c r="D12" s="66">
        <f t="shared" si="2"/>
        <v>1976400</v>
      </c>
      <c r="E12" s="66">
        <f t="shared" si="2"/>
        <v>2092500</v>
      </c>
      <c r="F12" s="66">
        <f t="shared" si="1"/>
        <v>2556900</v>
      </c>
      <c r="G12" s="66">
        <f t="shared" si="1"/>
        <v>2848500</v>
      </c>
      <c r="H12" s="66">
        <f>$A12*H$5</f>
        <v>3110400</v>
      </c>
      <c r="I12" s="73"/>
      <c r="J12" s="73"/>
      <c r="K12" s="73"/>
      <c r="L12" s="73"/>
    </row>
    <row r="13" spans="1:12" x14ac:dyDescent="0.2">
      <c r="A13" s="72">
        <v>2650</v>
      </c>
      <c r="B13" s="66">
        <f>$A13*B$5</f>
        <v>1568800</v>
      </c>
      <c r="C13" s="66">
        <f t="shared" si="2"/>
        <v>1796700</v>
      </c>
      <c r="D13" s="66">
        <f t="shared" si="2"/>
        <v>1939800</v>
      </c>
      <c r="E13" s="66">
        <f t="shared" si="2"/>
        <v>2053750</v>
      </c>
      <c r="F13" s="66">
        <f t="shared" si="1"/>
        <v>2509550</v>
      </c>
      <c r="G13" s="66">
        <f t="shared" si="1"/>
        <v>2795750</v>
      </c>
      <c r="H13" s="66">
        <f>$A13*H$5</f>
        <v>3052800</v>
      </c>
      <c r="I13" s="73"/>
      <c r="J13" s="73"/>
      <c r="K13" s="73"/>
      <c r="L13" s="73"/>
    </row>
    <row r="14" spans="1:12" ht="30" customHeight="1" x14ac:dyDescent="0.2">
      <c r="A14" s="7" t="s">
        <v>1502</v>
      </c>
      <c r="B14" s="75" t="str">
        <f>IF(Assumptions!$C$26="","",TEXT(Assumptions!$C$26/1000000,"$0.000")&amp;"M ("&amp;TEXT(Assumptions!$E$26,"$#,##0")&amp;" PSF)")</f>
        <v>$1.544M ($2,608 PSF)</v>
      </c>
      <c r="C14" s="75" t="str">
        <f>IF(Assumptions!$C$27="","",TEXT(Assumptions!$C$27/1000000,"$0.000")&amp;"M ("&amp;TEXT(Assumptions!$E$27,"$#,##0")&amp;" PSF)")</f>
        <v>$1.772M ($2,613 PSF)</v>
      </c>
      <c r="D14" s="75" t="str">
        <f>IF(Assumptions!$C$28="","",TEXT(Assumptions!$C$28/1000000,"$0.000")&amp;"M ("&amp;TEXT(Assumptions!$E$28,"$#,##0")&amp;" PSF)")</f>
        <v>$1.925M ($2,630 PSF)</v>
      </c>
      <c r="E14" s="75" t="str">
        <f>IF(Assumptions!$C$29="","",TEXT(Assumptions!$C$29/1000000,"$0.000")&amp;"M ("&amp;TEXT(Assumptions!$E$29,"$#,##0")&amp;" PSF)")</f>
        <v/>
      </c>
      <c r="F14" s="75" t="str">
        <f>IF(Assumptions!$C$30="","",TEXT(Assumptions!$C$30/1000000,"$0.000")&amp;"M ("&amp;TEXT(Assumptions!$E$30,"$#,##0")&amp;" PSF)")</f>
        <v>$2.503M ($2,642 PSF)</v>
      </c>
      <c r="G14" s="75" t="str">
        <f>IF(Assumptions!$C$31="","",TEXT(Assumptions!$C$31/1000000,"$0.000")&amp;"M ("&amp;TEXT(Assumptions!$E$31,"$#,##0")&amp;" PSF)")</f>
        <v>$2.777M ($2,633 PSF)</v>
      </c>
      <c r="H14" s="75" t="str">
        <f>IF(Assumptions!$C$32="","",TEXT(Assumptions!$C$32/1000000,"$0.000")&amp;"M ("&amp;TEXT(Assumptions!$E$32,"$#,##0")&amp;" PSF)")</f>
        <v/>
      </c>
      <c r="I14" s="75" t="str">
        <f>IF(Assumptions!$C$33="","",TEXT(Assumptions!$C$33/1000000,"$0.000")&amp;"M ("&amp;TEXT(Assumptions!$E$33,"$#,##0")&amp;" PSF)")</f>
        <v>$3.388M ($2,737 PSF)</v>
      </c>
      <c r="J14" s="75" t="str">
        <f>IF(Assumptions!$C$34="","",TEXT(Assumptions!$C$34/1000000,"$0.000")&amp;"M ("&amp;TEXT(Assumptions!$E$34,"$#,##0")&amp;" PSF)")</f>
        <v/>
      </c>
      <c r="K14" s="75" t="str">
        <f>IF(Assumptions!$C$35="","",TEXT(Assumptions!$C$35/1000000,"$0.000")&amp;"M ("&amp;TEXT(Assumptions!$E$35,"$#,##0")&amp;" PSF)")</f>
        <v/>
      </c>
      <c r="L14" s="75" t="str">
        <f>IF(Assumptions!$C$36="","",TEXT(Assumptions!$C$36/1000000,"$0.000")&amp;"M ("&amp;TEXT(Assumptions!$E$36,"$#,##0")&amp;" PSF)")</f>
        <v/>
      </c>
    </row>
    <row r="16" spans="1:12" x14ac:dyDescent="0.2">
      <c r="A16" s="3" t="s">
        <v>1503</v>
      </c>
    </row>
  </sheetData>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pageSetUpPr fitToPage="1"/>
  </sheetPr>
  <dimension ref="A1:AM182"/>
  <sheetViews>
    <sheetView showGridLines="0" tabSelected="1" zoomScale="90" zoomScaleNormal="90" workbookViewId="0">
      <pane ySplit="3" topLeftCell="A4" activePane="bottomLeft" state="frozen"/>
      <selection pane="bottomLeft"/>
    </sheetView>
  </sheetViews>
  <sheetFormatPr baseColWidth="10" defaultColWidth="8.6640625" defaultRowHeight="15" x14ac:dyDescent="0.2"/>
  <cols>
    <col min="1" max="1" width="9" customWidth="1"/>
    <col min="2" max="2" width="24" customWidth="1"/>
    <col min="3" max="23" width="11.5" customWidth="1"/>
    <col min="24" max="24" width="40" customWidth="1"/>
    <col min="25" max="35" width="11.5" customWidth="1"/>
    <col min="36" max="36" width="70" customWidth="1"/>
    <col min="37" max="40" width="11.5" customWidth="1"/>
  </cols>
  <sheetData>
    <row r="1" spans="1:4" ht="18" x14ac:dyDescent="0.2">
      <c r="A1" s="2" t="s">
        <v>1504</v>
      </c>
    </row>
    <row r="2" spans="1:4" x14ac:dyDescent="0.2">
      <c r="A2" s="3" t="s">
        <v>1505</v>
      </c>
    </row>
    <row r="4" spans="1:4" x14ac:dyDescent="0.2">
      <c r="A4" s="18" t="s">
        <v>1506</v>
      </c>
    </row>
    <row r="5" spans="1:4" ht="23.75" customHeight="1" x14ac:dyDescent="0.2">
      <c r="A5" s="100" t="s">
        <v>1507</v>
      </c>
      <c r="B5" s="100"/>
      <c r="C5" s="76">
        <v>50000</v>
      </c>
      <c r="D5" s="3" t="s">
        <v>1508</v>
      </c>
    </row>
    <row r="6" spans="1:4" ht="23.75" customHeight="1" x14ac:dyDescent="0.2">
      <c r="A6" s="100" t="s">
        <v>1509</v>
      </c>
      <c r="B6" s="100"/>
      <c r="C6" s="77">
        <v>20</v>
      </c>
      <c r="D6" s="3" t="s">
        <v>1510</v>
      </c>
    </row>
    <row r="7" spans="1:4" ht="15" customHeight="1" x14ac:dyDescent="0.2">
      <c r="A7" s="100" t="s">
        <v>1511</v>
      </c>
      <c r="B7" s="100"/>
      <c r="C7" s="78">
        <v>40</v>
      </c>
      <c r="D7" s="3" t="s">
        <v>1512</v>
      </c>
    </row>
    <row r="8" spans="1:4" ht="15" customHeight="1" x14ac:dyDescent="0.2">
      <c r="A8" s="100" t="s">
        <v>1513</v>
      </c>
      <c r="B8" s="100"/>
      <c r="C8" s="79">
        <v>3.15</v>
      </c>
      <c r="D8" s="3" t="s">
        <v>1514</v>
      </c>
    </row>
    <row r="9" spans="1:4" ht="15" customHeight="1" x14ac:dyDescent="0.2">
      <c r="A9" s="100" t="s">
        <v>1515</v>
      </c>
      <c r="B9" s="100"/>
      <c r="C9" s="79">
        <v>1.6</v>
      </c>
      <c r="D9" s="3" t="s">
        <v>1516</v>
      </c>
    </row>
    <row r="10" spans="1:4" ht="23.75" customHeight="1" x14ac:dyDescent="0.2">
      <c r="A10" s="100" t="s">
        <v>1517</v>
      </c>
      <c r="B10" s="100"/>
      <c r="C10" s="79">
        <v>3</v>
      </c>
      <c r="D10" s="3" t="s">
        <v>1518</v>
      </c>
    </row>
    <row r="11" spans="1:4" ht="15" customHeight="1" x14ac:dyDescent="0.2">
      <c r="A11" s="100" t="s">
        <v>1519</v>
      </c>
      <c r="B11" s="100"/>
      <c r="C11" s="79">
        <v>2</v>
      </c>
      <c r="D11" s="3" t="s">
        <v>1520</v>
      </c>
    </row>
    <row r="12" spans="1:4" ht="23.75" customHeight="1" x14ac:dyDescent="0.2">
      <c r="A12" s="100" t="s">
        <v>1521</v>
      </c>
      <c r="B12" s="100"/>
      <c r="C12" s="80">
        <v>14.3</v>
      </c>
      <c r="D12" s="3" t="s">
        <v>1522</v>
      </c>
    </row>
    <row r="13" spans="1:4" ht="23.75" customHeight="1" x14ac:dyDescent="0.2">
      <c r="A13" s="100" t="s">
        <v>1523</v>
      </c>
      <c r="B13" s="100"/>
      <c r="C13" s="80">
        <v>8.5</v>
      </c>
      <c r="D13" s="3" t="s">
        <v>1524</v>
      </c>
    </row>
    <row r="15" spans="1:4" x14ac:dyDescent="0.2">
      <c r="A15" s="18" t="s">
        <v>1525</v>
      </c>
    </row>
    <row r="16" spans="1:4" ht="28" x14ac:dyDescent="0.2">
      <c r="B16" s="7" t="s">
        <v>102</v>
      </c>
      <c r="C16" s="7" t="s">
        <v>1526</v>
      </c>
      <c r="D16" s="7" t="s">
        <v>1527</v>
      </c>
    </row>
    <row r="17" spans="1:10" x14ac:dyDescent="0.2">
      <c r="B17" s="23" t="s">
        <v>1528</v>
      </c>
      <c r="C17" s="78">
        <v>60</v>
      </c>
      <c r="D17" s="81" t="s">
        <v>1529</v>
      </c>
    </row>
    <row r="18" spans="1:10" x14ac:dyDescent="0.2">
      <c r="B18" s="23" t="s">
        <v>1530</v>
      </c>
      <c r="C18" s="78">
        <v>45</v>
      </c>
      <c r="D18" s="81" t="s">
        <v>1531</v>
      </c>
    </row>
    <row r="19" spans="1:10" x14ac:dyDescent="0.2">
      <c r="B19" s="23" t="s">
        <v>1532</v>
      </c>
      <c r="C19" s="78">
        <v>30</v>
      </c>
      <c r="D19" s="81" t="s">
        <v>1533</v>
      </c>
    </row>
    <row r="20" spans="1:10" x14ac:dyDescent="0.2">
      <c r="B20" s="23" t="s">
        <v>1534</v>
      </c>
      <c r="C20" s="78">
        <v>15</v>
      </c>
      <c r="D20" s="81" t="s">
        <v>1535</v>
      </c>
    </row>
    <row r="21" spans="1:10" x14ac:dyDescent="0.2">
      <c r="B21" s="23" t="s">
        <v>1536</v>
      </c>
      <c r="C21" s="78">
        <v>0</v>
      </c>
      <c r="D21" s="81" t="s">
        <v>1537</v>
      </c>
    </row>
    <row r="22" spans="1:10" x14ac:dyDescent="0.2">
      <c r="B22" s="3" t="s">
        <v>1538</v>
      </c>
    </row>
    <row r="24" spans="1:10" x14ac:dyDescent="0.2">
      <c r="A24" s="18" t="s">
        <v>1539</v>
      </c>
    </row>
    <row r="25" spans="1:10" ht="42" customHeight="1" x14ac:dyDescent="0.2">
      <c r="A25" s="7" t="s">
        <v>29</v>
      </c>
      <c r="B25" s="7" t="s">
        <v>30</v>
      </c>
      <c r="C25" s="7" t="s">
        <v>1540</v>
      </c>
      <c r="D25" s="7" t="s">
        <v>1541</v>
      </c>
      <c r="E25" s="7" t="s">
        <v>1542</v>
      </c>
      <c r="F25" s="7" t="s">
        <v>1543</v>
      </c>
      <c r="G25" s="7" t="s">
        <v>1544</v>
      </c>
      <c r="H25" s="7" t="s">
        <v>1545</v>
      </c>
      <c r="I25" s="7" t="s">
        <v>1546</v>
      </c>
      <c r="J25" s="7" t="s">
        <v>1547</v>
      </c>
    </row>
    <row r="26" spans="1:10" ht="78" x14ac:dyDescent="0.2">
      <c r="A26" s="8">
        <v>592</v>
      </c>
      <c r="B26" s="9" t="s">
        <v>41</v>
      </c>
      <c r="C26" s="76">
        <v>1544000</v>
      </c>
      <c r="D26" s="45">
        <f t="shared" ref="D26:D36" si="0">E26</f>
        <v>2608</v>
      </c>
      <c r="E26" s="76">
        <v>2608</v>
      </c>
      <c r="F26" s="76">
        <v>3250</v>
      </c>
      <c r="G26" s="76"/>
      <c r="H26" s="77">
        <v>3000</v>
      </c>
      <c r="I26" s="77"/>
      <c r="J26" s="82" t="s">
        <v>1548</v>
      </c>
    </row>
    <row r="27" spans="1:10" ht="78" x14ac:dyDescent="0.2">
      <c r="A27" s="8">
        <v>678</v>
      </c>
      <c r="B27" s="9" t="s">
        <v>43</v>
      </c>
      <c r="C27" s="76">
        <v>1772000</v>
      </c>
      <c r="D27" s="45">
        <f t="shared" si="0"/>
        <v>2613</v>
      </c>
      <c r="E27" s="76">
        <v>2613</v>
      </c>
      <c r="F27" s="76">
        <v>3250</v>
      </c>
      <c r="G27" s="76">
        <v>3500</v>
      </c>
      <c r="H27" s="77">
        <v>2900</v>
      </c>
      <c r="I27" s="77">
        <v>3100</v>
      </c>
      <c r="J27" s="82" t="s">
        <v>1548</v>
      </c>
    </row>
    <row r="28" spans="1:10" ht="78" x14ac:dyDescent="0.2">
      <c r="A28" s="8">
        <v>732</v>
      </c>
      <c r="B28" s="9" t="s">
        <v>44</v>
      </c>
      <c r="C28" s="76">
        <v>1925000</v>
      </c>
      <c r="D28" s="45">
        <f t="shared" si="0"/>
        <v>2630</v>
      </c>
      <c r="E28" s="76">
        <v>2630</v>
      </c>
      <c r="F28" s="76">
        <v>3250</v>
      </c>
      <c r="G28" s="76">
        <v>3500</v>
      </c>
      <c r="H28" s="77">
        <v>2900</v>
      </c>
      <c r="I28" s="77">
        <v>3100</v>
      </c>
      <c r="J28" s="82" t="s">
        <v>1548</v>
      </c>
    </row>
    <row r="29" spans="1:10" ht="78" x14ac:dyDescent="0.2">
      <c r="A29" s="8">
        <v>775</v>
      </c>
      <c r="B29" s="9" t="s">
        <v>44</v>
      </c>
      <c r="C29" s="76"/>
      <c r="D29" s="45">
        <f t="shared" si="0"/>
        <v>2650</v>
      </c>
      <c r="E29" s="76">
        <v>2650</v>
      </c>
      <c r="F29" s="76">
        <v>3250</v>
      </c>
      <c r="G29" s="76">
        <v>3500</v>
      </c>
      <c r="H29" s="77">
        <v>2900</v>
      </c>
      <c r="I29" s="77">
        <v>3100</v>
      </c>
      <c r="J29" s="82" t="s">
        <v>1549</v>
      </c>
    </row>
    <row r="30" spans="1:10" ht="78" x14ac:dyDescent="0.2">
      <c r="A30" s="8">
        <v>947</v>
      </c>
      <c r="B30" s="9" t="s">
        <v>45</v>
      </c>
      <c r="C30" s="76">
        <v>2503000</v>
      </c>
      <c r="D30" s="45">
        <f t="shared" si="0"/>
        <v>2642</v>
      </c>
      <c r="E30" s="76">
        <v>2642</v>
      </c>
      <c r="F30" s="76">
        <v>3250</v>
      </c>
      <c r="G30" s="76">
        <v>3500</v>
      </c>
      <c r="H30" s="77">
        <v>3000</v>
      </c>
      <c r="I30" s="77">
        <v>3200</v>
      </c>
      <c r="J30" s="82" t="s">
        <v>1548</v>
      </c>
    </row>
    <row r="31" spans="1:10" ht="78" x14ac:dyDescent="0.2">
      <c r="A31" s="8">
        <v>1055</v>
      </c>
      <c r="B31" s="9" t="s">
        <v>46</v>
      </c>
      <c r="C31" s="76">
        <v>2777000</v>
      </c>
      <c r="D31" s="45">
        <f t="shared" si="0"/>
        <v>2633</v>
      </c>
      <c r="E31" s="76">
        <v>2633</v>
      </c>
      <c r="F31" s="76">
        <v>3250</v>
      </c>
      <c r="G31" s="76">
        <v>3500</v>
      </c>
      <c r="H31" s="77">
        <v>3000</v>
      </c>
      <c r="I31" s="77">
        <v>3200</v>
      </c>
      <c r="J31" s="82" t="s">
        <v>1548</v>
      </c>
    </row>
    <row r="32" spans="1:10" ht="78" x14ac:dyDescent="0.2">
      <c r="A32" s="8">
        <v>1152</v>
      </c>
      <c r="B32" s="9" t="s">
        <v>47</v>
      </c>
      <c r="C32" s="76"/>
      <c r="D32" s="45">
        <f t="shared" si="0"/>
        <v>2650</v>
      </c>
      <c r="E32" s="76">
        <v>2650</v>
      </c>
      <c r="F32" s="76">
        <v>3250</v>
      </c>
      <c r="G32" s="76"/>
      <c r="H32" s="77">
        <v>3000</v>
      </c>
      <c r="I32" s="77"/>
      <c r="J32" s="82" t="s">
        <v>1549</v>
      </c>
    </row>
    <row r="33" spans="1:29" ht="78" x14ac:dyDescent="0.2">
      <c r="A33" s="8">
        <v>1238</v>
      </c>
      <c r="B33" s="9" t="s">
        <v>48</v>
      </c>
      <c r="C33" s="76">
        <v>3388000</v>
      </c>
      <c r="D33" s="45">
        <f t="shared" si="0"/>
        <v>2737</v>
      </c>
      <c r="E33" s="76">
        <v>2737</v>
      </c>
      <c r="F33" s="76">
        <v>3250</v>
      </c>
      <c r="G33" s="76">
        <v>3500</v>
      </c>
      <c r="H33" s="77">
        <v>3000</v>
      </c>
      <c r="I33" s="77">
        <v>3200</v>
      </c>
      <c r="J33" s="82" t="s">
        <v>1548</v>
      </c>
    </row>
    <row r="34" spans="1:29" ht="78" x14ac:dyDescent="0.2">
      <c r="A34" s="8">
        <v>1367</v>
      </c>
      <c r="B34" s="9" t="s">
        <v>49</v>
      </c>
      <c r="C34" s="76"/>
      <c r="D34" s="45">
        <f t="shared" si="0"/>
        <v>2800</v>
      </c>
      <c r="E34" s="76">
        <v>2800</v>
      </c>
      <c r="F34" s="76"/>
      <c r="G34" s="76">
        <v>3500</v>
      </c>
      <c r="H34" s="77"/>
      <c r="I34" s="77">
        <v>3300</v>
      </c>
      <c r="J34" s="82" t="s">
        <v>1549</v>
      </c>
    </row>
    <row r="35" spans="1:29" ht="78" x14ac:dyDescent="0.2">
      <c r="A35" s="8">
        <v>1485</v>
      </c>
      <c r="B35" s="9" t="s">
        <v>50</v>
      </c>
      <c r="C35" s="76"/>
      <c r="D35" s="45">
        <f t="shared" si="0"/>
        <v>2800</v>
      </c>
      <c r="E35" s="76">
        <v>2800</v>
      </c>
      <c r="F35" s="76"/>
      <c r="G35" s="76">
        <v>3500</v>
      </c>
      <c r="H35" s="77"/>
      <c r="I35" s="77">
        <v>3300</v>
      </c>
      <c r="J35" s="82" t="s">
        <v>1549</v>
      </c>
    </row>
    <row r="36" spans="1:29" ht="78" x14ac:dyDescent="0.2">
      <c r="A36" s="8">
        <v>1808</v>
      </c>
      <c r="B36" s="9" t="s">
        <v>51</v>
      </c>
      <c r="C36" s="76"/>
      <c r="D36" s="45">
        <f t="shared" si="0"/>
        <v>2800</v>
      </c>
      <c r="E36" s="76">
        <v>2800</v>
      </c>
      <c r="F36" s="76"/>
      <c r="G36" s="76">
        <v>3500</v>
      </c>
      <c r="H36" s="77"/>
      <c r="I36" s="77">
        <v>3300</v>
      </c>
      <c r="J36" s="82" t="s">
        <v>1549</v>
      </c>
    </row>
    <row r="38" spans="1:29" x14ac:dyDescent="0.2">
      <c r="A38" s="18" t="s">
        <v>1550</v>
      </c>
    </row>
    <row r="39" spans="1:29" ht="54" customHeight="1" x14ac:dyDescent="0.2">
      <c r="A39" s="7" t="s">
        <v>29</v>
      </c>
      <c r="B39" s="7" t="s">
        <v>54</v>
      </c>
      <c r="C39" s="7" t="s">
        <v>30</v>
      </c>
      <c r="D39" s="7" t="s">
        <v>1551</v>
      </c>
      <c r="E39" s="7" t="s">
        <v>1552</v>
      </c>
      <c r="F39" s="7" t="s">
        <v>1553</v>
      </c>
      <c r="G39" s="7" t="s">
        <v>1554</v>
      </c>
      <c r="H39" s="7" t="s">
        <v>1555</v>
      </c>
      <c r="I39" s="7" t="s">
        <v>1556</v>
      </c>
      <c r="J39" s="7" t="s">
        <v>1557</v>
      </c>
      <c r="K39" s="7" t="s">
        <v>1558</v>
      </c>
      <c r="L39" s="7" t="s">
        <v>1559</v>
      </c>
      <c r="M39" s="7" t="s">
        <v>1560</v>
      </c>
      <c r="N39" s="7" t="s">
        <v>1561</v>
      </c>
      <c r="O39" s="7" t="s">
        <v>1562</v>
      </c>
      <c r="P39" s="7" t="s">
        <v>1563</v>
      </c>
      <c r="Q39" s="7" t="s">
        <v>1564</v>
      </c>
      <c r="R39" s="7" t="s">
        <v>1565</v>
      </c>
      <c r="S39" s="7" t="s">
        <v>90</v>
      </c>
      <c r="T39" s="7" t="s">
        <v>91</v>
      </c>
      <c r="U39" s="7" t="s">
        <v>92</v>
      </c>
      <c r="V39" s="7" t="s">
        <v>93</v>
      </c>
      <c r="W39" s="7" t="s">
        <v>1566</v>
      </c>
      <c r="X39" s="7" t="s">
        <v>1567</v>
      </c>
      <c r="Y39" s="7" t="s">
        <v>1568</v>
      </c>
      <c r="Z39" s="7" t="s">
        <v>1569</v>
      </c>
      <c r="AA39" s="7" t="s">
        <v>1570</v>
      </c>
      <c r="AB39" s="7" t="s">
        <v>1571</v>
      </c>
      <c r="AC39" s="7" t="s">
        <v>1572</v>
      </c>
    </row>
    <row r="40" spans="1:29" ht="28" x14ac:dyDescent="0.2">
      <c r="A40" s="83">
        <v>592</v>
      </c>
      <c r="B40" s="21" t="s">
        <v>62</v>
      </c>
      <c r="C40" s="19" t="s">
        <v>41</v>
      </c>
      <c r="D40" s="78">
        <v>2</v>
      </c>
      <c r="E40" s="78">
        <v>7</v>
      </c>
      <c r="F40" s="78">
        <v>15</v>
      </c>
      <c r="G40" s="78">
        <v>21</v>
      </c>
      <c r="H40" s="84" t="s">
        <v>1573</v>
      </c>
      <c r="I40" s="84" t="s">
        <v>1574</v>
      </c>
      <c r="J40" s="84" t="s">
        <v>1575</v>
      </c>
      <c r="K40" s="77"/>
      <c r="L40" s="77">
        <v>2850</v>
      </c>
      <c r="M40" s="77">
        <v>3000</v>
      </c>
      <c r="N40" s="85"/>
      <c r="O40" s="86">
        <v>2876.9</v>
      </c>
      <c r="P40" s="86">
        <v>3031.3</v>
      </c>
      <c r="Q40" s="87">
        <f>Assumptions!$D$26-_xlfn.MINIFS($AK$127:$AK$181,$D$127:$D$181,A40,$E$127:$E$181,B40)/A40</f>
        <v>2692.4594594594596</v>
      </c>
      <c r="R40" s="15">
        <f>Assumptions!$F$26</f>
        <v>3250</v>
      </c>
      <c r="S40" s="46">
        <f>AVERAGEIFS('All Units'!$Q$5:$Q$1272,'All Units'!$G$5:$G$1272,A40,'All Units'!$H$5:$H$1272,B40,'All Units'!$J$5:$J$1272,"Low")</f>
        <v>2722.2666666666669</v>
      </c>
      <c r="T40" s="46">
        <f>AVERAGEIFS('All Units'!$Q$5:$Q$1272,'All Units'!$G$5:$G$1272,A40,'All Units'!$H$5:$H$1272,B40,'All Units'!$J$5:$J$1272,"Mid")</f>
        <v>2850.05</v>
      </c>
      <c r="U40" s="46">
        <f>AVERAGEIFS('All Units'!$Q$5:$Q$1272,'All Units'!$G$5:$G$1272,A40,'All Units'!$H$5:$H$1272,B40,'All Units'!$J$5:$J$1272,"High")</f>
        <v>3000</v>
      </c>
      <c r="V40" s="14" t="str">
        <f t="shared" ref="V40:V56" si="1">IF(K40="","n/a",TEXT(ROUND(S40-K40,0),"+$0;-$0;0"))&amp;" / "&amp;TEXT(ROUND(T40-L40,0),"+$0;-$0;0")&amp;" / "&amp;TEXT(ROUND(U40-M40,0),"+$0;-$0;0")</f>
        <v>n/a / 0 / 0</v>
      </c>
      <c r="W40" s="88">
        <v>0</v>
      </c>
      <c r="X40" s="86">
        <v>0</v>
      </c>
      <c r="Y40" s="89">
        <f t="shared" ref="Y40:Y56" si="2">(D40+E40)/2</f>
        <v>4.5</v>
      </c>
      <c r="Z40" s="89">
        <f t="shared" ref="Z40:Z56" si="3">(E40+1+F40)/2</f>
        <v>11.5</v>
      </c>
      <c r="AA40" s="89">
        <f t="shared" ref="AA40:AA56" si="4">(F40+1+G40)/2</f>
        <v>18.5</v>
      </c>
      <c r="AB40" s="89">
        <f t="shared" ref="AB40:AB56" si="5">IF(Q40&lt;&gt;"",D40,Y40)</f>
        <v>2</v>
      </c>
      <c r="AC40" s="87">
        <f t="shared" ref="AC40:AC56" si="6">IF(Q40&lt;&gt;"",Q40,N40)</f>
        <v>2692.4594594594596</v>
      </c>
    </row>
    <row r="41" spans="1:29" ht="28" x14ac:dyDescent="0.2">
      <c r="A41" s="83">
        <v>678</v>
      </c>
      <c r="B41" s="21" t="s">
        <v>62</v>
      </c>
      <c r="C41" s="19" t="s">
        <v>43</v>
      </c>
      <c r="D41" s="78">
        <v>2</v>
      </c>
      <c r="E41" s="78">
        <v>7</v>
      </c>
      <c r="F41" s="78">
        <v>15</v>
      </c>
      <c r="G41" s="78">
        <v>21</v>
      </c>
      <c r="H41" s="84" t="s">
        <v>1573</v>
      </c>
      <c r="I41" s="84" t="s">
        <v>1574</v>
      </c>
      <c r="J41" s="84" t="s">
        <v>1575</v>
      </c>
      <c r="K41" s="77"/>
      <c r="L41" s="77">
        <v>2850</v>
      </c>
      <c r="M41" s="77">
        <v>3000</v>
      </c>
      <c r="N41" s="85"/>
      <c r="O41" s="86">
        <v>2834.4</v>
      </c>
      <c r="P41" s="86">
        <v>2993.9</v>
      </c>
      <c r="Q41" s="87">
        <f>Assumptions!$D$27-_xlfn.MINIFS($AK$127:$AK$181,$D$127:$D$181,A41,$E$127:$E$181,B41)/A41</f>
        <v>2686.7463126843659</v>
      </c>
      <c r="R41" s="15">
        <f>Assumptions!$F$27</f>
        <v>3250</v>
      </c>
      <c r="S41" s="46">
        <f>AVERAGEIFS('All Units'!$Q$5:$Q$1272,'All Units'!$G$5:$G$1272,A41,'All Units'!$H$5:$H$1272,B41,'All Units'!$J$5:$J$1272,"Low")</f>
        <v>2716.2638888888887</v>
      </c>
      <c r="T41" s="46">
        <f>AVERAGEIFS('All Units'!$Q$5:$Q$1272,'All Units'!$G$5:$G$1272,A41,'All Units'!$H$5:$H$1272,B41,'All Units'!$J$5:$J$1272,"Mid")</f>
        <v>2849.9895833333335</v>
      </c>
      <c r="U41" s="46">
        <f>AVERAGEIFS('All Units'!$Q$5:$Q$1272,'All Units'!$G$5:$G$1272,A41,'All Units'!$H$5:$H$1272,B41,'All Units'!$J$5:$J$1272,"High")</f>
        <v>3000.0555555555557</v>
      </c>
      <c r="V41" s="14" t="str">
        <f t="shared" si="1"/>
        <v>n/a / 0 / 0</v>
      </c>
      <c r="W41" s="88">
        <v>0</v>
      </c>
      <c r="X41" s="86">
        <v>0</v>
      </c>
      <c r="Y41" s="89">
        <f t="shared" si="2"/>
        <v>4.5</v>
      </c>
      <c r="Z41" s="89">
        <f t="shared" si="3"/>
        <v>11.5</v>
      </c>
      <c r="AA41" s="89">
        <f t="shared" si="4"/>
        <v>18.5</v>
      </c>
      <c r="AB41" s="89">
        <f t="shared" si="5"/>
        <v>2</v>
      </c>
      <c r="AC41" s="87">
        <f t="shared" si="6"/>
        <v>2686.7463126843659</v>
      </c>
    </row>
    <row r="42" spans="1:29" ht="42" x14ac:dyDescent="0.2">
      <c r="A42" s="90">
        <v>678</v>
      </c>
      <c r="B42" s="29" t="s">
        <v>65</v>
      </c>
      <c r="C42" s="27" t="s">
        <v>43</v>
      </c>
      <c r="D42" s="78">
        <v>1</v>
      </c>
      <c r="E42" s="78">
        <v>14</v>
      </c>
      <c r="F42" s="78">
        <v>21</v>
      </c>
      <c r="G42" s="78">
        <v>30</v>
      </c>
      <c r="H42" s="84" t="s">
        <v>1574</v>
      </c>
      <c r="I42" s="84" t="s">
        <v>1575</v>
      </c>
      <c r="J42" s="84" t="s">
        <v>1576</v>
      </c>
      <c r="K42" s="77">
        <v>2850</v>
      </c>
      <c r="L42" s="77">
        <v>3000</v>
      </c>
      <c r="M42" s="77">
        <v>3100</v>
      </c>
      <c r="N42" s="86">
        <v>2836.2</v>
      </c>
      <c r="O42" s="86">
        <v>2971.7</v>
      </c>
      <c r="P42" s="86">
        <v>3073.9</v>
      </c>
      <c r="Q42" s="87"/>
      <c r="R42" s="15">
        <f>Assumptions!$G$27</f>
        <v>3500</v>
      </c>
      <c r="S42" s="46">
        <f>AVERAGEIFS('All Units'!$Q$5:$Q$1272,'All Units'!$G$5:$G$1272,A42,'All Units'!$H$5:$H$1272,B42,'All Units'!$J$5:$J$1272,"Low")</f>
        <v>2976.0374999999999</v>
      </c>
      <c r="T42" s="46">
        <f>AVERAGEIFS('All Units'!$Q$5:$Q$1272,'All Units'!$G$5:$G$1272,A42,'All Units'!$H$5:$H$1272,B42,'All Units'!$J$5:$J$1272,"Mid")</f>
        <v>3190.2857142857142</v>
      </c>
      <c r="U42" s="46">
        <f>AVERAGEIFS('All Units'!$Q$5:$Q$1272,'All Units'!$G$5:$G$1272,A42,'All Units'!$H$5:$H$1272,B42,'All Units'!$J$5:$J$1272,"High")</f>
        <v>3309.2407407407409</v>
      </c>
      <c r="V42" s="14" t="str">
        <f t="shared" si="1"/>
        <v>+$126 / +$190 / +$209</v>
      </c>
      <c r="W42" s="88">
        <v>76.930000000000007</v>
      </c>
      <c r="X42" s="86">
        <v>6.3</v>
      </c>
      <c r="Y42" s="89">
        <f t="shared" si="2"/>
        <v>7.5</v>
      </c>
      <c r="Z42" s="89">
        <f t="shared" si="3"/>
        <v>18</v>
      </c>
      <c r="AA42" s="89">
        <f t="shared" si="4"/>
        <v>26</v>
      </c>
      <c r="AB42" s="89">
        <f t="shared" si="5"/>
        <v>7.5</v>
      </c>
      <c r="AC42" s="87">
        <f t="shared" si="6"/>
        <v>2836.2</v>
      </c>
    </row>
    <row r="43" spans="1:29" ht="28" x14ac:dyDescent="0.2">
      <c r="A43" s="83">
        <v>732</v>
      </c>
      <c r="B43" s="21" t="s">
        <v>62</v>
      </c>
      <c r="C43" s="19" t="s">
        <v>44</v>
      </c>
      <c r="D43" s="78">
        <v>2</v>
      </c>
      <c r="E43" s="78">
        <v>7</v>
      </c>
      <c r="F43" s="78">
        <v>15</v>
      </c>
      <c r="G43" s="78">
        <v>21</v>
      </c>
      <c r="H43" s="84" t="s">
        <v>1573</v>
      </c>
      <c r="I43" s="84" t="s">
        <v>1574</v>
      </c>
      <c r="J43" s="84" t="s">
        <v>1575</v>
      </c>
      <c r="K43" s="77"/>
      <c r="L43" s="77">
        <v>2850</v>
      </c>
      <c r="M43" s="77">
        <v>3000</v>
      </c>
      <c r="N43" s="85"/>
      <c r="O43" s="86">
        <v>2861.2</v>
      </c>
      <c r="P43" s="86">
        <v>3022.7</v>
      </c>
      <c r="Q43" s="87">
        <f>Assumptions!$D$28-_xlfn.MINIFS($AK$127:$AK$181,$D$127:$D$181,A43,$E$127:$E$181,B43)/A43</f>
        <v>2698.3060109289618</v>
      </c>
      <c r="R43" s="15">
        <f>Assumptions!$F$28</f>
        <v>3250</v>
      </c>
      <c r="S43" s="46">
        <f>AVERAGEIFS('All Units'!$Q$5:$Q$1272,'All Units'!$G$5:$G$1272,A43,'All Units'!$H$5:$H$1272,B43,'All Units'!$J$5:$J$1272,"Low")</f>
        <v>2729</v>
      </c>
      <c r="T43" s="46">
        <f>AVERAGEIFS('All Units'!$Q$5:$Q$1272,'All Units'!$G$5:$G$1272,A43,'All Units'!$H$5:$H$1272,B43,'All Units'!$J$5:$J$1272,"Mid")</f>
        <v>2852.1666666666665</v>
      </c>
      <c r="U43" s="46">
        <f>AVERAGEIFS('All Units'!$Q$5:$Q$1272,'All Units'!$G$5:$G$1272,A43,'All Units'!$H$5:$H$1272,B43,'All Units'!$J$5:$J$1272,"High")</f>
        <v>3000</v>
      </c>
      <c r="V43" s="14" t="str">
        <f t="shared" si="1"/>
        <v>n/a / +$2 / 0</v>
      </c>
      <c r="W43" s="88">
        <v>0</v>
      </c>
      <c r="X43" s="86">
        <v>0</v>
      </c>
      <c r="Y43" s="89">
        <f t="shared" si="2"/>
        <v>4.5</v>
      </c>
      <c r="Z43" s="89">
        <f t="shared" si="3"/>
        <v>11.5</v>
      </c>
      <c r="AA43" s="89">
        <f t="shared" si="4"/>
        <v>18.5</v>
      </c>
      <c r="AB43" s="89">
        <f t="shared" si="5"/>
        <v>2</v>
      </c>
      <c r="AC43" s="87">
        <f t="shared" si="6"/>
        <v>2698.3060109289618</v>
      </c>
    </row>
    <row r="44" spans="1:29" ht="42" x14ac:dyDescent="0.2">
      <c r="A44" s="90">
        <v>732</v>
      </c>
      <c r="B44" s="29" t="s">
        <v>65</v>
      </c>
      <c r="C44" s="27" t="s">
        <v>44</v>
      </c>
      <c r="D44" s="78">
        <v>1</v>
      </c>
      <c r="E44" s="78">
        <v>11</v>
      </c>
      <c r="F44" s="78">
        <v>20</v>
      </c>
      <c r="G44" s="78">
        <v>30</v>
      </c>
      <c r="H44" s="84" t="s">
        <v>1574</v>
      </c>
      <c r="I44" s="84" t="s">
        <v>1575</v>
      </c>
      <c r="J44" s="84" t="s">
        <v>1576</v>
      </c>
      <c r="K44" s="77">
        <v>2850</v>
      </c>
      <c r="L44" s="77">
        <v>3000</v>
      </c>
      <c r="M44" s="77">
        <v>3100</v>
      </c>
      <c r="N44" s="86">
        <v>2852.5</v>
      </c>
      <c r="O44" s="86">
        <v>3012.4</v>
      </c>
      <c r="P44" s="86">
        <v>3100</v>
      </c>
      <c r="Q44" s="87"/>
      <c r="R44" s="15">
        <f>Assumptions!$G$28</f>
        <v>3500</v>
      </c>
      <c r="S44" s="46">
        <f>AVERAGEIFS('All Units'!$Q$5:$Q$1272,'All Units'!$G$5:$G$1272,A44,'All Units'!$H$5:$H$1272,B44,'All Units'!$J$5:$J$1272,"Low")</f>
        <v>2888.2727272727275</v>
      </c>
      <c r="T44" s="46">
        <f>AVERAGEIFS('All Units'!$Q$5:$Q$1272,'All Units'!$G$5:$G$1272,A44,'All Units'!$H$5:$H$1272,B44,'All Units'!$J$5:$J$1272,"Mid")</f>
        <v>3131.8888888888887</v>
      </c>
      <c r="U44" s="46">
        <f>AVERAGEIFS('All Units'!$Q$5:$Q$1272,'All Units'!$G$5:$G$1272,A44,'All Units'!$H$5:$H$1272,B44,'All Units'!$J$5:$J$1272,"High")</f>
        <v>3279.5</v>
      </c>
      <c r="V44" s="14" t="str">
        <f t="shared" si="1"/>
        <v>+$38 / +$132 / +$180</v>
      </c>
      <c r="W44" s="88">
        <v>-20.03</v>
      </c>
      <c r="X44" s="86">
        <v>9.5</v>
      </c>
      <c r="Y44" s="89">
        <f t="shared" si="2"/>
        <v>6</v>
      </c>
      <c r="Z44" s="89">
        <f t="shared" si="3"/>
        <v>16</v>
      </c>
      <c r="AA44" s="89">
        <f t="shared" si="4"/>
        <v>25.5</v>
      </c>
      <c r="AB44" s="89">
        <f t="shared" si="5"/>
        <v>6</v>
      </c>
      <c r="AC44" s="87">
        <f t="shared" si="6"/>
        <v>2852.5</v>
      </c>
    </row>
    <row r="45" spans="1:29" ht="28" x14ac:dyDescent="0.2">
      <c r="A45" s="83">
        <v>775</v>
      </c>
      <c r="B45" s="21" t="s">
        <v>62</v>
      </c>
      <c r="C45" s="19" t="s">
        <v>44</v>
      </c>
      <c r="D45" s="78">
        <v>2</v>
      </c>
      <c r="E45" s="78">
        <v>7</v>
      </c>
      <c r="F45" s="78">
        <v>15</v>
      </c>
      <c r="G45" s="78">
        <v>21</v>
      </c>
      <c r="H45" s="84" t="s">
        <v>1573</v>
      </c>
      <c r="I45" s="84" t="s">
        <v>1574</v>
      </c>
      <c r="J45" s="84" t="s">
        <v>1575</v>
      </c>
      <c r="K45" s="77"/>
      <c r="L45" s="77">
        <v>2850</v>
      </c>
      <c r="M45" s="77">
        <v>3000</v>
      </c>
      <c r="N45" s="85"/>
      <c r="O45" s="86">
        <v>2849.8</v>
      </c>
      <c r="P45" s="86">
        <v>3000</v>
      </c>
      <c r="Q45" s="87">
        <f>Assumptions!$D$29-_xlfn.MINIFS($AK$127:$AK$181,$D$127:$D$181,A45,$E$127:$E$181,B45)/A45</f>
        <v>2650</v>
      </c>
      <c r="R45" s="15">
        <f>Assumptions!$F$29</f>
        <v>3250</v>
      </c>
      <c r="S45" s="46">
        <f>AVERAGEIFS('All Units'!$Q$5:$Q$1272,'All Units'!$G$5:$G$1272,A45,'All Units'!$H$5:$H$1272,B45,'All Units'!$J$5:$J$1272,"Low")</f>
        <v>2702.5</v>
      </c>
      <c r="T45" s="46">
        <f>AVERAGEIFS('All Units'!$Q$5:$Q$1272,'All Units'!$G$5:$G$1272,A45,'All Units'!$H$5:$H$1272,B45,'All Units'!$J$5:$J$1272,"Mid")</f>
        <v>2850.125</v>
      </c>
      <c r="U45" s="46">
        <f>AVERAGEIFS('All Units'!$Q$5:$Q$1272,'All Units'!$G$5:$G$1272,A45,'All Units'!$H$5:$H$1272,B45,'All Units'!$J$5:$J$1272,"High")</f>
        <v>3000</v>
      </c>
      <c r="V45" s="14" t="str">
        <f t="shared" si="1"/>
        <v>n/a / 0 / 0</v>
      </c>
      <c r="W45" s="88">
        <v>0</v>
      </c>
      <c r="X45" s="86">
        <v>0</v>
      </c>
      <c r="Y45" s="89">
        <f t="shared" si="2"/>
        <v>4.5</v>
      </c>
      <c r="Z45" s="89">
        <f t="shared" si="3"/>
        <v>11.5</v>
      </c>
      <c r="AA45" s="89">
        <f t="shared" si="4"/>
        <v>18.5</v>
      </c>
      <c r="AB45" s="89">
        <f t="shared" si="5"/>
        <v>2</v>
      </c>
      <c r="AC45" s="87">
        <f t="shared" si="6"/>
        <v>2650</v>
      </c>
    </row>
    <row r="46" spans="1:29" ht="28" x14ac:dyDescent="0.2">
      <c r="A46" s="90">
        <v>775</v>
      </c>
      <c r="B46" s="29" t="s">
        <v>65</v>
      </c>
      <c r="C46" s="27" t="s">
        <v>44</v>
      </c>
      <c r="D46" s="78">
        <v>1</v>
      </c>
      <c r="E46" s="78">
        <v>11</v>
      </c>
      <c r="F46" s="78">
        <v>20</v>
      </c>
      <c r="G46" s="78">
        <v>30</v>
      </c>
      <c r="H46" s="84" t="s">
        <v>1574</v>
      </c>
      <c r="I46" s="84" t="s">
        <v>1575</v>
      </c>
      <c r="J46" s="84" t="s">
        <v>1576</v>
      </c>
      <c r="K46" s="77">
        <v>2850</v>
      </c>
      <c r="L46" s="77">
        <v>3000</v>
      </c>
      <c r="M46" s="77">
        <v>3100</v>
      </c>
      <c r="N46" s="86">
        <v>2838.5</v>
      </c>
      <c r="O46" s="86">
        <v>3000.4</v>
      </c>
      <c r="P46" s="86">
        <v>3100.1</v>
      </c>
      <c r="Q46" s="87"/>
      <c r="R46" s="15">
        <f>Assumptions!$G$29</f>
        <v>3500</v>
      </c>
      <c r="S46" s="46">
        <f>AVERAGEIFS('All Units'!$Q$5:$Q$1272,'All Units'!$G$5:$G$1272,A46,'All Units'!$H$5:$H$1272,B46,'All Units'!$J$5:$J$1272,"Low")</f>
        <v>2851.909090909091</v>
      </c>
      <c r="T46" s="46">
        <f>AVERAGEIFS('All Units'!$Q$5:$Q$1272,'All Units'!$G$5:$G$1272,A46,'All Units'!$H$5:$H$1272,B46,'All Units'!$J$5:$J$1272,"Mid")</f>
        <v>3050</v>
      </c>
      <c r="U46" s="46">
        <f>AVERAGEIFS('All Units'!$Q$5:$Q$1272,'All Units'!$G$5:$G$1272,A46,'All Units'!$H$5:$H$1272,B46,'All Units'!$J$5:$J$1272,"High")</f>
        <v>3186.05</v>
      </c>
      <c r="V46" s="14" t="str">
        <f t="shared" si="1"/>
        <v>+$2 / +$50 / +$86</v>
      </c>
      <c r="W46" s="88">
        <v>-65.05</v>
      </c>
      <c r="X46" s="86">
        <v>7.2</v>
      </c>
      <c r="Y46" s="89">
        <f t="shared" si="2"/>
        <v>6</v>
      </c>
      <c r="Z46" s="89">
        <f t="shared" si="3"/>
        <v>16</v>
      </c>
      <c r="AA46" s="89">
        <f t="shared" si="4"/>
        <v>25.5</v>
      </c>
      <c r="AB46" s="89">
        <f t="shared" si="5"/>
        <v>6</v>
      </c>
      <c r="AC46" s="87">
        <f t="shared" si="6"/>
        <v>2838.5</v>
      </c>
    </row>
    <row r="47" spans="1:29" ht="28" x14ac:dyDescent="0.2">
      <c r="A47" s="83">
        <v>947</v>
      </c>
      <c r="B47" s="21" t="s">
        <v>62</v>
      </c>
      <c r="C47" s="19" t="s">
        <v>45</v>
      </c>
      <c r="D47" s="78">
        <v>2</v>
      </c>
      <c r="E47" s="78">
        <v>8</v>
      </c>
      <c r="F47" s="78">
        <v>15</v>
      </c>
      <c r="G47" s="78">
        <v>21</v>
      </c>
      <c r="H47" s="84" t="s">
        <v>1573</v>
      </c>
      <c r="I47" s="84" t="s">
        <v>1574</v>
      </c>
      <c r="J47" s="84" t="s">
        <v>1575</v>
      </c>
      <c r="K47" s="77"/>
      <c r="L47" s="77">
        <v>2850</v>
      </c>
      <c r="M47" s="77">
        <v>3000</v>
      </c>
      <c r="N47" s="85"/>
      <c r="O47" s="86">
        <v>2845.3</v>
      </c>
      <c r="P47" s="86">
        <v>3004.3</v>
      </c>
      <c r="Q47" s="87">
        <f>Assumptions!$D$30-_xlfn.MINIFS($AK$127:$AK$181,$D$127:$D$181,A47,$E$127:$E$181,B47)/A47</f>
        <v>2694.7983104540654</v>
      </c>
      <c r="R47" s="15">
        <f>Assumptions!$F$30</f>
        <v>3250</v>
      </c>
      <c r="S47" s="46">
        <f>AVERAGEIFS('All Units'!$Q$5:$Q$1272,'All Units'!$G$5:$G$1272,A47,'All Units'!$H$5:$H$1272,B47,'All Units'!$J$5:$J$1272,"Low")</f>
        <v>2733.8095238095239</v>
      </c>
      <c r="T47" s="46">
        <f>AVERAGEIFS('All Units'!$Q$5:$Q$1272,'All Units'!$G$5:$G$1272,A47,'All Units'!$H$5:$H$1272,B47,'All Units'!$J$5:$J$1272,"Mid")</f>
        <v>2850</v>
      </c>
      <c r="U47" s="46">
        <f>AVERAGEIFS('All Units'!$Q$5:$Q$1272,'All Units'!$G$5:$G$1272,A47,'All Units'!$H$5:$H$1272,B47,'All Units'!$J$5:$J$1272,"High")</f>
        <v>2999.8333333333335</v>
      </c>
      <c r="V47" s="14" t="str">
        <f t="shared" si="1"/>
        <v>n/a / 0 / 0</v>
      </c>
      <c r="W47" s="88">
        <v>0</v>
      </c>
      <c r="X47" s="86">
        <v>0</v>
      </c>
      <c r="Y47" s="89">
        <f t="shared" si="2"/>
        <v>5</v>
      </c>
      <c r="Z47" s="89">
        <f t="shared" si="3"/>
        <v>12</v>
      </c>
      <c r="AA47" s="89">
        <f t="shared" si="4"/>
        <v>18.5</v>
      </c>
      <c r="AB47" s="89">
        <f t="shared" si="5"/>
        <v>2</v>
      </c>
      <c r="AC47" s="87">
        <f t="shared" si="6"/>
        <v>2694.7983104540654</v>
      </c>
    </row>
    <row r="48" spans="1:29" ht="28" x14ac:dyDescent="0.2">
      <c r="A48" s="90">
        <v>947</v>
      </c>
      <c r="B48" s="29" t="s">
        <v>65</v>
      </c>
      <c r="C48" s="27" t="s">
        <v>45</v>
      </c>
      <c r="D48" s="78">
        <v>1</v>
      </c>
      <c r="E48" s="78">
        <v>11</v>
      </c>
      <c r="F48" s="78">
        <v>20</v>
      </c>
      <c r="G48" s="78">
        <v>30</v>
      </c>
      <c r="H48" s="84" t="s">
        <v>1574</v>
      </c>
      <c r="I48" s="84" t="s">
        <v>1575</v>
      </c>
      <c r="J48" s="84" t="s">
        <v>1577</v>
      </c>
      <c r="K48" s="77">
        <v>2850</v>
      </c>
      <c r="L48" s="77">
        <v>3000</v>
      </c>
      <c r="M48" s="77">
        <v>3150</v>
      </c>
      <c r="N48" s="86">
        <v>2844</v>
      </c>
      <c r="O48" s="86">
        <v>2999.8</v>
      </c>
      <c r="P48" s="86">
        <v>3150</v>
      </c>
      <c r="Q48" s="87"/>
      <c r="R48" s="15">
        <f>Assumptions!$G$30</f>
        <v>3500</v>
      </c>
      <c r="S48" s="46">
        <f>AVERAGEIFS('All Units'!$Q$5:$Q$1272,'All Units'!$G$5:$G$1272,A48,'All Units'!$H$5:$H$1272,B48,'All Units'!$J$5:$J$1272,"Low")</f>
        <v>2887.1363636363635</v>
      </c>
      <c r="T48" s="46">
        <f>AVERAGEIFS('All Units'!$Q$5:$Q$1272,'All Units'!$G$5:$G$1272,A48,'All Units'!$H$5:$H$1272,B48,'All Units'!$J$5:$J$1272,"Mid")</f>
        <v>3052.3333333333335</v>
      </c>
      <c r="U48" s="46">
        <f>AVERAGEIFS('All Units'!$Q$5:$Q$1272,'All Units'!$G$5:$G$1272,A48,'All Units'!$H$5:$H$1272,B48,'All Units'!$J$5:$J$1272,"High")</f>
        <v>3209.7</v>
      </c>
      <c r="V48" s="14" t="str">
        <f t="shared" si="1"/>
        <v>+$37 / +$52 / +$60</v>
      </c>
      <c r="W48" s="88">
        <v>28.15</v>
      </c>
      <c r="X48" s="86">
        <v>1.5</v>
      </c>
      <c r="Y48" s="89">
        <f t="shared" si="2"/>
        <v>6</v>
      </c>
      <c r="Z48" s="89">
        <f t="shared" si="3"/>
        <v>16</v>
      </c>
      <c r="AA48" s="89">
        <f t="shared" si="4"/>
        <v>25.5</v>
      </c>
      <c r="AB48" s="89">
        <f t="shared" si="5"/>
        <v>6</v>
      </c>
      <c r="AC48" s="87">
        <f t="shared" si="6"/>
        <v>2844</v>
      </c>
    </row>
    <row r="49" spans="1:29" ht="28" x14ac:dyDescent="0.2">
      <c r="A49" s="83">
        <v>1055</v>
      </c>
      <c r="B49" s="21" t="s">
        <v>62</v>
      </c>
      <c r="C49" s="19" t="s">
        <v>46</v>
      </c>
      <c r="D49" s="78">
        <v>2</v>
      </c>
      <c r="E49" s="78">
        <v>8</v>
      </c>
      <c r="F49" s="78">
        <v>16</v>
      </c>
      <c r="G49" s="78">
        <v>21</v>
      </c>
      <c r="H49" s="84" t="s">
        <v>1573</v>
      </c>
      <c r="I49" s="84" t="s">
        <v>1574</v>
      </c>
      <c r="J49" s="84" t="s">
        <v>1575</v>
      </c>
      <c r="K49" s="77"/>
      <c r="L49" s="77">
        <v>2850</v>
      </c>
      <c r="M49" s="77">
        <v>3000</v>
      </c>
      <c r="N49" s="85"/>
      <c r="O49" s="86">
        <v>2818.8</v>
      </c>
      <c r="P49" s="86">
        <v>2989.6</v>
      </c>
      <c r="Q49" s="87">
        <f>Assumptions!$D$31-_xlfn.MINIFS($AK$127:$AK$181,$D$127:$D$181,A49,$E$127:$E$181,B49)/A49</f>
        <v>2680.3933649289102</v>
      </c>
      <c r="R49" s="15">
        <f>Assumptions!$F$31</f>
        <v>3250</v>
      </c>
      <c r="S49" s="46">
        <f>AVERAGEIFS('All Units'!$Q$5:$Q$1272,'All Units'!$G$5:$G$1272,A49,'All Units'!$H$5:$H$1272,B49,'All Units'!$J$5:$J$1272,"Low")</f>
        <v>2718.1020408163267</v>
      </c>
      <c r="T49" s="46">
        <f>AVERAGEIFS('All Units'!$Q$5:$Q$1272,'All Units'!$G$5:$G$1272,A49,'All Units'!$H$5:$H$1272,B49,'All Units'!$J$5:$J$1272,"Mid")</f>
        <v>2849.9285714285716</v>
      </c>
      <c r="U49" s="46">
        <f>AVERAGEIFS('All Units'!$Q$5:$Q$1272,'All Units'!$G$5:$G$1272,A49,'All Units'!$H$5:$H$1272,B49,'All Units'!$J$5:$J$1272,"High")</f>
        <v>3000</v>
      </c>
      <c r="V49" s="14" t="str">
        <f t="shared" si="1"/>
        <v>n/a / 0 / 0</v>
      </c>
      <c r="W49" s="88">
        <v>0</v>
      </c>
      <c r="X49" s="86">
        <v>0</v>
      </c>
      <c r="Y49" s="89">
        <f t="shared" si="2"/>
        <v>5</v>
      </c>
      <c r="Z49" s="89">
        <f t="shared" si="3"/>
        <v>12.5</v>
      </c>
      <c r="AA49" s="89">
        <f t="shared" si="4"/>
        <v>19</v>
      </c>
      <c r="AB49" s="89">
        <f t="shared" si="5"/>
        <v>2</v>
      </c>
      <c r="AC49" s="87">
        <f t="shared" si="6"/>
        <v>2680.3933649289102</v>
      </c>
    </row>
    <row r="50" spans="1:29" ht="28" x14ac:dyDescent="0.2">
      <c r="A50" s="90">
        <v>1055</v>
      </c>
      <c r="B50" s="29" t="s">
        <v>65</v>
      </c>
      <c r="C50" s="27" t="s">
        <v>46</v>
      </c>
      <c r="D50" s="78">
        <v>1</v>
      </c>
      <c r="E50" s="78">
        <v>11</v>
      </c>
      <c r="F50" s="78">
        <v>20</v>
      </c>
      <c r="G50" s="78">
        <v>30</v>
      </c>
      <c r="H50" s="84" t="s">
        <v>1574</v>
      </c>
      <c r="I50" s="84" t="s">
        <v>1575</v>
      </c>
      <c r="J50" s="84" t="s">
        <v>1577</v>
      </c>
      <c r="K50" s="77">
        <v>2850</v>
      </c>
      <c r="L50" s="77">
        <v>3000</v>
      </c>
      <c r="M50" s="77">
        <v>3150</v>
      </c>
      <c r="N50" s="86">
        <v>2850</v>
      </c>
      <c r="O50" s="86">
        <v>2998.8</v>
      </c>
      <c r="P50" s="86">
        <v>3150</v>
      </c>
      <c r="Q50" s="87"/>
      <c r="R50" s="15">
        <f>Assumptions!$G$31</f>
        <v>3500</v>
      </c>
      <c r="S50" s="46">
        <f>AVERAGEIFS('All Units'!$Q$5:$Q$1272,'All Units'!$G$5:$G$1272,A50,'All Units'!$H$5:$H$1272,B50,'All Units'!$J$5:$J$1272,"Low")</f>
        <v>2850</v>
      </c>
      <c r="T50" s="46">
        <f>AVERAGEIFS('All Units'!$Q$5:$Q$1272,'All Units'!$G$5:$G$1272,A50,'All Units'!$H$5:$H$1272,B50,'All Units'!$J$5:$J$1272,"Mid")</f>
        <v>3012.8888888888887</v>
      </c>
      <c r="U50" s="46">
        <f>AVERAGEIFS('All Units'!$Q$5:$Q$1272,'All Units'!$G$5:$G$1272,A50,'All Units'!$H$5:$H$1272,B50,'All Units'!$J$5:$J$1272,"High")</f>
        <v>3182.1</v>
      </c>
      <c r="V50" s="14" t="str">
        <f t="shared" si="1"/>
        <v>0 / +$13 / +$32</v>
      </c>
      <c r="W50" s="88">
        <v>-49.77</v>
      </c>
      <c r="X50" s="86">
        <v>3.9</v>
      </c>
      <c r="Y50" s="89">
        <f t="shared" si="2"/>
        <v>6</v>
      </c>
      <c r="Z50" s="89">
        <f t="shared" si="3"/>
        <v>16</v>
      </c>
      <c r="AA50" s="89">
        <f t="shared" si="4"/>
        <v>25.5</v>
      </c>
      <c r="AB50" s="89">
        <f t="shared" si="5"/>
        <v>6</v>
      </c>
      <c r="AC50" s="87">
        <f t="shared" si="6"/>
        <v>2850</v>
      </c>
    </row>
    <row r="51" spans="1:29" ht="28" x14ac:dyDescent="0.2">
      <c r="A51" s="83">
        <v>1152</v>
      </c>
      <c r="B51" s="21" t="s">
        <v>62</v>
      </c>
      <c r="C51" s="19" t="s">
        <v>47</v>
      </c>
      <c r="D51" s="78">
        <v>2</v>
      </c>
      <c r="E51" s="78">
        <v>8</v>
      </c>
      <c r="F51" s="78">
        <v>15</v>
      </c>
      <c r="G51" s="78">
        <v>21</v>
      </c>
      <c r="H51" s="84" t="s">
        <v>1573</v>
      </c>
      <c r="I51" s="84" t="s">
        <v>1574</v>
      </c>
      <c r="J51" s="84" t="s">
        <v>1575</v>
      </c>
      <c r="K51" s="77"/>
      <c r="L51" s="77">
        <v>2850</v>
      </c>
      <c r="M51" s="77">
        <v>3000</v>
      </c>
      <c r="N51" s="85"/>
      <c r="O51" s="86">
        <v>2832.2</v>
      </c>
      <c r="P51" s="86">
        <v>2988.8</v>
      </c>
      <c r="Q51" s="87">
        <f>Assumptions!$D$32-_xlfn.MINIFS($AK$127:$AK$181,$D$127:$D$181,A51,$E$127:$E$181,B51)/A51</f>
        <v>2693.4027777777778</v>
      </c>
      <c r="R51" s="15">
        <f>Assumptions!$F$32</f>
        <v>3250</v>
      </c>
      <c r="S51" s="46">
        <f>AVERAGEIFS('All Units'!$Q$5:$Q$1272,'All Units'!$G$5:$G$1272,A51,'All Units'!$H$5:$H$1272,B51,'All Units'!$J$5:$J$1272,"Low")</f>
        <v>2746.4285714285716</v>
      </c>
      <c r="T51" s="46">
        <f>AVERAGEIFS('All Units'!$Q$5:$Q$1272,'All Units'!$G$5:$G$1272,A51,'All Units'!$H$5:$H$1272,B51,'All Units'!$J$5:$J$1272,"Mid")</f>
        <v>2850</v>
      </c>
      <c r="U51" s="46">
        <f>AVERAGEIFS('All Units'!$Q$5:$Q$1272,'All Units'!$G$5:$G$1272,A51,'All Units'!$H$5:$H$1272,B51,'All Units'!$J$5:$J$1272,"High")</f>
        <v>3000</v>
      </c>
      <c r="V51" s="14" t="str">
        <f t="shared" si="1"/>
        <v>n/a / 0 / 0</v>
      </c>
      <c r="W51" s="88">
        <v>0</v>
      </c>
      <c r="X51" s="86">
        <v>0</v>
      </c>
      <c r="Y51" s="89">
        <f t="shared" si="2"/>
        <v>5</v>
      </c>
      <c r="Z51" s="89">
        <f t="shared" si="3"/>
        <v>12</v>
      </c>
      <c r="AA51" s="89">
        <f t="shared" si="4"/>
        <v>18.5</v>
      </c>
      <c r="AB51" s="89">
        <f t="shared" si="5"/>
        <v>2</v>
      </c>
      <c r="AC51" s="87">
        <f t="shared" si="6"/>
        <v>2693.4027777777778</v>
      </c>
    </row>
    <row r="52" spans="1:29" ht="28" x14ac:dyDescent="0.2">
      <c r="A52" s="83">
        <v>1238</v>
      </c>
      <c r="B52" s="21" t="s">
        <v>62</v>
      </c>
      <c r="C52" s="19" t="s">
        <v>48</v>
      </c>
      <c r="D52" s="78">
        <v>2</v>
      </c>
      <c r="E52" s="78">
        <v>7</v>
      </c>
      <c r="F52" s="78">
        <v>15</v>
      </c>
      <c r="G52" s="78">
        <v>21</v>
      </c>
      <c r="H52" s="84" t="s">
        <v>1573</v>
      </c>
      <c r="I52" s="84" t="s">
        <v>1574</v>
      </c>
      <c r="J52" s="84" t="s">
        <v>1575</v>
      </c>
      <c r="K52" s="77"/>
      <c r="L52" s="77">
        <v>2850</v>
      </c>
      <c r="M52" s="77">
        <v>3000</v>
      </c>
      <c r="N52" s="85"/>
      <c r="O52" s="86">
        <v>2847</v>
      </c>
      <c r="P52" s="86">
        <v>3013.4</v>
      </c>
      <c r="Q52" s="87">
        <f>Assumptions!$D$33-_xlfn.MINIFS($AK$127:$AK$181,$D$127:$D$181,A52,$E$127:$E$181,B52)/A52</f>
        <v>2777.3877221324719</v>
      </c>
      <c r="R52" s="15">
        <f>Assumptions!$F$33</f>
        <v>3250</v>
      </c>
      <c r="S52" s="46">
        <f>AVERAGEIFS('All Units'!$Q$5:$Q$1272,'All Units'!$G$5:$G$1272,A52,'All Units'!$H$5:$H$1272,B52,'All Units'!$J$5:$J$1272,"Low")</f>
        <v>2794.1111111111113</v>
      </c>
      <c r="T52" s="46">
        <f>AVERAGEIFS('All Units'!$Q$5:$Q$1272,'All Units'!$G$5:$G$1272,A52,'All Units'!$H$5:$H$1272,B52,'All Units'!$J$5:$J$1272,"Mid")</f>
        <v>2850.5</v>
      </c>
      <c r="U52" s="46">
        <f>AVERAGEIFS('All Units'!$Q$5:$Q$1272,'All Units'!$G$5:$G$1272,A52,'All Units'!$H$5:$H$1272,B52,'All Units'!$J$5:$J$1272,"High")</f>
        <v>2999.8888888888887</v>
      </c>
      <c r="V52" s="14" t="str">
        <f t="shared" si="1"/>
        <v>n/a / +$1 / 0</v>
      </c>
      <c r="W52" s="88">
        <v>0</v>
      </c>
      <c r="X52" s="86">
        <v>0</v>
      </c>
      <c r="Y52" s="89">
        <f t="shared" si="2"/>
        <v>4.5</v>
      </c>
      <c r="Z52" s="89">
        <f t="shared" si="3"/>
        <v>11.5</v>
      </c>
      <c r="AA52" s="89">
        <f t="shared" si="4"/>
        <v>18.5</v>
      </c>
      <c r="AB52" s="89">
        <f t="shared" si="5"/>
        <v>2</v>
      </c>
      <c r="AC52" s="87">
        <f t="shared" si="6"/>
        <v>2777.3877221324719</v>
      </c>
    </row>
    <row r="53" spans="1:29" ht="28" x14ac:dyDescent="0.2">
      <c r="A53" s="90">
        <v>1238</v>
      </c>
      <c r="B53" s="29" t="s">
        <v>65</v>
      </c>
      <c r="C53" s="27" t="s">
        <v>48</v>
      </c>
      <c r="D53" s="78">
        <v>1</v>
      </c>
      <c r="E53" s="78">
        <v>11</v>
      </c>
      <c r="F53" s="78">
        <v>20</v>
      </c>
      <c r="G53" s="78">
        <v>30</v>
      </c>
      <c r="H53" s="84" t="s">
        <v>1574</v>
      </c>
      <c r="I53" s="84" t="s">
        <v>1575</v>
      </c>
      <c r="J53" s="84" t="s">
        <v>1578</v>
      </c>
      <c r="K53" s="77">
        <v>2850</v>
      </c>
      <c r="L53" s="77">
        <v>3000</v>
      </c>
      <c r="M53" s="77">
        <v>3200</v>
      </c>
      <c r="N53" s="86">
        <v>2850</v>
      </c>
      <c r="O53" s="86">
        <v>2991.6</v>
      </c>
      <c r="P53" s="86">
        <v>3200</v>
      </c>
      <c r="Q53" s="87"/>
      <c r="R53" s="15">
        <f>Assumptions!$G$33</f>
        <v>3500</v>
      </c>
      <c r="S53" s="46">
        <f>AVERAGEIFS('All Units'!$Q$5:$Q$1272,'All Units'!$G$5:$G$1272,A53,'All Units'!$H$5:$H$1272,B53,'All Units'!$J$5:$J$1272,"Low")</f>
        <v>2892.7272727272725</v>
      </c>
      <c r="T53" s="46">
        <f>AVERAGEIFS('All Units'!$Q$5:$Q$1272,'All Units'!$G$5:$G$1272,A53,'All Units'!$H$5:$H$1272,B53,'All Units'!$J$5:$J$1272,"Mid")</f>
        <v>3035.8888888888887</v>
      </c>
      <c r="U53" s="46">
        <f>AVERAGEIFS('All Units'!$Q$5:$Q$1272,'All Units'!$G$5:$G$1272,A53,'All Units'!$H$5:$H$1272,B53,'All Units'!$J$5:$J$1272,"High")</f>
        <v>3232.1</v>
      </c>
      <c r="V53" s="14" t="str">
        <f t="shared" si="1"/>
        <v>+$43 / +$36 / +$32</v>
      </c>
      <c r="W53" s="88">
        <v>46.92</v>
      </c>
      <c r="X53" s="86">
        <v>-0.7</v>
      </c>
      <c r="Y53" s="89">
        <f t="shared" si="2"/>
        <v>6</v>
      </c>
      <c r="Z53" s="89">
        <f t="shared" si="3"/>
        <v>16</v>
      </c>
      <c r="AA53" s="89">
        <f t="shared" si="4"/>
        <v>25.5</v>
      </c>
      <c r="AB53" s="89">
        <f t="shared" si="5"/>
        <v>6</v>
      </c>
      <c r="AC53" s="87">
        <f t="shared" si="6"/>
        <v>2850</v>
      </c>
    </row>
    <row r="54" spans="1:29" ht="28" x14ac:dyDescent="0.2">
      <c r="A54" s="90">
        <v>1367</v>
      </c>
      <c r="B54" s="29" t="s">
        <v>65</v>
      </c>
      <c r="C54" s="27" t="s">
        <v>49</v>
      </c>
      <c r="D54" s="78">
        <v>3</v>
      </c>
      <c r="E54" s="78">
        <v>14</v>
      </c>
      <c r="F54" s="78">
        <v>20</v>
      </c>
      <c r="G54" s="78">
        <v>30</v>
      </c>
      <c r="H54" s="84" t="s">
        <v>1574</v>
      </c>
      <c r="I54" s="84" t="s">
        <v>1575</v>
      </c>
      <c r="J54" s="84" t="s">
        <v>1578</v>
      </c>
      <c r="K54" s="77">
        <v>2850</v>
      </c>
      <c r="L54" s="77">
        <v>3000</v>
      </c>
      <c r="M54" s="77">
        <v>3200</v>
      </c>
      <c r="N54" s="85"/>
      <c r="O54" s="86">
        <v>2988</v>
      </c>
      <c r="P54" s="86">
        <v>3200</v>
      </c>
      <c r="Q54" s="87">
        <f>Assumptions!$D$34-_xlfn.MINIFS($AK$127:$AK$181,$D$127:$D$181,A54,$E$127:$E$181,B54)/A54</f>
        <v>2836.5764447695683</v>
      </c>
      <c r="R54" s="15">
        <f>Assumptions!$G$34</f>
        <v>3500</v>
      </c>
      <c r="S54" s="46">
        <f>AVERAGEIFS('All Units'!$Q$5:$Q$1272,'All Units'!$G$5:$G$1272,A54,'All Units'!$H$5:$H$1272,B54,'All Units'!$J$5:$J$1272,"Low")</f>
        <v>2894</v>
      </c>
      <c r="T54" s="46">
        <f>AVERAGEIFS('All Units'!$Q$5:$Q$1272,'All Units'!$G$5:$G$1272,A54,'All Units'!$H$5:$H$1272,B54,'All Units'!$J$5:$J$1272,"Mid")</f>
        <v>3000</v>
      </c>
      <c r="U54" s="46">
        <f>AVERAGEIFS('All Units'!$Q$5:$Q$1272,'All Units'!$G$5:$G$1272,A54,'All Units'!$H$5:$H$1272,B54,'All Units'!$J$5:$J$1272,"High")</f>
        <v>3200</v>
      </c>
      <c r="V54" s="14" t="str">
        <f t="shared" si="1"/>
        <v>+$44 / 0 / 0</v>
      </c>
      <c r="W54" s="88">
        <v>0</v>
      </c>
      <c r="X54" s="86">
        <v>0</v>
      </c>
      <c r="Y54" s="89">
        <f t="shared" si="2"/>
        <v>8.5</v>
      </c>
      <c r="Z54" s="89">
        <f t="shared" si="3"/>
        <v>17.5</v>
      </c>
      <c r="AA54" s="89">
        <f t="shared" si="4"/>
        <v>25.5</v>
      </c>
      <c r="AB54" s="89">
        <f t="shared" si="5"/>
        <v>3</v>
      </c>
      <c r="AC54" s="87">
        <f t="shared" si="6"/>
        <v>2836.5764447695683</v>
      </c>
    </row>
    <row r="55" spans="1:29" ht="28" x14ac:dyDescent="0.2">
      <c r="A55" s="90">
        <v>1485</v>
      </c>
      <c r="B55" s="29" t="s">
        <v>65</v>
      </c>
      <c r="C55" s="27" t="s">
        <v>50</v>
      </c>
      <c r="D55" s="78">
        <v>3</v>
      </c>
      <c r="E55" s="78">
        <v>11</v>
      </c>
      <c r="F55" s="78">
        <v>20</v>
      </c>
      <c r="G55" s="78">
        <v>30</v>
      </c>
      <c r="H55" s="84" t="s">
        <v>1579</v>
      </c>
      <c r="I55" s="84" t="s">
        <v>1580</v>
      </c>
      <c r="J55" s="84" t="s">
        <v>1578</v>
      </c>
      <c r="K55" s="77"/>
      <c r="L55" s="77">
        <v>2950</v>
      </c>
      <c r="M55" s="77">
        <v>3200</v>
      </c>
      <c r="N55" s="85"/>
      <c r="O55" s="86">
        <v>2929.3</v>
      </c>
      <c r="P55" s="86">
        <v>3200</v>
      </c>
      <c r="Q55" s="87">
        <f>Assumptions!$D$35-_xlfn.MINIFS($AK$127:$AK$181,$D$127:$D$181,A55,$E$127:$E$181,B55)/A55</f>
        <v>2800</v>
      </c>
      <c r="R55" s="15">
        <f>Assumptions!$G$35</f>
        <v>3500</v>
      </c>
      <c r="S55" s="46">
        <f>AVERAGEIFS('All Units'!$Q$5:$Q$1272,'All Units'!$G$5:$G$1272,A55,'All Units'!$H$5:$H$1272,B55,'All Units'!$J$5:$J$1272,"Low")</f>
        <v>2840</v>
      </c>
      <c r="T55" s="46">
        <f>AVERAGEIFS('All Units'!$Q$5:$Q$1272,'All Units'!$G$5:$G$1272,A55,'All Units'!$H$5:$H$1272,B55,'All Units'!$J$5:$J$1272,"Mid")</f>
        <v>2949.7777777777778</v>
      </c>
      <c r="U55" s="46">
        <f>AVERAGEIFS('All Units'!$Q$5:$Q$1272,'All Units'!$G$5:$G$1272,A55,'All Units'!$H$5:$H$1272,B55,'All Units'!$J$5:$J$1272,"High")</f>
        <v>3200</v>
      </c>
      <c r="V55" s="14" t="str">
        <f t="shared" si="1"/>
        <v>n/a / 0 / 0</v>
      </c>
      <c r="W55" s="88">
        <v>0</v>
      </c>
      <c r="X55" s="86">
        <v>0</v>
      </c>
      <c r="Y55" s="89">
        <f t="shared" si="2"/>
        <v>7</v>
      </c>
      <c r="Z55" s="89">
        <f t="shared" si="3"/>
        <v>16</v>
      </c>
      <c r="AA55" s="89">
        <f t="shared" si="4"/>
        <v>25.5</v>
      </c>
      <c r="AB55" s="89">
        <f t="shared" si="5"/>
        <v>3</v>
      </c>
      <c r="AC55" s="87">
        <f t="shared" si="6"/>
        <v>2800</v>
      </c>
    </row>
    <row r="56" spans="1:29" ht="28" x14ac:dyDescent="0.2">
      <c r="A56" s="90">
        <v>1808</v>
      </c>
      <c r="B56" s="29" t="s">
        <v>65</v>
      </c>
      <c r="C56" s="27" t="s">
        <v>51</v>
      </c>
      <c r="D56" s="78">
        <v>3</v>
      </c>
      <c r="E56" s="78">
        <v>11</v>
      </c>
      <c r="F56" s="78">
        <v>20</v>
      </c>
      <c r="G56" s="78">
        <v>30</v>
      </c>
      <c r="H56" s="84" t="s">
        <v>1579</v>
      </c>
      <c r="I56" s="84" t="s">
        <v>1580</v>
      </c>
      <c r="J56" s="84" t="s">
        <v>1578</v>
      </c>
      <c r="K56" s="77"/>
      <c r="L56" s="77">
        <v>2950</v>
      </c>
      <c r="M56" s="77">
        <v>3200</v>
      </c>
      <c r="N56" s="85"/>
      <c r="O56" s="86">
        <v>2929.3</v>
      </c>
      <c r="P56" s="86">
        <v>3200</v>
      </c>
      <c r="Q56" s="87">
        <f>Assumptions!$D$36-_xlfn.MINIFS($AK$127:$AK$181,$D$127:$D$181,A56,$E$127:$E$181,B56)/A56</f>
        <v>2800</v>
      </c>
      <c r="R56" s="15">
        <f>Assumptions!$G$36</f>
        <v>3500</v>
      </c>
      <c r="S56" s="46">
        <f>AVERAGEIFS('All Units'!$Q$5:$Q$1272,'All Units'!$G$5:$G$1272,A56,'All Units'!$H$5:$H$1272,B56,'All Units'!$J$5:$J$1272,"Low")</f>
        <v>2840</v>
      </c>
      <c r="T56" s="46">
        <f>AVERAGEIFS('All Units'!$Q$5:$Q$1272,'All Units'!$G$5:$G$1272,A56,'All Units'!$H$5:$H$1272,B56,'All Units'!$J$5:$J$1272,"Mid")</f>
        <v>2949.7777777777778</v>
      </c>
      <c r="U56" s="46">
        <f>AVERAGEIFS('All Units'!$Q$5:$Q$1272,'All Units'!$G$5:$G$1272,A56,'All Units'!$H$5:$H$1272,B56,'All Units'!$J$5:$J$1272,"High")</f>
        <v>3200</v>
      </c>
      <c r="V56" s="14" t="str">
        <f t="shared" si="1"/>
        <v>n/a / 0 / 0</v>
      </c>
      <c r="W56" s="88">
        <v>0</v>
      </c>
      <c r="X56" s="86">
        <v>0</v>
      </c>
      <c r="Y56" s="89">
        <f t="shared" si="2"/>
        <v>7</v>
      </c>
      <c r="Z56" s="89">
        <f t="shared" si="3"/>
        <v>16</v>
      </c>
      <c r="AA56" s="89">
        <f t="shared" si="4"/>
        <v>25.5</v>
      </c>
      <c r="AB56" s="89">
        <f t="shared" si="5"/>
        <v>3</v>
      </c>
      <c r="AC56" s="87">
        <f t="shared" si="6"/>
        <v>2800</v>
      </c>
    </row>
    <row r="57" spans="1:29" ht="51.75" customHeight="1" x14ac:dyDescent="0.2">
      <c r="A57" s="101" t="s">
        <v>1581</v>
      </c>
      <c r="B57" s="101"/>
      <c r="C57" s="101"/>
      <c r="D57" s="101"/>
      <c r="E57" s="101"/>
      <c r="F57" s="101"/>
      <c r="G57" s="101"/>
      <c r="H57" s="101"/>
      <c r="I57" s="101"/>
      <c r="J57" s="101"/>
      <c r="K57" s="101"/>
      <c r="L57" s="101"/>
      <c r="M57" s="101"/>
      <c r="N57" s="101"/>
      <c r="O57" s="101"/>
      <c r="P57" s="101"/>
      <c r="Q57" s="101"/>
      <c r="R57" s="101"/>
      <c r="S57" s="101"/>
      <c r="T57" s="101"/>
      <c r="U57" s="101"/>
      <c r="V57" s="101"/>
    </row>
    <row r="59" spans="1:29" x14ac:dyDescent="0.2">
      <c r="A59" s="18" t="s">
        <v>1582</v>
      </c>
    </row>
    <row r="60" spans="1:29" ht="30" customHeight="1" x14ac:dyDescent="0.2">
      <c r="A60" s="7" t="s">
        <v>100</v>
      </c>
      <c r="B60" s="7" t="s">
        <v>1583</v>
      </c>
      <c r="C60" s="7" t="s">
        <v>1584</v>
      </c>
      <c r="D60" s="7" t="s">
        <v>1585</v>
      </c>
      <c r="E60" s="7" t="s">
        <v>1586</v>
      </c>
      <c r="F60" s="7" t="s">
        <v>1587</v>
      </c>
      <c r="G60" s="7" t="s">
        <v>1588</v>
      </c>
      <c r="H60" s="7" t="s">
        <v>1589</v>
      </c>
      <c r="I60" s="7" t="s">
        <v>1590</v>
      </c>
      <c r="J60" s="7" t="s">
        <v>1591</v>
      </c>
      <c r="K60" s="7" t="s">
        <v>1592</v>
      </c>
      <c r="L60" s="7" t="s">
        <v>1593</v>
      </c>
      <c r="M60" s="7" t="s">
        <v>1594</v>
      </c>
      <c r="N60" s="7" t="s">
        <v>1595</v>
      </c>
      <c r="O60" s="7" t="s">
        <v>1596</v>
      </c>
      <c r="P60" s="7" t="s">
        <v>1597</v>
      </c>
      <c r="Q60" s="7" t="s">
        <v>1598</v>
      </c>
      <c r="R60" s="7" t="s">
        <v>1599</v>
      </c>
    </row>
    <row r="61" spans="1:29" x14ac:dyDescent="0.2">
      <c r="A61" s="91">
        <v>1</v>
      </c>
      <c r="B61" s="87">
        <f>(IF(A61&lt;=Assumptions!$Z$40,Assumptions!$AC$40+(Assumptions!$O$40-Assumptions!$AC$40)*(A61-Assumptions!$AB$40)/(Assumptions!$Z$40-Assumptions!$AB$40),Assumptions!$O$40+(Assumptions!$P$40-Assumptions!$O$40)*(A61-Assumptions!$Z$40)/(Assumptions!$AA$40-Assumptions!$Z$40))+MAX(0,Assumptions!$W$40+Assumptions!$X$40*MIN(A61,21)))</f>
        <v>2673.0446657183502</v>
      </c>
      <c r="C61" s="87">
        <f>(IF(A61&lt;=Assumptions!$Z$41,Assumptions!$AC$41+(Assumptions!$O$41-Assumptions!$AC$41)*(A61-Assumptions!$AB$41)/(Assumptions!$Z$41-Assumptions!$AB$41),Assumptions!$O$41+(Assumptions!$P$41-Assumptions!$O$41)*(A61-Assumptions!$Z$41)/(Assumptions!$AA$41-Assumptions!$Z$41))+MAX(0,Assumptions!$W$41+Assumptions!$X$41*MIN(A61,21)))</f>
        <v>2671.2038192827204</v>
      </c>
      <c r="D61" s="92">
        <f>(IF(A61&lt;=Assumptions!$Z$42,Assumptions!$AC$42+(Assumptions!$O$42-Assumptions!$AC$42)*(A61-Assumptions!$AB$42)/(Assumptions!$Z$42-Assumptions!$AB$42),Assumptions!$O$42+(Assumptions!$P$42-Assumptions!$O$42)*(A61-Assumptions!$Z$42)/(Assumptions!$AA$42-Assumptions!$Z$42))+MAX(0,Assumptions!$W$42+Assumptions!$X$42*MIN(A61,21)))</f>
        <v>2835.5490476190475</v>
      </c>
      <c r="E61" s="87">
        <f>(IF(A61&lt;=Assumptions!$Z$43,Assumptions!$AC$43+(Assumptions!$O$43-Assumptions!$AC$43)*(A61-Assumptions!$AB$43)/(Assumptions!$Z$43-Assumptions!$AB$43),Assumptions!$O$43+(Assumptions!$P$43-Assumptions!$O$43)*(A61-Assumptions!$Z$43)/(Assumptions!$AA$43-Assumptions!$Z$43))+MAX(0,Assumptions!$W$43+Assumptions!$X$43*MIN(A61,21)))</f>
        <v>2681.1592752372735</v>
      </c>
      <c r="F61" s="92">
        <f>(IF(A61&lt;=Assumptions!$Z$44,Assumptions!$AC$44+(Assumptions!$O$44-Assumptions!$AC$44)*(A61-Assumptions!$AB$44)/(Assumptions!$Z$44-Assumptions!$AB$44),Assumptions!$O$44+(Assumptions!$P$44-Assumptions!$O$44)*(A61-Assumptions!$Z$44)/(Assumptions!$AA$44-Assumptions!$Z$44))+MAX(0,Assumptions!$W$44+Assumptions!$X$44*MIN(A61,21)))</f>
        <v>2772.55</v>
      </c>
      <c r="G61" s="87">
        <f>(IF(A61&lt;=Assumptions!$Z$45,Assumptions!$AC$45+(Assumptions!$O$45-Assumptions!$AC$45)*(A61-Assumptions!$AB$45)/(Assumptions!$Z$45-Assumptions!$AB$45),Assumptions!$O$45+(Assumptions!$P$45-Assumptions!$O$45)*(A61-Assumptions!$Z$45)/(Assumptions!$AA$45-Assumptions!$Z$45))+MAX(0,Assumptions!$W$45+Assumptions!$X$45*MIN(A61,21)))</f>
        <v>2628.9684210526316</v>
      </c>
      <c r="H61" s="92">
        <f>(IF(A61&lt;=Assumptions!$Z$46,Assumptions!$AC$46+(Assumptions!$O$46-Assumptions!$AC$46)*(A61-Assumptions!$AB$46)/(Assumptions!$Z$46-Assumptions!$AB$46),Assumptions!$O$46+(Assumptions!$P$46-Assumptions!$O$46)*(A61-Assumptions!$Z$46)/(Assumptions!$AA$46-Assumptions!$Z$46))+MAX(0,Assumptions!$W$46+Assumptions!$X$46*MIN(A61,21)))</f>
        <v>2757.55</v>
      </c>
      <c r="I61" s="87">
        <f>(IF(A61&lt;=Assumptions!$Z$47,Assumptions!$AC$47+(Assumptions!$O$47-Assumptions!$AC$47)*(A61-Assumptions!$AB$47)/(Assumptions!$Z$47-Assumptions!$AB$47),Assumptions!$O$47+(Assumptions!$P$47-Assumptions!$O$47)*(A61-Assumptions!$Z$47)/(Assumptions!$AA$47-Assumptions!$Z$47))+MAX(0,Assumptions!$W$47+Assumptions!$X$47*MIN(A61,21)))</f>
        <v>2679.7481414994718</v>
      </c>
      <c r="J61" s="92">
        <f>(IF(A61&lt;=Assumptions!$Z$48,Assumptions!$AC$48+(Assumptions!$O$48-Assumptions!$AC$48)*(A61-Assumptions!$AB$48)/(Assumptions!$Z$48-Assumptions!$AB$48),Assumptions!$O$48+(Assumptions!$P$48-Assumptions!$O$48)*(A61-Assumptions!$Z$48)/(Assumptions!$AA$48-Assumptions!$Z$48))+MAX(0,Assumptions!$W$48+Assumptions!$X$48*MIN(A61,21)))</f>
        <v>2795.75</v>
      </c>
      <c r="K61" s="87">
        <f>(IF(A61&lt;=Assumptions!$Z$49,Assumptions!$AC$49+(Assumptions!$O$49-Assumptions!$AC$49)*(A61-Assumptions!$AB$49)/(Assumptions!$Z$49-Assumptions!$AB$49),Assumptions!$O$49+(Assumptions!$P$49-Assumptions!$O$49)*(A61-Assumptions!$Z$49)/(Assumptions!$AA$49-Assumptions!$Z$49))+MAX(0,Assumptions!$W$49+Assumptions!$X$49*MIN(A61,21)))</f>
        <v>2667.2117806364254</v>
      </c>
      <c r="L61" s="92">
        <f>(IF(A61&lt;=Assumptions!$Z$50,Assumptions!$AC$50+(Assumptions!$O$50-Assumptions!$AC$50)*(A61-Assumptions!$AB$50)/(Assumptions!$Z$50-Assumptions!$AB$50),Assumptions!$O$50+(Assumptions!$P$50-Assumptions!$O$50)*(A61-Assumptions!$Z$50)/(Assumptions!$AA$50-Assumptions!$Z$50))+MAX(0,Assumptions!$W$50+Assumptions!$X$50*MIN(A61,21)))</f>
        <v>2775.6</v>
      </c>
      <c r="M61" s="87">
        <f>(IF(A61&lt;=Assumptions!$Z$51,Assumptions!$AC$51+(Assumptions!$O$51-Assumptions!$AC$51)*(A61-Assumptions!$AB$51)/(Assumptions!$Z$51-Assumptions!$AB$51),Assumptions!$O$51+(Assumptions!$P$51-Assumptions!$O$51)*(A61-Assumptions!$Z$51)/(Assumptions!$AA$51-Assumptions!$Z$51))+MAX(0,Assumptions!$W$51+Assumptions!$X$51*MIN(A61,21)))</f>
        <v>2679.5230555555554</v>
      </c>
      <c r="N61" s="87">
        <f>(IF(A61&lt;=Assumptions!$Z$52,Assumptions!$AC$52+(Assumptions!$O$52-Assumptions!$AC$52)*(A61-Assumptions!$AB$52)/(Assumptions!$Z$52-Assumptions!$AB$52),Assumptions!$O$52+(Assumptions!$P$52-Assumptions!$O$52)*(A61-Assumptions!$Z$52)/(Assumptions!$AA$52-Assumptions!$Z$52))+MAX(0,Assumptions!$W$52+Assumptions!$X$52*MIN(A61,21)))</f>
        <v>2770.0601139358901</v>
      </c>
      <c r="O61" s="92">
        <f>(IF(A61&lt;=Assumptions!$Z$53,Assumptions!$AC$53+(Assumptions!$O$53-Assumptions!$AC$53)*(A61-Assumptions!$AB$53)/(Assumptions!$Z$53-Assumptions!$AB$53),Assumptions!$O$53+(Assumptions!$P$53-Assumptions!$O$53)*(A61-Assumptions!$Z$53)/(Assumptions!$AA$53-Assumptions!$Z$53))+MAX(0,Assumptions!$W$53+Assumptions!$X$53*MIN(A61,21)))</f>
        <v>2825.4199999999996</v>
      </c>
      <c r="P61" s="92">
        <f>(IF(A61&lt;=Assumptions!$Z$54,Assumptions!$AC$54+(Assumptions!$O$54-Assumptions!$AC$54)*(A61-Assumptions!$AB$54)/(Assumptions!$Z$54-Assumptions!$AB$54),Assumptions!$O$54+(Assumptions!$P$54-Assumptions!$O$54)*(A61-Assumptions!$Z$54)/(Assumptions!$AA$54-Assumptions!$Z$54))+MAX(0,Assumptions!$W$54+Assumptions!$X$54*MIN(A61,21)))</f>
        <v>2815.6904371515775</v>
      </c>
      <c r="Q61" s="92">
        <f>(IF(A61&lt;=Assumptions!$Z$55,Assumptions!$AC$55+(Assumptions!$O$55-Assumptions!$AC$55)*(A61-Assumptions!$AB$55)/(Assumptions!$Z$55-Assumptions!$AB$55),Assumptions!$O$55+(Assumptions!$P$55-Assumptions!$O$55)*(A61-Assumptions!$Z$55)/(Assumptions!$AA$55-Assumptions!$Z$55))+MAX(0,Assumptions!$W$55+Assumptions!$X$55*MIN(A61,21)))</f>
        <v>2780.1076923076921</v>
      </c>
      <c r="R61" s="92">
        <f>(IF(A61&lt;=Assumptions!$Z$56,Assumptions!$AC$56+(Assumptions!$O$56-Assumptions!$AC$56)*(A61-Assumptions!$AB$56)/(Assumptions!$Z$56-Assumptions!$AB$56),Assumptions!$O$56+(Assumptions!$P$56-Assumptions!$O$56)*(A61-Assumptions!$Z$56)/(Assumptions!$AA$56-Assumptions!$Z$56))+MAX(0,Assumptions!$W$56+Assumptions!$X$56*MIN(A61,21)))</f>
        <v>2780.1076923076921</v>
      </c>
    </row>
    <row r="62" spans="1:29" x14ac:dyDescent="0.2">
      <c r="A62" s="91">
        <v>2</v>
      </c>
      <c r="B62" s="87">
        <f>MAX(B61,(IF(A62&lt;=Assumptions!$Z$40,Assumptions!$AC$40+(Assumptions!$O$40-Assumptions!$AC$40)*(A62-Assumptions!$AB$40)/(Assumptions!$Z$40-Assumptions!$AB$40),Assumptions!$O$40+(Assumptions!$P$40-Assumptions!$O$40)*(A62-Assumptions!$Z$40)/(Assumptions!$AA$40-Assumptions!$Z$40))+MAX(0,Assumptions!$W$40+Assumptions!$X$40*MIN(A62,21))))</f>
        <v>2692.4594594594596</v>
      </c>
      <c r="C62" s="87">
        <f>MAX(C61,(IF(A62&lt;=Assumptions!$Z$41,Assumptions!$AC$41+(Assumptions!$O$41-Assumptions!$AC$41)*(A62-Assumptions!$AB$41)/(Assumptions!$Z$41-Assumptions!$AB$41),Assumptions!$O$41+(Assumptions!$P$41-Assumptions!$O$41)*(A62-Assumptions!$Z$41)/(Assumptions!$AA$41-Assumptions!$Z$41))+MAX(0,Assumptions!$W$41+Assumptions!$X$41*MIN(A62,21))))</f>
        <v>2686.7463126843659</v>
      </c>
      <c r="D62" s="92">
        <f>MAX(D61,(IF(A62&lt;=Assumptions!$Z$42,Assumptions!$AC$42+(Assumptions!$O$42-Assumptions!$AC$42)*(A62-Assumptions!$AB$42)/(Assumptions!$Z$42-Assumptions!$AB$42),Assumptions!$O$42+(Assumptions!$P$42-Assumptions!$O$42)*(A62-Assumptions!$Z$42)/(Assumptions!$AA$42-Assumptions!$Z$42))+MAX(0,Assumptions!$W$42+Assumptions!$X$42*MIN(A62,21))))</f>
        <v>2854.7538095238097</v>
      </c>
      <c r="E62" s="87">
        <f>MAX(E61,(IF(A62&lt;=Assumptions!$Z$43,Assumptions!$AC$43+(Assumptions!$O$43-Assumptions!$AC$43)*(A62-Assumptions!$AB$43)/(Assumptions!$Z$43-Assumptions!$AB$43),Assumptions!$O$43+(Assumptions!$P$43-Assumptions!$O$43)*(A62-Assumptions!$Z$43)/(Assumptions!$AA$43-Assumptions!$Z$43))+MAX(0,Assumptions!$W$43+Assumptions!$X$43*MIN(A62,21))))</f>
        <v>2698.3060109289618</v>
      </c>
      <c r="F62" s="92">
        <f>MAX(F61,(IF(A62&lt;=Assumptions!$Z$44,Assumptions!$AC$44+(Assumptions!$O$44-Assumptions!$AC$44)*(A62-Assumptions!$AB$44)/(Assumptions!$Z$44-Assumptions!$AB$44),Assumptions!$O$44+(Assumptions!$P$44-Assumptions!$O$44)*(A62-Assumptions!$Z$44)/(Assumptions!$AA$44-Assumptions!$Z$44))+MAX(0,Assumptions!$W$44+Assumptions!$X$44*MIN(A62,21))))</f>
        <v>2788.54</v>
      </c>
      <c r="G62" s="87">
        <f>MAX(G61,(IF(A62&lt;=Assumptions!$Z$45,Assumptions!$AC$45+(Assumptions!$O$45-Assumptions!$AC$45)*(A62-Assumptions!$AB$45)/(Assumptions!$Z$45-Assumptions!$AB$45),Assumptions!$O$45+(Assumptions!$P$45-Assumptions!$O$45)*(A62-Assumptions!$Z$45)/(Assumptions!$AA$45-Assumptions!$Z$45))+MAX(0,Assumptions!$W$45+Assumptions!$X$45*MIN(A62,21))))</f>
        <v>2650</v>
      </c>
      <c r="H62" s="92">
        <f>MAX(H61,(IF(A62&lt;=Assumptions!$Z$46,Assumptions!$AC$46+(Assumptions!$O$46-Assumptions!$AC$46)*(A62-Assumptions!$AB$46)/(Assumptions!$Z$46-Assumptions!$AB$46),Assumptions!$O$46+(Assumptions!$P$46-Assumptions!$O$46)*(A62-Assumptions!$Z$46)/(Assumptions!$AA$46-Assumptions!$Z$46))+MAX(0,Assumptions!$W$46+Assumptions!$X$46*MIN(A62,21))))</f>
        <v>2773.74</v>
      </c>
      <c r="I62" s="87">
        <f>MAX(I61,(IF(A62&lt;=Assumptions!$Z$47,Assumptions!$AC$47+(Assumptions!$O$47-Assumptions!$AC$47)*(A62-Assumptions!$AB$47)/(Assumptions!$Z$47-Assumptions!$AB$47),Assumptions!$O$47+(Assumptions!$P$47-Assumptions!$O$47)*(A62-Assumptions!$Z$47)/(Assumptions!$AA$47-Assumptions!$Z$47))+MAX(0,Assumptions!$W$47+Assumptions!$X$47*MIN(A62,21))))</f>
        <v>2694.7983104540654</v>
      </c>
      <c r="J62" s="92">
        <f>MAX(J61,(IF(A62&lt;=Assumptions!$Z$48,Assumptions!$AC$48+(Assumptions!$O$48-Assumptions!$AC$48)*(A62-Assumptions!$AB$48)/(Assumptions!$Z$48-Assumptions!$AB$48),Assumptions!$O$48+(Assumptions!$P$48-Assumptions!$O$48)*(A62-Assumptions!$Z$48)/(Assumptions!$AA$48-Assumptions!$Z$48))+MAX(0,Assumptions!$W$48+Assumptions!$X$48*MIN(A62,21))))</f>
        <v>2812.83</v>
      </c>
      <c r="K62" s="87">
        <f>MAX(K61,(IF(A62&lt;=Assumptions!$Z$49,Assumptions!$AC$49+(Assumptions!$O$49-Assumptions!$AC$49)*(A62-Assumptions!$AB$49)/(Assumptions!$Z$49-Assumptions!$AB$49),Assumptions!$O$49+(Assumptions!$P$49-Assumptions!$O$49)*(A62-Assumptions!$Z$49)/(Assumptions!$AA$49-Assumptions!$Z$49))+MAX(0,Assumptions!$W$49+Assumptions!$X$49*MIN(A62,21))))</f>
        <v>2680.3933649289102</v>
      </c>
      <c r="L62" s="92">
        <f>MAX(L61,(IF(A62&lt;=Assumptions!$Z$50,Assumptions!$AC$50+(Assumptions!$O$50-Assumptions!$AC$50)*(A62-Assumptions!$AB$50)/(Assumptions!$Z$50-Assumptions!$AB$50),Assumptions!$O$50+(Assumptions!$P$50-Assumptions!$O$50)*(A62-Assumptions!$Z$50)/(Assumptions!$AA$50-Assumptions!$Z$50))+MAX(0,Assumptions!$W$50+Assumptions!$X$50*MIN(A62,21))))</f>
        <v>2790.48</v>
      </c>
      <c r="M62" s="87">
        <f>MAX(M61,(IF(A62&lt;=Assumptions!$Z$51,Assumptions!$AC$51+(Assumptions!$O$51-Assumptions!$AC$51)*(A62-Assumptions!$AB$51)/(Assumptions!$Z$51-Assumptions!$AB$51),Assumptions!$O$51+(Assumptions!$P$51-Assumptions!$O$51)*(A62-Assumptions!$Z$51)/(Assumptions!$AA$51-Assumptions!$Z$51))+MAX(0,Assumptions!$W$51+Assumptions!$X$51*MIN(A62,21))))</f>
        <v>2693.4027777777778</v>
      </c>
      <c r="N62" s="87">
        <f>MAX(N61,(IF(A62&lt;=Assumptions!$Z$52,Assumptions!$AC$52+(Assumptions!$O$52-Assumptions!$AC$52)*(A62-Assumptions!$AB$52)/(Assumptions!$Z$52-Assumptions!$AB$52),Assumptions!$O$52+(Assumptions!$P$52-Assumptions!$O$52)*(A62-Assumptions!$Z$52)/(Assumptions!$AA$52-Assumptions!$Z$52))+MAX(0,Assumptions!$W$52+Assumptions!$X$52*MIN(A62,21))))</f>
        <v>2777.3877221324719</v>
      </c>
      <c r="O62" s="92">
        <f>MAX(O61,(IF(A62&lt;=Assumptions!$Z$53,Assumptions!$AC$53+(Assumptions!$O$53-Assumptions!$AC$53)*(A62-Assumptions!$AB$53)/(Assumptions!$Z$53-Assumptions!$AB$53),Assumptions!$O$53+(Assumptions!$P$53-Assumptions!$O$53)*(A62-Assumptions!$Z$53)/(Assumptions!$AA$53-Assumptions!$Z$53))+MAX(0,Assumptions!$W$53+Assumptions!$X$53*MIN(A62,21))))</f>
        <v>2838.88</v>
      </c>
      <c r="P62" s="92">
        <f>MAX(P61,(IF(A62&lt;=Assumptions!$Z$54,Assumptions!$AC$54+(Assumptions!$O$54-Assumptions!$AC$54)*(A62-Assumptions!$AB$54)/(Assumptions!$Z$54-Assumptions!$AB$54),Assumptions!$O$54+(Assumptions!$P$54-Assumptions!$O$54)*(A62-Assumptions!$Z$54)/(Assumptions!$AA$54-Assumptions!$Z$54))+MAX(0,Assumptions!$W$54+Assumptions!$X$54*MIN(A62,21))))</f>
        <v>2826.1334409605729</v>
      </c>
      <c r="Q62" s="92">
        <f>MAX(Q61,(IF(A62&lt;=Assumptions!$Z$55,Assumptions!$AC$55+(Assumptions!$O$55-Assumptions!$AC$55)*(A62-Assumptions!$AB$55)/(Assumptions!$Z$55-Assumptions!$AB$55),Assumptions!$O$55+(Assumptions!$P$55-Assumptions!$O$55)*(A62-Assumptions!$Z$55)/(Assumptions!$AA$55-Assumptions!$Z$55))+MAX(0,Assumptions!$W$55+Assumptions!$X$55*MIN(A62,21))))</f>
        <v>2790.0538461538463</v>
      </c>
      <c r="R62" s="92">
        <f>MAX(R61,(IF(A62&lt;=Assumptions!$Z$56,Assumptions!$AC$56+(Assumptions!$O$56-Assumptions!$AC$56)*(A62-Assumptions!$AB$56)/(Assumptions!$Z$56-Assumptions!$AB$56),Assumptions!$O$56+(Assumptions!$P$56-Assumptions!$O$56)*(A62-Assumptions!$Z$56)/(Assumptions!$AA$56-Assumptions!$Z$56))+MAX(0,Assumptions!$W$56+Assumptions!$X$56*MIN(A62,21))))</f>
        <v>2790.0538461538463</v>
      </c>
    </row>
    <row r="63" spans="1:29" x14ac:dyDescent="0.2">
      <c r="A63" s="91">
        <v>3</v>
      </c>
      <c r="B63" s="87">
        <f>MAX(B62,(IF(A63&lt;=Assumptions!$Z$40,Assumptions!$AC$40+(Assumptions!$O$40-Assumptions!$AC$40)*(A63-Assumptions!$AB$40)/(Assumptions!$Z$40-Assumptions!$AB$40),Assumptions!$O$40+(Assumptions!$P$40-Assumptions!$O$40)*(A63-Assumptions!$Z$40)/(Assumptions!$AA$40-Assumptions!$Z$40))+MAX(0,Assumptions!$W$40+Assumptions!$X$40*MIN(A63,21))))</f>
        <v>2711.874253200569</v>
      </c>
      <c r="C63" s="87">
        <f>MAX(C62,(IF(A63&lt;=Assumptions!$Z$41,Assumptions!$AC$41+(Assumptions!$O$41-Assumptions!$AC$41)*(A63-Assumptions!$AB$41)/(Assumptions!$Z$41-Assumptions!$AB$41),Assumptions!$O$41+(Assumptions!$P$41-Assumptions!$O$41)*(A63-Assumptions!$Z$41)/(Assumptions!$AA$41-Assumptions!$Z$41))+MAX(0,Assumptions!$W$41+Assumptions!$X$41*MIN(A63,21))))</f>
        <v>2702.2888060860114</v>
      </c>
      <c r="D63" s="92">
        <f>MAX(D62,(IF(A63&lt;=Assumptions!$Z$42,Assumptions!$AC$42+(Assumptions!$O$42-Assumptions!$AC$42)*(A63-Assumptions!$AB$42)/(Assumptions!$Z$42-Assumptions!$AB$42),Assumptions!$O$42+(Assumptions!$P$42-Assumptions!$O$42)*(A63-Assumptions!$Z$42)/(Assumptions!$AA$42-Assumptions!$Z$42))+MAX(0,Assumptions!$W$42+Assumptions!$X$42*MIN(A63,21))))</f>
        <v>2873.9585714285713</v>
      </c>
      <c r="E63" s="87">
        <f>MAX(E62,(IF(A63&lt;=Assumptions!$Z$43,Assumptions!$AC$43+(Assumptions!$O$43-Assumptions!$AC$43)*(A63-Assumptions!$AB$43)/(Assumptions!$Z$43-Assumptions!$AB$43),Assumptions!$O$43+(Assumptions!$P$43-Assumptions!$O$43)*(A63-Assumptions!$Z$43)/(Assumptions!$AA$43-Assumptions!$Z$43))+MAX(0,Assumptions!$W$43+Assumptions!$X$43*MIN(A63,21))))</f>
        <v>2715.45274662065</v>
      </c>
      <c r="F63" s="92">
        <f>MAX(F62,(IF(A63&lt;=Assumptions!$Z$44,Assumptions!$AC$44+(Assumptions!$O$44-Assumptions!$AC$44)*(A63-Assumptions!$AB$44)/(Assumptions!$Z$44-Assumptions!$AB$44),Assumptions!$O$44+(Assumptions!$P$44-Assumptions!$O$44)*(A63-Assumptions!$Z$44)/(Assumptions!$AA$44-Assumptions!$Z$44))+MAX(0,Assumptions!$W$44+Assumptions!$X$44*MIN(A63,21))))</f>
        <v>2812.9999999999995</v>
      </c>
      <c r="G63" s="87">
        <f>MAX(G62,(IF(A63&lt;=Assumptions!$Z$45,Assumptions!$AC$45+(Assumptions!$O$45-Assumptions!$AC$45)*(A63-Assumptions!$AB$45)/(Assumptions!$Z$45-Assumptions!$AB$45),Assumptions!$O$45+(Assumptions!$P$45-Assumptions!$O$45)*(A63-Assumptions!$Z$45)/(Assumptions!$AA$45-Assumptions!$Z$45))+MAX(0,Assumptions!$W$45+Assumptions!$X$45*MIN(A63,21))))</f>
        <v>2671.0315789473684</v>
      </c>
      <c r="H63" s="92">
        <f>MAX(H62,(IF(A63&lt;=Assumptions!$Z$46,Assumptions!$AC$46+(Assumptions!$O$46-Assumptions!$AC$46)*(A63-Assumptions!$AB$46)/(Assumptions!$Z$46-Assumptions!$AB$46),Assumptions!$O$46+(Assumptions!$P$46-Assumptions!$O$46)*(A63-Assumptions!$Z$46)/(Assumptions!$AA$46-Assumptions!$Z$46))+MAX(0,Assumptions!$W$46+Assumptions!$X$46*MIN(A63,21))))</f>
        <v>2789.93</v>
      </c>
      <c r="I63" s="87">
        <f>MAX(I62,(IF(A63&lt;=Assumptions!$Z$47,Assumptions!$AC$47+(Assumptions!$O$47-Assumptions!$AC$47)*(A63-Assumptions!$AB$47)/(Assumptions!$Z$47-Assumptions!$AB$47),Assumptions!$O$47+(Assumptions!$P$47-Assumptions!$O$47)*(A63-Assumptions!$Z$47)/(Assumptions!$AA$47-Assumptions!$Z$47))+MAX(0,Assumptions!$W$47+Assumptions!$X$47*MIN(A63,21))))</f>
        <v>2709.8484794086589</v>
      </c>
      <c r="J63" s="92">
        <f>MAX(J62,(IF(A63&lt;=Assumptions!$Z$48,Assumptions!$AC$48+(Assumptions!$O$48-Assumptions!$AC$48)*(A63-Assumptions!$AB$48)/(Assumptions!$Z$48-Assumptions!$AB$48),Assumptions!$O$48+(Assumptions!$P$48-Assumptions!$O$48)*(A63-Assumptions!$Z$48)/(Assumptions!$AA$48-Assumptions!$Z$48))+MAX(0,Assumptions!$W$48+Assumptions!$X$48*MIN(A63,21))))</f>
        <v>2829.91</v>
      </c>
      <c r="K63" s="87">
        <f>MAX(K62,(IF(A63&lt;=Assumptions!$Z$49,Assumptions!$AC$49+(Assumptions!$O$49-Assumptions!$AC$49)*(A63-Assumptions!$AB$49)/(Assumptions!$Z$49-Assumptions!$AB$49),Assumptions!$O$49+(Assumptions!$P$49-Assumptions!$O$49)*(A63-Assumptions!$Z$49)/(Assumptions!$AA$49-Assumptions!$Z$49))+MAX(0,Assumptions!$W$49+Assumptions!$X$49*MIN(A63,21))))</f>
        <v>2693.5749492213949</v>
      </c>
      <c r="L63" s="92">
        <f>MAX(L62,(IF(A63&lt;=Assumptions!$Z$50,Assumptions!$AC$50+(Assumptions!$O$50-Assumptions!$AC$50)*(A63-Assumptions!$AB$50)/(Assumptions!$Z$50-Assumptions!$AB$50),Assumptions!$O$50+(Assumptions!$P$50-Assumptions!$O$50)*(A63-Assumptions!$Z$50)/(Assumptions!$AA$50-Assumptions!$Z$50))+MAX(0,Assumptions!$W$50+Assumptions!$X$50*MIN(A63,21))))</f>
        <v>2805.36</v>
      </c>
      <c r="M63" s="87">
        <f>MAX(M62,(IF(A63&lt;=Assumptions!$Z$51,Assumptions!$AC$51+(Assumptions!$O$51-Assumptions!$AC$51)*(A63-Assumptions!$AB$51)/(Assumptions!$Z$51-Assumptions!$AB$51),Assumptions!$O$51+(Assumptions!$P$51-Assumptions!$O$51)*(A63-Assumptions!$Z$51)/(Assumptions!$AA$51-Assumptions!$Z$51))+MAX(0,Assumptions!$W$51+Assumptions!$X$51*MIN(A63,21))))</f>
        <v>2707.2825000000003</v>
      </c>
      <c r="N63" s="87">
        <f>MAX(N62,(IF(A63&lt;=Assumptions!$Z$52,Assumptions!$AC$52+(Assumptions!$O$52-Assumptions!$AC$52)*(A63-Assumptions!$AB$52)/(Assumptions!$Z$52-Assumptions!$AB$52),Assumptions!$O$52+(Assumptions!$P$52-Assumptions!$O$52)*(A63-Assumptions!$Z$52)/(Assumptions!$AA$52-Assumptions!$Z$52))+MAX(0,Assumptions!$W$52+Assumptions!$X$52*MIN(A63,21))))</f>
        <v>2784.7153303290538</v>
      </c>
      <c r="O63" s="92">
        <f>MAX(O62,(IF(A63&lt;=Assumptions!$Z$53,Assumptions!$AC$53+(Assumptions!$O$53-Assumptions!$AC$53)*(A63-Assumptions!$AB$53)/(Assumptions!$Z$53-Assumptions!$AB$53),Assumptions!$O$53+(Assumptions!$P$53-Assumptions!$O$53)*(A63-Assumptions!$Z$53)/(Assumptions!$AA$53-Assumptions!$Z$53))+MAX(0,Assumptions!$W$53+Assumptions!$X$53*MIN(A63,21))))</f>
        <v>2852.34</v>
      </c>
      <c r="P63" s="92">
        <f>MAX(P62,(IF(A63&lt;=Assumptions!$Z$54,Assumptions!$AC$54+(Assumptions!$O$54-Assumptions!$AC$54)*(A63-Assumptions!$AB$54)/(Assumptions!$Z$54-Assumptions!$AB$54),Assumptions!$O$54+(Assumptions!$P$54-Assumptions!$O$54)*(A63-Assumptions!$Z$54)/(Assumptions!$AA$54-Assumptions!$Z$54))+MAX(0,Assumptions!$W$54+Assumptions!$X$54*MIN(A63,21))))</f>
        <v>2836.5764447695683</v>
      </c>
      <c r="Q63" s="92">
        <f>MAX(Q62,(IF(A63&lt;=Assumptions!$Z$55,Assumptions!$AC$55+(Assumptions!$O$55-Assumptions!$AC$55)*(A63-Assumptions!$AB$55)/(Assumptions!$Z$55-Assumptions!$AB$55),Assumptions!$O$55+(Assumptions!$P$55-Assumptions!$O$55)*(A63-Assumptions!$Z$55)/(Assumptions!$AA$55-Assumptions!$Z$55))+MAX(0,Assumptions!$W$55+Assumptions!$X$55*MIN(A63,21))))</f>
        <v>2800</v>
      </c>
      <c r="R63" s="92">
        <f>MAX(R62,(IF(A63&lt;=Assumptions!$Z$56,Assumptions!$AC$56+(Assumptions!$O$56-Assumptions!$AC$56)*(A63-Assumptions!$AB$56)/(Assumptions!$Z$56-Assumptions!$AB$56),Assumptions!$O$56+(Assumptions!$P$56-Assumptions!$O$56)*(A63-Assumptions!$Z$56)/(Assumptions!$AA$56-Assumptions!$Z$56))+MAX(0,Assumptions!$W$56+Assumptions!$X$56*MIN(A63,21))))</f>
        <v>2800</v>
      </c>
    </row>
    <row r="64" spans="1:29" x14ac:dyDescent="0.2">
      <c r="A64" s="91">
        <v>4</v>
      </c>
      <c r="B64" s="87">
        <f>MAX(B63,(IF(A64&lt;=Assumptions!$Z$40,Assumptions!$AC$40+(Assumptions!$O$40-Assumptions!$AC$40)*(A64-Assumptions!$AB$40)/(Assumptions!$Z$40-Assumptions!$AB$40),Assumptions!$O$40+(Assumptions!$P$40-Assumptions!$O$40)*(A64-Assumptions!$Z$40)/(Assumptions!$AA$40-Assumptions!$Z$40))+MAX(0,Assumptions!$W$40+Assumptions!$X$40*MIN(A64,21))))</f>
        <v>2731.2890469416789</v>
      </c>
      <c r="C64" s="87">
        <f>MAX(C63,(IF(A64&lt;=Assumptions!$Z$41,Assumptions!$AC$41+(Assumptions!$O$41-Assumptions!$AC$41)*(A64-Assumptions!$AB$41)/(Assumptions!$Z$41-Assumptions!$AB$41),Assumptions!$O$41+(Assumptions!$P$41-Assumptions!$O$41)*(A64-Assumptions!$Z$41)/(Assumptions!$AA$41-Assumptions!$Z$41))+MAX(0,Assumptions!$W$41+Assumptions!$X$41*MIN(A64,21))))</f>
        <v>2717.8312994876574</v>
      </c>
      <c r="D64" s="92">
        <f>MAX(D63,(IF(A64&lt;=Assumptions!$Z$42,Assumptions!$AC$42+(Assumptions!$O$42-Assumptions!$AC$42)*(A64-Assumptions!$AB$42)/(Assumptions!$Z$42-Assumptions!$AB$42),Assumptions!$O$42+(Assumptions!$P$42-Assumptions!$O$42)*(A64-Assumptions!$Z$42)/(Assumptions!$AA$42-Assumptions!$Z$42))+MAX(0,Assumptions!$W$42+Assumptions!$X$42*MIN(A64,21))))</f>
        <v>2893.1633333333334</v>
      </c>
      <c r="E64" s="87">
        <f>MAX(E63,(IF(A64&lt;=Assumptions!$Z$43,Assumptions!$AC$43+(Assumptions!$O$43-Assumptions!$AC$43)*(A64-Assumptions!$AB$43)/(Assumptions!$Z$43-Assumptions!$AB$43),Assumptions!$O$43+(Assumptions!$P$43-Assumptions!$O$43)*(A64-Assumptions!$Z$43)/(Assumptions!$AA$43-Assumptions!$Z$43))+MAX(0,Assumptions!$W$43+Assumptions!$X$43*MIN(A64,21))))</f>
        <v>2732.5994823123383</v>
      </c>
      <c r="F64" s="92">
        <f>MAX(F63,(IF(A64&lt;=Assumptions!$Z$44,Assumptions!$AC$44+(Assumptions!$O$44-Assumptions!$AC$44)*(A64-Assumptions!$AB$44)/(Assumptions!$Z$44-Assumptions!$AB$44),Assumptions!$O$44+(Assumptions!$P$44-Assumptions!$O$44)*(A64-Assumptions!$Z$44)/(Assumptions!$AA$44-Assumptions!$Z$44))+MAX(0,Assumptions!$W$44+Assumptions!$X$44*MIN(A64,21))))</f>
        <v>2838.49</v>
      </c>
      <c r="G64" s="87">
        <f>MAX(G63,(IF(A64&lt;=Assumptions!$Z$45,Assumptions!$AC$45+(Assumptions!$O$45-Assumptions!$AC$45)*(A64-Assumptions!$AB$45)/(Assumptions!$Z$45-Assumptions!$AB$45),Assumptions!$O$45+(Assumptions!$P$45-Assumptions!$O$45)*(A64-Assumptions!$Z$45)/(Assumptions!$AA$45-Assumptions!$Z$45))+MAX(0,Assumptions!$W$45+Assumptions!$X$45*MIN(A64,21))))</f>
        <v>2692.0631578947368</v>
      </c>
      <c r="H64" s="92">
        <f>MAX(H63,(IF(A64&lt;=Assumptions!$Z$46,Assumptions!$AC$46+(Assumptions!$O$46-Assumptions!$AC$46)*(A64-Assumptions!$AB$46)/(Assumptions!$Z$46-Assumptions!$AB$46),Assumptions!$O$46+(Assumptions!$P$46-Assumptions!$O$46)*(A64-Assumptions!$Z$46)/(Assumptions!$AA$46-Assumptions!$Z$46))+MAX(0,Assumptions!$W$46+Assumptions!$X$46*MIN(A64,21))))</f>
        <v>2806.12</v>
      </c>
      <c r="I64" s="87">
        <f>MAX(I63,(IF(A64&lt;=Assumptions!$Z$47,Assumptions!$AC$47+(Assumptions!$O$47-Assumptions!$AC$47)*(A64-Assumptions!$AB$47)/(Assumptions!$Z$47-Assumptions!$AB$47),Assumptions!$O$47+(Assumptions!$P$47-Assumptions!$O$47)*(A64-Assumptions!$Z$47)/(Assumptions!$AA$47-Assumptions!$Z$47))+MAX(0,Assumptions!$W$47+Assumptions!$X$47*MIN(A64,21))))</f>
        <v>2724.8986483632525</v>
      </c>
      <c r="J64" s="92">
        <f>MAX(J63,(IF(A64&lt;=Assumptions!$Z$48,Assumptions!$AC$48+(Assumptions!$O$48-Assumptions!$AC$48)*(A64-Assumptions!$AB$48)/(Assumptions!$Z$48-Assumptions!$AB$48),Assumptions!$O$48+(Assumptions!$P$48-Assumptions!$O$48)*(A64-Assumptions!$Z$48)/(Assumptions!$AA$48-Assumptions!$Z$48))+MAX(0,Assumptions!$W$48+Assumptions!$X$48*MIN(A64,21))))</f>
        <v>2846.9900000000002</v>
      </c>
      <c r="K64" s="87">
        <f>MAX(K63,(IF(A64&lt;=Assumptions!$Z$49,Assumptions!$AC$49+(Assumptions!$O$49-Assumptions!$AC$49)*(A64-Assumptions!$AB$49)/(Assumptions!$Z$49-Assumptions!$AB$49),Assumptions!$O$49+(Assumptions!$P$49-Assumptions!$O$49)*(A64-Assumptions!$Z$49)/(Assumptions!$AA$49-Assumptions!$Z$49))+MAX(0,Assumptions!$W$49+Assumptions!$X$49*MIN(A64,21))))</f>
        <v>2706.7565335138797</v>
      </c>
      <c r="L64" s="92">
        <f>MAX(L63,(IF(A64&lt;=Assumptions!$Z$50,Assumptions!$AC$50+(Assumptions!$O$50-Assumptions!$AC$50)*(A64-Assumptions!$AB$50)/(Assumptions!$Z$50-Assumptions!$AB$50),Assumptions!$O$50+(Assumptions!$P$50-Assumptions!$O$50)*(A64-Assumptions!$Z$50)/(Assumptions!$AA$50-Assumptions!$Z$50))+MAX(0,Assumptions!$W$50+Assumptions!$X$50*MIN(A64,21))))</f>
        <v>2820.24</v>
      </c>
      <c r="M64" s="87">
        <f>MAX(M63,(IF(A64&lt;=Assumptions!$Z$51,Assumptions!$AC$51+(Assumptions!$O$51-Assumptions!$AC$51)*(A64-Assumptions!$AB$51)/(Assumptions!$Z$51-Assumptions!$AB$51),Assumptions!$O$51+(Assumptions!$P$51-Assumptions!$O$51)*(A64-Assumptions!$Z$51)/(Assumptions!$AA$51-Assumptions!$Z$51))+MAX(0,Assumptions!$W$51+Assumptions!$X$51*MIN(A64,21))))</f>
        <v>2721.1622222222222</v>
      </c>
      <c r="N64" s="87">
        <f>MAX(N63,(IF(A64&lt;=Assumptions!$Z$52,Assumptions!$AC$52+(Assumptions!$O$52-Assumptions!$AC$52)*(A64-Assumptions!$AB$52)/(Assumptions!$Z$52-Assumptions!$AB$52),Assumptions!$O$52+(Assumptions!$P$52-Assumptions!$O$52)*(A64-Assumptions!$Z$52)/(Assumptions!$AA$52-Assumptions!$Z$52))+MAX(0,Assumptions!$W$52+Assumptions!$X$52*MIN(A64,21))))</f>
        <v>2792.0429385256357</v>
      </c>
      <c r="O64" s="92">
        <f>MAX(O63,(IF(A64&lt;=Assumptions!$Z$53,Assumptions!$AC$53+(Assumptions!$O$53-Assumptions!$AC$53)*(A64-Assumptions!$AB$53)/(Assumptions!$Z$53-Assumptions!$AB$53),Assumptions!$O$53+(Assumptions!$P$53-Assumptions!$O$53)*(A64-Assumptions!$Z$53)/(Assumptions!$AA$53-Assumptions!$Z$53))+MAX(0,Assumptions!$W$53+Assumptions!$X$53*MIN(A64,21))))</f>
        <v>2865.7999999999997</v>
      </c>
      <c r="P64" s="92">
        <f>MAX(P63,(IF(A64&lt;=Assumptions!$Z$54,Assumptions!$AC$54+(Assumptions!$O$54-Assumptions!$AC$54)*(A64-Assumptions!$AB$54)/(Assumptions!$Z$54-Assumptions!$AB$54),Assumptions!$O$54+(Assumptions!$P$54-Assumptions!$O$54)*(A64-Assumptions!$Z$54)/(Assumptions!$AA$54-Assumptions!$Z$54))+MAX(0,Assumptions!$W$54+Assumptions!$X$54*MIN(A64,21))))</f>
        <v>2847.0194485785637</v>
      </c>
      <c r="Q64" s="92">
        <f>MAX(Q63,(IF(A64&lt;=Assumptions!$Z$55,Assumptions!$AC$55+(Assumptions!$O$55-Assumptions!$AC$55)*(A64-Assumptions!$AB$55)/(Assumptions!$Z$55-Assumptions!$AB$55),Assumptions!$O$55+(Assumptions!$P$55-Assumptions!$O$55)*(A64-Assumptions!$Z$55)/(Assumptions!$AA$55-Assumptions!$Z$55))+MAX(0,Assumptions!$W$55+Assumptions!$X$55*MIN(A64,21))))</f>
        <v>2809.9461538461537</v>
      </c>
      <c r="R64" s="92">
        <f>MAX(R63,(IF(A64&lt;=Assumptions!$Z$56,Assumptions!$AC$56+(Assumptions!$O$56-Assumptions!$AC$56)*(A64-Assumptions!$AB$56)/(Assumptions!$Z$56-Assumptions!$AB$56),Assumptions!$O$56+(Assumptions!$P$56-Assumptions!$O$56)*(A64-Assumptions!$Z$56)/(Assumptions!$AA$56-Assumptions!$Z$56))+MAX(0,Assumptions!$W$56+Assumptions!$X$56*MIN(A64,21))))</f>
        <v>2809.9461538461537</v>
      </c>
    </row>
    <row r="65" spans="1:18" x14ac:dyDescent="0.2">
      <c r="A65" s="91">
        <v>5</v>
      </c>
      <c r="B65" s="87">
        <f>MAX(B64,(IF(A65&lt;=Assumptions!$Z$40,Assumptions!$AC$40+(Assumptions!$O$40-Assumptions!$AC$40)*(A65-Assumptions!$AB$40)/(Assumptions!$Z$40-Assumptions!$AB$40),Assumptions!$O$40+(Assumptions!$P$40-Assumptions!$O$40)*(A65-Assumptions!$Z$40)/(Assumptions!$AA$40-Assumptions!$Z$40))+MAX(0,Assumptions!$W$40+Assumptions!$X$40*MIN(A65,21))))</f>
        <v>2750.7038406827883</v>
      </c>
      <c r="C65" s="87">
        <f>MAX(C64,(IF(A65&lt;=Assumptions!$Z$41,Assumptions!$AC$41+(Assumptions!$O$41-Assumptions!$AC$41)*(A65-Assumptions!$AB$41)/(Assumptions!$Z$41-Assumptions!$AB$41),Assumptions!$O$41+(Assumptions!$P$41-Assumptions!$O$41)*(A65-Assumptions!$Z$41)/(Assumptions!$AA$41-Assumptions!$Z$41))+MAX(0,Assumptions!$W$41+Assumptions!$X$41*MIN(A65,21))))</f>
        <v>2733.3737928893029</v>
      </c>
      <c r="D65" s="92">
        <f>MAX(D64,(IF(A65&lt;=Assumptions!$Z$42,Assumptions!$AC$42+(Assumptions!$O$42-Assumptions!$AC$42)*(A65-Assumptions!$AB$42)/(Assumptions!$Z$42-Assumptions!$AB$42),Assumptions!$O$42+(Assumptions!$P$42-Assumptions!$O$42)*(A65-Assumptions!$Z$42)/(Assumptions!$AA$42-Assumptions!$Z$42))+MAX(0,Assumptions!$W$42+Assumptions!$X$42*MIN(A65,21))))</f>
        <v>2912.3680952380951</v>
      </c>
      <c r="E65" s="87">
        <f>MAX(E64,(IF(A65&lt;=Assumptions!$Z$43,Assumptions!$AC$43+(Assumptions!$O$43-Assumptions!$AC$43)*(A65-Assumptions!$AB$43)/(Assumptions!$Z$43-Assumptions!$AB$43),Assumptions!$O$43+(Assumptions!$P$43-Assumptions!$O$43)*(A65-Assumptions!$Z$43)/(Assumptions!$AA$43-Assumptions!$Z$43))+MAX(0,Assumptions!$W$43+Assumptions!$X$43*MIN(A65,21))))</f>
        <v>2749.7462180040266</v>
      </c>
      <c r="F65" s="92">
        <f>MAX(F64,(IF(A65&lt;=Assumptions!$Z$44,Assumptions!$AC$44+(Assumptions!$O$44-Assumptions!$AC$44)*(A65-Assumptions!$AB$44)/(Assumptions!$Z$44-Assumptions!$AB$44),Assumptions!$O$44+(Assumptions!$P$44-Assumptions!$O$44)*(A65-Assumptions!$Z$44)/(Assumptions!$AA$44-Assumptions!$Z$44))+MAX(0,Assumptions!$W$44+Assumptions!$X$44*MIN(A65,21))))</f>
        <v>2863.98</v>
      </c>
      <c r="G65" s="87">
        <f>MAX(G64,(IF(A65&lt;=Assumptions!$Z$45,Assumptions!$AC$45+(Assumptions!$O$45-Assumptions!$AC$45)*(A65-Assumptions!$AB$45)/(Assumptions!$Z$45-Assumptions!$AB$45),Assumptions!$O$45+(Assumptions!$P$45-Assumptions!$O$45)*(A65-Assumptions!$Z$45)/(Assumptions!$AA$45-Assumptions!$Z$45))+MAX(0,Assumptions!$W$45+Assumptions!$X$45*MIN(A65,21))))</f>
        <v>2713.0947368421052</v>
      </c>
      <c r="H65" s="92">
        <f>MAX(H64,(IF(A65&lt;=Assumptions!$Z$46,Assumptions!$AC$46+(Assumptions!$O$46-Assumptions!$AC$46)*(A65-Assumptions!$AB$46)/(Assumptions!$Z$46-Assumptions!$AB$46),Assumptions!$O$46+(Assumptions!$P$46-Assumptions!$O$46)*(A65-Assumptions!$Z$46)/(Assumptions!$AA$46-Assumptions!$Z$46))+MAX(0,Assumptions!$W$46+Assumptions!$X$46*MIN(A65,21))))</f>
        <v>2822.31</v>
      </c>
      <c r="I65" s="87">
        <f>MAX(I64,(IF(A65&lt;=Assumptions!$Z$47,Assumptions!$AC$47+(Assumptions!$O$47-Assumptions!$AC$47)*(A65-Assumptions!$AB$47)/(Assumptions!$Z$47-Assumptions!$AB$47),Assumptions!$O$47+(Assumptions!$P$47-Assumptions!$O$47)*(A65-Assumptions!$Z$47)/(Assumptions!$AA$47-Assumptions!$Z$47))+MAX(0,Assumptions!$W$47+Assumptions!$X$47*MIN(A65,21))))</f>
        <v>2739.9488173178456</v>
      </c>
      <c r="J65" s="92">
        <f>MAX(J64,(IF(A65&lt;=Assumptions!$Z$48,Assumptions!$AC$48+(Assumptions!$O$48-Assumptions!$AC$48)*(A65-Assumptions!$AB$48)/(Assumptions!$Z$48-Assumptions!$AB$48),Assumptions!$O$48+(Assumptions!$P$48-Assumptions!$O$48)*(A65-Assumptions!$Z$48)/(Assumptions!$AA$48-Assumptions!$Z$48))+MAX(0,Assumptions!$W$48+Assumptions!$X$48*MIN(A65,21))))</f>
        <v>2864.07</v>
      </c>
      <c r="K65" s="87">
        <f>MAX(K64,(IF(A65&lt;=Assumptions!$Z$49,Assumptions!$AC$49+(Assumptions!$O$49-Assumptions!$AC$49)*(A65-Assumptions!$AB$49)/(Assumptions!$Z$49-Assumptions!$AB$49),Assumptions!$O$49+(Assumptions!$P$49-Assumptions!$O$49)*(A65-Assumptions!$Z$49)/(Assumptions!$AA$49-Assumptions!$Z$49))+MAX(0,Assumptions!$W$49+Assumptions!$X$49*MIN(A65,21))))</f>
        <v>2719.9381178063645</v>
      </c>
      <c r="L65" s="92">
        <f>MAX(L64,(IF(A65&lt;=Assumptions!$Z$50,Assumptions!$AC$50+(Assumptions!$O$50-Assumptions!$AC$50)*(A65-Assumptions!$AB$50)/(Assumptions!$Z$50-Assumptions!$AB$50),Assumptions!$O$50+(Assumptions!$P$50-Assumptions!$O$50)*(A65-Assumptions!$Z$50)/(Assumptions!$AA$50-Assumptions!$Z$50))+MAX(0,Assumptions!$W$50+Assumptions!$X$50*MIN(A65,21))))</f>
        <v>2835.12</v>
      </c>
      <c r="M65" s="87">
        <f>MAX(M64,(IF(A65&lt;=Assumptions!$Z$51,Assumptions!$AC$51+(Assumptions!$O$51-Assumptions!$AC$51)*(A65-Assumptions!$AB$51)/(Assumptions!$Z$51-Assumptions!$AB$51),Assumptions!$O$51+(Assumptions!$P$51-Assumptions!$O$51)*(A65-Assumptions!$Z$51)/(Assumptions!$AA$51-Assumptions!$Z$51))+MAX(0,Assumptions!$W$51+Assumptions!$X$51*MIN(A65,21))))</f>
        <v>2735.0419444444442</v>
      </c>
      <c r="N65" s="87">
        <f>MAX(N64,(IF(A65&lt;=Assumptions!$Z$52,Assumptions!$AC$52+(Assumptions!$O$52-Assumptions!$AC$52)*(A65-Assumptions!$AB$52)/(Assumptions!$Z$52-Assumptions!$AB$52),Assumptions!$O$52+(Assumptions!$P$52-Assumptions!$O$52)*(A65-Assumptions!$Z$52)/(Assumptions!$AA$52-Assumptions!$Z$52))+MAX(0,Assumptions!$W$52+Assumptions!$X$52*MIN(A65,21))))</f>
        <v>2799.3705467222176</v>
      </c>
      <c r="O65" s="92">
        <f>MAX(O64,(IF(A65&lt;=Assumptions!$Z$53,Assumptions!$AC$53+(Assumptions!$O$53-Assumptions!$AC$53)*(A65-Assumptions!$AB$53)/(Assumptions!$Z$53-Assumptions!$AB$53),Assumptions!$O$53+(Assumptions!$P$53-Assumptions!$O$53)*(A65-Assumptions!$Z$53)/(Assumptions!$AA$53-Assumptions!$Z$53))+MAX(0,Assumptions!$W$53+Assumptions!$X$53*MIN(A65,21))))</f>
        <v>2879.26</v>
      </c>
      <c r="P65" s="92">
        <f>MAX(P64,(IF(A65&lt;=Assumptions!$Z$54,Assumptions!$AC$54+(Assumptions!$O$54-Assumptions!$AC$54)*(A65-Assumptions!$AB$54)/(Assumptions!$Z$54-Assumptions!$AB$54),Assumptions!$O$54+(Assumptions!$P$54-Assumptions!$O$54)*(A65-Assumptions!$Z$54)/(Assumptions!$AA$54-Assumptions!$Z$54))+MAX(0,Assumptions!$W$54+Assumptions!$X$54*MIN(A65,21))))</f>
        <v>2857.4624523875591</v>
      </c>
      <c r="Q65" s="92">
        <f>MAX(Q64,(IF(A65&lt;=Assumptions!$Z$55,Assumptions!$AC$55+(Assumptions!$O$55-Assumptions!$AC$55)*(A65-Assumptions!$AB$55)/(Assumptions!$Z$55-Assumptions!$AB$55),Assumptions!$O$55+(Assumptions!$P$55-Assumptions!$O$55)*(A65-Assumptions!$Z$55)/(Assumptions!$AA$55-Assumptions!$Z$55))+MAX(0,Assumptions!$W$55+Assumptions!$X$55*MIN(A65,21))))</f>
        <v>2819.8923076923079</v>
      </c>
      <c r="R65" s="92">
        <f>MAX(R64,(IF(A65&lt;=Assumptions!$Z$56,Assumptions!$AC$56+(Assumptions!$O$56-Assumptions!$AC$56)*(A65-Assumptions!$AB$56)/(Assumptions!$Z$56-Assumptions!$AB$56),Assumptions!$O$56+(Assumptions!$P$56-Assumptions!$O$56)*(A65-Assumptions!$Z$56)/(Assumptions!$AA$56-Assumptions!$Z$56))+MAX(0,Assumptions!$W$56+Assumptions!$X$56*MIN(A65,21))))</f>
        <v>2819.8923076923079</v>
      </c>
    </row>
    <row r="66" spans="1:18" x14ac:dyDescent="0.2">
      <c r="A66" s="91">
        <v>6</v>
      </c>
      <c r="B66" s="87">
        <f>MAX(B65,(IF(A66&lt;=Assumptions!$Z$40,Assumptions!$AC$40+(Assumptions!$O$40-Assumptions!$AC$40)*(A66-Assumptions!$AB$40)/(Assumptions!$Z$40-Assumptions!$AB$40),Assumptions!$O$40+(Assumptions!$P$40-Assumptions!$O$40)*(A66-Assumptions!$Z$40)/(Assumptions!$AA$40-Assumptions!$Z$40))+MAX(0,Assumptions!$W$40+Assumptions!$X$40*MIN(A66,21))))</f>
        <v>2770.1186344238977</v>
      </c>
      <c r="C66" s="87">
        <f>MAX(C65,(IF(A66&lt;=Assumptions!$Z$41,Assumptions!$AC$41+(Assumptions!$O$41-Assumptions!$AC$41)*(A66-Assumptions!$AB$41)/(Assumptions!$Z$41-Assumptions!$AB$41),Assumptions!$O$41+(Assumptions!$P$41-Assumptions!$O$41)*(A66-Assumptions!$Z$41)/(Assumptions!$AA$41-Assumptions!$Z$41))+MAX(0,Assumptions!$W$41+Assumptions!$X$41*MIN(A66,21))))</f>
        <v>2748.9162862909488</v>
      </c>
      <c r="D66" s="92">
        <f>MAX(D65,(IF(A66&lt;=Assumptions!$Z$42,Assumptions!$AC$42+(Assumptions!$O$42-Assumptions!$AC$42)*(A66-Assumptions!$AB$42)/(Assumptions!$Z$42-Assumptions!$AB$42),Assumptions!$O$42+(Assumptions!$P$42-Assumptions!$O$42)*(A66-Assumptions!$Z$42)/(Assumptions!$AA$42-Assumptions!$Z$42))+MAX(0,Assumptions!$W$42+Assumptions!$X$42*MIN(A66,21))))</f>
        <v>2931.5728571428572</v>
      </c>
      <c r="E66" s="87">
        <f>MAX(E65,(IF(A66&lt;=Assumptions!$Z$43,Assumptions!$AC$43+(Assumptions!$O$43-Assumptions!$AC$43)*(A66-Assumptions!$AB$43)/(Assumptions!$Z$43-Assumptions!$AB$43),Assumptions!$O$43+(Assumptions!$P$43-Assumptions!$O$43)*(A66-Assumptions!$Z$43)/(Assumptions!$AA$43-Assumptions!$Z$43))+MAX(0,Assumptions!$W$43+Assumptions!$X$43*MIN(A66,21))))</f>
        <v>2766.8929536957148</v>
      </c>
      <c r="F66" s="92">
        <f>MAX(F65,(IF(A66&lt;=Assumptions!$Z$44,Assumptions!$AC$44+(Assumptions!$O$44-Assumptions!$AC$44)*(A66-Assumptions!$AB$44)/(Assumptions!$Z$44-Assumptions!$AB$44),Assumptions!$O$44+(Assumptions!$P$44-Assumptions!$O$44)*(A66-Assumptions!$Z$44)/(Assumptions!$AA$44-Assumptions!$Z$44))+MAX(0,Assumptions!$W$44+Assumptions!$X$44*MIN(A66,21))))</f>
        <v>2889.47</v>
      </c>
      <c r="G66" s="87">
        <f>MAX(G65,(IF(A66&lt;=Assumptions!$Z$45,Assumptions!$AC$45+(Assumptions!$O$45-Assumptions!$AC$45)*(A66-Assumptions!$AB$45)/(Assumptions!$Z$45-Assumptions!$AB$45),Assumptions!$O$45+(Assumptions!$P$45-Assumptions!$O$45)*(A66-Assumptions!$Z$45)/(Assumptions!$AA$45-Assumptions!$Z$45))+MAX(0,Assumptions!$W$45+Assumptions!$X$45*MIN(A66,21))))</f>
        <v>2734.1263157894737</v>
      </c>
      <c r="H66" s="92">
        <f>MAX(H65,(IF(A66&lt;=Assumptions!$Z$46,Assumptions!$AC$46+(Assumptions!$O$46-Assumptions!$AC$46)*(A66-Assumptions!$AB$46)/(Assumptions!$Z$46-Assumptions!$AB$46),Assumptions!$O$46+(Assumptions!$P$46-Assumptions!$O$46)*(A66-Assumptions!$Z$46)/(Assumptions!$AA$46-Assumptions!$Z$46))+MAX(0,Assumptions!$W$46+Assumptions!$X$46*MIN(A66,21))))</f>
        <v>2838.5</v>
      </c>
      <c r="I66" s="87">
        <f>MAX(I65,(IF(A66&lt;=Assumptions!$Z$47,Assumptions!$AC$47+(Assumptions!$O$47-Assumptions!$AC$47)*(A66-Assumptions!$AB$47)/(Assumptions!$Z$47-Assumptions!$AB$47),Assumptions!$O$47+(Assumptions!$P$47-Assumptions!$O$47)*(A66-Assumptions!$Z$47)/(Assumptions!$AA$47-Assumptions!$Z$47))+MAX(0,Assumptions!$W$47+Assumptions!$X$47*MIN(A66,21))))</f>
        <v>2754.9989862724392</v>
      </c>
      <c r="J66" s="92">
        <f>MAX(J65,(IF(A66&lt;=Assumptions!$Z$48,Assumptions!$AC$48+(Assumptions!$O$48-Assumptions!$AC$48)*(A66-Assumptions!$AB$48)/(Assumptions!$Z$48-Assumptions!$AB$48),Assumptions!$O$48+(Assumptions!$P$48-Assumptions!$O$48)*(A66-Assumptions!$Z$48)/(Assumptions!$AA$48-Assumptions!$Z$48))+MAX(0,Assumptions!$W$48+Assumptions!$X$48*MIN(A66,21))))</f>
        <v>2881.15</v>
      </c>
      <c r="K66" s="87">
        <f>MAX(K65,(IF(A66&lt;=Assumptions!$Z$49,Assumptions!$AC$49+(Assumptions!$O$49-Assumptions!$AC$49)*(A66-Assumptions!$AB$49)/(Assumptions!$Z$49-Assumptions!$AB$49),Assumptions!$O$49+(Assumptions!$P$49-Assumptions!$O$49)*(A66-Assumptions!$Z$49)/(Assumptions!$AA$49-Assumptions!$Z$49))+MAX(0,Assumptions!$W$49+Assumptions!$X$49*MIN(A66,21))))</f>
        <v>2733.1197020988493</v>
      </c>
      <c r="L66" s="92">
        <f>MAX(L65,(IF(A66&lt;=Assumptions!$Z$50,Assumptions!$AC$50+(Assumptions!$O$50-Assumptions!$AC$50)*(A66-Assumptions!$AB$50)/(Assumptions!$Z$50-Assumptions!$AB$50),Assumptions!$O$50+(Assumptions!$P$50-Assumptions!$O$50)*(A66-Assumptions!$Z$50)/(Assumptions!$AA$50-Assumptions!$Z$50))+MAX(0,Assumptions!$W$50+Assumptions!$X$50*MIN(A66,21))))</f>
        <v>2850</v>
      </c>
      <c r="M66" s="87">
        <f>MAX(M65,(IF(A66&lt;=Assumptions!$Z$51,Assumptions!$AC$51+(Assumptions!$O$51-Assumptions!$AC$51)*(A66-Assumptions!$AB$51)/(Assumptions!$Z$51-Assumptions!$AB$51),Assumptions!$O$51+(Assumptions!$P$51-Assumptions!$O$51)*(A66-Assumptions!$Z$51)/(Assumptions!$AA$51-Assumptions!$Z$51))+MAX(0,Assumptions!$W$51+Assumptions!$X$51*MIN(A66,21))))</f>
        <v>2748.9216666666666</v>
      </c>
      <c r="N66" s="87">
        <f>MAX(N65,(IF(A66&lt;=Assumptions!$Z$52,Assumptions!$AC$52+(Assumptions!$O$52-Assumptions!$AC$52)*(A66-Assumptions!$AB$52)/(Assumptions!$Z$52-Assumptions!$AB$52),Assumptions!$O$52+(Assumptions!$P$52-Assumptions!$O$52)*(A66-Assumptions!$Z$52)/(Assumptions!$AA$52-Assumptions!$Z$52))+MAX(0,Assumptions!$W$52+Assumptions!$X$52*MIN(A66,21))))</f>
        <v>2806.6981549187994</v>
      </c>
      <c r="O66" s="92">
        <f>MAX(O65,(IF(A66&lt;=Assumptions!$Z$53,Assumptions!$AC$53+(Assumptions!$O$53-Assumptions!$AC$53)*(A66-Assumptions!$AB$53)/(Assumptions!$Z$53-Assumptions!$AB$53),Assumptions!$O$53+(Assumptions!$P$53-Assumptions!$O$53)*(A66-Assumptions!$Z$53)/(Assumptions!$AA$53-Assumptions!$Z$53))+MAX(0,Assumptions!$W$53+Assumptions!$X$53*MIN(A66,21))))</f>
        <v>2892.72</v>
      </c>
      <c r="P66" s="92">
        <f>MAX(P65,(IF(A66&lt;=Assumptions!$Z$54,Assumptions!$AC$54+(Assumptions!$O$54-Assumptions!$AC$54)*(A66-Assumptions!$AB$54)/(Assumptions!$Z$54-Assumptions!$AB$54),Assumptions!$O$54+(Assumptions!$P$54-Assumptions!$O$54)*(A66-Assumptions!$Z$54)/(Assumptions!$AA$54-Assumptions!$Z$54))+MAX(0,Assumptions!$W$54+Assumptions!$X$54*MIN(A66,21))))</f>
        <v>2867.905456196554</v>
      </c>
      <c r="Q66" s="92">
        <f>MAX(Q65,(IF(A66&lt;=Assumptions!$Z$55,Assumptions!$AC$55+(Assumptions!$O$55-Assumptions!$AC$55)*(A66-Assumptions!$AB$55)/(Assumptions!$Z$55-Assumptions!$AB$55),Assumptions!$O$55+(Assumptions!$P$55-Assumptions!$O$55)*(A66-Assumptions!$Z$55)/(Assumptions!$AA$55-Assumptions!$Z$55))+MAX(0,Assumptions!$W$55+Assumptions!$X$55*MIN(A66,21))))</f>
        <v>2829.8384615384616</v>
      </c>
      <c r="R66" s="92">
        <f>MAX(R65,(IF(A66&lt;=Assumptions!$Z$56,Assumptions!$AC$56+(Assumptions!$O$56-Assumptions!$AC$56)*(A66-Assumptions!$AB$56)/(Assumptions!$Z$56-Assumptions!$AB$56),Assumptions!$O$56+(Assumptions!$P$56-Assumptions!$O$56)*(A66-Assumptions!$Z$56)/(Assumptions!$AA$56-Assumptions!$Z$56))+MAX(0,Assumptions!$W$56+Assumptions!$X$56*MIN(A66,21))))</f>
        <v>2829.8384615384616</v>
      </c>
    </row>
    <row r="67" spans="1:18" x14ac:dyDescent="0.2">
      <c r="A67" s="91">
        <v>7</v>
      </c>
      <c r="B67" s="87">
        <f>MAX(B66,(IF(A67&lt;=Assumptions!$Z$40,Assumptions!$AC$40+(Assumptions!$O$40-Assumptions!$AC$40)*(A67-Assumptions!$AB$40)/(Assumptions!$Z$40-Assumptions!$AB$40),Assumptions!$O$40+(Assumptions!$P$40-Assumptions!$O$40)*(A67-Assumptions!$Z$40)/(Assumptions!$AA$40-Assumptions!$Z$40))+MAX(0,Assumptions!$W$40+Assumptions!$X$40*MIN(A67,21))))</f>
        <v>2789.5334281650071</v>
      </c>
      <c r="C67" s="87">
        <f>MAX(C66,(IF(A67&lt;=Assumptions!$Z$41,Assumptions!$AC$41+(Assumptions!$O$41-Assumptions!$AC$41)*(A67-Assumptions!$AB$41)/(Assumptions!$Z$41-Assumptions!$AB$41),Assumptions!$O$41+(Assumptions!$P$41-Assumptions!$O$41)*(A67-Assumptions!$Z$41)/(Assumptions!$AA$41-Assumptions!$Z$41))+MAX(0,Assumptions!$W$41+Assumptions!$X$41*MIN(A67,21))))</f>
        <v>2764.4587796925944</v>
      </c>
      <c r="D67" s="92">
        <f>MAX(D66,(IF(A67&lt;=Assumptions!$Z$42,Assumptions!$AC$42+(Assumptions!$O$42-Assumptions!$AC$42)*(A67-Assumptions!$AB$42)/(Assumptions!$Z$42-Assumptions!$AB$42),Assumptions!$O$42+(Assumptions!$P$42-Assumptions!$O$42)*(A67-Assumptions!$Z$42)/(Assumptions!$AA$42-Assumptions!$Z$42))+MAX(0,Assumptions!$W$42+Assumptions!$X$42*MIN(A67,21))))</f>
        <v>2950.7776190476193</v>
      </c>
      <c r="E67" s="87">
        <f>MAX(E66,(IF(A67&lt;=Assumptions!$Z$43,Assumptions!$AC$43+(Assumptions!$O$43-Assumptions!$AC$43)*(A67-Assumptions!$AB$43)/(Assumptions!$Z$43-Assumptions!$AB$43),Assumptions!$O$43+(Assumptions!$P$43-Assumptions!$O$43)*(A67-Assumptions!$Z$43)/(Assumptions!$AA$43-Assumptions!$Z$43))+MAX(0,Assumptions!$W$43+Assumptions!$X$43*MIN(A67,21))))</f>
        <v>2784.0396893874026</v>
      </c>
      <c r="F67" s="92">
        <f>MAX(F66,(IF(A67&lt;=Assumptions!$Z$44,Assumptions!$AC$44+(Assumptions!$O$44-Assumptions!$AC$44)*(A67-Assumptions!$AB$44)/(Assumptions!$Z$44-Assumptions!$AB$44),Assumptions!$O$44+(Assumptions!$P$44-Assumptions!$O$44)*(A67-Assumptions!$Z$44)/(Assumptions!$AA$44-Assumptions!$Z$44))+MAX(0,Assumptions!$W$44+Assumptions!$X$44*MIN(A67,21))))</f>
        <v>2914.9599999999996</v>
      </c>
      <c r="G67" s="87">
        <f>MAX(G66,(IF(A67&lt;=Assumptions!$Z$45,Assumptions!$AC$45+(Assumptions!$O$45-Assumptions!$AC$45)*(A67-Assumptions!$AB$45)/(Assumptions!$Z$45-Assumptions!$AB$45),Assumptions!$O$45+(Assumptions!$P$45-Assumptions!$O$45)*(A67-Assumptions!$Z$45)/(Assumptions!$AA$45-Assumptions!$Z$45))+MAX(0,Assumptions!$W$45+Assumptions!$X$45*MIN(A67,21))))</f>
        <v>2755.1578947368421</v>
      </c>
      <c r="H67" s="92">
        <f>MAX(H66,(IF(A67&lt;=Assumptions!$Z$46,Assumptions!$AC$46+(Assumptions!$O$46-Assumptions!$AC$46)*(A67-Assumptions!$AB$46)/(Assumptions!$Z$46-Assumptions!$AB$46),Assumptions!$O$46+(Assumptions!$P$46-Assumptions!$O$46)*(A67-Assumptions!$Z$46)/(Assumptions!$AA$46-Assumptions!$Z$46))+MAX(0,Assumptions!$W$46+Assumptions!$X$46*MIN(A67,21))))</f>
        <v>2854.69</v>
      </c>
      <c r="I67" s="87">
        <f>MAX(I66,(IF(A67&lt;=Assumptions!$Z$47,Assumptions!$AC$47+(Assumptions!$O$47-Assumptions!$AC$47)*(A67-Assumptions!$AB$47)/(Assumptions!$Z$47-Assumptions!$AB$47),Assumptions!$O$47+(Assumptions!$P$47-Assumptions!$O$47)*(A67-Assumptions!$Z$47)/(Assumptions!$AA$47-Assumptions!$Z$47))+MAX(0,Assumptions!$W$47+Assumptions!$X$47*MIN(A67,21))))</f>
        <v>2770.0491552270328</v>
      </c>
      <c r="J67" s="92">
        <f>MAX(J66,(IF(A67&lt;=Assumptions!$Z$48,Assumptions!$AC$48+(Assumptions!$O$48-Assumptions!$AC$48)*(A67-Assumptions!$AB$48)/(Assumptions!$Z$48-Assumptions!$AB$48),Assumptions!$O$48+(Assumptions!$P$48-Assumptions!$O$48)*(A67-Assumptions!$Z$48)/(Assumptions!$AA$48-Assumptions!$Z$48))+MAX(0,Assumptions!$W$48+Assumptions!$X$48*MIN(A67,21))))</f>
        <v>2898.23</v>
      </c>
      <c r="K67" s="87">
        <f>MAX(K66,(IF(A67&lt;=Assumptions!$Z$49,Assumptions!$AC$49+(Assumptions!$O$49-Assumptions!$AC$49)*(A67-Assumptions!$AB$49)/(Assumptions!$Z$49-Assumptions!$AB$49),Assumptions!$O$49+(Assumptions!$P$49-Assumptions!$O$49)*(A67-Assumptions!$Z$49)/(Assumptions!$AA$49-Assumptions!$Z$49))+MAX(0,Assumptions!$W$49+Assumptions!$X$49*MIN(A67,21))))</f>
        <v>2746.3012863913341</v>
      </c>
      <c r="L67" s="92">
        <f>MAX(L66,(IF(A67&lt;=Assumptions!$Z$50,Assumptions!$AC$50+(Assumptions!$O$50-Assumptions!$AC$50)*(A67-Assumptions!$AB$50)/(Assumptions!$Z$50-Assumptions!$AB$50),Assumptions!$O$50+(Assumptions!$P$50-Assumptions!$O$50)*(A67-Assumptions!$Z$50)/(Assumptions!$AA$50-Assumptions!$Z$50))+MAX(0,Assumptions!$W$50+Assumptions!$X$50*MIN(A67,21))))</f>
        <v>2864.88</v>
      </c>
      <c r="M67" s="87">
        <f>MAX(M66,(IF(A67&lt;=Assumptions!$Z$51,Assumptions!$AC$51+(Assumptions!$O$51-Assumptions!$AC$51)*(A67-Assumptions!$AB$51)/(Assumptions!$Z$51-Assumptions!$AB$51),Assumptions!$O$51+(Assumptions!$P$51-Assumptions!$O$51)*(A67-Assumptions!$Z$51)/(Assumptions!$AA$51-Assumptions!$Z$51))+MAX(0,Assumptions!$W$51+Assumptions!$X$51*MIN(A67,21))))</f>
        <v>2762.8013888888891</v>
      </c>
      <c r="N67" s="87">
        <f>MAX(N66,(IF(A67&lt;=Assumptions!$Z$52,Assumptions!$AC$52+(Assumptions!$O$52-Assumptions!$AC$52)*(A67-Assumptions!$AB$52)/(Assumptions!$Z$52-Assumptions!$AB$52),Assumptions!$O$52+(Assumptions!$P$52-Assumptions!$O$52)*(A67-Assumptions!$Z$52)/(Assumptions!$AA$52-Assumptions!$Z$52))+MAX(0,Assumptions!$W$52+Assumptions!$X$52*MIN(A67,21))))</f>
        <v>2814.0257631153813</v>
      </c>
      <c r="O67" s="92">
        <f>MAX(O66,(IF(A67&lt;=Assumptions!$Z$53,Assumptions!$AC$53+(Assumptions!$O$53-Assumptions!$AC$53)*(A67-Assumptions!$AB$53)/(Assumptions!$Z$53-Assumptions!$AB$53),Assumptions!$O$53+(Assumptions!$P$53-Assumptions!$O$53)*(A67-Assumptions!$Z$53)/(Assumptions!$AA$53-Assumptions!$Z$53))+MAX(0,Assumptions!$W$53+Assumptions!$X$53*MIN(A67,21))))</f>
        <v>2906.18</v>
      </c>
      <c r="P67" s="92">
        <f>MAX(P66,(IF(A67&lt;=Assumptions!$Z$54,Assumptions!$AC$54+(Assumptions!$O$54-Assumptions!$AC$54)*(A67-Assumptions!$AB$54)/(Assumptions!$Z$54-Assumptions!$AB$54),Assumptions!$O$54+(Assumptions!$P$54-Assumptions!$O$54)*(A67-Assumptions!$Z$54)/(Assumptions!$AA$54-Assumptions!$Z$54))+MAX(0,Assumptions!$W$54+Assumptions!$X$54*MIN(A67,21))))</f>
        <v>2878.3484600055494</v>
      </c>
      <c r="Q67" s="92">
        <f>MAX(Q66,(IF(A67&lt;=Assumptions!$Z$55,Assumptions!$AC$55+(Assumptions!$O$55-Assumptions!$AC$55)*(A67-Assumptions!$AB$55)/(Assumptions!$Z$55-Assumptions!$AB$55),Assumptions!$O$55+(Assumptions!$P$55-Assumptions!$O$55)*(A67-Assumptions!$Z$55)/(Assumptions!$AA$55-Assumptions!$Z$55))+MAX(0,Assumptions!$W$55+Assumptions!$X$55*MIN(A67,21))))</f>
        <v>2839.7846153846153</v>
      </c>
      <c r="R67" s="92">
        <f>MAX(R66,(IF(A67&lt;=Assumptions!$Z$56,Assumptions!$AC$56+(Assumptions!$O$56-Assumptions!$AC$56)*(A67-Assumptions!$AB$56)/(Assumptions!$Z$56-Assumptions!$AB$56),Assumptions!$O$56+(Assumptions!$P$56-Assumptions!$O$56)*(A67-Assumptions!$Z$56)/(Assumptions!$AA$56-Assumptions!$Z$56))+MAX(0,Assumptions!$W$56+Assumptions!$X$56*MIN(A67,21))))</f>
        <v>2839.7846153846153</v>
      </c>
    </row>
    <row r="68" spans="1:18" x14ac:dyDescent="0.2">
      <c r="A68" s="91">
        <v>8</v>
      </c>
      <c r="B68" s="87">
        <f>MAX(B67,(IF(A68&lt;=Assumptions!$Z$40,Assumptions!$AC$40+(Assumptions!$O$40-Assumptions!$AC$40)*(A68-Assumptions!$AB$40)/(Assumptions!$Z$40-Assumptions!$AB$40),Assumptions!$O$40+(Assumptions!$P$40-Assumptions!$O$40)*(A68-Assumptions!$Z$40)/(Assumptions!$AA$40-Assumptions!$Z$40))+MAX(0,Assumptions!$W$40+Assumptions!$X$40*MIN(A68,21))))</f>
        <v>2808.9482219061169</v>
      </c>
      <c r="C68" s="87">
        <f>MAX(C67,(IF(A68&lt;=Assumptions!$Z$41,Assumptions!$AC$41+(Assumptions!$O$41-Assumptions!$AC$41)*(A68-Assumptions!$AB$41)/(Assumptions!$Z$41-Assumptions!$AB$41),Assumptions!$O$41+(Assumptions!$P$41-Assumptions!$O$41)*(A68-Assumptions!$Z$41)/(Assumptions!$AA$41-Assumptions!$Z$41))+MAX(0,Assumptions!$W$41+Assumptions!$X$41*MIN(A68,21))))</f>
        <v>2780.0012730942403</v>
      </c>
      <c r="D68" s="92">
        <f>MAX(D67,(IF(A68&lt;=Assumptions!$Z$42,Assumptions!$AC$42+(Assumptions!$O$42-Assumptions!$AC$42)*(A68-Assumptions!$AB$42)/(Assumptions!$Z$42-Assumptions!$AB$42),Assumptions!$O$42+(Assumptions!$P$42-Assumptions!$O$42)*(A68-Assumptions!$Z$42)/(Assumptions!$AA$42-Assumptions!$Z$42))+MAX(0,Assumptions!$W$42+Assumptions!$X$42*MIN(A68,21))))</f>
        <v>2969.9823809523805</v>
      </c>
      <c r="E68" s="87">
        <f>MAX(E67,(IF(A68&lt;=Assumptions!$Z$43,Assumptions!$AC$43+(Assumptions!$O$43-Assumptions!$AC$43)*(A68-Assumptions!$AB$43)/(Assumptions!$Z$43-Assumptions!$AB$43),Assumptions!$O$43+(Assumptions!$P$43-Assumptions!$O$43)*(A68-Assumptions!$Z$43)/(Assumptions!$AA$43-Assumptions!$Z$43))+MAX(0,Assumptions!$W$43+Assumptions!$X$43*MIN(A68,21))))</f>
        <v>2801.1864250790909</v>
      </c>
      <c r="F68" s="92">
        <f>MAX(F67,(IF(A68&lt;=Assumptions!$Z$44,Assumptions!$AC$44+(Assumptions!$O$44-Assumptions!$AC$44)*(A68-Assumptions!$AB$44)/(Assumptions!$Z$44-Assumptions!$AB$44),Assumptions!$O$44+(Assumptions!$P$44-Assumptions!$O$44)*(A68-Assumptions!$Z$44)/(Assumptions!$AA$44-Assumptions!$Z$44))+MAX(0,Assumptions!$W$44+Assumptions!$X$44*MIN(A68,21))))</f>
        <v>2940.45</v>
      </c>
      <c r="G68" s="87">
        <f>MAX(G67,(IF(A68&lt;=Assumptions!$Z$45,Assumptions!$AC$45+(Assumptions!$O$45-Assumptions!$AC$45)*(A68-Assumptions!$AB$45)/(Assumptions!$Z$45-Assumptions!$AB$45),Assumptions!$O$45+(Assumptions!$P$45-Assumptions!$O$45)*(A68-Assumptions!$Z$45)/(Assumptions!$AA$45-Assumptions!$Z$45))+MAX(0,Assumptions!$W$45+Assumptions!$X$45*MIN(A68,21))))</f>
        <v>2776.1894736842105</v>
      </c>
      <c r="H68" s="92">
        <f>MAX(H67,(IF(A68&lt;=Assumptions!$Z$46,Assumptions!$AC$46+(Assumptions!$O$46-Assumptions!$AC$46)*(A68-Assumptions!$AB$46)/(Assumptions!$Z$46-Assumptions!$AB$46),Assumptions!$O$46+(Assumptions!$P$46-Assumptions!$O$46)*(A68-Assumptions!$Z$46)/(Assumptions!$AA$46-Assumptions!$Z$46))+MAX(0,Assumptions!$W$46+Assumptions!$X$46*MIN(A68,21))))</f>
        <v>2870.88</v>
      </c>
      <c r="I68" s="87">
        <f>MAX(I67,(IF(A68&lt;=Assumptions!$Z$47,Assumptions!$AC$47+(Assumptions!$O$47-Assumptions!$AC$47)*(A68-Assumptions!$AB$47)/(Assumptions!$Z$47-Assumptions!$AB$47),Assumptions!$O$47+(Assumptions!$P$47-Assumptions!$O$47)*(A68-Assumptions!$Z$47)/(Assumptions!$AA$47-Assumptions!$Z$47))+MAX(0,Assumptions!$W$47+Assumptions!$X$47*MIN(A68,21))))</f>
        <v>2785.0993241816263</v>
      </c>
      <c r="J68" s="92">
        <f>MAX(J67,(IF(A68&lt;=Assumptions!$Z$48,Assumptions!$AC$48+(Assumptions!$O$48-Assumptions!$AC$48)*(A68-Assumptions!$AB$48)/(Assumptions!$Z$48-Assumptions!$AB$48),Assumptions!$O$48+(Assumptions!$P$48-Assumptions!$O$48)*(A68-Assumptions!$Z$48)/(Assumptions!$AA$48-Assumptions!$Z$48))+MAX(0,Assumptions!$W$48+Assumptions!$X$48*MIN(A68,21))))</f>
        <v>2915.31</v>
      </c>
      <c r="K68" s="87">
        <f>MAX(K67,(IF(A68&lt;=Assumptions!$Z$49,Assumptions!$AC$49+(Assumptions!$O$49-Assumptions!$AC$49)*(A68-Assumptions!$AB$49)/(Assumptions!$Z$49-Assumptions!$AB$49),Assumptions!$O$49+(Assumptions!$P$49-Assumptions!$O$49)*(A68-Assumptions!$Z$49)/(Assumptions!$AA$49-Assumptions!$Z$49))+MAX(0,Assumptions!$W$49+Assumptions!$X$49*MIN(A68,21))))</f>
        <v>2759.4828706838189</v>
      </c>
      <c r="L68" s="92">
        <f>MAX(L67,(IF(A68&lt;=Assumptions!$Z$50,Assumptions!$AC$50+(Assumptions!$O$50-Assumptions!$AC$50)*(A68-Assumptions!$AB$50)/(Assumptions!$Z$50-Assumptions!$AB$50),Assumptions!$O$50+(Assumptions!$P$50-Assumptions!$O$50)*(A68-Assumptions!$Z$50)/(Assumptions!$AA$50-Assumptions!$Z$50))+MAX(0,Assumptions!$W$50+Assumptions!$X$50*MIN(A68,21))))</f>
        <v>2879.76</v>
      </c>
      <c r="M68" s="87">
        <f>MAX(M67,(IF(A68&lt;=Assumptions!$Z$51,Assumptions!$AC$51+(Assumptions!$O$51-Assumptions!$AC$51)*(A68-Assumptions!$AB$51)/(Assumptions!$Z$51-Assumptions!$AB$51),Assumptions!$O$51+(Assumptions!$P$51-Assumptions!$O$51)*(A68-Assumptions!$Z$51)/(Assumptions!$AA$51-Assumptions!$Z$51))+MAX(0,Assumptions!$W$51+Assumptions!$X$51*MIN(A68,21))))</f>
        <v>2776.681111111111</v>
      </c>
      <c r="N68" s="87">
        <f>MAX(N67,(IF(A68&lt;=Assumptions!$Z$52,Assumptions!$AC$52+(Assumptions!$O$52-Assumptions!$AC$52)*(A68-Assumptions!$AB$52)/(Assumptions!$Z$52-Assumptions!$AB$52),Assumptions!$O$52+(Assumptions!$P$52-Assumptions!$O$52)*(A68-Assumptions!$Z$52)/(Assumptions!$AA$52-Assumptions!$Z$52))+MAX(0,Assumptions!$W$52+Assumptions!$X$52*MIN(A68,21))))</f>
        <v>2821.3533713119632</v>
      </c>
      <c r="O68" s="92">
        <f>MAX(O67,(IF(A68&lt;=Assumptions!$Z$53,Assumptions!$AC$53+(Assumptions!$O$53-Assumptions!$AC$53)*(A68-Assumptions!$AB$53)/(Assumptions!$Z$53-Assumptions!$AB$53),Assumptions!$O$53+(Assumptions!$P$53-Assumptions!$O$53)*(A68-Assumptions!$Z$53)/(Assumptions!$AA$53-Assumptions!$Z$53))+MAX(0,Assumptions!$W$53+Assumptions!$X$53*MIN(A68,21))))</f>
        <v>2919.6400000000003</v>
      </c>
      <c r="P68" s="92">
        <f>MAX(P67,(IF(A68&lt;=Assumptions!$Z$54,Assumptions!$AC$54+(Assumptions!$O$54-Assumptions!$AC$54)*(A68-Assumptions!$AB$54)/(Assumptions!$Z$54-Assumptions!$AB$54),Assumptions!$O$54+(Assumptions!$P$54-Assumptions!$O$54)*(A68-Assumptions!$Z$54)/(Assumptions!$AA$54-Assumptions!$Z$54))+MAX(0,Assumptions!$W$54+Assumptions!$X$54*MIN(A68,21))))</f>
        <v>2888.7914638145448</v>
      </c>
      <c r="Q68" s="92">
        <f>MAX(Q67,(IF(A68&lt;=Assumptions!$Z$55,Assumptions!$AC$55+(Assumptions!$O$55-Assumptions!$AC$55)*(A68-Assumptions!$AB$55)/(Assumptions!$Z$55-Assumptions!$AB$55),Assumptions!$O$55+(Assumptions!$P$55-Assumptions!$O$55)*(A68-Assumptions!$Z$55)/(Assumptions!$AA$55-Assumptions!$Z$55))+MAX(0,Assumptions!$W$55+Assumptions!$X$55*MIN(A68,21))))</f>
        <v>2849.7307692307695</v>
      </c>
      <c r="R68" s="92">
        <f>MAX(R67,(IF(A68&lt;=Assumptions!$Z$56,Assumptions!$AC$56+(Assumptions!$O$56-Assumptions!$AC$56)*(A68-Assumptions!$AB$56)/(Assumptions!$Z$56-Assumptions!$AB$56),Assumptions!$O$56+(Assumptions!$P$56-Assumptions!$O$56)*(A68-Assumptions!$Z$56)/(Assumptions!$AA$56-Assumptions!$Z$56))+MAX(0,Assumptions!$W$56+Assumptions!$X$56*MIN(A68,21))))</f>
        <v>2849.7307692307695</v>
      </c>
    </row>
    <row r="69" spans="1:18" x14ac:dyDescent="0.2">
      <c r="A69" s="91">
        <v>9</v>
      </c>
      <c r="B69" s="87">
        <f>MAX(B68,(IF(A69&lt;=Assumptions!$Z$40,Assumptions!$AC$40+(Assumptions!$O$40-Assumptions!$AC$40)*(A69-Assumptions!$AB$40)/(Assumptions!$Z$40-Assumptions!$AB$40),Assumptions!$O$40+(Assumptions!$P$40-Assumptions!$O$40)*(A69-Assumptions!$Z$40)/(Assumptions!$AA$40-Assumptions!$Z$40))+MAX(0,Assumptions!$W$40+Assumptions!$X$40*MIN(A69,21))))</f>
        <v>2828.3630156472263</v>
      </c>
      <c r="C69" s="87">
        <f>MAX(C68,(IF(A69&lt;=Assumptions!$Z$41,Assumptions!$AC$41+(Assumptions!$O$41-Assumptions!$AC$41)*(A69-Assumptions!$AB$41)/(Assumptions!$Z$41-Assumptions!$AB$41),Assumptions!$O$41+(Assumptions!$P$41-Assumptions!$O$41)*(A69-Assumptions!$Z$41)/(Assumptions!$AA$41-Assumptions!$Z$41))+MAX(0,Assumptions!$W$41+Assumptions!$X$41*MIN(A69,21))))</f>
        <v>2795.5437664958858</v>
      </c>
      <c r="D69" s="92">
        <f>MAX(D68,(IF(A69&lt;=Assumptions!$Z$42,Assumptions!$AC$42+(Assumptions!$O$42-Assumptions!$AC$42)*(A69-Assumptions!$AB$42)/(Assumptions!$Z$42-Assumptions!$AB$42),Assumptions!$O$42+(Assumptions!$P$42-Assumptions!$O$42)*(A69-Assumptions!$Z$42)/(Assumptions!$AA$42-Assumptions!$Z$42))+MAX(0,Assumptions!$W$42+Assumptions!$X$42*MIN(A69,21))))</f>
        <v>2989.1871428571426</v>
      </c>
      <c r="E69" s="87">
        <f>MAX(E68,(IF(A69&lt;=Assumptions!$Z$43,Assumptions!$AC$43+(Assumptions!$O$43-Assumptions!$AC$43)*(A69-Assumptions!$AB$43)/(Assumptions!$Z$43-Assumptions!$AB$43),Assumptions!$O$43+(Assumptions!$P$43-Assumptions!$O$43)*(A69-Assumptions!$Z$43)/(Assumptions!$AA$43-Assumptions!$Z$43))+MAX(0,Assumptions!$W$43+Assumptions!$X$43*MIN(A69,21))))</f>
        <v>2818.3331607707792</v>
      </c>
      <c r="F69" s="92">
        <f>MAX(F68,(IF(A69&lt;=Assumptions!$Z$44,Assumptions!$AC$44+(Assumptions!$O$44-Assumptions!$AC$44)*(A69-Assumptions!$AB$44)/(Assumptions!$Z$44-Assumptions!$AB$44),Assumptions!$O$44+(Assumptions!$P$44-Assumptions!$O$44)*(A69-Assumptions!$Z$44)/(Assumptions!$AA$44-Assumptions!$Z$44))+MAX(0,Assumptions!$W$44+Assumptions!$X$44*MIN(A69,21))))</f>
        <v>2965.94</v>
      </c>
      <c r="G69" s="87">
        <f>MAX(G68,(IF(A69&lt;=Assumptions!$Z$45,Assumptions!$AC$45+(Assumptions!$O$45-Assumptions!$AC$45)*(A69-Assumptions!$AB$45)/(Assumptions!$Z$45-Assumptions!$AB$45),Assumptions!$O$45+(Assumptions!$P$45-Assumptions!$O$45)*(A69-Assumptions!$Z$45)/(Assumptions!$AA$45-Assumptions!$Z$45))+MAX(0,Assumptions!$W$45+Assumptions!$X$45*MIN(A69,21))))</f>
        <v>2797.2210526315789</v>
      </c>
      <c r="H69" s="92">
        <f>MAX(H68,(IF(A69&lt;=Assumptions!$Z$46,Assumptions!$AC$46+(Assumptions!$O$46-Assumptions!$AC$46)*(A69-Assumptions!$AB$46)/(Assumptions!$Z$46-Assumptions!$AB$46),Assumptions!$O$46+(Assumptions!$P$46-Assumptions!$O$46)*(A69-Assumptions!$Z$46)/(Assumptions!$AA$46-Assumptions!$Z$46))+MAX(0,Assumptions!$W$46+Assumptions!$X$46*MIN(A69,21))))</f>
        <v>2887.07</v>
      </c>
      <c r="I69" s="87">
        <f>MAX(I68,(IF(A69&lt;=Assumptions!$Z$47,Assumptions!$AC$47+(Assumptions!$O$47-Assumptions!$AC$47)*(A69-Assumptions!$AB$47)/(Assumptions!$Z$47-Assumptions!$AB$47),Assumptions!$O$47+(Assumptions!$P$47-Assumptions!$O$47)*(A69-Assumptions!$Z$47)/(Assumptions!$AA$47-Assumptions!$Z$47))+MAX(0,Assumptions!$W$47+Assumptions!$X$47*MIN(A69,21))))</f>
        <v>2800.1494931362199</v>
      </c>
      <c r="J69" s="92">
        <f>MAX(J68,(IF(A69&lt;=Assumptions!$Z$48,Assumptions!$AC$48+(Assumptions!$O$48-Assumptions!$AC$48)*(A69-Assumptions!$AB$48)/(Assumptions!$Z$48-Assumptions!$AB$48),Assumptions!$O$48+(Assumptions!$P$48-Assumptions!$O$48)*(A69-Assumptions!$Z$48)/(Assumptions!$AA$48-Assumptions!$Z$48))+MAX(0,Assumptions!$W$48+Assumptions!$X$48*MIN(A69,21))))</f>
        <v>2932.3900000000003</v>
      </c>
      <c r="K69" s="87">
        <f>MAX(K68,(IF(A69&lt;=Assumptions!$Z$49,Assumptions!$AC$49+(Assumptions!$O$49-Assumptions!$AC$49)*(A69-Assumptions!$AB$49)/(Assumptions!$Z$49-Assumptions!$AB$49),Assumptions!$O$49+(Assumptions!$P$49-Assumptions!$O$49)*(A69-Assumptions!$Z$49)/(Assumptions!$AA$49-Assumptions!$Z$49))+MAX(0,Assumptions!$W$49+Assumptions!$X$49*MIN(A69,21))))</f>
        <v>2772.6644549763037</v>
      </c>
      <c r="L69" s="92">
        <f>MAX(L68,(IF(A69&lt;=Assumptions!$Z$50,Assumptions!$AC$50+(Assumptions!$O$50-Assumptions!$AC$50)*(A69-Assumptions!$AB$50)/(Assumptions!$Z$50-Assumptions!$AB$50),Assumptions!$O$50+(Assumptions!$P$50-Assumptions!$O$50)*(A69-Assumptions!$Z$50)/(Assumptions!$AA$50-Assumptions!$Z$50))+MAX(0,Assumptions!$W$50+Assumptions!$X$50*MIN(A69,21))))</f>
        <v>2894.64</v>
      </c>
      <c r="M69" s="87">
        <f>MAX(M68,(IF(A69&lt;=Assumptions!$Z$51,Assumptions!$AC$51+(Assumptions!$O$51-Assumptions!$AC$51)*(A69-Assumptions!$AB$51)/(Assumptions!$Z$51-Assumptions!$AB$51),Assumptions!$O$51+(Assumptions!$P$51-Assumptions!$O$51)*(A69-Assumptions!$Z$51)/(Assumptions!$AA$51-Assumptions!$Z$51))+MAX(0,Assumptions!$W$51+Assumptions!$X$51*MIN(A69,21))))</f>
        <v>2790.560833333333</v>
      </c>
      <c r="N69" s="87">
        <f>MAX(N68,(IF(A69&lt;=Assumptions!$Z$52,Assumptions!$AC$52+(Assumptions!$O$52-Assumptions!$AC$52)*(A69-Assumptions!$AB$52)/(Assumptions!$Z$52-Assumptions!$AB$52),Assumptions!$O$52+(Assumptions!$P$52-Assumptions!$O$52)*(A69-Assumptions!$Z$52)/(Assumptions!$AA$52-Assumptions!$Z$52))+MAX(0,Assumptions!$W$52+Assumptions!$X$52*MIN(A69,21))))</f>
        <v>2828.6809795085451</v>
      </c>
      <c r="O69" s="92">
        <f>MAX(O68,(IF(A69&lt;=Assumptions!$Z$53,Assumptions!$AC$53+(Assumptions!$O$53-Assumptions!$AC$53)*(A69-Assumptions!$AB$53)/(Assumptions!$Z$53-Assumptions!$AB$53),Assumptions!$O$53+(Assumptions!$P$53-Assumptions!$O$53)*(A69-Assumptions!$Z$53)/(Assumptions!$AA$53-Assumptions!$Z$53))+MAX(0,Assumptions!$W$53+Assumptions!$X$53*MIN(A69,21))))</f>
        <v>2933.1</v>
      </c>
      <c r="P69" s="92">
        <f>MAX(P68,(IF(A69&lt;=Assumptions!$Z$54,Assumptions!$AC$54+(Assumptions!$O$54-Assumptions!$AC$54)*(A69-Assumptions!$AB$54)/(Assumptions!$Z$54-Assumptions!$AB$54),Assumptions!$O$54+(Assumptions!$P$54-Assumptions!$O$54)*(A69-Assumptions!$Z$54)/(Assumptions!$AA$54-Assumptions!$Z$54))+MAX(0,Assumptions!$W$54+Assumptions!$X$54*MIN(A69,21))))</f>
        <v>2899.2344676235402</v>
      </c>
      <c r="Q69" s="92">
        <f>MAX(Q68,(IF(A69&lt;=Assumptions!$Z$55,Assumptions!$AC$55+(Assumptions!$O$55-Assumptions!$AC$55)*(A69-Assumptions!$AB$55)/(Assumptions!$Z$55-Assumptions!$AB$55),Assumptions!$O$55+(Assumptions!$P$55-Assumptions!$O$55)*(A69-Assumptions!$Z$55)/(Assumptions!$AA$55-Assumptions!$Z$55))+MAX(0,Assumptions!$W$55+Assumptions!$X$55*MIN(A69,21))))</f>
        <v>2859.6769230769232</v>
      </c>
      <c r="R69" s="92">
        <f>MAX(R68,(IF(A69&lt;=Assumptions!$Z$56,Assumptions!$AC$56+(Assumptions!$O$56-Assumptions!$AC$56)*(A69-Assumptions!$AB$56)/(Assumptions!$Z$56-Assumptions!$AB$56),Assumptions!$O$56+(Assumptions!$P$56-Assumptions!$O$56)*(A69-Assumptions!$Z$56)/(Assumptions!$AA$56-Assumptions!$Z$56))+MAX(0,Assumptions!$W$56+Assumptions!$X$56*MIN(A69,21))))</f>
        <v>2859.6769230769232</v>
      </c>
    </row>
    <row r="70" spans="1:18" x14ac:dyDescent="0.2">
      <c r="A70" s="91">
        <v>10</v>
      </c>
      <c r="B70" s="87">
        <f>MAX(B69,(IF(A70&lt;=Assumptions!$Z$40,Assumptions!$AC$40+(Assumptions!$O$40-Assumptions!$AC$40)*(A70-Assumptions!$AB$40)/(Assumptions!$Z$40-Assumptions!$AB$40),Assumptions!$O$40+(Assumptions!$P$40-Assumptions!$O$40)*(A70-Assumptions!$Z$40)/(Assumptions!$AA$40-Assumptions!$Z$40))+MAX(0,Assumptions!$W$40+Assumptions!$X$40*MIN(A70,21))))</f>
        <v>2847.7778093883358</v>
      </c>
      <c r="C70" s="87">
        <f>MAX(C69,(IF(A70&lt;=Assumptions!$Z$41,Assumptions!$AC$41+(Assumptions!$O$41-Assumptions!$AC$41)*(A70-Assumptions!$AB$41)/(Assumptions!$Z$41-Assumptions!$AB$41),Assumptions!$O$41+(Assumptions!$P$41-Assumptions!$O$41)*(A70-Assumptions!$Z$41)/(Assumptions!$AA$41-Assumptions!$Z$41))+MAX(0,Assumptions!$W$41+Assumptions!$X$41*MIN(A70,21))))</f>
        <v>2811.0862598975314</v>
      </c>
      <c r="D70" s="92">
        <f>MAX(D69,(IF(A70&lt;=Assumptions!$Z$42,Assumptions!$AC$42+(Assumptions!$O$42-Assumptions!$AC$42)*(A70-Assumptions!$AB$42)/(Assumptions!$Z$42-Assumptions!$AB$42),Assumptions!$O$42+(Assumptions!$P$42-Assumptions!$O$42)*(A70-Assumptions!$Z$42)/(Assumptions!$AA$42-Assumptions!$Z$42))+MAX(0,Assumptions!$W$42+Assumptions!$X$42*MIN(A70,21))))</f>
        <v>3008.3919047619042</v>
      </c>
      <c r="E70" s="87">
        <f>MAX(E69,(IF(A70&lt;=Assumptions!$Z$43,Assumptions!$AC$43+(Assumptions!$O$43-Assumptions!$AC$43)*(A70-Assumptions!$AB$43)/(Assumptions!$Z$43-Assumptions!$AB$43),Assumptions!$O$43+(Assumptions!$P$43-Assumptions!$O$43)*(A70-Assumptions!$Z$43)/(Assumptions!$AA$43-Assumptions!$Z$43))+MAX(0,Assumptions!$W$43+Assumptions!$X$43*MIN(A70,21))))</f>
        <v>2835.4798964624674</v>
      </c>
      <c r="F70" s="92">
        <f>MAX(F69,(IF(A70&lt;=Assumptions!$Z$44,Assumptions!$AC$44+(Assumptions!$O$44-Assumptions!$AC$44)*(A70-Assumptions!$AB$44)/(Assumptions!$Z$44-Assumptions!$AB$44),Assumptions!$O$44+(Assumptions!$P$44-Assumptions!$O$44)*(A70-Assumptions!$Z$44)/(Assumptions!$AA$44-Assumptions!$Z$44))+MAX(0,Assumptions!$W$44+Assumptions!$X$44*MIN(A70,21))))</f>
        <v>2991.43</v>
      </c>
      <c r="G70" s="87">
        <f>MAX(G69,(IF(A70&lt;=Assumptions!$Z$45,Assumptions!$AC$45+(Assumptions!$O$45-Assumptions!$AC$45)*(A70-Assumptions!$AB$45)/(Assumptions!$Z$45-Assumptions!$AB$45),Assumptions!$O$45+(Assumptions!$P$45-Assumptions!$O$45)*(A70-Assumptions!$Z$45)/(Assumptions!$AA$45-Assumptions!$Z$45))+MAX(0,Assumptions!$W$45+Assumptions!$X$45*MIN(A70,21))))</f>
        <v>2818.2526315789473</v>
      </c>
      <c r="H70" s="92">
        <f>MAX(H69,(IF(A70&lt;=Assumptions!$Z$46,Assumptions!$AC$46+(Assumptions!$O$46-Assumptions!$AC$46)*(A70-Assumptions!$AB$46)/(Assumptions!$Z$46-Assumptions!$AB$46),Assumptions!$O$46+(Assumptions!$P$46-Assumptions!$O$46)*(A70-Assumptions!$Z$46)/(Assumptions!$AA$46-Assumptions!$Z$46))+MAX(0,Assumptions!$W$46+Assumptions!$X$46*MIN(A70,21))))</f>
        <v>2910.21</v>
      </c>
      <c r="I70" s="87">
        <f>MAX(I69,(IF(A70&lt;=Assumptions!$Z$47,Assumptions!$AC$47+(Assumptions!$O$47-Assumptions!$AC$47)*(A70-Assumptions!$AB$47)/(Assumptions!$Z$47-Assumptions!$AB$47),Assumptions!$O$47+(Assumptions!$P$47-Assumptions!$O$47)*(A70-Assumptions!$Z$47)/(Assumptions!$AA$47-Assumptions!$Z$47))+MAX(0,Assumptions!$W$47+Assumptions!$X$47*MIN(A70,21))))</f>
        <v>2815.199662090813</v>
      </c>
      <c r="J70" s="92">
        <f>MAX(J69,(IF(A70&lt;=Assumptions!$Z$48,Assumptions!$AC$48+(Assumptions!$O$48-Assumptions!$AC$48)*(A70-Assumptions!$AB$48)/(Assumptions!$Z$48-Assumptions!$AB$48),Assumptions!$O$48+(Assumptions!$P$48-Assumptions!$O$48)*(A70-Assumptions!$Z$48)/(Assumptions!$AA$48-Assumptions!$Z$48))+MAX(0,Assumptions!$W$48+Assumptions!$X$48*MIN(A70,21))))</f>
        <v>2949.4700000000003</v>
      </c>
      <c r="K70" s="87">
        <f>MAX(K69,(IF(A70&lt;=Assumptions!$Z$49,Assumptions!$AC$49+(Assumptions!$O$49-Assumptions!$AC$49)*(A70-Assumptions!$AB$49)/(Assumptions!$Z$49-Assumptions!$AB$49),Assumptions!$O$49+(Assumptions!$P$49-Assumptions!$O$49)*(A70-Assumptions!$Z$49)/(Assumptions!$AA$49-Assumptions!$Z$49))+MAX(0,Assumptions!$W$49+Assumptions!$X$49*MIN(A70,21))))</f>
        <v>2785.8460392687884</v>
      </c>
      <c r="L70" s="92">
        <f>MAX(L69,(IF(A70&lt;=Assumptions!$Z$50,Assumptions!$AC$50+(Assumptions!$O$50-Assumptions!$AC$50)*(A70-Assumptions!$AB$50)/(Assumptions!$Z$50-Assumptions!$AB$50),Assumptions!$O$50+(Assumptions!$P$50-Assumptions!$O$50)*(A70-Assumptions!$Z$50)/(Assumptions!$AA$50-Assumptions!$Z$50))+MAX(0,Assumptions!$W$50+Assumptions!$X$50*MIN(A70,21))))</f>
        <v>2909.52</v>
      </c>
      <c r="M70" s="87">
        <f>MAX(M69,(IF(A70&lt;=Assumptions!$Z$51,Assumptions!$AC$51+(Assumptions!$O$51-Assumptions!$AC$51)*(A70-Assumptions!$AB$51)/(Assumptions!$Z$51-Assumptions!$AB$51),Assumptions!$O$51+(Assumptions!$P$51-Assumptions!$O$51)*(A70-Assumptions!$Z$51)/(Assumptions!$AA$51-Assumptions!$Z$51))+MAX(0,Assumptions!$W$51+Assumptions!$X$51*MIN(A70,21))))</f>
        <v>2804.4405555555554</v>
      </c>
      <c r="N70" s="87">
        <f>MAX(N69,(IF(A70&lt;=Assumptions!$Z$52,Assumptions!$AC$52+(Assumptions!$O$52-Assumptions!$AC$52)*(A70-Assumptions!$AB$52)/(Assumptions!$Z$52-Assumptions!$AB$52),Assumptions!$O$52+(Assumptions!$P$52-Assumptions!$O$52)*(A70-Assumptions!$Z$52)/(Assumptions!$AA$52-Assumptions!$Z$52))+MAX(0,Assumptions!$W$52+Assumptions!$X$52*MIN(A70,21))))</f>
        <v>2836.008587705127</v>
      </c>
      <c r="O70" s="92">
        <f>MAX(O69,(IF(A70&lt;=Assumptions!$Z$53,Assumptions!$AC$53+(Assumptions!$O$53-Assumptions!$AC$53)*(A70-Assumptions!$AB$53)/(Assumptions!$Z$53-Assumptions!$AB$53),Assumptions!$O$53+(Assumptions!$P$53-Assumptions!$O$53)*(A70-Assumptions!$Z$53)/(Assumptions!$AA$53-Assumptions!$Z$53))+MAX(0,Assumptions!$W$53+Assumptions!$X$53*MIN(A70,21))))</f>
        <v>2946.56</v>
      </c>
      <c r="P70" s="92">
        <f>MAX(P69,(IF(A70&lt;=Assumptions!$Z$54,Assumptions!$AC$54+(Assumptions!$O$54-Assumptions!$AC$54)*(A70-Assumptions!$AB$54)/(Assumptions!$Z$54-Assumptions!$AB$54),Assumptions!$O$54+(Assumptions!$P$54-Assumptions!$O$54)*(A70-Assumptions!$Z$54)/(Assumptions!$AA$54-Assumptions!$Z$54))+MAX(0,Assumptions!$W$54+Assumptions!$X$54*MIN(A70,21))))</f>
        <v>2909.6774714325352</v>
      </c>
      <c r="Q70" s="92">
        <f>MAX(Q69,(IF(A70&lt;=Assumptions!$Z$55,Assumptions!$AC$55+(Assumptions!$O$55-Assumptions!$AC$55)*(A70-Assumptions!$AB$55)/(Assumptions!$Z$55-Assumptions!$AB$55),Assumptions!$O$55+(Assumptions!$P$55-Assumptions!$O$55)*(A70-Assumptions!$Z$55)/(Assumptions!$AA$55-Assumptions!$Z$55))+MAX(0,Assumptions!$W$55+Assumptions!$X$55*MIN(A70,21))))</f>
        <v>2869.623076923077</v>
      </c>
      <c r="R70" s="92">
        <f>MAX(R69,(IF(A70&lt;=Assumptions!$Z$56,Assumptions!$AC$56+(Assumptions!$O$56-Assumptions!$AC$56)*(A70-Assumptions!$AB$56)/(Assumptions!$Z$56-Assumptions!$AB$56),Assumptions!$O$56+(Assumptions!$P$56-Assumptions!$O$56)*(A70-Assumptions!$Z$56)/(Assumptions!$AA$56-Assumptions!$Z$56))+MAX(0,Assumptions!$W$56+Assumptions!$X$56*MIN(A70,21))))</f>
        <v>2869.623076923077</v>
      </c>
    </row>
    <row r="71" spans="1:18" x14ac:dyDescent="0.2">
      <c r="A71" s="91">
        <v>11</v>
      </c>
      <c r="B71" s="87">
        <f>MAX(B70,(IF(A71&lt;=Assumptions!$Z$40,Assumptions!$AC$40+(Assumptions!$O$40-Assumptions!$AC$40)*(A71-Assumptions!$AB$40)/(Assumptions!$Z$40-Assumptions!$AB$40),Assumptions!$O$40+(Assumptions!$P$40-Assumptions!$O$40)*(A71-Assumptions!$Z$40)/(Assumptions!$AA$40-Assumptions!$Z$40))+MAX(0,Assumptions!$W$40+Assumptions!$X$40*MIN(A71,21))))</f>
        <v>2867.1926031294452</v>
      </c>
      <c r="C71" s="87">
        <f>MAX(C70,(IF(A71&lt;=Assumptions!$Z$41,Assumptions!$AC$41+(Assumptions!$O$41-Assumptions!$AC$41)*(A71-Assumptions!$AB$41)/(Assumptions!$Z$41-Assumptions!$AB$41),Assumptions!$O$41+(Assumptions!$P$41-Assumptions!$O$41)*(A71-Assumptions!$Z$41)/(Assumptions!$AA$41-Assumptions!$Z$41))+MAX(0,Assumptions!$W$41+Assumptions!$X$41*MIN(A71,21))))</f>
        <v>2826.6287532991773</v>
      </c>
      <c r="D71" s="92">
        <f>MAX(D70,(IF(A71&lt;=Assumptions!$Z$42,Assumptions!$AC$42+(Assumptions!$O$42-Assumptions!$AC$42)*(A71-Assumptions!$AB$42)/(Assumptions!$Z$42-Assumptions!$AB$42),Assumptions!$O$42+(Assumptions!$P$42-Assumptions!$O$42)*(A71-Assumptions!$Z$42)/(Assumptions!$AA$42-Assumptions!$Z$42))+MAX(0,Assumptions!$W$42+Assumptions!$X$42*MIN(A71,21))))</f>
        <v>3027.5966666666664</v>
      </c>
      <c r="E71" s="87">
        <f>MAX(E70,(IF(A71&lt;=Assumptions!$Z$43,Assumptions!$AC$43+(Assumptions!$O$43-Assumptions!$AC$43)*(A71-Assumptions!$AB$43)/(Assumptions!$Z$43-Assumptions!$AB$43),Assumptions!$O$43+(Assumptions!$P$43-Assumptions!$O$43)*(A71-Assumptions!$Z$43)/(Assumptions!$AA$43-Assumptions!$Z$43))+MAX(0,Assumptions!$W$43+Assumptions!$X$43*MIN(A71,21))))</f>
        <v>2852.6266321541557</v>
      </c>
      <c r="F71" s="92">
        <f>MAX(F70,(IF(A71&lt;=Assumptions!$Z$44,Assumptions!$AC$44+(Assumptions!$O$44-Assumptions!$AC$44)*(A71-Assumptions!$AB$44)/(Assumptions!$Z$44-Assumptions!$AB$44),Assumptions!$O$44+(Assumptions!$P$44-Assumptions!$O$44)*(A71-Assumptions!$Z$44)/(Assumptions!$AA$44-Assumptions!$Z$44))+MAX(0,Assumptions!$W$44+Assumptions!$X$44*MIN(A71,21))))</f>
        <v>3016.9199999999996</v>
      </c>
      <c r="G71" s="87">
        <f>MAX(G70,(IF(A71&lt;=Assumptions!$Z$45,Assumptions!$AC$45+(Assumptions!$O$45-Assumptions!$AC$45)*(A71-Assumptions!$AB$45)/(Assumptions!$Z$45-Assumptions!$AB$45),Assumptions!$O$45+(Assumptions!$P$45-Assumptions!$O$45)*(A71-Assumptions!$Z$45)/(Assumptions!$AA$45-Assumptions!$Z$45))+MAX(0,Assumptions!$W$45+Assumptions!$X$45*MIN(A71,21))))</f>
        <v>2839.2842105263162</v>
      </c>
      <c r="H71" s="92">
        <f>MAX(H70,(IF(A71&lt;=Assumptions!$Z$46,Assumptions!$AC$46+(Assumptions!$O$46-Assumptions!$AC$46)*(A71-Assumptions!$AB$46)/(Assumptions!$Z$46-Assumptions!$AB$46),Assumptions!$O$46+(Assumptions!$P$46-Assumptions!$O$46)*(A71-Assumptions!$Z$46)/(Assumptions!$AA$46-Assumptions!$Z$46))+MAX(0,Assumptions!$W$46+Assumptions!$X$46*MIN(A71,21))))</f>
        <v>2933.6</v>
      </c>
      <c r="I71" s="87">
        <f>MAX(I70,(IF(A71&lt;=Assumptions!$Z$47,Assumptions!$AC$47+(Assumptions!$O$47-Assumptions!$AC$47)*(A71-Assumptions!$AB$47)/(Assumptions!$Z$47-Assumptions!$AB$47),Assumptions!$O$47+(Assumptions!$P$47-Assumptions!$O$47)*(A71-Assumptions!$Z$47)/(Assumptions!$AA$47-Assumptions!$Z$47))+MAX(0,Assumptions!$W$47+Assumptions!$X$47*MIN(A71,21))))</f>
        <v>2830.2498310454066</v>
      </c>
      <c r="J71" s="92">
        <f>MAX(J70,(IF(A71&lt;=Assumptions!$Z$48,Assumptions!$AC$48+(Assumptions!$O$48-Assumptions!$AC$48)*(A71-Assumptions!$AB$48)/(Assumptions!$Z$48-Assumptions!$AB$48),Assumptions!$O$48+(Assumptions!$P$48-Assumptions!$O$48)*(A71-Assumptions!$Z$48)/(Assumptions!$AA$48-Assumptions!$Z$48))+MAX(0,Assumptions!$W$48+Assumptions!$X$48*MIN(A71,21))))</f>
        <v>2966.55</v>
      </c>
      <c r="K71" s="87">
        <f>MAX(K70,(IF(A71&lt;=Assumptions!$Z$49,Assumptions!$AC$49+(Assumptions!$O$49-Assumptions!$AC$49)*(A71-Assumptions!$AB$49)/(Assumptions!$Z$49-Assumptions!$AB$49),Assumptions!$O$49+(Assumptions!$P$49-Assumptions!$O$49)*(A71-Assumptions!$Z$49)/(Assumptions!$AA$49-Assumptions!$Z$49))+MAX(0,Assumptions!$W$49+Assumptions!$X$49*MIN(A71,21))))</f>
        <v>2799.0276235612732</v>
      </c>
      <c r="L71" s="92">
        <f>MAX(L70,(IF(A71&lt;=Assumptions!$Z$50,Assumptions!$AC$50+(Assumptions!$O$50-Assumptions!$AC$50)*(A71-Assumptions!$AB$50)/(Assumptions!$Z$50-Assumptions!$AB$50),Assumptions!$O$50+(Assumptions!$P$50-Assumptions!$O$50)*(A71-Assumptions!$Z$50)/(Assumptions!$AA$50-Assumptions!$Z$50))+MAX(0,Assumptions!$W$50+Assumptions!$X$50*MIN(A71,21))))</f>
        <v>2924.4</v>
      </c>
      <c r="M71" s="87">
        <f>MAX(M70,(IF(A71&lt;=Assumptions!$Z$51,Assumptions!$AC$51+(Assumptions!$O$51-Assumptions!$AC$51)*(A71-Assumptions!$AB$51)/(Assumptions!$Z$51-Assumptions!$AB$51),Assumptions!$O$51+(Assumptions!$P$51-Assumptions!$O$51)*(A71-Assumptions!$Z$51)/(Assumptions!$AA$51-Assumptions!$Z$51))+MAX(0,Assumptions!$W$51+Assumptions!$X$51*MIN(A71,21))))</f>
        <v>2818.3202777777778</v>
      </c>
      <c r="N71" s="87">
        <f>MAX(N70,(IF(A71&lt;=Assumptions!$Z$52,Assumptions!$AC$52+(Assumptions!$O$52-Assumptions!$AC$52)*(A71-Assumptions!$AB$52)/(Assumptions!$Z$52-Assumptions!$AB$52),Assumptions!$O$52+(Assumptions!$P$52-Assumptions!$O$52)*(A71-Assumptions!$Z$52)/(Assumptions!$AA$52-Assumptions!$Z$52))+MAX(0,Assumptions!$W$52+Assumptions!$X$52*MIN(A71,21))))</f>
        <v>2843.3361959017088</v>
      </c>
      <c r="O71" s="92">
        <f>MAX(O70,(IF(A71&lt;=Assumptions!$Z$53,Assumptions!$AC$53+(Assumptions!$O$53-Assumptions!$AC$53)*(A71-Assumptions!$AB$53)/(Assumptions!$Z$53-Assumptions!$AB$53),Assumptions!$O$53+(Assumptions!$P$53-Assumptions!$O$53)*(A71-Assumptions!$Z$53)/(Assumptions!$AA$53-Assumptions!$Z$53))+MAX(0,Assumptions!$W$53+Assumptions!$X$53*MIN(A71,21))))</f>
        <v>2960.02</v>
      </c>
      <c r="P71" s="92">
        <f>MAX(P70,(IF(A71&lt;=Assumptions!$Z$54,Assumptions!$AC$54+(Assumptions!$O$54-Assumptions!$AC$54)*(A71-Assumptions!$AB$54)/(Assumptions!$Z$54-Assumptions!$AB$54),Assumptions!$O$54+(Assumptions!$P$54-Assumptions!$O$54)*(A71-Assumptions!$Z$54)/(Assumptions!$AA$54-Assumptions!$Z$54))+MAX(0,Assumptions!$W$54+Assumptions!$X$54*MIN(A71,21))))</f>
        <v>2920.1204752415306</v>
      </c>
      <c r="Q71" s="92">
        <f>MAX(Q70,(IF(A71&lt;=Assumptions!$Z$55,Assumptions!$AC$55+(Assumptions!$O$55-Assumptions!$AC$55)*(A71-Assumptions!$AB$55)/(Assumptions!$Z$55-Assumptions!$AB$55),Assumptions!$O$55+(Assumptions!$P$55-Assumptions!$O$55)*(A71-Assumptions!$Z$55)/(Assumptions!$AA$55-Assumptions!$Z$55))+MAX(0,Assumptions!$W$55+Assumptions!$X$55*MIN(A71,21))))</f>
        <v>2879.5692307692307</v>
      </c>
      <c r="R71" s="92">
        <f>MAX(R70,(IF(A71&lt;=Assumptions!$Z$56,Assumptions!$AC$56+(Assumptions!$O$56-Assumptions!$AC$56)*(A71-Assumptions!$AB$56)/(Assumptions!$Z$56-Assumptions!$AB$56),Assumptions!$O$56+(Assumptions!$P$56-Assumptions!$O$56)*(A71-Assumptions!$Z$56)/(Assumptions!$AA$56-Assumptions!$Z$56))+MAX(0,Assumptions!$W$56+Assumptions!$X$56*MIN(A71,21))))</f>
        <v>2879.5692307692307</v>
      </c>
    </row>
    <row r="72" spans="1:18" x14ac:dyDescent="0.2">
      <c r="A72" s="91">
        <v>12</v>
      </c>
      <c r="B72" s="87">
        <f>MAX(B71,(IF(A72&lt;=Assumptions!$Z$40,Assumptions!$AC$40+(Assumptions!$O$40-Assumptions!$AC$40)*(A72-Assumptions!$AB$40)/(Assumptions!$Z$40-Assumptions!$AB$40),Assumptions!$O$40+(Assumptions!$P$40-Assumptions!$O$40)*(A72-Assumptions!$Z$40)/(Assumptions!$AA$40-Assumptions!$Z$40))+MAX(0,Assumptions!$W$40+Assumptions!$X$40*MIN(A72,21))))</f>
        <v>2887.9285714285716</v>
      </c>
      <c r="C72" s="87">
        <f>MAX(C71,(IF(A72&lt;=Assumptions!$Z$41,Assumptions!$AC$41+(Assumptions!$O$41-Assumptions!$AC$41)*(A72-Assumptions!$AB$41)/(Assumptions!$Z$41-Assumptions!$AB$41),Assumptions!$O$41+(Assumptions!$P$41-Assumptions!$O$41)*(A72-Assumptions!$Z$41)/(Assumptions!$AA$41-Assumptions!$Z$41))+MAX(0,Assumptions!$W$41+Assumptions!$X$41*MIN(A72,21))))</f>
        <v>2845.7928571428574</v>
      </c>
      <c r="D72" s="92">
        <f>MAX(D71,(IF(A72&lt;=Assumptions!$Z$42,Assumptions!$AC$42+(Assumptions!$O$42-Assumptions!$AC$42)*(A72-Assumptions!$AB$42)/(Assumptions!$Z$42-Assumptions!$AB$42),Assumptions!$O$42+(Assumptions!$P$42-Assumptions!$O$42)*(A72-Assumptions!$Z$42)/(Assumptions!$AA$42-Assumptions!$Z$42))+MAX(0,Assumptions!$W$42+Assumptions!$X$42*MIN(A72,21))))</f>
        <v>3046.8014285714285</v>
      </c>
      <c r="E72" s="87">
        <f>MAX(E71,(IF(A72&lt;=Assumptions!$Z$43,Assumptions!$AC$43+(Assumptions!$O$43-Assumptions!$AC$43)*(A72-Assumptions!$AB$43)/(Assumptions!$Z$43-Assumptions!$AB$43),Assumptions!$O$43+(Assumptions!$P$43-Assumptions!$O$43)*(A72-Assumptions!$Z$43)/(Assumptions!$AA$43-Assumptions!$Z$43))+MAX(0,Assumptions!$W$43+Assumptions!$X$43*MIN(A72,21))))</f>
        <v>2872.735714285714</v>
      </c>
      <c r="F72" s="92">
        <f>MAX(F71,(IF(A72&lt;=Assumptions!$Z$44,Assumptions!$AC$44+(Assumptions!$O$44-Assumptions!$AC$44)*(A72-Assumptions!$AB$44)/(Assumptions!$Z$44-Assumptions!$AB$44),Assumptions!$O$44+(Assumptions!$P$44-Assumptions!$O$44)*(A72-Assumptions!$Z$44)/(Assumptions!$AA$44-Assumptions!$Z$44))+MAX(0,Assumptions!$W$44+Assumptions!$X$44*MIN(A72,21))))</f>
        <v>3042.41</v>
      </c>
      <c r="G72" s="87">
        <f>MAX(G71,(IF(A72&lt;=Assumptions!$Z$45,Assumptions!$AC$45+(Assumptions!$O$45-Assumptions!$AC$45)*(A72-Assumptions!$AB$45)/(Assumptions!$Z$45-Assumptions!$AB$45),Assumptions!$O$45+(Assumptions!$P$45-Assumptions!$O$45)*(A72-Assumptions!$Z$45)/(Assumptions!$AA$45-Assumptions!$Z$45))+MAX(0,Assumptions!$W$45+Assumptions!$X$45*MIN(A72,21))))</f>
        <v>2860.5285714285715</v>
      </c>
      <c r="H72" s="92">
        <f>MAX(H71,(IF(A72&lt;=Assumptions!$Z$46,Assumptions!$AC$46+(Assumptions!$O$46-Assumptions!$AC$46)*(A72-Assumptions!$AB$46)/(Assumptions!$Z$46-Assumptions!$AB$46),Assumptions!$O$46+(Assumptions!$P$46-Assumptions!$O$46)*(A72-Assumptions!$Z$46)/(Assumptions!$AA$46-Assumptions!$Z$46))+MAX(0,Assumptions!$W$46+Assumptions!$X$46*MIN(A72,21))))</f>
        <v>2956.99</v>
      </c>
      <c r="I72" s="87">
        <f>MAX(I71,(IF(A72&lt;=Assumptions!$Z$47,Assumptions!$AC$47+(Assumptions!$O$47-Assumptions!$AC$47)*(A72-Assumptions!$AB$47)/(Assumptions!$Z$47-Assumptions!$AB$47),Assumptions!$O$47+(Assumptions!$P$47-Assumptions!$O$47)*(A72-Assumptions!$Z$47)/(Assumptions!$AA$47-Assumptions!$Z$47))+MAX(0,Assumptions!$W$47+Assumptions!$X$47*MIN(A72,21))))</f>
        <v>2845.3</v>
      </c>
      <c r="J72" s="92">
        <f>MAX(J71,(IF(A72&lt;=Assumptions!$Z$48,Assumptions!$AC$48+(Assumptions!$O$48-Assumptions!$AC$48)*(A72-Assumptions!$AB$48)/(Assumptions!$Z$48-Assumptions!$AB$48),Assumptions!$O$48+(Assumptions!$P$48-Assumptions!$O$48)*(A72-Assumptions!$Z$48)/(Assumptions!$AA$48-Assumptions!$Z$48))+MAX(0,Assumptions!$W$48+Assumptions!$X$48*MIN(A72,21))))</f>
        <v>2983.63</v>
      </c>
      <c r="K72" s="87">
        <f>MAX(K71,(IF(A72&lt;=Assumptions!$Z$49,Assumptions!$AC$49+(Assumptions!$O$49-Assumptions!$AC$49)*(A72-Assumptions!$AB$49)/(Assumptions!$Z$49-Assumptions!$AB$49),Assumptions!$O$49+(Assumptions!$P$49-Assumptions!$O$49)*(A72-Assumptions!$Z$49)/(Assumptions!$AA$49-Assumptions!$Z$49))+MAX(0,Assumptions!$W$49+Assumptions!$X$49*MIN(A72,21))))</f>
        <v>2812.209207853758</v>
      </c>
      <c r="L72" s="92">
        <f>MAX(L71,(IF(A72&lt;=Assumptions!$Z$50,Assumptions!$AC$50+(Assumptions!$O$50-Assumptions!$AC$50)*(A72-Assumptions!$AB$50)/(Assumptions!$Z$50-Assumptions!$AB$50),Assumptions!$O$50+(Assumptions!$P$50-Assumptions!$O$50)*(A72-Assumptions!$Z$50)/(Assumptions!$AA$50-Assumptions!$Z$50))+MAX(0,Assumptions!$W$50+Assumptions!$X$50*MIN(A72,21))))</f>
        <v>2939.28</v>
      </c>
      <c r="M72" s="87">
        <f>MAX(M71,(IF(A72&lt;=Assumptions!$Z$51,Assumptions!$AC$51+(Assumptions!$O$51-Assumptions!$AC$51)*(A72-Assumptions!$AB$51)/(Assumptions!$Z$51-Assumptions!$AB$51),Assumptions!$O$51+(Assumptions!$P$51-Assumptions!$O$51)*(A72-Assumptions!$Z$51)/(Assumptions!$AA$51-Assumptions!$Z$51))+MAX(0,Assumptions!$W$51+Assumptions!$X$51*MIN(A72,21))))</f>
        <v>2832.2</v>
      </c>
      <c r="N72" s="87">
        <f>MAX(N71,(IF(A72&lt;=Assumptions!$Z$52,Assumptions!$AC$52+(Assumptions!$O$52-Assumptions!$AC$52)*(A72-Assumptions!$AB$52)/(Assumptions!$Z$52-Assumptions!$AB$52),Assumptions!$O$52+(Assumptions!$P$52-Assumptions!$O$52)*(A72-Assumptions!$Z$52)/(Assumptions!$AA$52-Assumptions!$Z$52))+MAX(0,Assumptions!$W$52+Assumptions!$X$52*MIN(A72,21))))</f>
        <v>2858.8857142857141</v>
      </c>
      <c r="O72" s="92">
        <f>MAX(O71,(IF(A72&lt;=Assumptions!$Z$53,Assumptions!$AC$53+(Assumptions!$O$53-Assumptions!$AC$53)*(A72-Assumptions!$AB$53)/(Assumptions!$Z$53-Assumptions!$AB$53),Assumptions!$O$53+(Assumptions!$P$53-Assumptions!$O$53)*(A72-Assumptions!$Z$53)/(Assumptions!$AA$53-Assumptions!$Z$53))+MAX(0,Assumptions!$W$53+Assumptions!$X$53*MIN(A72,21))))</f>
        <v>2973.48</v>
      </c>
      <c r="P72" s="92">
        <f>MAX(P71,(IF(A72&lt;=Assumptions!$Z$54,Assumptions!$AC$54+(Assumptions!$O$54-Assumptions!$AC$54)*(A72-Assumptions!$AB$54)/(Assumptions!$Z$54-Assumptions!$AB$54),Assumptions!$O$54+(Assumptions!$P$54-Assumptions!$O$54)*(A72-Assumptions!$Z$54)/(Assumptions!$AA$54-Assumptions!$Z$54))+MAX(0,Assumptions!$W$54+Assumptions!$X$54*MIN(A72,21))))</f>
        <v>2930.563479050526</v>
      </c>
      <c r="Q72" s="92">
        <f>MAX(Q71,(IF(A72&lt;=Assumptions!$Z$55,Assumptions!$AC$55+(Assumptions!$O$55-Assumptions!$AC$55)*(A72-Assumptions!$AB$55)/(Assumptions!$Z$55-Assumptions!$AB$55),Assumptions!$O$55+(Assumptions!$P$55-Assumptions!$O$55)*(A72-Assumptions!$Z$55)/(Assumptions!$AA$55-Assumptions!$Z$55))+MAX(0,Assumptions!$W$55+Assumptions!$X$55*MIN(A72,21))))</f>
        <v>2889.5153846153848</v>
      </c>
      <c r="R72" s="92">
        <f>MAX(R71,(IF(A72&lt;=Assumptions!$Z$56,Assumptions!$AC$56+(Assumptions!$O$56-Assumptions!$AC$56)*(A72-Assumptions!$AB$56)/(Assumptions!$Z$56-Assumptions!$AB$56),Assumptions!$O$56+(Assumptions!$P$56-Assumptions!$O$56)*(A72-Assumptions!$Z$56)/(Assumptions!$AA$56-Assumptions!$Z$56))+MAX(0,Assumptions!$W$56+Assumptions!$X$56*MIN(A72,21))))</f>
        <v>2889.5153846153848</v>
      </c>
    </row>
    <row r="73" spans="1:18" x14ac:dyDescent="0.2">
      <c r="A73" s="91">
        <v>13</v>
      </c>
      <c r="B73" s="87">
        <f>MAX(B72,(IF(A73&lt;=Assumptions!$Z$40,Assumptions!$AC$40+(Assumptions!$O$40-Assumptions!$AC$40)*(A73-Assumptions!$AB$40)/(Assumptions!$Z$40-Assumptions!$AB$40),Assumptions!$O$40+(Assumptions!$P$40-Assumptions!$O$40)*(A73-Assumptions!$Z$40)/(Assumptions!$AA$40-Assumptions!$Z$40))+MAX(0,Assumptions!$W$40+Assumptions!$X$40*MIN(A73,21))))</f>
        <v>2909.9857142857145</v>
      </c>
      <c r="C73" s="87">
        <f>MAX(C72,(IF(A73&lt;=Assumptions!$Z$41,Assumptions!$AC$41+(Assumptions!$O$41-Assumptions!$AC$41)*(A73-Assumptions!$AB$41)/(Assumptions!$Z$41-Assumptions!$AB$41),Assumptions!$O$41+(Assumptions!$P$41-Assumptions!$O$41)*(A73-Assumptions!$Z$41)/(Assumptions!$AA$41-Assumptions!$Z$41))+MAX(0,Assumptions!$W$41+Assumptions!$X$41*MIN(A73,21))))</f>
        <v>2868.5785714285716</v>
      </c>
      <c r="D73" s="92">
        <f>MAX(D72,(IF(A73&lt;=Assumptions!$Z$42,Assumptions!$AC$42+(Assumptions!$O$42-Assumptions!$AC$42)*(A73-Assumptions!$AB$42)/(Assumptions!$Z$42-Assumptions!$AB$42),Assumptions!$O$42+(Assumptions!$P$42-Assumptions!$O$42)*(A73-Assumptions!$Z$42)/(Assumptions!$AA$42-Assumptions!$Z$42))+MAX(0,Assumptions!$W$42+Assumptions!$X$42*MIN(A73,21))))</f>
        <v>3066.0061904761901</v>
      </c>
      <c r="E73" s="87">
        <f>MAX(E72,(IF(A73&lt;=Assumptions!$Z$43,Assumptions!$AC$43+(Assumptions!$O$43-Assumptions!$AC$43)*(A73-Assumptions!$AB$43)/(Assumptions!$Z$43-Assumptions!$AB$43),Assumptions!$O$43+(Assumptions!$P$43-Assumptions!$O$43)*(A73-Assumptions!$Z$43)/(Assumptions!$AA$43-Assumptions!$Z$43))+MAX(0,Assumptions!$W$43+Assumptions!$X$43*MIN(A73,21))))</f>
        <v>2895.8071428571425</v>
      </c>
      <c r="F73" s="92">
        <f>MAX(F72,(IF(A73&lt;=Assumptions!$Z$44,Assumptions!$AC$44+(Assumptions!$O$44-Assumptions!$AC$44)*(A73-Assumptions!$AB$44)/(Assumptions!$Z$44-Assumptions!$AB$44),Assumptions!$O$44+(Assumptions!$P$44-Assumptions!$O$44)*(A73-Assumptions!$Z$44)/(Assumptions!$AA$44-Assumptions!$Z$44))+MAX(0,Assumptions!$W$44+Assumptions!$X$44*MIN(A73,21))))</f>
        <v>3067.9</v>
      </c>
      <c r="G73" s="87">
        <f>MAX(G72,(IF(A73&lt;=Assumptions!$Z$45,Assumptions!$AC$45+(Assumptions!$O$45-Assumptions!$AC$45)*(A73-Assumptions!$AB$45)/(Assumptions!$Z$45-Assumptions!$AB$45),Assumptions!$O$45+(Assumptions!$P$45-Assumptions!$O$45)*(A73-Assumptions!$Z$45)/(Assumptions!$AA$45-Assumptions!$Z$45))+MAX(0,Assumptions!$W$45+Assumptions!$X$45*MIN(A73,21))))</f>
        <v>2881.9857142857145</v>
      </c>
      <c r="H73" s="92">
        <f>MAX(H72,(IF(A73&lt;=Assumptions!$Z$46,Assumptions!$AC$46+(Assumptions!$O$46-Assumptions!$AC$46)*(A73-Assumptions!$AB$46)/(Assumptions!$Z$46-Assumptions!$AB$46),Assumptions!$O$46+(Assumptions!$P$46-Assumptions!$O$46)*(A73-Assumptions!$Z$46)/(Assumptions!$AA$46-Assumptions!$Z$46))+MAX(0,Assumptions!$W$46+Assumptions!$X$46*MIN(A73,21))))</f>
        <v>2980.38</v>
      </c>
      <c r="I73" s="87">
        <f>MAX(I72,(IF(A73&lt;=Assumptions!$Z$47,Assumptions!$AC$47+(Assumptions!$O$47-Assumptions!$AC$47)*(A73-Assumptions!$AB$47)/(Assumptions!$Z$47-Assumptions!$AB$47),Assumptions!$O$47+(Assumptions!$P$47-Assumptions!$O$47)*(A73-Assumptions!$Z$47)/(Assumptions!$AA$47-Assumptions!$Z$47))+MAX(0,Assumptions!$W$47+Assumptions!$X$47*MIN(A73,21))))</f>
        <v>2869.7615384615387</v>
      </c>
      <c r="J73" s="92">
        <f>MAX(J72,(IF(A73&lt;=Assumptions!$Z$48,Assumptions!$AC$48+(Assumptions!$O$48-Assumptions!$AC$48)*(A73-Assumptions!$AB$48)/(Assumptions!$Z$48-Assumptions!$AB$48),Assumptions!$O$48+(Assumptions!$P$48-Assumptions!$O$48)*(A73-Assumptions!$Z$48)/(Assumptions!$AA$48-Assumptions!$Z$48))+MAX(0,Assumptions!$W$48+Assumptions!$X$48*MIN(A73,21))))</f>
        <v>3000.71</v>
      </c>
      <c r="K73" s="87">
        <f>MAX(K72,(IF(A73&lt;=Assumptions!$Z$49,Assumptions!$AC$49+(Assumptions!$O$49-Assumptions!$AC$49)*(A73-Assumptions!$AB$49)/(Assumptions!$Z$49-Assumptions!$AB$49),Assumptions!$O$49+(Assumptions!$P$49-Assumptions!$O$49)*(A73-Assumptions!$Z$49)/(Assumptions!$AA$49-Assumptions!$Z$49))+MAX(0,Assumptions!$W$49+Assumptions!$X$49*MIN(A73,21))))</f>
        <v>2831.9384615384615</v>
      </c>
      <c r="L73" s="92">
        <f>MAX(L72,(IF(A73&lt;=Assumptions!$Z$50,Assumptions!$AC$50+(Assumptions!$O$50-Assumptions!$AC$50)*(A73-Assumptions!$AB$50)/(Assumptions!$Z$50-Assumptions!$AB$50),Assumptions!$O$50+(Assumptions!$P$50-Assumptions!$O$50)*(A73-Assumptions!$Z$50)/(Assumptions!$AA$50-Assumptions!$Z$50))+MAX(0,Assumptions!$W$50+Assumptions!$X$50*MIN(A73,21))))</f>
        <v>2955.09</v>
      </c>
      <c r="M73" s="87">
        <f>MAX(M72,(IF(A73&lt;=Assumptions!$Z$51,Assumptions!$AC$51+(Assumptions!$O$51-Assumptions!$AC$51)*(A73-Assumptions!$AB$51)/(Assumptions!$Z$51-Assumptions!$AB$51),Assumptions!$O$51+(Assumptions!$P$51-Assumptions!$O$51)*(A73-Assumptions!$Z$51)/(Assumptions!$AA$51-Assumptions!$Z$51))+MAX(0,Assumptions!$W$51+Assumptions!$X$51*MIN(A73,21))))</f>
        <v>2856.2923076923075</v>
      </c>
      <c r="N73" s="87">
        <f>MAX(N72,(IF(A73&lt;=Assumptions!$Z$52,Assumptions!$AC$52+(Assumptions!$O$52-Assumptions!$AC$52)*(A73-Assumptions!$AB$52)/(Assumptions!$Z$52-Assumptions!$AB$52),Assumptions!$O$52+(Assumptions!$P$52-Assumptions!$O$52)*(A73-Assumptions!$Z$52)/(Assumptions!$AA$52-Assumptions!$Z$52))+MAX(0,Assumptions!$W$52+Assumptions!$X$52*MIN(A73,21))))</f>
        <v>2882.6571428571428</v>
      </c>
      <c r="O73" s="92">
        <f>MAX(O72,(IF(A73&lt;=Assumptions!$Z$53,Assumptions!$AC$53+(Assumptions!$O$53-Assumptions!$AC$53)*(A73-Assumptions!$AB$53)/(Assumptions!$Z$53-Assumptions!$AB$53),Assumptions!$O$53+(Assumptions!$P$53-Assumptions!$O$53)*(A73-Assumptions!$Z$53)/(Assumptions!$AA$53-Assumptions!$Z$53))+MAX(0,Assumptions!$W$53+Assumptions!$X$53*MIN(A73,21))))</f>
        <v>2986.94</v>
      </c>
      <c r="P73" s="92">
        <f>MAX(P72,(IF(A73&lt;=Assumptions!$Z$54,Assumptions!$AC$54+(Assumptions!$O$54-Assumptions!$AC$54)*(A73-Assumptions!$AB$54)/(Assumptions!$Z$54-Assumptions!$AB$54),Assumptions!$O$54+(Assumptions!$P$54-Assumptions!$O$54)*(A73-Assumptions!$Z$54)/(Assumptions!$AA$54-Assumptions!$Z$54))+MAX(0,Assumptions!$W$54+Assumptions!$X$54*MIN(A73,21))))</f>
        <v>2941.0064828595214</v>
      </c>
      <c r="Q73" s="92">
        <f>MAX(Q72,(IF(A73&lt;=Assumptions!$Z$55,Assumptions!$AC$55+(Assumptions!$O$55-Assumptions!$AC$55)*(A73-Assumptions!$AB$55)/(Assumptions!$Z$55-Assumptions!$AB$55),Assumptions!$O$55+(Assumptions!$P$55-Assumptions!$O$55)*(A73-Assumptions!$Z$55)/(Assumptions!$AA$55-Assumptions!$Z$55))+MAX(0,Assumptions!$W$55+Assumptions!$X$55*MIN(A73,21))))</f>
        <v>2899.4615384615386</v>
      </c>
      <c r="R73" s="92">
        <f>MAX(R72,(IF(A73&lt;=Assumptions!$Z$56,Assumptions!$AC$56+(Assumptions!$O$56-Assumptions!$AC$56)*(A73-Assumptions!$AB$56)/(Assumptions!$Z$56-Assumptions!$AB$56),Assumptions!$O$56+(Assumptions!$P$56-Assumptions!$O$56)*(A73-Assumptions!$Z$56)/(Assumptions!$AA$56-Assumptions!$Z$56))+MAX(0,Assumptions!$W$56+Assumptions!$X$56*MIN(A73,21))))</f>
        <v>2899.4615384615386</v>
      </c>
    </row>
    <row r="74" spans="1:18" x14ac:dyDescent="0.2">
      <c r="A74" s="91">
        <v>14</v>
      </c>
      <c r="B74" s="87">
        <f>MAX(B73,(IF(A74&lt;=Assumptions!$Z$40,Assumptions!$AC$40+(Assumptions!$O$40-Assumptions!$AC$40)*(A74-Assumptions!$AB$40)/(Assumptions!$Z$40-Assumptions!$AB$40),Assumptions!$O$40+(Assumptions!$P$40-Assumptions!$O$40)*(A74-Assumptions!$Z$40)/(Assumptions!$AA$40-Assumptions!$Z$40))+MAX(0,Assumptions!$W$40+Assumptions!$X$40*MIN(A74,21))))</f>
        <v>2932.0428571428574</v>
      </c>
      <c r="C74" s="87">
        <f>MAX(C73,(IF(A74&lt;=Assumptions!$Z$41,Assumptions!$AC$41+(Assumptions!$O$41-Assumptions!$AC$41)*(A74-Assumptions!$AB$41)/(Assumptions!$Z$41-Assumptions!$AB$41),Assumptions!$O$41+(Assumptions!$P$41-Assumptions!$O$41)*(A74-Assumptions!$Z$41)/(Assumptions!$AA$41-Assumptions!$Z$41))+MAX(0,Assumptions!$W$41+Assumptions!$X$41*MIN(A74,21))))</f>
        <v>2891.3642857142859</v>
      </c>
      <c r="D74" s="92">
        <f>MAX(D73,(IF(A74&lt;=Assumptions!$Z$42,Assumptions!$AC$42+(Assumptions!$O$42-Assumptions!$AC$42)*(A74-Assumptions!$AB$42)/(Assumptions!$Z$42-Assumptions!$AB$42),Assumptions!$O$42+(Assumptions!$P$42-Assumptions!$O$42)*(A74-Assumptions!$Z$42)/(Assumptions!$AA$42-Assumptions!$Z$42))+MAX(0,Assumptions!$W$42+Assumptions!$X$42*MIN(A74,21))))</f>
        <v>3085.2109523809522</v>
      </c>
      <c r="E74" s="87">
        <f>MAX(E73,(IF(A74&lt;=Assumptions!$Z$43,Assumptions!$AC$43+(Assumptions!$O$43-Assumptions!$AC$43)*(A74-Assumptions!$AB$43)/(Assumptions!$Z$43-Assumptions!$AB$43),Assumptions!$O$43+(Assumptions!$P$43-Assumptions!$O$43)*(A74-Assumptions!$Z$43)/(Assumptions!$AA$43-Assumptions!$Z$43))+MAX(0,Assumptions!$W$43+Assumptions!$X$43*MIN(A74,21))))</f>
        <v>2918.8785714285714</v>
      </c>
      <c r="F74" s="92">
        <f>MAX(F73,(IF(A74&lt;=Assumptions!$Z$44,Assumptions!$AC$44+(Assumptions!$O$44-Assumptions!$AC$44)*(A74-Assumptions!$AB$44)/(Assumptions!$Z$44-Assumptions!$AB$44),Assumptions!$O$44+(Assumptions!$P$44-Assumptions!$O$44)*(A74-Assumptions!$Z$44)/(Assumptions!$AA$44-Assumptions!$Z$44))+MAX(0,Assumptions!$W$44+Assumptions!$X$44*MIN(A74,21))))</f>
        <v>3093.39</v>
      </c>
      <c r="G74" s="87">
        <f>MAX(G73,(IF(A74&lt;=Assumptions!$Z$45,Assumptions!$AC$45+(Assumptions!$O$45-Assumptions!$AC$45)*(A74-Assumptions!$AB$45)/(Assumptions!$Z$45-Assumptions!$AB$45),Assumptions!$O$45+(Assumptions!$P$45-Assumptions!$O$45)*(A74-Assumptions!$Z$45)/(Assumptions!$AA$45-Assumptions!$Z$45))+MAX(0,Assumptions!$W$45+Assumptions!$X$45*MIN(A74,21))))</f>
        <v>2903.4428571428571</v>
      </c>
      <c r="H74" s="92">
        <f>MAX(H73,(IF(A74&lt;=Assumptions!$Z$46,Assumptions!$AC$46+(Assumptions!$O$46-Assumptions!$AC$46)*(A74-Assumptions!$AB$46)/(Assumptions!$Z$46-Assumptions!$AB$46),Assumptions!$O$46+(Assumptions!$P$46-Assumptions!$O$46)*(A74-Assumptions!$Z$46)/(Assumptions!$AA$46-Assumptions!$Z$46))+MAX(0,Assumptions!$W$46+Assumptions!$X$46*MIN(A74,21))))</f>
        <v>3003.77</v>
      </c>
      <c r="I74" s="87">
        <f>MAX(I73,(IF(A74&lt;=Assumptions!$Z$47,Assumptions!$AC$47+(Assumptions!$O$47-Assumptions!$AC$47)*(A74-Assumptions!$AB$47)/(Assumptions!$Z$47-Assumptions!$AB$47),Assumptions!$O$47+(Assumptions!$P$47-Assumptions!$O$47)*(A74-Assumptions!$Z$47)/(Assumptions!$AA$47-Assumptions!$Z$47))+MAX(0,Assumptions!$W$47+Assumptions!$X$47*MIN(A74,21))))</f>
        <v>2894.2230769230773</v>
      </c>
      <c r="J74" s="92">
        <f>MAX(J73,(IF(A74&lt;=Assumptions!$Z$48,Assumptions!$AC$48+(Assumptions!$O$48-Assumptions!$AC$48)*(A74-Assumptions!$AB$48)/(Assumptions!$Z$48-Assumptions!$AB$48),Assumptions!$O$48+(Assumptions!$P$48-Assumptions!$O$48)*(A74-Assumptions!$Z$48)/(Assumptions!$AA$48-Assumptions!$Z$48))+MAX(0,Assumptions!$W$48+Assumptions!$X$48*MIN(A74,21))))</f>
        <v>3017.7900000000004</v>
      </c>
      <c r="K74" s="87">
        <f>MAX(K73,(IF(A74&lt;=Assumptions!$Z$49,Assumptions!$AC$49+(Assumptions!$O$49-Assumptions!$AC$49)*(A74-Assumptions!$AB$49)/(Assumptions!$Z$49-Assumptions!$AB$49),Assumptions!$O$49+(Assumptions!$P$49-Assumptions!$O$49)*(A74-Assumptions!$Z$49)/(Assumptions!$AA$49-Assumptions!$Z$49))+MAX(0,Assumptions!$W$49+Assumptions!$X$49*MIN(A74,21))))</f>
        <v>2858.2153846153847</v>
      </c>
      <c r="L74" s="92">
        <f>MAX(L73,(IF(A74&lt;=Assumptions!$Z$50,Assumptions!$AC$50+(Assumptions!$O$50-Assumptions!$AC$50)*(A74-Assumptions!$AB$50)/(Assumptions!$Z$50-Assumptions!$AB$50),Assumptions!$O$50+(Assumptions!$P$50-Assumptions!$O$50)*(A74-Assumptions!$Z$50)/(Assumptions!$AA$50-Assumptions!$Z$50))+MAX(0,Assumptions!$W$50+Assumptions!$X$50*MIN(A74,21))))</f>
        <v>2973.87</v>
      </c>
      <c r="M74" s="87">
        <f>MAX(M73,(IF(A74&lt;=Assumptions!$Z$51,Assumptions!$AC$51+(Assumptions!$O$51-Assumptions!$AC$51)*(A74-Assumptions!$AB$51)/(Assumptions!$Z$51-Assumptions!$AB$51),Assumptions!$O$51+(Assumptions!$P$51-Assumptions!$O$51)*(A74-Assumptions!$Z$51)/(Assumptions!$AA$51-Assumptions!$Z$51))+MAX(0,Assumptions!$W$51+Assumptions!$X$51*MIN(A74,21))))</f>
        <v>2880.3846153846152</v>
      </c>
      <c r="N74" s="87">
        <f>MAX(N73,(IF(A74&lt;=Assumptions!$Z$52,Assumptions!$AC$52+(Assumptions!$O$52-Assumptions!$AC$52)*(A74-Assumptions!$AB$52)/(Assumptions!$Z$52-Assumptions!$AB$52),Assumptions!$O$52+(Assumptions!$P$52-Assumptions!$O$52)*(A74-Assumptions!$Z$52)/(Assumptions!$AA$52-Assumptions!$Z$52))+MAX(0,Assumptions!$W$52+Assumptions!$X$52*MIN(A74,21))))</f>
        <v>2906.4285714285716</v>
      </c>
      <c r="O74" s="92">
        <f>MAX(O73,(IF(A74&lt;=Assumptions!$Z$53,Assumptions!$AC$53+(Assumptions!$O$53-Assumptions!$AC$53)*(A74-Assumptions!$AB$53)/(Assumptions!$Z$53-Assumptions!$AB$53),Assumptions!$O$53+(Assumptions!$P$53-Assumptions!$O$53)*(A74-Assumptions!$Z$53)/(Assumptions!$AA$53-Assumptions!$Z$53))+MAX(0,Assumptions!$W$53+Assumptions!$X$53*MIN(A74,21))))</f>
        <v>3000.3999999999996</v>
      </c>
      <c r="P74" s="92">
        <f>MAX(P73,(IF(A74&lt;=Assumptions!$Z$54,Assumptions!$AC$54+(Assumptions!$O$54-Assumptions!$AC$54)*(A74-Assumptions!$AB$54)/(Assumptions!$Z$54-Assumptions!$AB$54),Assumptions!$O$54+(Assumptions!$P$54-Assumptions!$O$54)*(A74-Assumptions!$Z$54)/(Assumptions!$AA$54-Assumptions!$Z$54))+MAX(0,Assumptions!$W$54+Assumptions!$X$54*MIN(A74,21))))</f>
        <v>2951.4494866685163</v>
      </c>
      <c r="Q74" s="92">
        <f>MAX(Q73,(IF(A74&lt;=Assumptions!$Z$55,Assumptions!$AC$55+(Assumptions!$O$55-Assumptions!$AC$55)*(A74-Assumptions!$AB$55)/(Assumptions!$Z$55-Assumptions!$AB$55),Assumptions!$O$55+(Assumptions!$P$55-Assumptions!$O$55)*(A74-Assumptions!$Z$55)/(Assumptions!$AA$55-Assumptions!$Z$55))+MAX(0,Assumptions!$W$55+Assumptions!$X$55*MIN(A74,21))))</f>
        <v>2909.4076923076923</v>
      </c>
      <c r="R74" s="92">
        <f>MAX(R73,(IF(A74&lt;=Assumptions!$Z$56,Assumptions!$AC$56+(Assumptions!$O$56-Assumptions!$AC$56)*(A74-Assumptions!$AB$56)/(Assumptions!$Z$56-Assumptions!$AB$56),Assumptions!$O$56+(Assumptions!$P$56-Assumptions!$O$56)*(A74-Assumptions!$Z$56)/(Assumptions!$AA$56-Assumptions!$Z$56))+MAX(0,Assumptions!$W$56+Assumptions!$X$56*MIN(A74,21))))</f>
        <v>2909.4076923076923</v>
      </c>
    </row>
    <row r="75" spans="1:18" x14ac:dyDescent="0.2">
      <c r="A75" s="91">
        <v>15</v>
      </c>
      <c r="B75" s="87">
        <f>MAX(B74,(IF(A75&lt;=Assumptions!$Z$40,Assumptions!$AC$40+(Assumptions!$O$40-Assumptions!$AC$40)*(A75-Assumptions!$AB$40)/(Assumptions!$Z$40-Assumptions!$AB$40),Assumptions!$O$40+(Assumptions!$P$40-Assumptions!$O$40)*(A75-Assumptions!$Z$40)/(Assumptions!$AA$40-Assumptions!$Z$40))+MAX(0,Assumptions!$W$40+Assumptions!$X$40*MIN(A75,21))))</f>
        <v>2954.1000000000004</v>
      </c>
      <c r="C75" s="87">
        <f>MAX(C74,(IF(A75&lt;=Assumptions!$Z$41,Assumptions!$AC$41+(Assumptions!$O$41-Assumptions!$AC$41)*(A75-Assumptions!$AB$41)/(Assumptions!$Z$41-Assumptions!$AB$41),Assumptions!$O$41+(Assumptions!$P$41-Assumptions!$O$41)*(A75-Assumptions!$Z$41)/(Assumptions!$AA$41-Assumptions!$Z$41))+MAX(0,Assumptions!$W$41+Assumptions!$X$41*MIN(A75,21))))</f>
        <v>2914.15</v>
      </c>
      <c r="D75" s="92">
        <f>MAX(D74,(IF(A75&lt;=Assumptions!$Z$42,Assumptions!$AC$42+(Assumptions!$O$42-Assumptions!$AC$42)*(A75-Assumptions!$AB$42)/(Assumptions!$Z$42-Assumptions!$AB$42),Assumptions!$O$42+(Assumptions!$P$42-Assumptions!$O$42)*(A75-Assumptions!$Z$42)/(Assumptions!$AA$42-Assumptions!$Z$42))+MAX(0,Assumptions!$W$42+Assumptions!$X$42*MIN(A75,21))))</f>
        <v>3104.4157142857139</v>
      </c>
      <c r="E75" s="87">
        <f>MAX(E74,(IF(A75&lt;=Assumptions!$Z$43,Assumptions!$AC$43+(Assumptions!$O$43-Assumptions!$AC$43)*(A75-Assumptions!$AB$43)/(Assumptions!$Z$43-Assumptions!$AB$43),Assumptions!$O$43+(Assumptions!$P$43-Assumptions!$O$43)*(A75-Assumptions!$Z$43)/(Assumptions!$AA$43-Assumptions!$Z$43))+MAX(0,Assumptions!$W$43+Assumptions!$X$43*MIN(A75,21))))</f>
        <v>2941.95</v>
      </c>
      <c r="F75" s="92">
        <f>MAX(F74,(IF(A75&lt;=Assumptions!$Z$44,Assumptions!$AC$44+(Assumptions!$O$44-Assumptions!$AC$44)*(A75-Assumptions!$AB$44)/(Assumptions!$Z$44-Assumptions!$AB$44),Assumptions!$O$44+(Assumptions!$P$44-Assumptions!$O$44)*(A75-Assumptions!$Z$44)/(Assumptions!$AA$44-Assumptions!$Z$44))+MAX(0,Assumptions!$W$44+Assumptions!$X$44*MIN(A75,21))))</f>
        <v>3118.8799999999997</v>
      </c>
      <c r="G75" s="87">
        <f>MAX(G74,(IF(A75&lt;=Assumptions!$Z$45,Assumptions!$AC$45+(Assumptions!$O$45-Assumptions!$AC$45)*(A75-Assumptions!$AB$45)/(Assumptions!$Z$45-Assumptions!$AB$45),Assumptions!$O$45+(Assumptions!$P$45-Assumptions!$O$45)*(A75-Assumptions!$Z$45)/(Assumptions!$AA$45-Assumptions!$Z$45))+MAX(0,Assumptions!$W$45+Assumptions!$X$45*MIN(A75,21))))</f>
        <v>2924.9</v>
      </c>
      <c r="H75" s="92">
        <f>MAX(H74,(IF(A75&lt;=Assumptions!$Z$46,Assumptions!$AC$46+(Assumptions!$O$46-Assumptions!$AC$46)*(A75-Assumptions!$AB$46)/(Assumptions!$Z$46-Assumptions!$AB$46),Assumptions!$O$46+(Assumptions!$P$46-Assumptions!$O$46)*(A75-Assumptions!$Z$46)/(Assumptions!$AA$46-Assumptions!$Z$46))+MAX(0,Assumptions!$W$46+Assumptions!$X$46*MIN(A75,21))))</f>
        <v>3027.16</v>
      </c>
      <c r="I75" s="87">
        <f>MAX(I74,(IF(A75&lt;=Assumptions!$Z$47,Assumptions!$AC$47+(Assumptions!$O$47-Assumptions!$AC$47)*(A75-Assumptions!$AB$47)/(Assumptions!$Z$47-Assumptions!$AB$47),Assumptions!$O$47+(Assumptions!$P$47-Assumptions!$O$47)*(A75-Assumptions!$Z$47)/(Assumptions!$AA$47-Assumptions!$Z$47))+MAX(0,Assumptions!$W$47+Assumptions!$X$47*MIN(A75,21))))</f>
        <v>2918.6846153846154</v>
      </c>
      <c r="J75" s="92">
        <f>MAX(J74,(IF(A75&lt;=Assumptions!$Z$48,Assumptions!$AC$48+(Assumptions!$O$48-Assumptions!$AC$48)*(A75-Assumptions!$AB$48)/(Assumptions!$Z$48-Assumptions!$AB$48),Assumptions!$O$48+(Assumptions!$P$48-Assumptions!$O$48)*(A75-Assumptions!$Z$48)/(Assumptions!$AA$48-Assumptions!$Z$48))+MAX(0,Assumptions!$W$48+Assumptions!$X$48*MIN(A75,21))))</f>
        <v>3034.8700000000003</v>
      </c>
      <c r="K75" s="87">
        <f>MAX(K74,(IF(A75&lt;=Assumptions!$Z$49,Assumptions!$AC$49+(Assumptions!$O$49-Assumptions!$AC$49)*(A75-Assumptions!$AB$49)/(Assumptions!$Z$49-Assumptions!$AB$49),Assumptions!$O$49+(Assumptions!$P$49-Assumptions!$O$49)*(A75-Assumptions!$Z$49)/(Assumptions!$AA$49-Assumptions!$Z$49))+MAX(0,Assumptions!$W$49+Assumptions!$X$49*MIN(A75,21))))</f>
        <v>2884.4923076923078</v>
      </c>
      <c r="L75" s="92">
        <f>MAX(L74,(IF(A75&lt;=Assumptions!$Z$50,Assumptions!$AC$50+(Assumptions!$O$50-Assumptions!$AC$50)*(A75-Assumptions!$AB$50)/(Assumptions!$Z$50-Assumptions!$AB$50),Assumptions!$O$50+(Assumptions!$P$50-Assumptions!$O$50)*(A75-Assumptions!$Z$50)/(Assumptions!$AA$50-Assumptions!$Z$50))+MAX(0,Assumptions!$W$50+Assumptions!$X$50*MIN(A75,21))))</f>
        <v>2992.65</v>
      </c>
      <c r="M75" s="87">
        <f>MAX(M74,(IF(A75&lt;=Assumptions!$Z$51,Assumptions!$AC$51+(Assumptions!$O$51-Assumptions!$AC$51)*(A75-Assumptions!$AB$51)/(Assumptions!$Z$51-Assumptions!$AB$51),Assumptions!$O$51+(Assumptions!$P$51-Assumptions!$O$51)*(A75-Assumptions!$Z$51)/(Assumptions!$AA$51-Assumptions!$Z$51))+MAX(0,Assumptions!$W$51+Assumptions!$X$51*MIN(A75,21))))</f>
        <v>2904.476923076923</v>
      </c>
      <c r="N75" s="87">
        <f>MAX(N74,(IF(A75&lt;=Assumptions!$Z$52,Assumptions!$AC$52+(Assumptions!$O$52-Assumptions!$AC$52)*(A75-Assumptions!$AB$52)/(Assumptions!$Z$52-Assumptions!$AB$52),Assumptions!$O$52+(Assumptions!$P$52-Assumptions!$O$52)*(A75-Assumptions!$Z$52)/(Assumptions!$AA$52-Assumptions!$Z$52))+MAX(0,Assumptions!$W$52+Assumptions!$X$52*MIN(A75,21))))</f>
        <v>2930.2</v>
      </c>
      <c r="O75" s="92">
        <f>MAX(O74,(IF(A75&lt;=Assumptions!$Z$53,Assumptions!$AC$53+(Assumptions!$O$53-Assumptions!$AC$53)*(A75-Assumptions!$AB$53)/(Assumptions!$Z$53-Assumptions!$AB$53),Assumptions!$O$53+(Assumptions!$P$53-Assumptions!$O$53)*(A75-Assumptions!$Z$53)/(Assumptions!$AA$53-Assumptions!$Z$53))+MAX(0,Assumptions!$W$53+Assumptions!$X$53*MIN(A75,21))))</f>
        <v>3013.86</v>
      </c>
      <c r="P75" s="92">
        <f>MAX(P74,(IF(A75&lt;=Assumptions!$Z$54,Assumptions!$AC$54+(Assumptions!$O$54-Assumptions!$AC$54)*(A75-Assumptions!$AB$54)/(Assumptions!$Z$54-Assumptions!$AB$54),Assumptions!$O$54+(Assumptions!$P$54-Assumptions!$O$54)*(A75-Assumptions!$Z$54)/(Assumptions!$AA$54-Assumptions!$Z$54))+MAX(0,Assumptions!$W$54+Assumptions!$X$54*MIN(A75,21))))</f>
        <v>2961.8924904775117</v>
      </c>
      <c r="Q75" s="92">
        <f>MAX(Q74,(IF(A75&lt;=Assumptions!$Z$55,Assumptions!$AC$55+(Assumptions!$O$55-Assumptions!$AC$55)*(A75-Assumptions!$AB$55)/(Assumptions!$Z$55-Assumptions!$AB$55),Assumptions!$O$55+(Assumptions!$P$55-Assumptions!$O$55)*(A75-Assumptions!$Z$55)/(Assumptions!$AA$55-Assumptions!$Z$55))+MAX(0,Assumptions!$W$55+Assumptions!$X$55*MIN(A75,21))))</f>
        <v>2919.3538461538465</v>
      </c>
      <c r="R75" s="92">
        <f>MAX(R74,(IF(A75&lt;=Assumptions!$Z$56,Assumptions!$AC$56+(Assumptions!$O$56-Assumptions!$AC$56)*(A75-Assumptions!$AB$56)/(Assumptions!$Z$56-Assumptions!$AB$56),Assumptions!$O$56+(Assumptions!$P$56-Assumptions!$O$56)*(A75-Assumptions!$Z$56)/(Assumptions!$AA$56-Assumptions!$Z$56))+MAX(0,Assumptions!$W$56+Assumptions!$X$56*MIN(A75,21))))</f>
        <v>2919.3538461538465</v>
      </c>
    </row>
    <row r="76" spans="1:18" x14ac:dyDescent="0.2">
      <c r="A76" s="91">
        <v>16</v>
      </c>
      <c r="B76" s="87">
        <f>MAX(B75,(IF(A76&lt;=Assumptions!$Z$40,Assumptions!$AC$40+(Assumptions!$O$40-Assumptions!$AC$40)*(A76-Assumptions!$AB$40)/(Assumptions!$Z$40-Assumptions!$AB$40),Assumptions!$O$40+(Assumptions!$P$40-Assumptions!$O$40)*(A76-Assumptions!$Z$40)/(Assumptions!$AA$40-Assumptions!$Z$40))+MAX(0,Assumptions!$W$40+Assumptions!$X$40*MIN(A76,21))))</f>
        <v>2976.1571428571428</v>
      </c>
      <c r="C76" s="87">
        <f>MAX(C75,(IF(A76&lt;=Assumptions!$Z$41,Assumptions!$AC$41+(Assumptions!$O$41-Assumptions!$AC$41)*(A76-Assumptions!$AB$41)/(Assumptions!$Z$41-Assumptions!$AB$41),Assumptions!$O$41+(Assumptions!$P$41-Assumptions!$O$41)*(A76-Assumptions!$Z$41)/(Assumptions!$AA$41-Assumptions!$Z$41))+MAX(0,Assumptions!$W$41+Assumptions!$X$41*MIN(A76,21))))</f>
        <v>2936.9357142857143</v>
      </c>
      <c r="D76" s="92">
        <f>MAX(D75,(IF(A76&lt;=Assumptions!$Z$42,Assumptions!$AC$42+(Assumptions!$O$42-Assumptions!$AC$42)*(A76-Assumptions!$AB$42)/(Assumptions!$Z$42-Assumptions!$AB$42),Assumptions!$O$42+(Assumptions!$P$42-Assumptions!$O$42)*(A76-Assumptions!$Z$42)/(Assumptions!$AA$42-Assumptions!$Z$42))+MAX(0,Assumptions!$W$42+Assumptions!$X$42*MIN(A76,21))))</f>
        <v>3123.620476190476</v>
      </c>
      <c r="E76" s="87">
        <f>MAX(E75,(IF(A76&lt;=Assumptions!$Z$43,Assumptions!$AC$43+(Assumptions!$O$43-Assumptions!$AC$43)*(A76-Assumptions!$AB$43)/(Assumptions!$Z$43-Assumptions!$AB$43),Assumptions!$O$43+(Assumptions!$P$43-Assumptions!$O$43)*(A76-Assumptions!$Z$43)/(Assumptions!$AA$43-Assumptions!$Z$43))+MAX(0,Assumptions!$W$43+Assumptions!$X$43*MIN(A76,21))))</f>
        <v>2965.0214285714283</v>
      </c>
      <c r="F76" s="92">
        <f>MAX(F75,(IF(A76&lt;=Assumptions!$Z$44,Assumptions!$AC$44+(Assumptions!$O$44-Assumptions!$AC$44)*(A76-Assumptions!$AB$44)/(Assumptions!$Z$44-Assumptions!$AB$44),Assumptions!$O$44+(Assumptions!$P$44-Assumptions!$O$44)*(A76-Assumptions!$Z$44)/(Assumptions!$AA$44-Assumptions!$Z$44))+MAX(0,Assumptions!$W$44+Assumptions!$X$44*MIN(A76,21))))</f>
        <v>3144.37</v>
      </c>
      <c r="G76" s="87">
        <f>MAX(G75,(IF(A76&lt;=Assumptions!$Z$45,Assumptions!$AC$45+(Assumptions!$O$45-Assumptions!$AC$45)*(A76-Assumptions!$AB$45)/(Assumptions!$Z$45-Assumptions!$AB$45),Assumptions!$O$45+(Assumptions!$P$45-Assumptions!$O$45)*(A76-Assumptions!$Z$45)/(Assumptions!$AA$45-Assumptions!$Z$45))+MAX(0,Assumptions!$W$45+Assumptions!$X$45*MIN(A76,21))))</f>
        <v>2946.3571428571431</v>
      </c>
      <c r="H76" s="92">
        <f>MAX(H75,(IF(A76&lt;=Assumptions!$Z$46,Assumptions!$AC$46+(Assumptions!$O$46-Assumptions!$AC$46)*(A76-Assumptions!$AB$46)/(Assumptions!$Z$46-Assumptions!$AB$46),Assumptions!$O$46+(Assumptions!$P$46-Assumptions!$O$46)*(A76-Assumptions!$Z$46)/(Assumptions!$AA$46-Assumptions!$Z$46))+MAX(0,Assumptions!$W$46+Assumptions!$X$46*MIN(A76,21))))</f>
        <v>3050.55</v>
      </c>
      <c r="I76" s="87">
        <f>MAX(I75,(IF(A76&lt;=Assumptions!$Z$47,Assumptions!$AC$47+(Assumptions!$O$47-Assumptions!$AC$47)*(A76-Assumptions!$AB$47)/(Assumptions!$Z$47-Assumptions!$AB$47),Assumptions!$O$47+(Assumptions!$P$47-Assumptions!$O$47)*(A76-Assumptions!$Z$47)/(Assumptions!$AA$47-Assumptions!$Z$47))+MAX(0,Assumptions!$W$47+Assumptions!$X$47*MIN(A76,21))))</f>
        <v>2943.146153846154</v>
      </c>
      <c r="J76" s="92">
        <f>MAX(J75,(IF(A76&lt;=Assumptions!$Z$48,Assumptions!$AC$48+(Assumptions!$O$48-Assumptions!$AC$48)*(A76-Assumptions!$AB$48)/(Assumptions!$Z$48-Assumptions!$AB$48),Assumptions!$O$48+(Assumptions!$P$48-Assumptions!$O$48)*(A76-Assumptions!$Z$48)/(Assumptions!$AA$48-Assumptions!$Z$48))+MAX(0,Assumptions!$W$48+Assumptions!$X$48*MIN(A76,21))))</f>
        <v>3051.9500000000003</v>
      </c>
      <c r="K76" s="87">
        <f>MAX(K75,(IF(A76&lt;=Assumptions!$Z$49,Assumptions!$AC$49+(Assumptions!$O$49-Assumptions!$AC$49)*(A76-Assumptions!$AB$49)/(Assumptions!$Z$49-Assumptions!$AB$49),Assumptions!$O$49+(Assumptions!$P$49-Assumptions!$O$49)*(A76-Assumptions!$Z$49)/(Assumptions!$AA$49-Assumptions!$Z$49))+MAX(0,Assumptions!$W$49+Assumptions!$X$49*MIN(A76,21))))</f>
        <v>2910.7692307692309</v>
      </c>
      <c r="L76" s="92">
        <f>MAX(L75,(IF(A76&lt;=Assumptions!$Z$50,Assumptions!$AC$50+(Assumptions!$O$50-Assumptions!$AC$50)*(A76-Assumptions!$AB$50)/(Assumptions!$Z$50-Assumptions!$AB$50),Assumptions!$O$50+(Assumptions!$P$50-Assumptions!$O$50)*(A76-Assumptions!$Z$50)/(Assumptions!$AA$50-Assumptions!$Z$50))+MAX(0,Assumptions!$W$50+Assumptions!$X$50*MIN(A76,21))))</f>
        <v>3011.4300000000003</v>
      </c>
      <c r="M76" s="87">
        <f>MAX(M75,(IF(A76&lt;=Assumptions!$Z$51,Assumptions!$AC$51+(Assumptions!$O$51-Assumptions!$AC$51)*(A76-Assumptions!$AB$51)/(Assumptions!$Z$51-Assumptions!$AB$51),Assumptions!$O$51+(Assumptions!$P$51-Assumptions!$O$51)*(A76-Assumptions!$Z$51)/(Assumptions!$AA$51-Assumptions!$Z$51))+MAX(0,Assumptions!$W$51+Assumptions!$X$51*MIN(A76,21))))</f>
        <v>2928.5692307692307</v>
      </c>
      <c r="N76" s="87">
        <f>MAX(N75,(IF(A76&lt;=Assumptions!$Z$52,Assumptions!$AC$52+(Assumptions!$O$52-Assumptions!$AC$52)*(A76-Assumptions!$AB$52)/(Assumptions!$Z$52-Assumptions!$AB$52),Assumptions!$O$52+(Assumptions!$P$52-Assumptions!$O$52)*(A76-Assumptions!$Z$52)/(Assumptions!$AA$52-Assumptions!$Z$52))+MAX(0,Assumptions!$W$52+Assumptions!$X$52*MIN(A76,21))))</f>
        <v>2953.9714285714285</v>
      </c>
      <c r="O76" s="92">
        <f>MAX(O75,(IF(A76&lt;=Assumptions!$Z$53,Assumptions!$AC$53+(Assumptions!$O$53-Assumptions!$AC$53)*(A76-Assumptions!$AB$53)/(Assumptions!$Z$53-Assumptions!$AB$53),Assumptions!$O$53+(Assumptions!$P$53-Assumptions!$O$53)*(A76-Assumptions!$Z$53)/(Assumptions!$AA$53-Assumptions!$Z$53))+MAX(0,Assumptions!$W$53+Assumptions!$X$53*MIN(A76,21))))</f>
        <v>3027.3199999999997</v>
      </c>
      <c r="P76" s="92">
        <f>MAX(P75,(IF(A76&lt;=Assumptions!$Z$54,Assumptions!$AC$54+(Assumptions!$O$54-Assumptions!$AC$54)*(A76-Assumptions!$AB$54)/(Assumptions!$Z$54-Assumptions!$AB$54),Assumptions!$O$54+(Assumptions!$P$54-Assumptions!$O$54)*(A76-Assumptions!$Z$54)/(Assumptions!$AA$54-Assumptions!$Z$54))+MAX(0,Assumptions!$W$54+Assumptions!$X$54*MIN(A76,21))))</f>
        <v>2972.3354942865071</v>
      </c>
      <c r="Q76" s="92">
        <f>MAX(Q75,(IF(A76&lt;=Assumptions!$Z$55,Assumptions!$AC$55+(Assumptions!$O$55-Assumptions!$AC$55)*(A76-Assumptions!$AB$55)/(Assumptions!$Z$55-Assumptions!$AB$55),Assumptions!$O$55+(Assumptions!$P$55-Assumptions!$O$55)*(A76-Assumptions!$Z$55)/(Assumptions!$AA$55-Assumptions!$Z$55))+MAX(0,Assumptions!$W$55+Assumptions!$X$55*MIN(A76,21))))</f>
        <v>2929.3</v>
      </c>
      <c r="R76" s="92">
        <f>MAX(R75,(IF(A76&lt;=Assumptions!$Z$56,Assumptions!$AC$56+(Assumptions!$O$56-Assumptions!$AC$56)*(A76-Assumptions!$AB$56)/(Assumptions!$Z$56-Assumptions!$AB$56),Assumptions!$O$56+(Assumptions!$P$56-Assumptions!$O$56)*(A76-Assumptions!$Z$56)/(Assumptions!$AA$56-Assumptions!$Z$56))+MAX(0,Assumptions!$W$56+Assumptions!$X$56*MIN(A76,21))))</f>
        <v>2929.3</v>
      </c>
    </row>
    <row r="77" spans="1:18" x14ac:dyDescent="0.2">
      <c r="A77" s="91">
        <v>17</v>
      </c>
      <c r="B77" s="87">
        <f>MAX(B76,(IF(A77&lt;=Assumptions!$Z$40,Assumptions!$AC$40+(Assumptions!$O$40-Assumptions!$AC$40)*(A77-Assumptions!$AB$40)/(Assumptions!$Z$40-Assumptions!$AB$40),Assumptions!$O$40+(Assumptions!$P$40-Assumptions!$O$40)*(A77-Assumptions!$Z$40)/(Assumptions!$AA$40-Assumptions!$Z$40))+MAX(0,Assumptions!$W$40+Assumptions!$X$40*MIN(A77,21))))</f>
        <v>2998.2142857142858</v>
      </c>
      <c r="C77" s="87">
        <f>MAX(C76,(IF(A77&lt;=Assumptions!$Z$41,Assumptions!$AC$41+(Assumptions!$O$41-Assumptions!$AC$41)*(A77-Assumptions!$AB$41)/(Assumptions!$Z$41-Assumptions!$AB$41),Assumptions!$O$41+(Assumptions!$P$41-Assumptions!$O$41)*(A77-Assumptions!$Z$41)/(Assumptions!$AA$41-Assumptions!$Z$41))+MAX(0,Assumptions!$W$41+Assumptions!$X$41*MIN(A77,21))))</f>
        <v>2959.7214285714285</v>
      </c>
      <c r="D77" s="92">
        <f>MAX(D76,(IF(A77&lt;=Assumptions!$Z$42,Assumptions!$AC$42+(Assumptions!$O$42-Assumptions!$AC$42)*(A77-Assumptions!$AB$42)/(Assumptions!$Z$42-Assumptions!$AB$42),Assumptions!$O$42+(Assumptions!$P$42-Assumptions!$O$42)*(A77-Assumptions!$Z$42)/(Assumptions!$AA$42-Assumptions!$Z$42))+MAX(0,Assumptions!$W$42+Assumptions!$X$42*MIN(A77,21))))</f>
        <v>3142.8252380952381</v>
      </c>
      <c r="E77" s="87">
        <f>MAX(E76,(IF(A77&lt;=Assumptions!$Z$43,Assumptions!$AC$43+(Assumptions!$O$43-Assumptions!$AC$43)*(A77-Assumptions!$AB$43)/(Assumptions!$Z$43-Assumptions!$AB$43),Assumptions!$O$43+(Assumptions!$P$43-Assumptions!$O$43)*(A77-Assumptions!$Z$43)/(Assumptions!$AA$43-Assumptions!$Z$43))+MAX(0,Assumptions!$W$43+Assumptions!$X$43*MIN(A77,21))))</f>
        <v>2988.0928571428572</v>
      </c>
      <c r="F77" s="92">
        <f>MAX(F76,(IF(A77&lt;=Assumptions!$Z$44,Assumptions!$AC$44+(Assumptions!$O$44-Assumptions!$AC$44)*(A77-Assumptions!$AB$44)/(Assumptions!$Z$44-Assumptions!$AB$44),Assumptions!$O$44+(Assumptions!$P$44-Assumptions!$O$44)*(A77-Assumptions!$Z$44)/(Assumptions!$AA$44-Assumptions!$Z$44))+MAX(0,Assumptions!$W$44+Assumptions!$X$44*MIN(A77,21))))</f>
        <v>3163.0910526315788</v>
      </c>
      <c r="G77" s="87">
        <f>MAX(G76,(IF(A77&lt;=Assumptions!$Z$45,Assumptions!$AC$45+(Assumptions!$O$45-Assumptions!$AC$45)*(A77-Assumptions!$AB$45)/(Assumptions!$Z$45-Assumptions!$AB$45),Assumptions!$O$45+(Assumptions!$P$45-Assumptions!$O$45)*(A77-Assumptions!$Z$45)/(Assumptions!$AA$45-Assumptions!$Z$45))+MAX(0,Assumptions!$W$45+Assumptions!$X$45*MIN(A77,21))))</f>
        <v>2967.8142857142857</v>
      </c>
      <c r="H77" s="92">
        <f>MAX(H76,(IF(A77&lt;=Assumptions!$Z$46,Assumptions!$AC$46+(Assumptions!$O$46-Assumptions!$AC$46)*(A77-Assumptions!$AB$46)/(Assumptions!$Z$46-Assumptions!$AB$46),Assumptions!$O$46+(Assumptions!$P$46-Assumptions!$O$46)*(A77-Assumptions!$Z$46)/(Assumptions!$AA$46-Assumptions!$Z$46))+MAX(0,Assumptions!$W$46+Assumptions!$X$46*MIN(A77,21))))</f>
        <v>3068.2447368421053</v>
      </c>
      <c r="I77" s="87">
        <f>MAX(I76,(IF(A77&lt;=Assumptions!$Z$47,Assumptions!$AC$47+(Assumptions!$O$47-Assumptions!$AC$47)*(A77-Assumptions!$AB$47)/(Assumptions!$Z$47-Assumptions!$AB$47),Assumptions!$O$47+(Assumptions!$P$47-Assumptions!$O$47)*(A77-Assumptions!$Z$47)/(Assumptions!$AA$47-Assumptions!$Z$47))+MAX(0,Assumptions!$W$47+Assumptions!$X$47*MIN(A77,21))))</f>
        <v>2967.6076923076926</v>
      </c>
      <c r="J77" s="92">
        <f>MAX(J76,(IF(A77&lt;=Assumptions!$Z$48,Assumptions!$AC$48+(Assumptions!$O$48-Assumptions!$AC$48)*(A77-Assumptions!$AB$48)/(Assumptions!$Z$48-Assumptions!$AB$48),Assumptions!$O$48+(Assumptions!$P$48-Assumptions!$O$48)*(A77-Assumptions!$Z$48)/(Assumptions!$AA$48-Assumptions!$Z$48))+MAX(0,Assumptions!$W$48+Assumptions!$X$48*MIN(A77,21))))</f>
        <v>3069.2605263157898</v>
      </c>
      <c r="K77" s="87">
        <f>MAX(K76,(IF(A77&lt;=Assumptions!$Z$49,Assumptions!$AC$49+(Assumptions!$O$49-Assumptions!$AC$49)*(A77-Assumptions!$AB$49)/(Assumptions!$Z$49-Assumptions!$AB$49),Assumptions!$O$49+(Assumptions!$P$49-Assumptions!$O$49)*(A77-Assumptions!$Z$49)/(Assumptions!$AA$49-Assumptions!$Z$49))+MAX(0,Assumptions!$W$49+Assumptions!$X$49*MIN(A77,21))))</f>
        <v>2937.0461538461536</v>
      </c>
      <c r="L77" s="92">
        <f>MAX(L76,(IF(A77&lt;=Assumptions!$Z$50,Assumptions!$AC$50+(Assumptions!$O$50-Assumptions!$AC$50)*(A77-Assumptions!$AB$50)/(Assumptions!$Z$50-Assumptions!$AB$50),Assumptions!$O$50+(Assumptions!$P$50-Assumptions!$O$50)*(A77-Assumptions!$Z$50)/(Assumptions!$AA$50-Assumptions!$Z$50))+MAX(0,Assumptions!$W$50+Assumptions!$X$50*MIN(A77,21))))</f>
        <v>3031.2457894736845</v>
      </c>
      <c r="M77" s="87">
        <f>MAX(M76,(IF(A77&lt;=Assumptions!$Z$51,Assumptions!$AC$51+(Assumptions!$O$51-Assumptions!$AC$51)*(A77-Assumptions!$AB$51)/(Assumptions!$Z$51-Assumptions!$AB$51),Assumptions!$O$51+(Assumptions!$P$51-Assumptions!$O$51)*(A77-Assumptions!$Z$51)/(Assumptions!$AA$51-Assumptions!$Z$51))+MAX(0,Assumptions!$W$51+Assumptions!$X$51*MIN(A77,21))))</f>
        <v>2952.6615384615384</v>
      </c>
      <c r="N77" s="87">
        <f>MAX(N76,(IF(A77&lt;=Assumptions!$Z$52,Assumptions!$AC$52+(Assumptions!$O$52-Assumptions!$AC$52)*(A77-Assumptions!$AB$52)/(Assumptions!$Z$52-Assumptions!$AB$52),Assumptions!$O$52+(Assumptions!$P$52-Assumptions!$O$52)*(A77-Assumptions!$Z$52)/(Assumptions!$AA$52-Assumptions!$Z$52))+MAX(0,Assumptions!$W$52+Assumptions!$X$52*MIN(A77,21))))</f>
        <v>2977.7428571428572</v>
      </c>
      <c r="O77" s="92">
        <f>MAX(O76,(IF(A77&lt;=Assumptions!$Z$53,Assumptions!$AC$53+(Assumptions!$O$53-Assumptions!$AC$53)*(A77-Assumptions!$AB$53)/(Assumptions!$Z$53-Assumptions!$AB$53),Assumptions!$O$53+(Assumptions!$P$53-Assumptions!$O$53)*(A77-Assumptions!$Z$53)/(Assumptions!$AA$53-Assumptions!$Z$53))+MAX(0,Assumptions!$W$53+Assumptions!$X$53*MIN(A77,21))))</f>
        <v>3048.5568421052631</v>
      </c>
      <c r="P77" s="92">
        <f>MAX(P76,(IF(A77&lt;=Assumptions!$Z$54,Assumptions!$AC$54+(Assumptions!$O$54-Assumptions!$AC$54)*(A77-Assumptions!$AB$54)/(Assumptions!$Z$54-Assumptions!$AB$54),Assumptions!$O$54+(Assumptions!$P$54-Assumptions!$O$54)*(A77-Assumptions!$Z$54)/(Assumptions!$AA$54-Assumptions!$Z$54))+MAX(0,Assumptions!$W$54+Assumptions!$X$54*MIN(A77,21))))</f>
        <v>2982.7784980955025</v>
      </c>
      <c r="Q77" s="92">
        <f>MAX(Q76,(IF(A77&lt;=Assumptions!$Z$55,Assumptions!$AC$55+(Assumptions!$O$55-Assumptions!$AC$55)*(A77-Assumptions!$AB$55)/(Assumptions!$Z$55-Assumptions!$AB$55),Assumptions!$O$55+(Assumptions!$P$55-Assumptions!$O$55)*(A77-Assumptions!$Z$55)/(Assumptions!$AA$55-Assumptions!$Z$55))+MAX(0,Assumptions!$W$55+Assumptions!$X$55*MIN(A77,21))))</f>
        <v>2957.7947368421055</v>
      </c>
      <c r="R77" s="92">
        <f>MAX(R76,(IF(A77&lt;=Assumptions!$Z$56,Assumptions!$AC$56+(Assumptions!$O$56-Assumptions!$AC$56)*(A77-Assumptions!$AB$56)/(Assumptions!$Z$56-Assumptions!$AB$56),Assumptions!$O$56+(Assumptions!$P$56-Assumptions!$O$56)*(A77-Assumptions!$Z$56)/(Assumptions!$AA$56-Assumptions!$Z$56))+MAX(0,Assumptions!$W$56+Assumptions!$X$56*MIN(A77,21))))</f>
        <v>2957.7947368421055</v>
      </c>
    </row>
    <row r="78" spans="1:18" x14ac:dyDescent="0.2">
      <c r="A78" s="91">
        <v>18</v>
      </c>
      <c r="B78" s="87">
        <f>MAX(B77,(IF(A78&lt;=Assumptions!$Z$40,Assumptions!$AC$40+(Assumptions!$O$40-Assumptions!$AC$40)*(A78-Assumptions!$AB$40)/(Assumptions!$Z$40-Assumptions!$AB$40),Assumptions!$O$40+(Assumptions!$P$40-Assumptions!$O$40)*(A78-Assumptions!$Z$40)/(Assumptions!$AA$40-Assumptions!$Z$40))+MAX(0,Assumptions!$W$40+Assumptions!$X$40*MIN(A78,21))))</f>
        <v>3020.2714285714287</v>
      </c>
      <c r="C78" s="87">
        <f>MAX(C77,(IF(A78&lt;=Assumptions!$Z$41,Assumptions!$AC$41+(Assumptions!$O$41-Assumptions!$AC$41)*(A78-Assumptions!$AB$41)/(Assumptions!$Z$41-Assumptions!$AB$41),Assumptions!$O$41+(Assumptions!$P$41-Assumptions!$O$41)*(A78-Assumptions!$Z$41)/(Assumptions!$AA$41-Assumptions!$Z$41))+MAX(0,Assumptions!$W$41+Assumptions!$X$41*MIN(A78,21))))</f>
        <v>2982.5071428571428</v>
      </c>
      <c r="D78" s="92">
        <f>MAX(D77,(IF(A78&lt;=Assumptions!$Z$42,Assumptions!$AC$42+(Assumptions!$O$42-Assumptions!$AC$42)*(A78-Assumptions!$AB$42)/(Assumptions!$Z$42-Assumptions!$AB$42),Assumptions!$O$42+(Assumptions!$P$42-Assumptions!$O$42)*(A78-Assumptions!$Z$42)/(Assumptions!$AA$42-Assumptions!$Z$42))+MAX(0,Assumptions!$W$42+Assumptions!$X$42*MIN(A78,21))))</f>
        <v>3162.0299999999997</v>
      </c>
      <c r="E78" s="87">
        <f>MAX(E77,(IF(A78&lt;=Assumptions!$Z$43,Assumptions!$AC$43+(Assumptions!$O$43-Assumptions!$AC$43)*(A78-Assumptions!$AB$43)/(Assumptions!$Z$43-Assumptions!$AB$43),Assumptions!$O$43+(Assumptions!$P$43-Assumptions!$O$43)*(A78-Assumptions!$Z$43)/(Assumptions!$AA$43-Assumptions!$Z$43))+MAX(0,Assumptions!$W$43+Assumptions!$X$43*MIN(A78,21))))</f>
        <v>3011.1642857142856</v>
      </c>
      <c r="F78" s="92">
        <f>MAX(F77,(IF(A78&lt;=Assumptions!$Z$44,Assumptions!$AC$44+(Assumptions!$O$44-Assumptions!$AC$44)*(A78-Assumptions!$AB$44)/(Assumptions!$Z$44-Assumptions!$AB$44),Assumptions!$O$44+(Assumptions!$P$44-Assumptions!$O$44)*(A78-Assumptions!$Z$44)/(Assumptions!$AA$44-Assumptions!$Z$44))+MAX(0,Assumptions!$W$44+Assumptions!$X$44*MIN(A78,21))))</f>
        <v>3181.8121052631577</v>
      </c>
      <c r="G78" s="87">
        <f>MAX(G77,(IF(A78&lt;=Assumptions!$Z$45,Assumptions!$AC$45+(Assumptions!$O$45-Assumptions!$AC$45)*(A78-Assumptions!$AB$45)/(Assumptions!$Z$45-Assumptions!$AB$45),Assumptions!$O$45+(Assumptions!$P$45-Assumptions!$O$45)*(A78-Assumptions!$Z$45)/(Assumptions!$AA$45-Assumptions!$Z$45))+MAX(0,Assumptions!$W$45+Assumptions!$X$45*MIN(A78,21))))</f>
        <v>2989.2714285714287</v>
      </c>
      <c r="H78" s="92">
        <f>MAX(H77,(IF(A78&lt;=Assumptions!$Z$46,Assumptions!$AC$46+(Assumptions!$O$46-Assumptions!$AC$46)*(A78-Assumptions!$AB$46)/(Assumptions!$Z$46-Assumptions!$AB$46),Assumptions!$O$46+(Assumptions!$P$46-Assumptions!$O$46)*(A78-Assumptions!$Z$46)/(Assumptions!$AA$46-Assumptions!$Z$46))+MAX(0,Assumptions!$W$46+Assumptions!$X$46*MIN(A78,21))))</f>
        <v>3085.939473684211</v>
      </c>
      <c r="I78" s="87">
        <f>MAX(I77,(IF(A78&lt;=Assumptions!$Z$47,Assumptions!$AC$47+(Assumptions!$O$47-Assumptions!$AC$47)*(A78-Assumptions!$AB$47)/(Assumptions!$Z$47-Assumptions!$AB$47),Assumptions!$O$47+(Assumptions!$P$47-Assumptions!$O$47)*(A78-Assumptions!$Z$47)/(Assumptions!$AA$47-Assumptions!$Z$47))+MAX(0,Assumptions!$W$47+Assumptions!$X$47*MIN(A78,21))))</f>
        <v>2992.0692307692311</v>
      </c>
      <c r="J78" s="92">
        <f>MAX(J77,(IF(A78&lt;=Assumptions!$Z$48,Assumptions!$AC$48+(Assumptions!$O$48-Assumptions!$AC$48)*(A78-Assumptions!$AB$48)/(Assumptions!$Z$48-Assumptions!$AB$48),Assumptions!$O$48+(Assumptions!$P$48-Assumptions!$O$48)*(A78-Assumptions!$Z$48)/(Assumptions!$AA$48-Assumptions!$Z$48))+MAX(0,Assumptions!$W$48+Assumptions!$X$48*MIN(A78,21))))</f>
        <v>3086.5710526315793</v>
      </c>
      <c r="K78" s="87">
        <f>MAX(K77,(IF(A78&lt;=Assumptions!$Z$49,Assumptions!$AC$49+(Assumptions!$O$49-Assumptions!$AC$49)*(A78-Assumptions!$AB$49)/(Assumptions!$Z$49-Assumptions!$AB$49),Assumptions!$O$49+(Assumptions!$P$49-Assumptions!$O$49)*(A78-Assumptions!$Z$49)/(Assumptions!$AA$49-Assumptions!$Z$49))+MAX(0,Assumptions!$W$49+Assumptions!$X$49*MIN(A78,21))))</f>
        <v>2963.3230769230768</v>
      </c>
      <c r="L78" s="92">
        <f>MAX(L77,(IF(A78&lt;=Assumptions!$Z$50,Assumptions!$AC$50+(Assumptions!$O$50-Assumptions!$AC$50)*(A78-Assumptions!$AB$50)/(Assumptions!$Z$50-Assumptions!$AB$50),Assumptions!$O$50+(Assumptions!$P$50-Assumptions!$O$50)*(A78-Assumptions!$Z$50)/(Assumptions!$AA$50-Assumptions!$Z$50))+MAX(0,Assumptions!$W$50+Assumptions!$X$50*MIN(A78,21))))</f>
        <v>3051.0615789473686</v>
      </c>
      <c r="M78" s="87">
        <f>MAX(M77,(IF(A78&lt;=Assumptions!$Z$51,Assumptions!$AC$51+(Assumptions!$O$51-Assumptions!$AC$51)*(A78-Assumptions!$AB$51)/(Assumptions!$Z$51-Assumptions!$AB$51),Assumptions!$O$51+(Assumptions!$P$51-Assumptions!$O$51)*(A78-Assumptions!$Z$51)/(Assumptions!$AA$51-Assumptions!$Z$51))+MAX(0,Assumptions!$W$51+Assumptions!$X$51*MIN(A78,21))))</f>
        <v>2976.7538461538461</v>
      </c>
      <c r="N78" s="87">
        <f>MAX(N77,(IF(A78&lt;=Assumptions!$Z$52,Assumptions!$AC$52+(Assumptions!$O$52-Assumptions!$AC$52)*(A78-Assumptions!$AB$52)/(Assumptions!$Z$52-Assumptions!$AB$52),Assumptions!$O$52+(Assumptions!$P$52-Assumptions!$O$52)*(A78-Assumptions!$Z$52)/(Assumptions!$AA$52-Assumptions!$Z$52))+MAX(0,Assumptions!$W$52+Assumptions!$X$52*MIN(A78,21))))</f>
        <v>3001.514285714286</v>
      </c>
      <c r="O78" s="92">
        <f>MAX(O77,(IF(A78&lt;=Assumptions!$Z$53,Assumptions!$AC$53+(Assumptions!$O$53-Assumptions!$AC$53)*(A78-Assumptions!$AB$53)/(Assumptions!$Z$53-Assumptions!$AB$53),Assumptions!$O$53+(Assumptions!$P$53-Assumptions!$O$53)*(A78-Assumptions!$Z$53)/(Assumptions!$AA$53-Assumptions!$Z$53))+MAX(0,Assumptions!$W$53+Assumptions!$X$53*MIN(A78,21))))</f>
        <v>3069.7936842105264</v>
      </c>
      <c r="P78" s="92">
        <f>MAX(P77,(IF(A78&lt;=Assumptions!$Z$54,Assumptions!$AC$54+(Assumptions!$O$54-Assumptions!$AC$54)*(A78-Assumptions!$AB$54)/(Assumptions!$Z$54-Assumptions!$AB$54),Assumptions!$O$54+(Assumptions!$P$54-Assumptions!$O$54)*(A78-Assumptions!$Z$54)/(Assumptions!$AA$54-Assumptions!$Z$54))+MAX(0,Assumptions!$W$54+Assumptions!$X$54*MIN(A78,21))))</f>
        <v>3001.25</v>
      </c>
      <c r="Q78" s="92">
        <f>MAX(Q77,(IF(A78&lt;=Assumptions!$Z$55,Assumptions!$AC$55+(Assumptions!$O$55-Assumptions!$AC$55)*(A78-Assumptions!$AB$55)/(Assumptions!$Z$55-Assumptions!$AB$55),Assumptions!$O$55+(Assumptions!$P$55-Assumptions!$O$55)*(A78-Assumptions!$Z$55)/(Assumptions!$AA$55-Assumptions!$Z$55))+MAX(0,Assumptions!$W$55+Assumptions!$X$55*MIN(A78,21))))</f>
        <v>2986.2894736842109</v>
      </c>
      <c r="R78" s="92">
        <f>MAX(R77,(IF(A78&lt;=Assumptions!$Z$56,Assumptions!$AC$56+(Assumptions!$O$56-Assumptions!$AC$56)*(A78-Assumptions!$AB$56)/(Assumptions!$Z$56-Assumptions!$AB$56),Assumptions!$O$56+(Assumptions!$P$56-Assumptions!$O$56)*(A78-Assumptions!$Z$56)/(Assumptions!$AA$56-Assumptions!$Z$56))+MAX(0,Assumptions!$W$56+Assumptions!$X$56*MIN(A78,21))))</f>
        <v>2986.2894736842109</v>
      </c>
    </row>
    <row r="79" spans="1:18" x14ac:dyDescent="0.2">
      <c r="A79" s="91">
        <v>19</v>
      </c>
      <c r="B79" s="87">
        <f>MAX(B78,(IF(A79&lt;=Assumptions!$Z$40,Assumptions!$AC$40+(Assumptions!$O$40-Assumptions!$AC$40)*(A79-Assumptions!$AB$40)/(Assumptions!$Z$40-Assumptions!$AB$40),Assumptions!$O$40+(Assumptions!$P$40-Assumptions!$O$40)*(A79-Assumptions!$Z$40)/(Assumptions!$AA$40-Assumptions!$Z$40))+MAX(0,Assumptions!$W$40+Assumptions!$X$40*MIN(A79,21))))</f>
        <v>3042.3285714285716</v>
      </c>
      <c r="C79" s="87">
        <f>MAX(C78,(IF(A79&lt;=Assumptions!$Z$41,Assumptions!$AC$41+(Assumptions!$O$41-Assumptions!$AC$41)*(A79-Assumptions!$AB$41)/(Assumptions!$Z$41-Assumptions!$AB$41),Assumptions!$O$41+(Assumptions!$P$41-Assumptions!$O$41)*(A79-Assumptions!$Z$41)/(Assumptions!$AA$41-Assumptions!$Z$41))+MAX(0,Assumptions!$W$41+Assumptions!$X$41*MIN(A79,21))))</f>
        <v>3005.2928571428574</v>
      </c>
      <c r="D79" s="92">
        <f>MAX(D78,(IF(A79&lt;=Assumptions!$Z$42,Assumptions!$AC$42+(Assumptions!$O$42-Assumptions!$AC$42)*(A79-Assumptions!$AB$42)/(Assumptions!$Z$42-Assumptions!$AB$42),Assumptions!$O$42+(Assumptions!$P$42-Assumptions!$O$42)*(A79-Assumptions!$Z$42)/(Assumptions!$AA$42-Assumptions!$Z$42))+MAX(0,Assumptions!$W$42+Assumptions!$X$42*MIN(A79,21))))</f>
        <v>3181.105</v>
      </c>
      <c r="E79" s="87">
        <f>MAX(E78,(IF(A79&lt;=Assumptions!$Z$43,Assumptions!$AC$43+(Assumptions!$O$43-Assumptions!$AC$43)*(A79-Assumptions!$AB$43)/(Assumptions!$Z$43-Assumptions!$AB$43),Assumptions!$O$43+(Assumptions!$P$43-Assumptions!$O$43)*(A79-Assumptions!$Z$43)/(Assumptions!$AA$43-Assumptions!$Z$43))+MAX(0,Assumptions!$W$43+Assumptions!$X$43*MIN(A79,21))))</f>
        <v>3034.235714285714</v>
      </c>
      <c r="F79" s="92">
        <f>MAX(F78,(IF(A79&lt;=Assumptions!$Z$44,Assumptions!$AC$44+(Assumptions!$O$44-Assumptions!$AC$44)*(A79-Assumptions!$AB$44)/(Assumptions!$Z$44-Assumptions!$AB$44),Assumptions!$O$44+(Assumptions!$P$44-Assumptions!$O$44)*(A79-Assumptions!$Z$44)/(Assumptions!$AA$44-Assumptions!$Z$44))+MAX(0,Assumptions!$W$44+Assumptions!$X$44*MIN(A79,21))))</f>
        <v>3200.5331578947366</v>
      </c>
      <c r="G79" s="87">
        <f>MAX(G78,(IF(A79&lt;=Assumptions!$Z$45,Assumptions!$AC$45+(Assumptions!$O$45-Assumptions!$AC$45)*(A79-Assumptions!$AB$45)/(Assumptions!$Z$45-Assumptions!$AB$45),Assumptions!$O$45+(Assumptions!$P$45-Assumptions!$O$45)*(A79-Assumptions!$Z$45)/(Assumptions!$AA$45-Assumptions!$Z$45))+MAX(0,Assumptions!$W$45+Assumptions!$X$45*MIN(A79,21))))</f>
        <v>3010.7285714285713</v>
      </c>
      <c r="H79" s="92">
        <f>MAX(H78,(IF(A79&lt;=Assumptions!$Z$46,Assumptions!$AC$46+(Assumptions!$O$46-Assumptions!$AC$46)*(A79-Assumptions!$AB$46)/(Assumptions!$Z$46-Assumptions!$AB$46),Assumptions!$O$46+(Assumptions!$P$46-Assumptions!$O$46)*(A79-Assumptions!$Z$46)/(Assumptions!$AA$46-Assumptions!$Z$46))+MAX(0,Assumptions!$W$46+Assumptions!$X$46*MIN(A79,21))))</f>
        <v>3103.6342105263157</v>
      </c>
      <c r="I79" s="87">
        <f>MAX(I78,(IF(A79&lt;=Assumptions!$Z$47,Assumptions!$AC$47+(Assumptions!$O$47-Assumptions!$AC$47)*(A79-Assumptions!$AB$47)/(Assumptions!$Z$47-Assumptions!$AB$47),Assumptions!$O$47+(Assumptions!$P$47-Assumptions!$O$47)*(A79-Assumptions!$Z$47)/(Assumptions!$AA$47-Assumptions!$Z$47))+MAX(0,Assumptions!$W$47+Assumptions!$X$47*MIN(A79,21))))</f>
        <v>3016.5307692307692</v>
      </c>
      <c r="J79" s="92">
        <f>MAX(J78,(IF(A79&lt;=Assumptions!$Z$48,Assumptions!$AC$48+(Assumptions!$O$48-Assumptions!$AC$48)*(A79-Assumptions!$AB$48)/(Assumptions!$Z$48-Assumptions!$AB$48),Assumptions!$O$48+(Assumptions!$P$48-Assumptions!$O$48)*(A79-Assumptions!$Z$48)/(Assumptions!$AA$48-Assumptions!$Z$48))+MAX(0,Assumptions!$W$48+Assumptions!$X$48*MIN(A79,21))))</f>
        <v>3103.8815789473688</v>
      </c>
      <c r="K79" s="87">
        <f>MAX(K78,(IF(A79&lt;=Assumptions!$Z$49,Assumptions!$AC$49+(Assumptions!$O$49-Assumptions!$AC$49)*(A79-Assumptions!$AB$49)/(Assumptions!$Z$49-Assumptions!$AB$49),Assumptions!$O$49+(Assumptions!$P$49-Assumptions!$O$49)*(A79-Assumptions!$Z$49)/(Assumptions!$AA$49-Assumptions!$Z$49))+MAX(0,Assumptions!$W$49+Assumptions!$X$49*MIN(A79,21))))</f>
        <v>2989.6</v>
      </c>
      <c r="L79" s="92">
        <f>MAX(L78,(IF(A79&lt;=Assumptions!$Z$50,Assumptions!$AC$50+(Assumptions!$O$50-Assumptions!$AC$50)*(A79-Assumptions!$AB$50)/(Assumptions!$Z$50-Assumptions!$AB$50),Assumptions!$O$50+(Assumptions!$P$50-Assumptions!$O$50)*(A79-Assumptions!$Z$50)/(Assumptions!$AA$50-Assumptions!$Z$50))+MAX(0,Assumptions!$W$50+Assumptions!$X$50*MIN(A79,21))))</f>
        <v>3070.8773684210528</v>
      </c>
      <c r="M79" s="87">
        <f>MAX(M78,(IF(A79&lt;=Assumptions!$Z$51,Assumptions!$AC$51+(Assumptions!$O$51-Assumptions!$AC$51)*(A79-Assumptions!$AB$51)/(Assumptions!$Z$51-Assumptions!$AB$51),Assumptions!$O$51+(Assumptions!$P$51-Assumptions!$O$51)*(A79-Assumptions!$Z$51)/(Assumptions!$AA$51-Assumptions!$Z$51))+MAX(0,Assumptions!$W$51+Assumptions!$X$51*MIN(A79,21))))</f>
        <v>3000.8461538461543</v>
      </c>
      <c r="N79" s="87">
        <f>MAX(N78,(IF(A79&lt;=Assumptions!$Z$52,Assumptions!$AC$52+(Assumptions!$O$52-Assumptions!$AC$52)*(A79-Assumptions!$AB$52)/(Assumptions!$Z$52-Assumptions!$AB$52),Assumptions!$O$52+(Assumptions!$P$52-Assumptions!$O$52)*(A79-Assumptions!$Z$52)/(Assumptions!$AA$52-Assumptions!$Z$52))+MAX(0,Assumptions!$W$52+Assumptions!$X$52*MIN(A79,21))))</f>
        <v>3025.2857142857142</v>
      </c>
      <c r="O79" s="92">
        <f>MAX(O78,(IF(A79&lt;=Assumptions!$Z$53,Assumptions!$AC$53+(Assumptions!$O$53-Assumptions!$AC$53)*(A79-Assumptions!$AB$53)/(Assumptions!$Z$53-Assumptions!$AB$53),Assumptions!$O$53+(Assumptions!$P$53-Assumptions!$O$53)*(A79-Assumptions!$Z$53)/(Assumptions!$AA$53-Assumptions!$Z$53))+MAX(0,Assumptions!$W$53+Assumptions!$X$53*MIN(A79,21))))</f>
        <v>3091.0305263157893</v>
      </c>
      <c r="P79" s="92">
        <f>MAX(P78,(IF(A79&lt;=Assumptions!$Z$54,Assumptions!$AC$54+(Assumptions!$O$54-Assumptions!$AC$54)*(A79-Assumptions!$AB$54)/(Assumptions!$Z$54-Assumptions!$AB$54),Assumptions!$O$54+(Assumptions!$P$54-Assumptions!$O$54)*(A79-Assumptions!$Z$54)/(Assumptions!$AA$54-Assumptions!$Z$54))+MAX(0,Assumptions!$W$54+Assumptions!$X$54*MIN(A79,21))))</f>
        <v>3027.75</v>
      </c>
      <c r="Q79" s="92">
        <f>MAX(Q78,(IF(A79&lt;=Assumptions!$Z$55,Assumptions!$AC$55+(Assumptions!$O$55-Assumptions!$AC$55)*(A79-Assumptions!$AB$55)/(Assumptions!$Z$55-Assumptions!$AB$55),Assumptions!$O$55+(Assumptions!$P$55-Assumptions!$O$55)*(A79-Assumptions!$Z$55)/(Assumptions!$AA$55-Assumptions!$Z$55))+MAX(0,Assumptions!$W$55+Assumptions!$X$55*MIN(A79,21))))</f>
        <v>3014.7842105263157</v>
      </c>
      <c r="R79" s="92">
        <f>MAX(R78,(IF(A79&lt;=Assumptions!$Z$56,Assumptions!$AC$56+(Assumptions!$O$56-Assumptions!$AC$56)*(A79-Assumptions!$AB$56)/(Assumptions!$Z$56-Assumptions!$AB$56),Assumptions!$O$56+(Assumptions!$P$56-Assumptions!$O$56)*(A79-Assumptions!$Z$56)/(Assumptions!$AA$56-Assumptions!$Z$56))+MAX(0,Assumptions!$W$56+Assumptions!$X$56*MIN(A79,21))))</f>
        <v>3014.7842105263157</v>
      </c>
    </row>
    <row r="80" spans="1:18" x14ac:dyDescent="0.2">
      <c r="A80" s="91">
        <v>20</v>
      </c>
      <c r="B80" s="87">
        <f>MAX(B79,(IF(A80&lt;=Assumptions!$Z$40,Assumptions!$AC$40+(Assumptions!$O$40-Assumptions!$AC$40)*(A80-Assumptions!$AB$40)/(Assumptions!$Z$40-Assumptions!$AB$40),Assumptions!$O$40+(Assumptions!$P$40-Assumptions!$O$40)*(A80-Assumptions!$Z$40)/(Assumptions!$AA$40-Assumptions!$Z$40))+MAX(0,Assumptions!$W$40+Assumptions!$X$40*MIN(A80,21))))</f>
        <v>3064.3857142857146</v>
      </c>
      <c r="C80" s="87">
        <f>MAX(C79,(IF(A80&lt;=Assumptions!$Z$41,Assumptions!$AC$41+(Assumptions!$O$41-Assumptions!$AC$41)*(A80-Assumptions!$AB$41)/(Assumptions!$Z$41-Assumptions!$AB$41),Assumptions!$O$41+(Assumptions!$P$41-Assumptions!$O$41)*(A80-Assumptions!$Z$41)/(Assumptions!$AA$41-Assumptions!$Z$41))+MAX(0,Assumptions!$W$41+Assumptions!$X$41*MIN(A80,21))))</f>
        <v>3028.0785714285716</v>
      </c>
      <c r="D80" s="92">
        <f>MAX(D79,(IF(A80&lt;=Assumptions!$Z$42,Assumptions!$AC$42+(Assumptions!$O$42-Assumptions!$AC$42)*(A80-Assumptions!$AB$42)/(Assumptions!$Z$42-Assumptions!$AB$42),Assumptions!$O$42+(Assumptions!$P$42-Assumptions!$O$42)*(A80-Assumptions!$Z$42)/(Assumptions!$AA$42-Assumptions!$Z$42))+MAX(0,Assumptions!$W$42+Assumptions!$X$42*MIN(A80,21))))</f>
        <v>3200.18</v>
      </c>
      <c r="E80" s="87">
        <f>MAX(E79,(IF(A80&lt;=Assumptions!$Z$43,Assumptions!$AC$43+(Assumptions!$O$43-Assumptions!$AC$43)*(A80-Assumptions!$AB$43)/(Assumptions!$Z$43-Assumptions!$AB$43),Assumptions!$O$43+(Assumptions!$P$43-Assumptions!$O$43)*(A80-Assumptions!$Z$43)/(Assumptions!$AA$43-Assumptions!$Z$43))+MAX(0,Assumptions!$W$43+Assumptions!$X$43*MIN(A80,21))))</f>
        <v>3057.3071428571425</v>
      </c>
      <c r="F80" s="92">
        <f>MAX(F79,(IF(A80&lt;=Assumptions!$Z$44,Assumptions!$AC$44+(Assumptions!$O$44-Assumptions!$AC$44)*(A80-Assumptions!$AB$44)/(Assumptions!$Z$44-Assumptions!$AB$44),Assumptions!$O$44+(Assumptions!$P$44-Assumptions!$O$44)*(A80-Assumptions!$Z$44)/(Assumptions!$AA$44-Assumptions!$Z$44))+MAX(0,Assumptions!$W$44+Assumptions!$X$44*MIN(A80,21))))</f>
        <v>3219.2542105263155</v>
      </c>
      <c r="G80" s="87">
        <f>MAX(G79,(IF(A80&lt;=Assumptions!$Z$45,Assumptions!$AC$45+(Assumptions!$O$45-Assumptions!$AC$45)*(A80-Assumptions!$AB$45)/(Assumptions!$Z$45-Assumptions!$AB$45),Assumptions!$O$45+(Assumptions!$P$45-Assumptions!$O$45)*(A80-Assumptions!$Z$45)/(Assumptions!$AA$45-Assumptions!$Z$45))+MAX(0,Assumptions!$W$45+Assumptions!$X$45*MIN(A80,21))))</f>
        <v>3032.1857142857143</v>
      </c>
      <c r="H80" s="92">
        <f>MAX(H79,(IF(A80&lt;=Assumptions!$Z$46,Assumptions!$AC$46+(Assumptions!$O$46-Assumptions!$AC$46)*(A80-Assumptions!$AB$46)/(Assumptions!$Z$46-Assumptions!$AB$46),Assumptions!$O$46+(Assumptions!$P$46-Assumptions!$O$46)*(A80-Assumptions!$Z$46)/(Assumptions!$AA$46-Assumptions!$Z$46))+MAX(0,Assumptions!$W$46+Assumptions!$X$46*MIN(A80,21))))</f>
        <v>3121.3289473684208</v>
      </c>
      <c r="I80" s="87">
        <f>MAX(I79,(IF(A80&lt;=Assumptions!$Z$47,Assumptions!$AC$47+(Assumptions!$O$47-Assumptions!$AC$47)*(A80-Assumptions!$AB$47)/(Assumptions!$Z$47-Assumptions!$AB$47),Assumptions!$O$47+(Assumptions!$P$47-Assumptions!$O$47)*(A80-Assumptions!$Z$47)/(Assumptions!$AA$47-Assumptions!$Z$47))+MAX(0,Assumptions!$W$47+Assumptions!$X$47*MIN(A80,21))))</f>
        <v>3040.9923076923078</v>
      </c>
      <c r="J80" s="92">
        <f>MAX(J79,(IF(A80&lt;=Assumptions!$Z$48,Assumptions!$AC$48+(Assumptions!$O$48-Assumptions!$AC$48)*(A80-Assumptions!$AB$48)/(Assumptions!$Z$48-Assumptions!$AB$48),Assumptions!$O$48+(Assumptions!$P$48-Assumptions!$O$48)*(A80-Assumptions!$Z$48)/(Assumptions!$AA$48-Assumptions!$Z$48))+MAX(0,Assumptions!$W$48+Assumptions!$X$48*MIN(A80,21))))</f>
        <v>3121.1921052631583</v>
      </c>
      <c r="K80" s="87">
        <f>MAX(K79,(IF(A80&lt;=Assumptions!$Z$49,Assumptions!$AC$49+(Assumptions!$O$49-Assumptions!$AC$49)*(A80-Assumptions!$AB$49)/(Assumptions!$Z$49-Assumptions!$AB$49),Assumptions!$O$49+(Assumptions!$P$49-Assumptions!$O$49)*(A80-Assumptions!$Z$49)/(Assumptions!$AA$49-Assumptions!$Z$49))+MAX(0,Assumptions!$W$49+Assumptions!$X$49*MIN(A80,21))))</f>
        <v>3015.876923076923</v>
      </c>
      <c r="L80" s="92">
        <f>MAX(L79,(IF(A80&lt;=Assumptions!$Z$50,Assumptions!$AC$50+(Assumptions!$O$50-Assumptions!$AC$50)*(A80-Assumptions!$AB$50)/(Assumptions!$Z$50-Assumptions!$AB$50),Assumptions!$O$50+(Assumptions!$P$50-Assumptions!$O$50)*(A80-Assumptions!$Z$50)/(Assumptions!$AA$50-Assumptions!$Z$50))+MAX(0,Assumptions!$W$50+Assumptions!$X$50*MIN(A80,21))))</f>
        <v>3090.6931578947369</v>
      </c>
      <c r="M80" s="87">
        <f>MAX(M79,(IF(A80&lt;=Assumptions!$Z$51,Assumptions!$AC$51+(Assumptions!$O$51-Assumptions!$AC$51)*(A80-Assumptions!$AB$51)/(Assumptions!$Z$51-Assumptions!$AB$51),Assumptions!$O$51+(Assumptions!$P$51-Assumptions!$O$51)*(A80-Assumptions!$Z$51)/(Assumptions!$AA$51-Assumptions!$Z$51))+MAX(0,Assumptions!$W$51+Assumptions!$X$51*MIN(A80,21))))</f>
        <v>3024.938461538462</v>
      </c>
      <c r="N80" s="87">
        <f>MAX(N79,(IF(A80&lt;=Assumptions!$Z$52,Assumptions!$AC$52+(Assumptions!$O$52-Assumptions!$AC$52)*(A80-Assumptions!$AB$52)/(Assumptions!$Z$52-Assumptions!$AB$52),Assumptions!$O$52+(Assumptions!$P$52-Assumptions!$O$52)*(A80-Assumptions!$Z$52)/(Assumptions!$AA$52-Assumptions!$Z$52))+MAX(0,Assumptions!$W$52+Assumptions!$X$52*MIN(A80,21))))</f>
        <v>3049.0571428571429</v>
      </c>
      <c r="O80" s="92">
        <f>MAX(O79,(IF(A80&lt;=Assumptions!$Z$53,Assumptions!$AC$53+(Assumptions!$O$53-Assumptions!$AC$53)*(A80-Assumptions!$AB$53)/(Assumptions!$Z$53-Assumptions!$AB$53),Assumptions!$O$53+(Assumptions!$P$53-Assumptions!$O$53)*(A80-Assumptions!$Z$53)/(Assumptions!$AA$53-Assumptions!$Z$53))+MAX(0,Assumptions!$W$53+Assumptions!$X$53*MIN(A80,21))))</f>
        <v>3112.2673684210527</v>
      </c>
      <c r="P80" s="92">
        <f>MAX(P79,(IF(A80&lt;=Assumptions!$Z$54,Assumptions!$AC$54+(Assumptions!$O$54-Assumptions!$AC$54)*(A80-Assumptions!$AB$54)/(Assumptions!$Z$54-Assumptions!$AB$54),Assumptions!$O$54+(Assumptions!$P$54-Assumptions!$O$54)*(A80-Assumptions!$Z$54)/(Assumptions!$AA$54-Assumptions!$Z$54))+MAX(0,Assumptions!$W$54+Assumptions!$X$54*MIN(A80,21))))</f>
        <v>3054.25</v>
      </c>
      <c r="Q80" s="92">
        <f>MAX(Q79,(IF(A80&lt;=Assumptions!$Z$55,Assumptions!$AC$55+(Assumptions!$O$55-Assumptions!$AC$55)*(A80-Assumptions!$AB$55)/(Assumptions!$Z$55-Assumptions!$AB$55),Assumptions!$O$55+(Assumptions!$P$55-Assumptions!$O$55)*(A80-Assumptions!$Z$55)/(Assumptions!$AA$55-Assumptions!$Z$55))+MAX(0,Assumptions!$W$55+Assumptions!$X$55*MIN(A80,21))))</f>
        <v>3043.2789473684211</v>
      </c>
      <c r="R80" s="92">
        <f>MAX(R79,(IF(A80&lt;=Assumptions!$Z$56,Assumptions!$AC$56+(Assumptions!$O$56-Assumptions!$AC$56)*(A80-Assumptions!$AB$56)/(Assumptions!$Z$56-Assumptions!$AB$56),Assumptions!$O$56+(Assumptions!$P$56-Assumptions!$O$56)*(A80-Assumptions!$Z$56)/(Assumptions!$AA$56-Assumptions!$Z$56))+MAX(0,Assumptions!$W$56+Assumptions!$X$56*MIN(A80,21))))</f>
        <v>3043.2789473684211</v>
      </c>
    </row>
    <row r="81" spans="1:18" x14ac:dyDescent="0.2">
      <c r="A81" s="91">
        <v>21</v>
      </c>
      <c r="B81" s="87">
        <f>MAX(B80,(IF(A81&lt;=Assumptions!$Z$40,Assumptions!$AC$40+(Assumptions!$O$40-Assumptions!$AC$40)*(A81-Assumptions!$AB$40)/(Assumptions!$Z$40-Assumptions!$AB$40),Assumptions!$O$40+(Assumptions!$P$40-Assumptions!$O$40)*(A81-Assumptions!$Z$40)/(Assumptions!$AA$40-Assumptions!$Z$40))+MAX(0,Assumptions!$W$40+Assumptions!$X$40*MIN(A81,21))))</f>
        <v>3086.4428571428575</v>
      </c>
      <c r="C81" s="87">
        <f>MAX(C80,(IF(A81&lt;=Assumptions!$Z$41,Assumptions!$AC$41+(Assumptions!$O$41-Assumptions!$AC$41)*(A81-Assumptions!$AB$41)/(Assumptions!$Z$41-Assumptions!$AB$41),Assumptions!$O$41+(Assumptions!$P$41-Assumptions!$O$41)*(A81-Assumptions!$Z$41)/(Assumptions!$AA$41-Assumptions!$Z$41))+MAX(0,Assumptions!$W$41+Assumptions!$X$41*MIN(A81,21))))</f>
        <v>3050.8642857142859</v>
      </c>
      <c r="D81" s="92">
        <f>MAX(D80,(IF(A81&lt;=Assumptions!$Z$42,Assumptions!$AC$42+(Assumptions!$O$42-Assumptions!$AC$42)*(A81-Assumptions!$AB$42)/(Assumptions!$Z$42-Assumptions!$AB$42),Assumptions!$O$42+(Assumptions!$P$42-Assumptions!$O$42)*(A81-Assumptions!$Z$42)/(Assumptions!$AA$42-Assumptions!$Z$42))+MAX(0,Assumptions!$W$42+Assumptions!$X$42*MIN(A81,21))))</f>
        <v>3219.2550000000001</v>
      </c>
      <c r="E81" s="87">
        <f>MAX(E80,(IF(A81&lt;=Assumptions!$Z$43,Assumptions!$AC$43+(Assumptions!$O$43-Assumptions!$AC$43)*(A81-Assumptions!$AB$43)/(Assumptions!$Z$43-Assumptions!$AB$43),Assumptions!$O$43+(Assumptions!$P$43-Assumptions!$O$43)*(A81-Assumptions!$Z$43)/(Assumptions!$AA$43-Assumptions!$Z$43))+MAX(0,Assumptions!$W$43+Assumptions!$X$43*MIN(A81,21))))</f>
        <v>3080.3785714285714</v>
      </c>
      <c r="F81" s="92">
        <f>MAX(F80,(IF(A81&lt;=Assumptions!$Z$44,Assumptions!$AC$44+(Assumptions!$O$44-Assumptions!$AC$44)*(A81-Assumptions!$AB$44)/(Assumptions!$Z$44-Assumptions!$AB$44),Assumptions!$O$44+(Assumptions!$P$44-Assumptions!$O$44)*(A81-Assumptions!$Z$44)/(Assumptions!$AA$44-Assumptions!$Z$44))+MAX(0,Assumptions!$W$44+Assumptions!$X$44*MIN(A81,21))))</f>
        <v>3237.9752631578945</v>
      </c>
      <c r="G81" s="87">
        <f>MAX(G80,(IF(A81&lt;=Assumptions!$Z$45,Assumptions!$AC$45+(Assumptions!$O$45-Assumptions!$AC$45)*(A81-Assumptions!$AB$45)/(Assumptions!$Z$45-Assumptions!$AB$45),Assumptions!$O$45+(Assumptions!$P$45-Assumptions!$O$45)*(A81-Assumptions!$Z$45)/(Assumptions!$AA$45-Assumptions!$Z$45))+MAX(0,Assumptions!$W$45+Assumptions!$X$45*MIN(A81,21))))</f>
        <v>3053.6428571428569</v>
      </c>
      <c r="H81" s="92">
        <f>MAX(H80,(IF(A81&lt;=Assumptions!$Z$46,Assumptions!$AC$46+(Assumptions!$O$46-Assumptions!$AC$46)*(A81-Assumptions!$AB$46)/(Assumptions!$Z$46-Assumptions!$AB$46),Assumptions!$O$46+(Assumptions!$P$46-Assumptions!$O$46)*(A81-Assumptions!$Z$46)/(Assumptions!$AA$46-Assumptions!$Z$46))+MAX(0,Assumptions!$W$46+Assumptions!$X$46*MIN(A81,21))))</f>
        <v>3139.0236842105264</v>
      </c>
      <c r="I81" s="87">
        <f>MAX(I80,(IF(A81&lt;=Assumptions!$Z$47,Assumptions!$AC$47+(Assumptions!$O$47-Assumptions!$AC$47)*(A81-Assumptions!$AB$47)/(Assumptions!$Z$47-Assumptions!$AB$47),Assumptions!$O$47+(Assumptions!$P$47-Assumptions!$O$47)*(A81-Assumptions!$Z$47)/(Assumptions!$AA$47-Assumptions!$Z$47))+MAX(0,Assumptions!$W$47+Assumptions!$X$47*MIN(A81,21))))</f>
        <v>3065.4538461538464</v>
      </c>
      <c r="J81" s="92">
        <f>MAX(J80,(IF(A81&lt;=Assumptions!$Z$48,Assumptions!$AC$48+(Assumptions!$O$48-Assumptions!$AC$48)*(A81-Assumptions!$AB$48)/(Assumptions!$Z$48-Assumptions!$AB$48),Assumptions!$O$48+(Assumptions!$P$48-Assumptions!$O$48)*(A81-Assumptions!$Z$48)/(Assumptions!$AA$48-Assumptions!$Z$48))+MAX(0,Assumptions!$W$48+Assumptions!$X$48*MIN(A81,21))))</f>
        <v>3138.5026315789473</v>
      </c>
      <c r="K81" s="87">
        <f>MAX(K80,(IF(A81&lt;=Assumptions!$Z$49,Assumptions!$AC$49+(Assumptions!$O$49-Assumptions!$AC$49)*(A81-Assumptions!$AB$49)/(Assumptions!$Z$49-Assumptions!$AB$49),Assumptions!$O$49+(Assumptions!$P$49-Assumptions!$O$49)*(A81-Assumptions!$Z$49)/(Assumptions!$AA$49-Assumptions!$Z$49))+MAX(0,Assumptions!$W$49+Assumptions!$X$49*MIN(A81,21))))</f>
        <v>3042.1538461538462</v>
      </c>
      <c r="L81" s="92">
        <f>MAX(L80,(IF(A81&lt;=Assumptions!$Z$50,Assumptions!$AC$50+(Assumptions!$O$50-Assumptions!$AC$50)*(A81-Assumptions!$AB$50)/(Assumptions!$Z$50-Assumptions!$AB$50),Assumptions!$O$50+(Assumptions!$P$50-Assumptions!$O$50)*(A81-Assumptions!$Z$50)/(Assumptions!$AA$50-Assumptions!$Z$50))+MAX(0,Assumptions!$W$50+Assumptions!$X$50*MIN(A81,21))))</f>
        <v>3110.5089473684211</v>
      </c>
      <c r="M81" s="87">
        <f>MAX(M80,(IF(A81&lt;=Assumptions!$Z$51,Assumptions!$AC$51+(Assumptions!$O$51-Assumptions!$AC$51)*(A81-Assumptions!$AB$51)/(Assumptions!$Z$51-Assumptions!$AB$51),Assumptions!$O$51+(Assumptions!$P$51-Assumptions!$O$51)*(A81-Assumptions!$Z$51)/(Assumptions!$AA$51-Assumptions!$Z$51))+MAX(0,Assumptions!$W$51+Assumptions!$X$51*MIN(A81,21))))</f>
        <v>3049.0307692307697</v>
      </c>
      <c r="N81" s="87">
        <f>MAX(N80,(IF(A81&lt;=Assumptions!$Z$52,Assumptions!$AC$52+(Assumptions!$O$52-Assumptions!$AC$52)*(A81-Assumptions!$AB$52)/(Assumptions!$Z$52-Assumptions!$AB$52),Assumptions!$O$52+(Assumptions!$P$52-Assumptions!$O$52)*(A81-Assumptions!$Z$52)/(Assumptions!$AA$52-Assumptions!$Z$52))+MAX(0,Assumptions!$W$52+Assumptions!$X$52*MIN(A81,21))))</f>
        <v>3072.8285714285716</v>
      </c>
      <c r="O81" s="92">
        <f>MAX(O80,(IF(A81&lt;=Assumptions!$Z$53,Assumptions!$AC$53+(Assumptions!$O$53-Assumptions!$AC$53)*(A81-Assumptions!$AB$53)/(Assumptions!$Z$53-Assumptions!$AB$53),Assumptions!$O$53+(Assumptions!$P$53-Assumptions!$O$53)*(A81-Assumptions!$Z$53)/(Assumptions!$AA$53-Assumptions!$Z$53))+MAX(0,Assumptions!$W$53+Assumptions!$X$53*MIN(A81,21))))</f>
        <v>3133.5042105263155</v>
      </c>
      <c r="P81" s="92">
        <f>MAX(P80,(IF(A81&lt;=Assumptions!$Z$54,Assumptions!$AC$54+(Assumptions!$O$54-Assumptions!$AC$54)*(A81-Assumptions!$AB$54)/(Assumptions!$Z$54-Assumptions!$AB$54),Assumptions!$O$54+(Assumptions!$P$54-Assumptions!$O$54)*(A81-Assumptions!$Z$54)/(Assumptions!$AA$54-Assumptions!$Z$54))+MAX(0,Assumptions!$W$54+Assumptions!$X$54*MIN(A81,21))))</f>
        <v>3080.75</v>
      </c>
      <c r="Q81" s="92">
        <f>MAX(Q80,(IF(A81&lt;=Assumptions!$Z$55,Assumptions!$AC$55+(Assumptions!$O$55-Assumptions!$AC$55)*(A81-Assumptions!$AB$55)/(Assumptions!$Z$55-Assumptions!$AB$55),Assumptions!$O$55+(Assumptions!$P$55-Assumptions!$O$55)*(A81-Assumptions!$Z$55)/(Assumptions!$AA$55-Assumptions!$Z$55))+MAX(0,Assumptions!$W$55+Assumptions!$X$55*MIN(A81,21))))</f>
        <v>3071.7736842105264</v>
      </c>
      <c r="R81" s="92">
        <f>MAX(R80,(IF(A81&lt;=Assumptions!$Z$56,Assumptions!$AC$56+(Assumptions!$O$56-Assumptions!$AC$56)*(A81-Assumptions!$AB$56)/(Assumptions!$Z$56-Assumptions!$AB$56),Assumptions!$O$56+(Assumptions!$P$56-Assumptions!$O$56)*(A81-Assumptions!$Z$56)/(Assumptions!$AA$56-Assumptions!$Z$56))+MAX(0,Assumptions!$W$56+Assumptions!$X$56*MIN(A81,21))))</f>
        <v>3071.7736842105264</v>
      </c>
    </row>
    <row r="82" spans="1:18" x14ac:dyDescent="0.2">
      <c r="A82" s="91">
        <v>22</v>
      </c>
      <c r="B82" s="87">
        <f>MAX(B81,(IF(A82&lt;=Assumptions!$Z$40,Assumptions!$AC$40+(Assumptions!$O$40-Assumptions!$AC$40)*(A82-Assumptions!$AB$40)/(Assumptions!$Z$40-Assumptions!$AB$40),Assumptions!$O$40+(Assumptions!$P$40-Assumptions!$O$40)*(A82-Assumptions!$Z$40)/(Assumptions!$AA$40-Assumptions!$Z$40))+MAX(0,Assumptions!$W$40+Assumptions!$X$40*MIN(A82,21))))</f>
        <v>3108.5</v>
      </c>
      <c r="C82" s="87">
        <f>MAX(C81,(IF(A82&lt;=Assumptions!$Z$41,Assumptions!$AC$41+(Assumptions!$O$41-Assumptions!$AC$41)*(A82-Assumptions!$AB$41)/(Assumptions!$Z$41-Assumptions!$AB$41),Assumptions!$O$41+(Assumptions!$P$41-Assumptions!$O$41)*(A82-Assumptions!$Z$41)/(Assumptions!$AA$41-Assumptions!$Z$41))+MAX(0,Assumptions!$W$41+Assumptions!$X$41*MIN(A82,21))))</f>
        <v>3073.65</v>
      </c>
      <c r="D82" s="92">
        <f>MAX(D81,(IF(A82&lt;=Assumptions!$Z$42,Assumptions!$AC$42+(Assumptions!$O$42-Assumptions!$AC$42)*(A82-Assumptions!$AB$42)/(Assumptions!$Z$42-Assumptions!$AB$42),Assumptions!$O$42+(Assumptions!$P$42-Assumptions!$O$42)*(A82-Assumptions!$Z$42)/(Assumptions!$AA$42-Assumptions!$Z$42))+MAX(0,Assumptions!$W$42+Assumptions!$X$42*MIN(A82,21))))</f>
        <v>3232.03</v>
      </c>
      <c r="E82" s="87">
        <f>MAX(E81,(IF(A82&lt;=Assumptions!$Z$43,Assumptions!$AC$43+(Assumptions!$O$43-Assumptions!$AC$43)*(A82-Assumptions!$AB$43)/(Assumptions!$Z$43-Assumptions!$AB$43),Assumptions!$O$43+(Assumptions!$P$43-Assumptions!$O$43)*(A82-Assumptions!$Z$43)/(Assumptions!$AA$43-Assumptions!$Z$43))+MAX(0,Assumptions!$W$43+Assumptions!$X$43*MIN(A82,21))))</f>
        <v>3103.45</v>
      </c>
      <c r="F82" s="92">
        <f>MAX(F81,(IF(A82&lt;=Assumptions!$Z$44,Assumptions!$AC$44+(Assumptions!$O$44-Assumptions!$AC$44)*(A82-Assumptions!$AB$44)/(Assumptions!$Z$44-Assumptions!$AB$44),Assumptions!$O$44+(Assumptions!$P$44-Assumptions!$O$44)*(A82-Assumptions!$Z$44)/(Assumptions!$AA$44-Assumptions!$Z$44))+MAX(0,Assumptions!$W$44+Assumptions!$X$44*MIN(A82,21))))</f>
        <v>3247.1963157894734</v>
      </c>
      <c r="G82" s="87">
        <f>MAX(G81,(IF(A82&lt;=Assumptions!$Z$45,Assumptions!$AC$45+(Assumptions!$O$45-Assumptions!$AC$45)*(A82-Assumptions!$AB$45)/(Assumptions!$Z$45-Assumptions!$AB$45),Assumptions!$O$45+(Assumptions!$P$45-Assumptions!$O$45)*(A82-Assumptions!$Z$45)/(Assumptions!$AA$45-Assumptions!$Z$45))+MAX(0,Assumptions!$W$45+Assumptions!$X$45*MIN(A82,21))))</f>
        <v>3075.1</v>
      </c>
      <c r="H82" s="92">
        <f>MAX(H81,(IF(A82&lt;=Assumptions!$Z$46,Assumptions!$AC$46+(Assumptions!$O$46-Assumptions!$AC$46)*(A82-Assumptions!$AB$46)/(Assumptions!$Z$46-Assumptions!$AB$46),Assumptions!$O$46+(Assumptions!$P$46-Assumptions!$O$46)*(A82-Assumptions!$Z$46)/(Assumptions!$AA$46-Assumptions!$Z$46))+MAX(0,Assumptions!$W$46+Assumptions!$X$46*MIN(A82,21))))</f>
        <v>3149.5184210526318</v>
      </c>
      <c r="I82" s="87">
        <f>MAX(I81,(IF(A82&lt;=Assumptions!$Z$47,Assumptions!$AC$47+(Assumptions!$O$47-Assumptions!$AC$47)*(A82-Assumptions!$AB$47)/(Assumptions!$Z$47-Assumptions!$AB$47),Assumptions!$O$47+(Assumptions!$P$47-Assumptions!$O$47)*(A82-Assumptions!$Z$47)/(Assumptions!$AA$47-Assumptions!$Z$47))+MAX(0,Assumptions!$W$47+Assumptions!$X$47*MIN(A82,21))))</f>
        <v>3089.9153846153849</v>
      </c>
      <c r="J82" s="92">
        <f>MAX(J81,(IF(A82&lt;=Assumptions!$Z$48,Assumptions!$AC$48+(Assumptions!$O$48-Assumptions!$AC$48)*(A82-Assumptions!$AB$48)/(Assumptions!$Z$48-Assumptions!$AB$48),Assumptions!$O$48+(Assumptions!$P$48-Assumptions!$O$48)*(A82-Assumptions!$Z$48)/(Assumptions!$AA$48-Assumptions!$Z$48))+MAX(0,Assumptions!$W$48+Assumptions!$X$48*MIN(A82,21))))</f>
        <v>3154.3131578947368</v>
      </c>
      <c r="K82" s="87">
        <f>MAX(K81,(IF(A82&lt;=Assumptions!$Z$49,Assumptions!$AC$49+(Assumptions!$O$49-Assumptions!$AC$49)*(A82-Assumptions!$AB$49)/(Assumptions!$Z$49-Assumptions!$AB$49),Assumptions!$O$49+(Assumptions!$P$49-Assumptions!$O$49)*(A82-Assumptions!$Z$49)/(Assumptions!$AA$49-Assumptions!$Z$49))+MAX(0,Assumptions!$W$49+Assumptions!$X$49*MIN(A82,21))))</f>
        <v>3068.4307692307689</v>
      </c>
      <c r="L82" s="92">
        <f>MAX(L81,(IF(A82&lt;=Assumptions!$Z$50,Assumptions!$AC$50+(Assumptions!$O$50-Assumptions!$AC$50)*(A82-Assumptions!$AB$50)/(Assumptions!$Z$50-Assumptions!$AB$50),Assumptions!$O$50+(Assumptions!$P$50-Assumptions!$O$50)*(A82-Assumptions!$Z$50)/(Assumptions!$AA$50-Assumptions!$Z$50))+MAX(0,Assumptions!$W$50+Assumptions!$X$50*MIN(A82,21))))</f>
        <v>3126.4247368421056</v>
      </c>
      <c r="M82" s="87">
        <f>MAX(M81,(IF(A82&lt;=Assumptions!$Z$51,Assumptions!$AC$51+(Assumptions!$O$51-Assumptions!$AC$51)*(A82-Assumptions!$AB$51)/(Assumptions!$Z$51-Assumptions!$AB$51),Assumptions!$O$51+(Assumptions!$P$51-Assumptions!$O$51)*(A82-Assumptions!$Z$51)/(Assumptions!$AA$51-Assumptions!$Z$51))+MAX(0,Assumptions!$W$51+Assumptions!$X$51*MIN(A82,21))))</f>
        <v>3073.1230769230774</v>
      </c>
      <c r="N82" s="87">
        <f>MAX(N81,(IF(A82&lt;=Assumptions!$Z$52,Assumptions!$AC$52+(Assumptions!$O$52-Assumptions!$AC$52)*(A82-Assumptions!$AB$52)/(Assumptions!$Z$52-Assumptions!$AB$52),Assumptions!$O$52+(Assumptions!$P$52-Assumptions!$O$52)*(A82-Assumptions!$Z$52)/(Assumptions!$AA$52-Assumptions!$Z$52))+MAX(0,Assumptions!$W$52+Assumptions!$X$52*MIN(A82,21))))</f>
        <v>3096.6000000000004</v>
      </c>
      <c r="O82" s="92">
        <f>MAX(O81,(IF(A82&lt;=Assumptions!$Z$53,Assumptions!$AC$53+(Assumptions!$O$53-Assumptions!$AC$53)*(A82-Assumptions!$AB$53)/(Assumptions!$Z$53-Assumptions!$AB$53),Assumptions!$O$53+(Assumptions!$P$53-Assumptions!$O$53)*(A82-Assumptions!$Z$53)/(Assumptions!$AA$53-Assumptions!$Z$53))+MAX(0,Assumptions!$W$53+Assumptions!$X$53*MIN(A82,21))))</f>
        <v>3155.4410526315787</v>
      </c>
      <c r="P82" s="92">
        <f>MAX(P81,(IF(A82&lt;=Assumptions!$Z$54,Assumptions!$AC$54+(Assumptions!$O$54-Assumptions!$AC$54)*(A82-Assumptions!$AB$54)/(Assumptions!$Z$54-Assumptions!$AB$54),Assumptions!$O$54+(Assumptions!$P$54-Assumptions!$O$54)*(A82-Assumptions!$Z$54)/(Assumptions!$AA$54-Assumptions!$Z$54))+MAX(0,Assumptions!$W$54+Assumptions!$X$54*MIN(A82,21))))</f>
        <v>3107.25</v>
      </c>
      <c r="Q82" s="92">
        <f>MAX(Q81,(IF(A82&lt;=Assumptions!$Z$55,Assumptions!$AC$55+(Assumptions!$O$55-Assumptions!$AC$55)*(A82-Assumptions!$AB$55)/(Assumptions!$Z$55-Assumptions!$AB$55),Assumptions!$O$55+(Assumptions!$P$55-Assumptions!$O$55)*(A82-Assumptions!$Z$55)/(Assumptions!$AA$55-Assumptions!$Z$55))+MAX(0,Assumptions!$W$55+Assumptions!$X$55*MIN(A82,21))))</f>
        <v>3100.2684210526318</v>
      </c>
      <c r="R82" s="92">
        <f>MAX(R81,(IF(A82&lt;=Assumptions!$Z$56,Assumptions!$AC$56+(Assumptions!$O$56-Assumptions!$AC$56)*(A82-Assumptions!$AB$56)/(Assumptions!$Z$56-Assumptions!$AB$56),Assumptions!$O$56+(Assumptions!$P$56-Assumptions!$O$56)*(A82-Assumptions!$Z$56)/(Assumptions!$AA$56-Assumptions!$Z$56))+MAX(0,Assumptions!$W$56+Assumptions!$X$56*MIN(A82,21))))</f>
        <v>3100.2684210526318</v>
      </c>
    </row>
    <row r="83" spans="1:18" x14ac:dyDescent="0.2">
      <c r="A83" s="91">
        <v>23</v>
      </c>
      <c r="B83" s="87">
        <f>MAX(B82,(IF(A83&lt;=Assumptions!$Z$40,Assumptions!$AC$40+(Assumptions!$O$40-Assumptions!$AC$40)*(A83-Assumptions!$AB$40)/(Assumptions!$Z$40-Assumptions!$AB$40),Assumptions!$O$40+(Assumptions!$P$40-Assumptions!$O$40)*(A83-Assumptions!$Z$40)/(Assumptions!$AA$40-Assumptions!$Z$40))+MAX(0,Assumptions!$W$40+Assumptions!$X$40*MIN(A83,21))))</f>
        <v>3130.5571428571429</v>
      </c>
      <c r="C83" s="87">
        <f>MAX(C82,(IF(A83&lt;=Assumptions!$Z$41,Assumptions!$AC$41+(Assumptions!$O$41-Assumptions!$AC$41)*(A83-Assumptions!$AB$41)/(Assumptions!$Z$41-Assumptions!$AB$41),Assumptions!$O$41+(Assumptions!$P$41-Assumptions!$O$41)*(A83-Assumptions!$Z$41)/(Assumptions!$AA$41-Assumptions!$Z$41))+MAX(0,Assumptions!$W$41+Assumptions!$X$41*MIN(A83,21))))</f>
        <v>3096.4357142857143</v>
      </c>
      <c r="D83" s="92">
        <f>MAX(D82,(IF(A83&lt;=Assumptions!$Z$42,Assumptions!$AC$42+(Assumptions!$O$42-Assumptions!$AC$42)*(A83-Assumptions!$AB$42)/(Assumptions!$Z$42-Assumptions!$AB$42),Assumptions!$O$42+(Assumptions!$P$42-Assumptions!$O$42)*(A83-Assumptions!$Z$42)/(Assumptions!$AA$42-Assumptions!$Z$42))+MAX(0,Assumptions!$W$42+Assumptions!$X$42*MIN(A83,21))))</f>
        <v>3244.8049999999998</v>
      </c>
      <c r="E83" s="87">
        <f>MAX(E82,(IF(A83&lt;=Assumptions!$Z$43,Assumptions!$AC$43+(Assumptions!$O$43-Assumptions!$AC$43)*(A83-Assumptions!$AB$43)/(Assumptions!$Z$43-Assumptions!$AB$43),Assumptions!$O$43+(Assumptions!$P$43-Assumptions!$O$43)*(A83-Assumptions!$Z$43)/(Assumptions!$AA$43-Assumptions!$Z$43))+MAX(0,Assumptions!$W$43+Assumptions!$X$43*MIN(A83,21))))</f>
        <v>3126.5214285714283</v>
      </c>
      <c r="F83" s="92">
        <f>MAX(F82,(IF(A83&lt;=Assumptions!$Z$44,Assumptions!$AC$44+(Assumptions!$O$44-Assumptions!$AC$44)*(A83-Assumptions!$AB$44)/(Assumptions!$Z$44-Assumptions!$AB$44),Assumptions!$O$44+(Assumptions!$P$44-Assumptions!$O$44)*(A83-Assumptions!$Z$44)/(Assumptions!$AA$44-Assumptions!$Z$44))+MAX(0,Assumptions!$W$44+Assumptions!$X$44*MIN(A83,21))))</f>
        <v>3256.4173684210523</v>
      </c>
      <c r="G83" s="87">
        <f>MAX(G82,(IF(A83&lt;=Assumptions!$Z$45,Assumptions!$AC$45+(Assumptions!$O$45-Assumptions!$AC$45)*(A83-Assumptions!$AB$45)/(Assumptions!$Z$45-Assumptions!$AB$45),Assumptions!$O$45+(Assumptions!$P$45-Assumptions!$O$45)*(A83-Assumptions!$Z$45)/(Assumptions!$AA$45-Assumptions!$Z$45))+MAX(0,Assumptions!$W$45+Assumptions!$X$45*MIN(A83,21))))</f>
        <v>3096.5571428571429</v>
      </c>
      <c r="H83" s="92">
        <f>MAX(H82,(IF(A83&lt;=Assumptions!$Z$46,Assumptions!$AC$46+(Assumptions!$O$46-Assumptions!$AC$46)*(A83-Assumptions!$AB$46)/(Assumptions!$Z$46-Assumptions!$AB$46),Assumptions!$O$46+(Assumptions!$P$46-Assumptions!$O$46)*(A83-Assumptions!$Z$46)/(Assumptions!$AA$46-Assumptions!$Z$46))+MAX(0,Assumptions!$W$46+Assumptions!$X$46*MIN(A83,21))))</f>
        <v>3160.0131578947371</v>
      </c>
      <c r="I83" s="87">
        <f>MAX(I82,(IF(A83&lt;=Assumptions!$Z$47,Assumptions!$AC$47+(Assumptions!$O$47-Assumptions!$AC$47)*(A83-Assumptions!$AB$47)/(Assumptions!$Z$47-Assumptions!$AB$47),Assumptions!$O$47+(Assumptions!$P$47-Assumptions!$O$47)*(A83-Assumptions!$Z$47)/(Assumptions!$AA$47-Assumptions!$Z$47))+MAX(0,Assumptions!$W$47+Assumptions!$X$47*MIN(A83,21))))</f>
        <v>3114.376923076923</v>
      </c>
      <c r="J83" s="92">
        <f>MAX(J82,(IF(A83&lt;=Assumptions!$Z$48,Assumptions!$AC$48+(Assumptions!$O$48-Assumptions!$AC$48)*(A83-Assumptions!$AB$48)/(Assumptions!$Z$48-Assumptions!$AB$48),Assumptions!$O$48+(Assumptions!$P$48-Assumptions!$O$48)*(A83-Assumptions!$Z$48)/(Assumptions!$AA$48-Assumptions!$Z$48))+MAX(0,Assumptions!$W$48+Assumptions!$X$48*MIN(A83,21))))</f>
        <v>3170.1236842105263</v>
      </c>
      <c r="K83" s="87">
        <f>MAX(K82,(IF(A83&lt;=Assumptions!$Z$49,Assumptions!$AC$49+(Assumptions!$O$49-Assumptions!$AC$49)*(A83-Assumptions!$AB$49)/(Assumptions!$Z$49-Assumptions!$AB$49),Assumptions!$O$49+(Assumptions!$P$49-Assumptions!$O$49)*(A83-Assumptions!$Z$49)/(Assumptions!$AA$49-Assumptions!$Z$49))+MAX(0,Assumptions!$W$49+Assumptions!$X$49*MIN(A83,21))))</f>
        <v>3094.707692307692</v>
      </c>
      <c r="L83" s="92">
        <f>MAX(L82,(IF(A83&lt;=Assumptions!$Z$50,Assumptions!$AC$50+(Assumptions!$O$50-Assumptions!$AC$50)*(A83-Assumptions!$AB$50)/(Assumptions!$Z$50-Assumptions!$AB$50),Assumptions!$O$50+(Assumptions!$P$50-Assumptions!$O$50)*(A83-Assumptions!$Z$50)/(Assumptions!$AA$50-Assumptions!$Z$50))+MAX(0,Assumptions!$W$50+Assumptions!$X$50*MIN(A83,21))))</f>
        <v>3142.3405263157897</v>
      </c>
      <c r="M83" s="87">
        <f>MAX(M82,(IF(A83&lt;=Assumptions!$Z$51,Assumptions!$AC$51+(Assumptions!$O$51-Assumptions!$AC$51)*(A83-Assumptions!$AB$51)/(Assumptions!$Z$51-Assumptions!$AB$51),Assumptions!$O$51+(Assumptions!$P$51-Assumptions!$O$51)*(A83-Assumptions!$Z$51)/(Assumptions!$AA$51-Assumptions!$Z$51))+MAX(0,Assumptions!$W$51+Assumptions!$X$51*MIN(A83,21))))</f>
        <v>3097.2153846153851</v>
      </c>
      <c r="N83" s="87">
        <f>MAX(N82,(IF(A83&lt;=Assumptions!$Z$52,Assumptions!$AC$52+(Assumptions!$O$52-Assumptions!$AC$52)*(A83-Assumptions!$AB$52)/(Assumptions!$Z$52-Assumptions!$AB$52),Assumptions!$O$52+(Assumptions!$P$52-Assumptions!$O$52)*(A83-Assumptions!$Z$52)/(Assumptions!$AA$52-Assumptions!$Z$52))+MAX(0,Assumptions!$W$52+Assumptions!$X$52*MIN(A83,21))))</f>
        <v>3120.3714285714286</v>
      </c>
      <c r="O83" s="92">
        <f>MAX(O82,(IF(A83&lt;=Assumptions!$Z$53,Assumptions!$AC$53+(Assumptions!$O$53-Assumptions!$AC$53)*(A83-Assumptions!$AB$53)/(Assumptions!$Z$53-Assumptions!$AB$53),Assumptions!$O$53+(Assumptions!$P$53-Assumptions!$O$53)*(A83-Assumptions!$Z$53)/(Assumptions!$AA$53-Assumptions!$Z$53))+MAX(0,Assumptions!$W$53+Assumptions!$X$53*MIN(A83,21))))</f>
        <v>3177.3778947368419</v>
      </c>
      <c r="P83" s="92">
        <f>MAX(P82,(IF(A83&lt;=Assumptions!$Z$54,Assumptions!$AC$54+(Assumptions!$O$54-Assumptions!$AC$54)*(A83-Assumptions!$AB$54)/(Assumptions!$Z$54-Assumptions!$AB$54),Assumptions!$O$54+(Assumptions!$P$54-Assumptions!$O$54)*(A83-Assumptions!$Z$54)/(Assumptions!$AA$54-Assumptions!$Z$54))+MAX(0,Assumptions!$W$54+Assumptions!$X$54*MIN(A83,21))))</f>
        <v>3133.75</v>
      </c>
      <c r="Q83" s="92">
        <f>MAX(Q82,(IF(A83&lt;=Assumptions!$Z$55,Assumptions!$AC$55+(Assumptions!$O$55-Assumptions!$AC$55)*(A83-Assumptions!$AB$55)/(Assumptions!$Z$55-Assumptions!$AB$55),Assumptions!$O$55+(Assumptions!$P$55-Assumptions!$O$55)*(A83-Assumptions!$Z$55)/(Assumptions!$AA$55-Assumptions!$Z$55))+MAX(0,Assumptions!$W$55+Assumptions!$X$55*MIN(A83,21))))</f>
        <v>3128.7631578947367</v>
      </c>
      <c r="R83" s="92">
        <f>MAX(R82,(IF(A83&lt;=Assumptions!$Z$56,Assumptions!$AC$56+(Assumptions!$O$56-Assumptions!$AC$56)*(A83-Assumptions!$AB$56)/(Assumptions!$Z$56-Assumptions!$AB$56),Assumptions!$O$56+(Assumptions!$P$56-Assumptions!$O$56)*(A83-Assumptions!$Z$56)/(Assumptions!$AA$56-Assumptions!$Z$56))+MAX(0,Assumptions!$W$56+Assumptions!$X$56*MIN(A83,21))))</f>
        <v>3128.7631578947367</v>
      </c>
    </row>
    <row r="84" spans="1:18" x14ac:dyDescent="0.2">
      <c r="A84" s="91">
        <v>24</v>
      </c>
      <c r="B84" s="87">
        <f>MAX(B83,(IF(A84&lt;=Assumptions!$Z$40,Assumptions!$AC$40+(Assumptions!$O$40-Assumptions!$AC$40)*(A84-Assumptions!$AB$40)/(Assumptions!$Z$40-Assumptions!$AB$40),Assumptions!$O$40+(Assumptions!$P$40-Assumptions!$O$40)*(A84-Assumptions!$Z$40)/(Assumptions!$AA$40-Assumptions!$Z$40))+MAX(0,Assumptions!$W$40+Assumptions!$X$40*MIN(A84,21))))</f>
        <v>3152.6142857142859</v>
      </c>
      <c r="C84" s="87">
        <f>MAX(C83,(IF(A84&lt;=Assumptions!$Z$41,Assumptions!$AC$41+(Assumptions!$O$41-Assumptions!$AC$41)*(A84-Assumptions!$AB$41)/(Assumptions!$Z$41-Assumptions!$AB$41),Assumptions!$O$41+(Assumptions!$P$41-Assumptions!$O$41)*(A84-Assumptions!$Z$41)/(Assumptions!$AA$41-Assumptions!$Z$41))+MAX(0,Assumptions!$W$41+Assumptions!$X$41*MIN(A84,21))))</f>
        <v>3119.2214285714285</v>
      </c>
      <c r="D84" s="92">
        <f>MAX(D83,(IF(A84&lt;=Assumptions!$Z$42,Assumptions!$AC$42+(Assumptions!$O$42-Assumptions!$AC$42)*(A84-Assumptions!$AB$42)/(Assumptions!$Z$42-Assumptions!$AB$42),Assumptions!$O$42+(Assumptions!$P$42-Assumptions!$O$42)*(A84-Assumptions!$Z$42)/(Assumptions!$AA$42-Assumptions!$Z$42))+MAX(0,Assumptions!$W$42+Assumptions!$X$42*MIN(A84,21))))</f>
        <v>3257.58</v>
      </c>
      <c r="E84" s="87">
        <f>MAX(E83,(IF(A84&lt;=Assumptions!$Z$43,Assumptions!$AC$43+(Assumptions!$O$43-Assumptions!$AC$43)*(A84-Assumptions!$AB$43)/(Assumptions!$Z$43-Assumptions!$AB$43),Assumptions!$O$43+(Assumptions!$P$43-Assumptions!$O$43)*(A84-Assumptions!$Z$43)/(Assumptions!$AA$43-Assumptions!$Z$43))+MAX(0,Assumptions!$W$43+Assumptions!$X$43*MIN(A84,21))))</f>
        <v>3149.5928571428572</v>
      </c>
      <c r="F84" s="92">
        <f>MAX(F83,(IF(A84&lt;=Assumptions!$Z$44,Assumptions!$AC$44+(Assumptions!$O$44-Assumptions!$AC$44)*(A84-Assumptions!$AB$44)/(Assumptions!$Z$44-Assumptions!$AB$44),Assumptions!$O$44+(Assumptions!$P$44-Assumptions!$O$44)*(A84-Assumptions!$Z$44)/(Assumptions!$AA$44-Assumptions!$Z$44))+MAX(0,Assumptions!$W$44+Assumptions!$X$44*MIN(A84,21))))</f>
        <v>3265.6384210526312</v>
      </c>
      <c r="G84" s="87">
        <f>MAX(G83,(IF(A84&lt;=Assumptions!$Z$45,Assumptions!$AC$45+(Assumptions!$O$45-Assumptions!$AC$45)*(A84-Assumptions!$AB$45)/(Assumptions!$Z$45-Assumptions!$AB$45),Assumptions!$O$45+(Assumptions!$P$45-Assumptions!$O$45)*(A84-Assumptions!$Z$45)/(Assumptions!$AA$45-Assumptions!$Z$45))+MAX(0,Assumptions!$W$45+Assumptions!$X$45*MIN(A84,21))))</f>
        <v>3118.0142857142855</v>
      </c>
      <c r="H84" s="92">
        <f>MAX(H83,(IF(A84&lt;=Assumptions!$Z$46,Assumptions!$AC$46+(Assumptions!$O$46-Assumptions!$AC$46)*(A84-Assumptions!$AB$46)/(Assumptions!$Z$46-Assumptions!$AB$46),Assumptions!$O$46+(Assumptions!$P$46-Assumptions!$O$46)*(A84-Assumptions!$Z$46)/(Assumptions!$AA$46-Assumptions!$Z$46))+MAX(0,Assumptions!$W$46+Assumptions!$X$46*MIN(A84,21))))</f>
        <v>3170.507894736842</v>
      </c>
      <c r="I84" s="87">
        <f>MAX(I83,(IF(A84&lt;=Assumptions!$Z$47,Assumptions!$AC$47+(Assumptions!$O$47-Assumptions!$AC$47)*(A84-Assumptions!$AB$47)/(Assumptions!$Z$47-Assumptions!$AB$47),Assumptions!$O$47+(Assumptions!$P$47-Assumptions!$O$47)*(A84-Assumptions!$Z$47)/(Assumptions!$AA$47-Assumptions!$Z$47))+MAX(0,Assumptions!$W$47+Assumptions!$X$47*MIN(A84,21))))</f>
        <v>3138.8384615384616</v>
      </c>
      <c r="J84" s="92">
        <f>MAX(J83,(IF(A84&lt;=Assumptions!$Z$48,Assumptions!$AC$48+(Assumptions!$O$48-Assumptions!$AC$48)*(A84-Assumptions!$AB$48)/(Assumptions!$Z$48-Assumptions!$AB$48),Assumptions!$O$48+(Assumptions!$P$48-Assumptions!$O$48)*(A84-Assumptions!$Z$48)/(Assumptions!$AA$48-Assumptions!$Z$48))+MAX(0,Assumptions!$W$48+Assumptions!$X$48*MIN(A84,21))))</f>
        <v>3185.9342105263158</v>
      </c>
      <c r="K84" s="87">
        <f>MAX(K83,(IF(A84&lt;=Assumptions!$Z$49,Assumptions!$AC$49+(Assumptions!$O$49-Assumptions!$AC$49)*(A84-Assumptions!$AB$49)/(Assumptions!$Z$49-Assumptions!$AB$49),Assumptions!$O$49+(Assumptions!$P$49-Assumptions!$O$49)*(A84-Assumptions!$Z$49)/(Assumptions!$AA$49-Assumptions!$Z$49))+MAX(0,Assumptions!$W$49+Assumptions!$X$49*MIN(A84,21))))</f>
        <v>3120.9846153846152</v>
      </c>
      <c r="L84" s="92">
        <f>MAX(L83,(IF(A84&lt;=Assumptions!$Z$50,Assumptions!$AC$50+(Assumptions!$O$50-Assumptions!$AC$50)*(A84-Assumptions!$AB$50)/(Assumptions!$Z$50-Assumptions!$AB$50),Assumptions!$O$50+(Assumptions!$P$50-Assumptions!$O$50)*(A84-Assumptions!$Z$50)/(Assumptions!$AA$50-Assumptions!$Z$50))+MAX(0,Assumptions!$W$50+Assumptions!$X$50*MIN(A84,21))))</f>
        <v>3158.2563157894738</v>
      </c>
      <c r="M84" s="87">
        <f>MAX(M83,(IF(A84&lt;=Assumptions!$Z$51,Assumptions!$AC$51+(Assumptions!$O$51-Assumptions!$AC$51)*(A84-Assumptions!$AB$51)/(Assumptions!$Z$51-Assumptions!$AB$51),Assumptions!$O$51+(Assumptions!$P$51-Assumptions!$O$51)*(A84-Assumptions!$Z$51)/(Assumptions!$AA$51-Assumptions!$Z$51))+MAX(0,Assumptions!$W$51+Assumptions!$X$51*MIN(A84,21))))</f>
        <v>3121.3076923076928</v>
      </c>
      <c r="N84" s="87">
        <f>MAX(N83,(IF(A84&lt;=Assumptions!$Z$52,Assumptions!$AC$52+(Assumptions!$O$52-Assumptions!$AC$52)*(A84-Assumptions!$AB$52)/(Assumptions!$Z$52-Assumptions!$AB$52),Assumptions!$O$52+(Assumptions!$P$52-Assumptions!$O$52)*(A84-Assumptions!$Z$52)/(Assumptions!$AA$52-Assumptions!$Z$52))+MAX(0,Assumptions!$W$52+Assumptions!$X$52*MIN(A84,21))))</f>
        <v>3144.1428571428573</v>
      </c>
      <c r="O84" s="92">
        <f>MAX(O83,(IF(A84&lt;=Assumptions!$Z$53,Assumptions!$AC$53+(Assumptions!$O$53-Assumptions!$AC$53)*(A84-Assumptions!$AB$53)/(Assumptions!$Z$53-Assumptions!$AB$53),Assumptions!$O$53+(Assumptions!$P$53-Assumptions!$O$53)*(A84-Assumptions!$Z$53)/(Assumptions!$AA$53-Assumptions!$Z$53))+MAX(0,Assumptions!$W$53+Assumptions!$X$53*MIN(A84,21))))</f>
        <v>3199.314736842105</v>
      </c>
      <c r="P84" s="92">
        <f>MAX(P83,(IF(A84&lt;=Assumptions!$Z$54,Assumptions!$AC$54+(Assumptions!$O$54-Assumptions!$AC$54)*(A84-Assumptions!$AB$54)/(Assumptions!$Z$54-Assumptions!$AB$54),Assumptions!$O$54+(Assumptions!$P$54-Assumptions!$O$54)*(A84-Assumptions!$Z$54)/(Assumptions!$AA$54-Assumptions!$Z$54))+MAX(0,Assumptions!$W$54+Assumptions!$X$54*MIN(A84,21))))</f>
        <v>3160.25</v>
      </c>
      <c r="Q84" s="92">
        <f>MAX(Q83,(IF(A84&lt;=Assumptions!$Z$55,Assumptions!$AC$55+(Assumptions!$O$55-Assumptions!$AC$55)*(A84-Assumptions!$AB$55)/(Assumptions!$Z$55-Assumptions!$AB$55),Assumptions!$O$55+(Assumptions!$P$55-Assumptions!$O$55)*(A84-Assumptions!$Z$55)/(Assumptions!$AA$55-Assumptions!$Z$55))+MAX(0,Assumptions!$W$55+Assumptions!$X$55*MIN(A84,21))))</f>
        <v>3157.257894736842</v>
      </c>
      <c r="R84" s="92">
        <f>MAX(R83,(IF(A84&lt;=Assumptions!$Z$56,Assumptions!$AC$56+(Assumptions!$O$56-Assumptions!$AC$56)*(A84-Assumptions!$AB$56)/(Assumptions!$Z$56-Assumptions!$AB$56),Assumptions!$O$56+(Assumptions!$P$56-Assumptions!$O$56)*(A84-Assumptions!$Z$56)/(Assumptions!$AA$56-Assumptions!$Z$56))+MAX(0,Assumptions!$W$56+Assumptions!$X$56*MIN(A84,21))))</f>
        <v>3157.257894736842</v>
      </c>
    </row>
    <row r="85" spans="1:18" x14ac:dyDescent="0.2">
      <c r="A85" s="91">
        <v>25</v>
      </c>
      <c r="B85" s="87">
        <f>MAX(B84,(IF(A85&lt;=Assumptions!$Z$40,Assumptions!$AC$40+(Assumptions!$O$40-Assumptions!$AC$40)*(A85-Assumptions!$AB$40)/(Assumptions!$Z$40-Assumptions!$AB$40),Assumptions!$O$40+(Assumptions!$P$40-Assumptions!$O$40)*(A85-Assumptions!$Z$40)/(Assumptions!$AA$40-Assumptions!$Z$40))+MAX(0,Assumptions!$W$40+Assumptions!$X$40*MIN(A85,21))))</f>
        <v>3174.6714285714288</v>
      </c>
      <c r="C85" s="87">
        <f>MAX(C84,(IF(A85&lt;=Assumptions!$Z$41,Assumptions!$AC$41+(Assumptions!$O$41-Assumptions!$AC$41)*(A85-Assumptions!$AB$41)/(Assumptions!$Z$41-Assumptions!$AB$41),Assumptions!$O$41+(Assumptions!$P$41-Assumptions!$O$41)*(A85-Assumptions!$Z$41)/(Assumptions!$AA$41-Assumptions!$Z$41))+MAX(0,Assumptions!$W$41+Assumptions!$X$41*MIN(A85,21))))</f>
        <v>3142.0071428571428</v>
      </c>
      <c r="D85" s="92">
        <f>MAX(D84,(IF(A85&lt;=Assumptions!$Z$42,Assumptions!$AC$42+(Assumptions!$O$42-Assumptions!$AC$42)*(A85-Assumptions!$AB$42)/(Assumptions!$Z$42-Assumptions!$AB$42),Assumptions!$O$42+(Assumptions!$P$42-Assumptions!$O$42)*(A85-Assumptions!$Z$42)/(Assumptions!$AA$42-Assumptions!$Z$42))+MAX(0,Assumptions!$W$42+Assumptions!$X$42*MIN(A85,21))))</f>
        <v>3270.355</v>
      </c>
      <c r="E85" s="87">
        <f>MAX(E84,(IF(A85&lt;=Assumptions!$Z$43,Assumptions!$AC$43+(Assumptions!$O$43-Assumptions!$AC$43)*(A85-Assumptions!$AB$43)/(Assumptions!$Z$43-Assumptions!$AB$43),Assumptions!$O$43+(Assumptions!$P$43-Assumptions!$O$43)*(A85-Assumptions!$Z$43)/(Assumptions!$AA$43-Assumptions!$Z$43))+MAX(0,Assumptions!$W$43+Assumptions!$X$43*MIN(A85,21))))</f>
        <v>3172.6642857142856</v>
      </c>
      <c r="F85" s="92">
        <f>MAX(F84,(IF(A85&lt;=Assumptions!$Z$44,Assumptions!$AC$44+(Assumptions!$O$44-Assumptions!$AC$44)*(A85-Assumptions!$AB$44)/(Assumptions!$Z$44-Assumptions!$AB$44),Assumptions!$O$44+(Assumptions!$P$44-Assumptions!$O$44)*(A85-Assumptions!$Z$44)/(Assumptions!$AA$44-Assumptions!$Z$44))+MAX(0,Assumptions!$W$44+Assumptions!$X$44*MIN(A85,21))))</f>
        <v>3274.8594736842101</v>
      </c>
      <c r="G85" s="87">
        <f>MAX(G84,(IF(A85&lt;=Assumptions!$Z$45,Assumptions!$AC$45+(Assumptions!$O$45-Assumptions!$AC$45)*(A85-Assumptions!$AB$45)/(Assumptions!$Z$45-Assumptions!$AB$45),Assumptions!$O$45+(Assumptions!$P$45-Assumptions!$O$45)*(A85-Assumptions!$Z$45)/(Assumptions!$AA$45-Assumptions!$Z$45))+MAX(0,Assumptions!$W$45+Assumptions!$X$45*MIN(A85,21))))</f>
        <v>3139.4714285714285</v>
      </c>
      <c r="H85" s="92">
        <f>MAX(H84,(IF(A85&lt;=Assumptions!$Z$46,Assumptions!$AC$46+(Assumptions!$O$46-Assumptions!$AC$46)*(A85-Assumptions!$AB$46)/(Assumptions!$Z$46-Assumptions!$AB$46),Assumptions!$O$46+(Assumptions!$P$46-Assumptions!$O$46)*(A85-Assumptions!$Z$46)/(Assumptions!$AA$46-Assumptions!$Z$46))+MAX(0,Assumptions!$W$46+Assumptions!$X$46*MIN(A85,21))))</f>
        <v>3181.0026315789473</v>
      </c>
      <c r="I85" s="87">
        <f>MAX(I84,(IF(A85&lt;=Assumptions!$Z$47,Assumptions!$AC$47+(Assumptions!$O$47-Assumptions!$AC$47)*(A85-Assumptions!$AB$47)/(Assumptions!$Z$47-Assumptions!$AB$47),Assumptions!$O$47+(Assumptions!$P$47-Assumptions!$O$47)*(A85-Assumptions!$Z$47)/(Assumptions!$AA$47-Assumptions!$Z$47))+MAX(0,Assumptions!$W$47+Assumptions!$X$47*MIN(A85,21))))</f>
        <v>3163.3</v>
      </c>
      <c r="J85" s="92">
        <f>MAX(J84,(IF(A85&lt;=Assumptions!$Z$48,Assumptions!$AC$48+(Assumptions!$O$48-Assumptions!$AC$48)*(A85-Assumptions!$AB$48)/(Assumptions!$Z$48-Assumptions!$AB$48),Assumptions!$O$48+(Assumptions!$P$48-Assumptions!$O$48)*(A85-Assumptions!$Z$48)/(Assumptions!$AA$48-Assumptions!$Z$48))+MAX(0,Assumptions!$W$48+Assumptions!$X$48*MIN(A85,21))))</f>
        <v>3201.7447368421053</v>
      </c>
      <c r="K85" s="87">
        <f>MAX(K84,(IF(A85&lt;=Assumptions!$Z$49,Assumptions!$AC$49+(Assumptions!$O$49-Assumptions!$AC$49)*(A85-Assumptions!$AB$49)/(Assumptions!$Z$49-Assumptions!$AB$49),Assumptions!$O$49+(Assumptions!$P$49-Assumptions!$O$49)*(A85-Assumptions!$Z$49)/(Assumptions!$AA$49-Assumptions!$Z$49))+MAX(0,Assumptions!$W$49+Assumptions!$X$49*MIN(A85,21))))</f>
        <v>3147.2615384615383</v>
      </c>
      <c r="L85" s="92">
        <f>MAX(L84,(IF(A85&lt;=Assumptions!$Z$50,Assumptions!$AC$50+(Assumptions!$O$50-Assumptions!$AC$50)*(A85-Assumptions!$AB$50)/(Assumptions!$Z$50-Assumptions!$AB$50),Assumptions!$O$50+(Assumptions!$P$50-Assumptions!$O$50)*(A85-Assumptions!$Z$50)/(Assumptions!$AA$50-Assumptions!$Z$50))+MAX(0,Assumptions!$W$50+Assumptions!$X$50*MIN(A85,21))))</f>
        <v>3174.1721052631578</v>
      </c>
      <c r="M85" s="87">
        <f>MAX(M84,(IF(A85&lt;=Assumptions!$Z$51,Assumptions!$AC$51+(Assumptions!$O$51-Assumptions!$AC$51)*(A85-Assumptions!$AB$51)/(Assumptions!$Z$51-Assumptions!$AB$51),Assumptions!$O$51+(Assumptions!$P$51-Assumptions!$O$51)*(A85-Assumptions!$Z$51)/(Assumptions!$AA$51-Assumptions!$Z$51))+MAX(0,Assumptions!$W$51+Assumptions!$X$51*MIN(A85,21))))</f>
        <v>3145.4000000000005</v>
      </c>
      <c r="N85" s="87">
        <f>MAX(N84,(IF(A85&lt;=Assumptions!$Z$52,Assumptions!$AC$52+(Assumptions!$O$52-Assumptions!$AC$52)*(A85-Assumptions!$AB$52)/(Assumptions!$Z$52-Assumptions!$AB$52),Assumptions!$O$52+(Assumptions!$P$52-Assumptions!$O$52)*(A85-Assumptions!$Z$52)/(Assumptions!$AA$52-Assumptions!$Z$52))+MAX(0,Assumptions!$W$52+Assumptions!$X$52*MIN(A85,21))))</f>
        <v>3167.9142857142861</v>
      </c>
      <c r="O85" s="92">
        <f>MAX(O84,(IF(A85&lt;=Assumptions!$Z$53,Assumptions!$AC$53+(Assumptions!$O$53-Assumptions!$AC$53)*(A85-Assumptions!$AB$53)/(Assumptions!$Z$53-Assumptions!$AB$53),Assumptions!$O$53+(Assumptions!$P$53-Assumptions!$O$53)*(A85-Assumptions!$Z$53)/(Assumptions!$AA$53-Assumptions!$Z$53))+MAX(0,Assumptions!$W$53+Assumptions!$X$53*MIN(A85,21))))</f>
        <v>3221.2515789473682</v>
      </c>
      <c r="P85" s="92">
        <f>MAX(P84,(IF(A85&lt;=Assumptions!$Z$54,Assumptions!$AC$54+(Assumptions!$O$54-Assumptions!$AC$54)*(A85-Assumptions!$AB$54)/(Assumptions!$Z$54-Assumptions!$AB$54),Assumptions!$O$54+(Assumptions!$P$54-Assumptions!$O$54)*(A85-Assumptions!$Z$54)/(Assumptions!$AA$54-Assumptions!$Z$54))+MAX(0,Assumptions!$W$54+Assumptions!$X$54*MIN(A85,21))))</f>
        <v>3186.75</v>
      </c>
      <c r="Q85" s="92">
        <f>MAX(Q84,(IF(A85&lt;=Assumptions!$Z$55,Assumptions!$AC$55+(Assumptions!$O$55-Assumptions!$AC$55)*(A85-Assumptions!$AB$55)/(Assumptions!$Z$55-Assumptions!$AB$55),Assumptions!$O$55+(Assumptions!$P$55-Assumptions!$O$55)*(A85-Assumptions!$Z$55)/(Assumptions!$AA$55-Assumptions!$Z$55))+MAX(0,Assumptions!$W$55+Assumptions!$X$55*MIN(A85,21))))</f>
        <v>3185.7526315789473</v>
      </c>
      <c r="R85" s="92">
        <f>MAX(R84,(IF(A85&lt;=Assumptions!$Z$56,Assumptions!$AC$56+(Assumptions!$O$56-Assumptions!$AC$56)*(A85-Assumptions!$AB$56)/(Assumptions!$Z$56-Assumptions!$AB$56),Assumptions!$O$56+(Assumptions!$P$56-Assumptions!$O$56)*(A85-Assumptions!$Z$56)/(Assumptions!$AA$56-Assumptions!$Z$56))+MAX(0,Assumptions!$W$56+Assumptions!$X$56*MIN(A85,21))))</f>
        <v>3185.7526315789473</v>
      </c>
    </row>
    <row r="86" spans="1:18" x14ac:dyDescent="0.2">
      <c r="A86" s="91">
        <v>26</v>
      </c>
      <c r="B86" s="87">
        <f>MAX(B85,(IF(A86&lt;=Assumptions!$Z$40,Assumptions!$AC$40+(Assumptions!$O$40-Assumptions!$AC$40)*(A86-Assumptions!$AB$40)/(Assumptions!$Z$40-Assumptions!$AB$40),Assumptions!$O$40+(Assumptions!$P$40-Assumptions!$O$40)*(A86-Assumptions!$Z$40)/(Assumptions!$AA$40-Assumptions!$Z$40))+MAX(0,Assumptions!$W$40+Assumptions!$X$40*MIN(A86,21))))</f>
        <v>3196.7285714285717</v>
      </c>
      <c r="C86" s="87">
        <f>MAX(C85,(IF(A86&lt;=Assumptions!$Z$41,Assumptions!$AC$41+(Assumptions!$O$41-Assumptions!$AC$41)*(A86-Assumptions!$AB$41)/(Assumptions!$Z$41-Assumptions!$AB$41),Assumptions!$O$41+(Assumptions!$P$41-Assumptions!$O$41)*(A86-Assumptions!$Z$41)/(Assumptions!$AA$41-Assumptions!$Z$41))+MAX(0,Assumptions!$W$41+Assumptions!$X$41*MIN(A86,21))))</f>
        <v>3164.7928571428574</v>
      </c>
      <c r="D86" s="92">
        <f>MAX(D85,(IF(A86&lt;=Assumptions!$Z$42,Assumptions!$AC$42+(Assumptions!$O$42-Assumptions!$AC$42)*(A86-Assumptions!$AB$42)/(Assumptions!$Z$42-Assumptions!$AB$42),Assumptions!$O$42+(Assumptions!$P$42-Assumptions!$O$42)*(A86-Assumptions!$Z$42)/(Assumptions!$AA$42-Assumptions!$Z$42))+MAX(0,Assumptions!$W$42+Assumptions!$X$42*MIN(A86,21))))</f>
        <v>3283.13</v>
      </c>
      <c r="E86" s="87">
        <f>MAX(E85,(IF(A86&lt;=Assumptions!$Z$43,Assumptions!$AC$43+(Assumptions!$O$43-Assumptions!$AC$43)*(A86-Assumptions!$AB$43)/(Assumptions!$Z$43-Assumptions!$AB$43),Assumptions!$O$43+(Assumptions!$P$43-Assumptions!$O$43)*(A86-Assumptions!$Z$43)/(Assumptions!$AA$43-Assumptions!$Z$43))+MAX(0,Assumptions!$W$43+Assumptions!$X$43*MIN(A86,21))))</f>
        <v>3195.735714285714</v>
      </c>
      <c r="F86" s="92">
        <f>MAX(F85,(IF(A86&lt;=Assumptions!$Z$44,Assumptions!$AC$44+(Assumptions!$O$44-Assumptions!$AC$44)*(A86-Assumptions!$AB$44)/(Assumptions!$Z$44-Assumptions!$AB$44),Assumptions!$O$44+(Assumptions!$P$44-Assumptions!$O$44)*(A86-Assumptions!$Z$44)/(Assumptions!$AA$44-Assumptions!$Z$44))+MAX(0,Assumptions!$W$44+Assumptions!$X$44*MIN(A86,21))))</f>
        <v>3284.0805263157895</v>
      </c>
      <c r="G86" s="87">
        <f>MAX(G85,(IF(A86&lt;=Assumptions!$Z$45,Assumptions!$AC$45+(Assumptions!$O$45-Assumptions!$AC$45)*(A86-Assumptions!$AB$45)/(Assumptions!$Z$45-Assumptions!$AB$45),Assumptions!$O$45+(Assumptions!$P$45-Assumptions!$O$45)*(A86-Assumptions!$Z$45)/(Assumptions!$AA$45-Assumptions!$Z$45))+MAX(0,Assumptions!$W$45+Assumptions!$X$45*MIN(A86,21))))</f>
        <v>3160.9285714285711</v>
      </c>
      <c r="H86" s="92">
        <f>MAX(H85,(IF(A86&lt;=Assumptions!$Z$46,Assumptions!$AC$46+(Assumptions!$O$46-Assumptions!$AC$46)*(A86-Assumptions!$AB$46)/(Assumptions!$Z$46-Assumptions!$AB$46),Assumptions!$O$46+(Assumptions!$P$46-Assumptions!$O$46)*(A86-Assumptions!$Z$46)/(Assumptions!$AA$46-Assumptions!$Z$46))+MAX(0,Assumptions!$W$46+Assumptions!$X$46*MIN(A86,21))))</f>
        <v>3191.4973684210527</v>
      </c>
      <c r="I86" s="87">
        <f>MAX(I85,(IF(A86&lt;=Assumptions!$Z$47,Assumptions!$AC$47+(Assumptions!$O$47-Assumptions!$AC$47)*(A86-Assumptions!$AB$47)/(Assumptions!$Z$47-Assumptions!$AB$47),Assumptions!$O$47+(Assumptions!$P$47-Assumptions!$O$47)*(A86-Assumptions!$Z$47)/(Assumptions!$AA$47-Assumptions!$Z$47))+MAX(0,Assumptions!$W$47+Assumptions!$X$47*MIN(A86,21))))</f>
        <v>3187.7615384615387</v>
      </c>
      <c r="J86" s="92">
        <f>MAX(J85,(IF(A86&lt;=Assumptions!$Z$48,Assumptions!$AC$48+(Assumptions!$O$48-Assumptions!$AC$48)*(A86-Assumptions!$AB$48)/(Assumptions!$Z$48-Assumptions!$AB$48),Assumptions!$O$48+(Assumptions!$P$48-Assumptions!$O$48)*(A86-Assumptions!$Z$48)/(Assumptions!$AA$48-Assumptions!$Z$48))+MAX(0,Assumptions!$W$48+Assumptions!$X$48*MIN(A86,21))))</f>
        <v>3217.5552631578948</v>
      </c>
      <c r="K86" s="87">
        <f>MAX(K85,(IF(A86&lt;=Assumptions!$Z$49,Assumptions!$AC$49+(Assumptions!$O$49-Assumptions!$AC$49)*(A86-Assumptions!$AB$49)/(Assumptions!$Z$49-Assumptions!$AB$49),Assumptions!$O$49+(Assumptions!$P$49-Assumptions!$O$49)*(A86-Assumptions!$Z$49)/(Assumptions!$AA$49-Assumptions!$Z$49))+MAX(0,Assumptions!$W$49+Assumptions!$X$49*MIN(A86,21))))</f>
        <v>3173.538461538461</v>
      </c>
      <c r="L86" s="92">
        <f>MAX(L85,(IF(A86&lt;=Assumptions!$Z$50,Assumptions!$AC$50+(Assumptions!$O$50-Assumptions!$AC$50)*(A86-Assumptions!$AB$50)/(Assumptions!$Z$50-Assumptions!$AB$50),Assumptions!$O$50+(Assumptions!$P$50-Assumptions!$O$50)*(A86-Assumptions!$Z$50)/(Assumptions!$AA$50-Assumptions!$Z$50))+MAX(0,Assumptions!$W$50+Assumptions!$X$50*MIN(A86,21))))</f>
        <v>3190.0878947368424</v>
      </c>
      <c r="M86" s="87">
        <f>MAX(M85,(IF(A86&lt;=Assumptions!$Z$51,Assumptions!$AC$51+(Assumptions!$O$51-Assumptions!$AC$51)*(A86-Assumptions!$AB$51)/(Assumptions!$Z$51-Assumptions!$AB$51),Assumptions!$O$51+(Assumptions!$P$51-Assumptions!$O$51)*(A86-Assumptions!$Z$51)/(Assumptions!$AA$51-Assumptions!$Z$51))+MAX(0,Assumptions!$W$51+Assumptions!$X$51*MIN(A86,21))))</f>
        <v>3169.4923076923083</v>
      </c>
      <c r="N86" s="87">
        <f>MAX(N85,(IF(A86&lt;=Assumptions!$Z$52,Assumptions!$AC$52+(Assumptions!$O$52-Assumptions!$AC$52)*(A86-Assumptions!$AB$52)/(Assumptions!$Z$52-Assumptions!$AB$52),Assumptions!$O$52+(Assumptions!$P$52-Assumptions!$O$52)*(A86-Assumptions!$Z$52)/(Assumptions!$AA$52-Assumptions!$Z$52))+MAX(0,Assumptions!$W$52+Assumptions!$X$52*MIN(A86,21))))</f>
        <v>3191.6857142857143</v>
      </c>
      <c r="O86" s="92">
        <f>MAX(O85,(IF(A86&lt;=Assumptions!$Z$53,Assumptions!$AC$53+(Assumptions!$O$53-Assumptions!$AC$53)*(A86-Assumptions!$AB$53)/(Assumptions!$Z$53-Assumptions!$AB$53),Assumptions!$O$53+(Assumptions!$P$53-Assumptions!$O$53)*(A86-Assumptions!$Z$53)/(Assumptions!$AA$53-Assumptions!$Z$53))+MAX(0,Assumptions!$W$53+Assumptions!$X$53*MIN(A86,21))))</f>
        <v>3243.1884210526314</v>
      </c>
      <c r="P86" s="92">
        <f>MAX(P85,(IF(A86&lt;=Assumptions!$Z$54,Assumptions!$AC$54+(Assumptions!$O$54-Assumptions!$AC$54)*(A86-Assumptions!$AB$54)/(Assumptions!$Z$54-Assumptions!$AB$54),Assumptions!$O$54+(Assumptions!$P$54-Assumptions!$O$54)*(A86-Assumptions!$Z$54)/(Assumptions!$AA$54-Assumptions!$Z$54))+MAX(0,Assumptions!$W$54+Assumptions!$X$54*MIN(A86,21))))</f>
        <v>3213.25</v>
      </c>
      <c r="Q86" s="92">
        <f>MAX(Q85,(IF(A86&lt;=Assumptions!$Z$55,Assumptions!$AC$55+(Assumptions!$O$55-Assumptions!$AC$55)*(A86-Assumptions!$AB$55)/(Assumptions!$Z$55-Assumptions!$AB$55),Assumptions!$O$55+(Assumptions!$P$55-Assumptions!$O$55)*(A86-Assumptions!$Z$55)/(Assumptions!$AA$55-Assumptions!$Z$55))+MAX(0,Assumptions!$W$55+Assumptions!$X$55*MIN(A86,21))))</f>
        <v>3214.2473684210527</v>
      </c>
      <c r="R86" s="92">
        <f>MAX(R85,(IF(A86&lt;=Assumptions!$Z$56,Assumptions!$AC$56+(Assumptions!$O$56-Assumptions!$AC$56)*(A86-Assumptions!$AB$56)/(Assumptions!$Z$56-Assumptions!$AB$56),Assumptions!$O$56+(Assumptions!$P$56-Assumptions!$O$56)*(A86-Assumptions!$Z$56)/(Assumptions!$AA$56-Assumptions!$Z$56))+MAX(0,Assumptions!$W$56+Assumptions!$X$56*MIN(A86,21))))</f>
        <v>3214.2473684210527</v>
      </c>
    </row>
    <row r="87" spans="1:18" x14ac:dyDescent="0.2">
      <c r="A87" s="91">
        <v>27</v>
      </c>
      <c r="B87" s="87">
        <f>MAX(B86,(IF(A87&lt;=Assumptions!$Z$40,Assumptions!$AC$40+(Assumptions!$O$40-Assumptions!$AC$40)*(A87-Assumptions!$AB$40)/(Assumptions!$Z$40-Assumptions!$AB$40),Assumptions!$O$40+(Assumptions!$P$40-Assumptions!$O$40)*(A87-Assumptions!$Z$40)/(Assumptions!$AA$40-Assumptions!$Z$40))+MAX(0,Assumptions!$W$40+Assumptions!$X$40*MIN(A87,21))))</f>
        <v>3218.7857142857147</v>
      </c>
      <c r="C87" s="87">
        <f>MAX(C86,(IF(A87&lt;=Assumptions!$Z$41,Assumptions!$AC$41+(Assumptions!$O$41-Assumptions!$AC$41)*(A87-Assumptions!$AB$41)/(Assumptions!$Z$41-Assumptions!$AB$41),Assumptions!$O$41+(Assumptions!$P$41-Assumptions!$O$41)*(A87-Assumptions!$Z$41)/(Assumptions!$AA$41-Assumptions!$Z$41))+MAX(0,Assumptions!$W$41+Assumptions!$X$41*MIN(A87,21))))</f>
        <v>3187.5785714285716</v>
      </c>
      <c r="D87" s="92">
        <f>MAX(D86,(IF(A87&lt;=Assumptions!$Z$42,Assumptions!$AC$42+(Assumptions!$O$42-Assumptions!$AC$42)*(A87-Assumptions!$AB$42)/(Assumptions!$Z$42-Assumptions!$AB$42),Assumptions!$O$42+(Assumptions!$P$42-Assumptions!$O$42)*(A87-Assumptions!$Z$42)/(Assumptions!$AA$42-Assumptions!$Z$42))+MAX(0,Assumptions!$W$42+Assumptions!$X$42*MIN(A87,21))))</f>
        <v>3295.9050000000002</v>
      </c>
      <c r="E87" s="87">
        <f>MAX(E86,(IF(A87&lt;=Assumptions!$Z$43,Assumptions!$AC$43+(Assumptions!$O$43-Assumptions!$AC$43)*(A87-Assumptions!$AB$43)/(Assumptions!$Z$43-Assumptions!$AB$43),Assumptions!$O$43+(Assumptions!$P$43-Assumptions!$O$43)*(A87-Assumptions!$Z$43)/(Assumptions!$AA$43-Assumptions!$Z$43))+MAX(0,Assumptions!$W$43+Assumptions!$X$43*MIN(A87,21))))</f>
        <v>3218.8071428571425</v>
      </c>
      <c r="F87" s="92">
        <f>MAX(F86,(IF(A87&lt;=Assumptions!$Z$44,Assumptions!$AC$44+(Assumptions!$O$44-Assumptions!$AC$44)*(A87-Assumptions!$AB$44)/(Assumptions!$Z$44-Assumptions!$AB$44),Assumptions!$O$44+(Assumptions!$P$44-Assumptions!$O$44)*(A87-Assumptions!$Z$44)/(Assumptions!$AA$44-Assumptions!$Z$44))+MAX(0,Assumptions!$W$44+Assumptions!$X$44*MIN(A87,21))))</f>
        <v>3293.3015789473684</v>
      </c>
      <c r="G87" s="87">
        <f>MAX(G86,(IF(A87&lt;=Assumptions!$Z$45,Assumptions!$AC$45+(Assumptions!$O$45-Assumptions!$AC$45)*(A87-Assumptions!$AB$45)/(Assumptions!$Z$45-Assumptions!$AB$45),Assumptions!$O$45+(Assumptions!$P$45-Assumptions!$O$45)*(A87-Assumptions!$Z$45)/(Assumptions!$AA$45-Assumptions!$Z$45))+MAX(0,Assumptions!$W$45+Assumptions!$X$45*MIN(A87,21))))</f>
        <v>3182.3857142857141</v>
      </c>
      <c r="H87" s="92">
        <f>MAX(H86,(IF(A87&lt;=Assumptions!$Z$46,Assumptions!$AC$46+(Assumptions!$O$46-Assumptions!$AC$46)*(A87-Assumptions!$AB$46)/(Assumptions!$Z$46-Assumptions!$AB$46),Assumptions!$O$46+(Assumptions!$P$46-Assumptions!$O$46)*(A87-Assumptions!$Z$46)/(Assumptions!$AA$46-Assumptions!$Z$46))+MAX(0,Assumptions!$W$46+Assumptions!$X$46*MIN(A87,21))))</f>
        <v>3201.992105263158</v>
      </c>
      <c r="I87" s="87">
        <f>MAX(I86,(IF(A87&lt;=Assumptions!$Z$47,Assumptions!$AC$47+(Assumptions!$O$47-Assumptions!$AC$47)*(A87-Assumptions!$AB$47)/(Assumptions!$Z$47-Assumptions!$AB$47),Assumptions!$O$47+(Assumptions!$P$47-Assumptions!$O$47)*(A87-Assumptions!$Z$47)/(Assumptions!$AA$47-Assumptions!$Z$47))+MAX(0,Assumptions!$W$47+Assumptions!$X$47*MIN(A87,21))))</f>
        <v>3212.2230769230773</v>
      </c>
      <c r="J87" s="92">
        <f>MAX(J86,(IF(A87&lt;=Assumptions!$Z$48,Assumptions!$AC$48+(Assumptions!$O$48-Assumptions!$AC$48)*(A87-Assumptions!$AB$48)/(Assumptions!$Z$48-Assumptions!$AB$48),Assumptions!$O$48+(Assumptions!$P$48-Assumptions!$O$48)*(A87-Assumptions!$Z$48)/(Assumptions!$AA$48-Assumptions!$Z$48))+MAX(0,Assumptions!$W$48+Assumptions!$X$48*MIN(A87,21))))</f>
        <v>3233.3657894736843</v>
      </c>
      <c r="K87" s="87">
        <f>MAX(K86,(IF(A87&lt;=Assumptions!$Z$49,Assumptions!$AC$49+(Assumptions!$O$49-Assumptions!$AC$49)*(A87-Assumptions!$AB$49)/(Assumptions!$Z$49-Assumptions!$AB$49),Assumptions!$O$49+(Assumptions!$P$49-Assumptions!$O$49)*(A87-Assumptions!$Z$49)/(Assumptions!$AA$49-Assumptions!$Z$49))+MAX(0,Assumptions!$W$49+Assumptions!$X$49*MIN(A87,21))))</f>
        <v>3199.8153846153841</v>
      </c>
      <c r="L87" s="92">
        <f>MAX(L86,(IF(A87&lt;=Assumptions!$Z$50,Assumptions!$AC$50+(Assumptions!$O$50-Assumptions!$AC$50)*(A87-Assumptions!$AB$50)/(Assumptions!$Z$50-Assumptions!$AB$50),Assumptions!$O$50+(Assumptions!$P$50-Assumptions!$O$50)*(A87-Assumptions!$Z$50)/(Assumptions!$AA$50-Assumptions!$Z$50))+MAX(0,Assumptions!$W$50+Assumptions!$X$50*MIN(A87,21))))</f>
        <v>3206.0036842105264</v>
      </c>
      <c r="M87" s="87">
        <f>MAX(M86,(IF(A87&lt;=Assumptions!$Z$51,Assumptions!$AC$51+(Assumptions!$O$51-Assumptions!$AC$51)*(A87-Assumptions!$AB$51)/(Assumptions!$Z$51-Assumptions!$AB$51),Assumptions!$O$51+(Assumptions!$P$51-Assumptions!$O$51)*(A87-Assumptions!$Z$51)/(Assumptions!$AA$51-Assumptions!$Z$51))+MAX(0,Assumptions!$W$51+Assumptions!$X$51*MIN(A87,21))))</f>
        <v>3193.584615384616</v>
      </c>
      <c r="N87" s="87">
        <f>MAX(N86,(IF(A87&lt;=Assumptions!$Z$52,Assumptions!$AC$52+(Assumptions!$O$52-Assumptions!$AC$52)*(A87-Assumptions!$AB$52)/(Assumptions!$Z$52-Assumptions!$AB$52),Assumptions!$O$52+(Assumptions!$P$52-Assumptions!$O$52)*(A87-Assumptions!$Z$52)/(Assumptions!$AA$52-Assumptions!$Z$52))+MAX(0,Assumptions!$W$52+Assumptions!$X$52*MIN(A87,21))))</f>
        <v>3215.457142857143</v>
      </c>
      <c r="O87" s="92">
        <f>MAX(O86,(IF(A87&lt;=Assumptions!$Z$53,Assumptions!$AC$53+(Assumptions!$O$53-Assumptions!$AC$53)*(A87-Assumptions!$AB$53)/(Assumptions!$Z$53-Assumptions!$AB$53),Assumptions!$O$53+(Assumptions!$P$53-Assumptions!$O$53)*(A87-Assumptions!$Z$53)/(Assumptions!$AA$53-Assumptions!$Z$53))+MAX(0,Assumptions!$W$53+Assumptions!$X$53*MIN(A87,21))))</f>
        <v>3265.1252631578946</v>
      </c>
      <c r="P87" s="92">
        <f>MAX(P86,(IF(A87&lt;=Assumptions!$Z$54,Assumptions!$AC$54+(Assumptions!$O$54-Assumptions!$AC$54)*(A87-Assumptions!$AB$54)/(Assumptions!$Z$54-Assumptions!$AB$54),Assumptions!$O$54+(Assumptions!$P$54-Assumptions!$O$54)*(A87-Assumptions!$Z$54)/(Assumptions!$AA$54-Assumptions!$Z$54))+MAX(0,Assumptions!$W$54+Assumptions!$X$54*MIN(A87,21))))</f>
        <v>3239.75</v>
      </c>
      <c r="Q87" s="92">
        <f>MAX(Q86,(IF(A87&lt;=Assumptions!$Z$55,Assumptions!$AC$55+(Assumptions!$O$55-Assumptions!$AC$55)*(A87-Assumptions!$AB$55)/(Assumptions!$Z$55-Assumptions!$AB$55),Assumptions!$O$55+(Assumptions!$P$55-Assumptions!$O$55)*(A87-Assumptions!$Z$55)/(Assumptions!$AA$55-Assumptions!$Z$55))+MAX(0,Assumptions!$W$55+Assumptions!$X$55*MIN(A87,21))))</f>
        <v>3242.742105263158</v>
      </c>
      <c r="R87" s="92">
        <f>MAX(R86,(IF(A87&lt;=Assumptions!$Z$56,Assumptions!$AC$56+(Assumptions!$O$56-Assumptions!$AC$56)*(A87-Assumptions!$AB$56)/(Assumptions!$Z$56-Assumptions!$AB$56),Assumptions!$O$56+(Assumptions!$P$56-Assumptions!$O$56)*(A87-Assumptions!$Z$56)/(Assumptions!$AA$56-Assumptions!$Z$56))+MAX(0,Assumptions!$W$56+Assumptions!$X$56*MIN(A87,21))))</f>
        <v>3242.742105263158</v>
      </c>
    </row>
    <row r="88" spans="1:18" x14ac:dyDescent="0.2">
      <c r="A88" s="91">
        <v>28</v>
      </c>
      <c r="B88" s="87">
        <f>MAX(B87,(IF(A88&lt;=Assumptions!$Z$40,Assumptions!$AC$40+(Assumptions!$O$40-Assumptions!$AC$40)*(A88-Assumptions!$AB$40)/(Assumptions!$Z$40-Assumptions!$AB$40),Assumptions!$O$40+(Assumptions!$P$40-Assumptions!$O$40)*(A88-Assumptions!$Z$40)/(Assumptions!$AA$40-Assumptions!$Z$40))+MAX(0,Assumptions!$W$40+Assumptions!$X$40*MIN(A88,21))))</f>
        <v>3240.8428571428576</v>
      </c>
      <c r="C88" s="87">
        <f>MAX(C87,(IF(A88&lt;=Assumptions!$Z$41,Assumptions!$AC$41+(Assumptions!$O$41-Assumptions!$AC$41)*(A88-Assumptions!$AB$41)/(Assumptions!$Z$41-Assumptions!$AB$41),Assumptions!$O$41+(Assumptions!$P$41-Assumptions!$O$41)*(A88-Assumptions!$Z$41)/(Assumptions!$AA$41-Assumptions!$Z$41))+MAX(0,Assumptions!$W$41+Assumptions!$X$41*MIN(A88,21))))</f>
        <v>3210.3642857142859</v>
      </c>
      <c r="D88" s="92">
        <f>MAX(D87,(IF(A88&lt;=Assumptions!$Z$42,Assumptions!$AC$42+(Assumptions!$O$42-Assumptions!$AC$42)*(A88-Assumptions!$AB$42)/(Assumptions!$Z$42-Assumptions!$AB$42),Assumptions!$O$42+(Assumptions!$P$42-Assumptions!$O$42)*(A88-Assumptions!$Z$42)/(Assumptions!$AA$42-Assumptions!$Z$42))+MAX(0,Assumptions!$W$42+Assumptions!$X$42*MIN(A88,21))))</f>
        <v>3308.6800000000003</v>
      </c>
      <c r="E88" s="87">
        <f>MAX(E87,(IF(A88&lt;=Assumptions!$Z$43,Assumptions!$AC$43+(Assumptions!$O$43-Assumptions!$AC$43)*(A88-Assumptions!$AB$43)/(Assumptions!$Z$43-Assumptions!$AB$43),Assumptions!$O$43+(Assumptions!$P$43-Assumptions!$O$43)*(A88-Assumptions!$Z$43)/(Assumptions!$AA$43-Assumptions!$Z$43))+MAX(0,Assumptions!$W$43+Assumptions!$X$43*MIN(A88,21))))</f>
        <v>3241.8785714285714</v>
      </c>
      <c r="F88" s="92">
        <f>MAX(F87,(IF(A88&lt;=Assumptions!$Z$44,Assumptions!$AC$44+(Assumptions!$O$44-Assumptions!$AC$44)*(A88-Assumptions!$AB$44)/(Assumptions!$Z$44-Assumptions!$AB$44),Assumptions!$O$44+(Assumptions!$P$44-Assumptions!$O$44)*(A88-Assumptions!$Z$44)/(Assumptions!$AA$44-Assumptions!$Z$44))+MAX(0,Assumptions!$W$44+Assumptions!$X$44*MIN(A88,21))))</f>
        <v>3302.5226315789473</v>
      </c>
      <c r="G88" s="87">
        <f>MAX(G87,(IF(A88&lt;=Assumptions!$Z$45,Assumptions!$AC$45+(Assumptions!$O$45-Assumptions!$AC$45)*(A88-Assumptions!$AB$45)/(Assumptions!$Z$45-Assumptions!$AB$45),Assumptions!$O$45+(Assumptions!$P$45-Assumptions!$O$45)*(A88-Assumptions!$Z$45)/(Assumptions!$AA$45-Assumptions!$Z$45))+MAX(0,Assumptions!$W$45+Assumptions!$X$45*MIN(A88,21))))</f>
        <v>3203.8428571428567</v>
      </c>
      <c r="H88" s="92">
        <f>MAX(H87,(IF(A88&lt;=Assumptions!$Z$46,Assumptions!$AC$46+(Assumptions!$O$46-Assumptions!$AC$46)*(A88-Assumptions!$AB$46)/(Assumptions!$Z$46-Assumptions!$AB$46),Assumptions!$O$46+(Assumptions!$P$46-Assumptions!$O$46)*(A88-Assumptions!$Z$46)/(Assumptions!$AA$46-Assumptions!$Z$46))+MAX(0,Assumptions!$W$46+Assumptions!$X$46*MIN(A88,21))))</f>
        <v>3212.4868421052629</v>
      </c>
      <c r="I88" s="87">
        <f>MAX(I87,(IF(A88&lt;=Assumptions!$Z$47,Assumptions!$AC$47+(Assumptions!$O$47-Assumptions!$AC$47)*(A88-Assumptions!$AB$47)/(Assumptions!$Z$47-Assumptions!$AB$47),Assumptions!$O$47+(Assumptions!$P$47-Assumptions!$O$47)*(A88-Assumptions!$Z$47)/(Assumptions!$AA$47-Assumptions!$Z$47))+MAX(0,Assumptions!$W$47+Assumptions!$X$47*MIN(A88,21))))</f>
        <v>3236.6846153846154</v>
      </c>
      <c r="J88" s="92">
        <f>MAX(J87,(IF(A88&lt;=Assumptions!$Z$48,Assumptions!$AC$48+(Assumptions!$O$48-Assumptions!$AC$48)*(A88-Assumptions!$AB$48)/(Assumptions!$Z$48-Assumptions!$AB$48),Assumptions!$O$48+(Assumptions!$P$48-Assumptions!$O$48)*(A88-Assumptions!$Z$48)/(Assumptions!$AA$48-Assumptions!$Z$48))+MAX(0,Assumptions!$W$48+Assumptions!$X$48*MIN(A88,21))))</f>
        <v>3249.1763157894738</v>
      </c>
      <c r="K88" s="87">
        <f>MAX(K87,(IF(A88&lt;=Assumptions!$Z$49,Assumptions!$AC$49+(Assumptions!$O$49-Assumptions!$AC$49)*(A88-Assumptions!$AB$49)/(Assumptions!$Z$49-Assumptions!$AB$49),Assumptions!$O$49+(Assumptions!$P$49-Assumptions!$O$49)*(A88-Assumptions!$Z$49)/(Assumptions!$AA$49-Assumptions!$Z$49))+MAX(0,Assumptions!$W$49+Assumptions!$X$49*MIN(A88,21))))</f>
        <v>3226.0923076923073</v>
      </c>
      <c r="L88" s="92">
        <f>MAX(L87,(IF(A88&lt;=Assumptions!$Z$50,Assumptions!$AC$50+(Assumptions!$O$50-Assumptions!$AC$50)*(A88-Assumptions!$AB$50)/(Assumptions!$Z$50-Assumptions!$AB$50),Assumptions!$O$50+(Assumptions!$P$50-Assumptions!$O$50)*(A88-Assumptions!$Z$50)/(Assumptions!$AA$50-Assumptions!$Z$50))+MAX(0,Assumptions!$W$50+Assumptions!$X$50*MIN(A88,21))))</f>
        <v>3221.9194736842105</v>
      </c>
      <c r="M88" s="87">
        <f>MAX(M87,(IF(A88&lt;=Assumptions!$Z$51,Assumptions!$AC$51+(Assumptions!$O$51-Assumptions!$AC$51)*(A88-Assumptions!$AB$51)/(Assumptions!$Z$51-Assumptions!$AB$51),Assumptions!$O$51+(Assumptions!$P$51-Assumptions!$O$51)*(A88-Assumptions!$Z$51)/(Assumptions!$AA$51-Assumptions!$Z$51))+MAX(0,Assumptions!$W$51+Assumptions!$X$51*MIN(A88,21))))</f>
        <v>3217.6769230769237</v>
      </c>
      <c r="N88" s="87">
        <f>MAX(N87,(IF(A88&lt;=Assumptions!$Z$52,Assumptions!$AC$52+(Assumptions!$O$52-Assumptions!$AC$52)*(A88-Assumptions!$AB$52)/(Assumptions!$Z$52-Assumptions!$AB$52),Assumptions!$O$52+(Assumptions!$P$52-Assumptions!$O$52)*(A88-Assumptions!$Z$52)/(Assumptions!$AA$52-Assumptions!$Z$52))+MAX(0,Assumptions!$W$52+Assumptions!$X$52*MIN(A88,21))))</f>
        <v>3239.2285714285717</v>
      </c>
      <c r="O88" s="92">
        <f>MAX(O87,(IF(A88&lt;=Assumptions!$Z$53,Assumptions!$AC$53+(Assumptions!$O$53-Assumptions!$AC$53)*(A88-Assumptions!$AB$53)/(Assumptions!$Z$53-Assumptions!$AB$53),Assumptions!$O$53+(Assumptions!$P$53-Assumptions!$O$53)*(A88-Assumptions!$Z$53)/(Assumptions!$AA$53-Assumptions!$Z$53))+MAX(0,Assumptions!$W$53+Assumptions!$X$53*MIN(A88,21))))</f>
        <v>3287.0621052631577</v>
      </c>
      <c r="P88" s="92">
        <f>MAX(P87,(IF(A88&lt;=Assumptions!$Z$54,Assumptions!$AC$54+(Assumptions!$O$54-Assumptions!$AC$54)*(A88-Assumptions!$AB$54)/(Assumptions!$Z$54-Assumptions!$AB$54),Assumptions!$O$54+(Assumptions!$P$54-Assumptions!$O$54)*(A88-Assumptions!$Z$54)/(Assumptions!$AA$54-Assumptions!$Z$54))+MAX(0,Assumptions!$W$54+Assumptions!$X$54*MIN(A88,21))))</f>
        <v>3266.25</v>
      </c>
      <c r="Q88" s="92">
        <f>MAX(Q87,(IF(A88&lt;=Assumptions!$Z$55,Assumptions!$AC$55+(Assumptions!$O$55-Assumptions!$AC$55)*(A88-Assumptions!$AB$55)/(Assumptions!$Z$55-Assumptions!$AB$55),Assumptions!$O$55+(Assumptions!$P$55-Assumptions!$O$55)*(A88-Assumptions!$Z$55)/(Assumptions!$AA$55-Assumptions!$Z$55))+MAX(0,Assumptions!$W$55+Assumptions!$X$55*MIN(A88,21))))</f>
        <v>3271.2368421052633</v>
      </c>
      <c r="R88" s="92">
        <f>MAX(R87,(IF(A88&lt;=Assumptions!$Z$56,Assumptions!$AC$56+(Assumptions!$O$56-Assumptions!$AC$56)*(A88-Assumptions!$AB$56)/(Assumptions!$Z$56-Assumptions!$AB$56),Assumptions!$O$56+(Assumptions!$P$56-Assumptions!$O$56)*(A88-Assumptions!$Z$56)/(Assumptions!$AA$56-Assumptions!$Z$56))+MAX(0,Assumptions!$W$56+Assumptions!$X$56*MIN(A88,21))))</f>
        <v>3271.2368421052633</v>
      </c>
    </row>
    <row r="89" spans="1:18" x14ac:dyDescent="0.2">
      <c r="A89" s="91">
        <v>29</v>
      </c>
      <c r="B89" s="87">
        <f>MAX(B88,(IF(A89&lt;=Assumptions!$Z$40,Assumptions!$AC$40+(Assumptions!$O$40-Assumptions!$AC$40)*(A89-Assumptions!$AB$40)/(Assumptions!$Z$40-Assumptions!$AB$40),Assumptions!$O$40+(Assumptions!$P$40-Assumptions!$O$40)*(A89-Assumptions!$Z$40)/(Assumptions!$AA$40-Assumptions!$Z$40))+MAX(0,Assumptions!$W$40+Assumptions!$X$40*MIN(A89,21))))</f>
        <v>3262.9000000000005</v>
      </c>
      <c r="C89" s="87">
        <f>MAX(C88,(IF(A89&lt;=Assumptions!$Z$41,Assumptions!$AC$41+(Assumptions!$O$41-Assumptions!$AC$41)*(A89-Assumptions!$AB$41)/(Assumptions!$Z$41-Assumptions!$AB$41),Assumptions!$O$41+(Assumptions!$P$41-Assumptions!$O$41)*(A89-Assumptions!$Z$41)/(Assumptions!$AA$41-Assumptions!$Z$41))+MAX(0,Assumptions!$W$41+Assumptions!$X$41*MIN(A89,21))))</f>
        <v>3233.15</v>
      </c>
      <c r="D89" s="92">
        <f>MAX(D88,(IF(A89&lt;=Assumptions!$Z$42,Assumptions!$AC$42+(Assumptions!$O$42-Assumptions!$AC$42)*(A89-Assumptions!$AB$42)/(Assumptions!$Z$42-Assumptions!$AB$42),Assumptions!$O$42+(Assumptions!$P$42-Assumptions!$O$42)*(A89-Assumptions!$Z$42)/(Assumptions!$AA$42-Assumptions!$Z$42))+MAX(0,Assumptions!$W$42+Assumptions!$X$42*MIN(A89,21))))</f>
        <v>3321.4550000000004</v>
      </c>
      <c r="E89" s="87">
        <f>MAX(E88,(IF(A89&lt;=Assumptions!$Z$43,Assumptions!$AC$43+(Assumptions!$O$43-Assumptions!$AC$43)*(A89-Assumptions!$AB$43)/(Assumptions!$Z$43-Assumptions!$AB$43),Assumptions!$O$43+(Assumptions!$P$43-Assumptions!$O$43)*(A89-Assumptions!$Z$43)/(Assumptions!$AA$43-Assumptions!$Z$43))+MAX(0,Assumptions!$W$43+Assumptions!$X$43*MIN(A89,21))))</f>
        <v>3264.95</v>
      </c>
      <c r="F89" s="92">
        <f>MAX(F88,(IF(A89&lt;=Assumptions!$Z$44,Assumptions!$AC$44+(Assumptions!$O$44-Assumptions!$AC$44)*(A89-Assumptions!$AB$44)/(Assumptions!$Z$44-Assumptions!$AB$44),Assumptions!$O$44+(Assumptions!$P$44-Assumptions!$O$44)*(A89-Assumptions!$Z$44)/(Assumptions!$AA$44-Assumptions!$Z$44))+MAX(0,Assumptions!$W$44+Assumptions!$X$44*MIN(A89,21))))</f>
        <v>3311.7436842105262</v>
      </c>
      <c r="G89" s="87">
        <f>MAX(G88,(IF(A89&lt;=Assumptions!$Z$45,Assumptions!$AC$45+(Assumptions!$O$45-Assumptions!$AC$45)*(A89-Assumptions!$AB$45)/(Assumptions!$Z$45-Assumptions!$AB$45),Assumptions!$O$45+(Assumptions!$P$45-Assumptions!$O$45)*(A89-Assumptions!$Z$45)/(Assumptions!$AA$45-Assumptions!$Z$45))+MAX(0,Assumptions!$W$45+Assumptions!$X$45*MIN(A89,21))))</f>
        <v>3225.2999999999997</v>
      </c>
      <c r="H89" s="92">
        <f>MAX(H88,(IF(A89&lt;=Assumptions!$Z$46,Assumptions!$AC$46+(Assumptions!$O$46-Assumptions!$AC$46)*(A89-Assumptions!$AB$46)/(Assumptions!$Z$46-Assumptions!$AB$46),Assumptions!$O$46+(Assumptions!$P$46-Assumptions!$O$46)*(A89-Assumptions!$Z$46)/(Assumptions!$AA$46-Assumptions!$Z$46))+MAX(0,Assumptions!$W$46+Assumptions!$X$46*MIN(A89,21))))</f>
        <v>3222.9815789473682</v>
      </c>
      <c r="I89" s="87">
        <f>MAX(I88,(IF(A89&lt;=Assumptions!$Z$47,Assumptions!$AC$47+(Assumptions!$O$47-Assumptions!$AC$47)*(A89-Assumptions!$AB$47)/(Assumptions!$Z$47-Assumptions!$AB$47),Assumptions!$O$47+(Assumptions!$P$47-Assumptions!$O$47)*(A89-Assumptions!$Z$47)/(Assumptions!$AA$47-Assumptions!$Z$47))+MAX(0,Assumptions!$W$47+Assumptions!$X$47*MIN(A89,21))))</f>
        <v>3261.146153846154</v>
      </c>
      <c r="J89" s="92">
        <f>MAX(J88,(IF(A89&lt;=Assumptions!$Z$48,Assumptions!$AC$48+(Assumptions!$O$48-Assumptions!$AC$48)*(A89-Assumptions!$AB$48)/(Assumptions!$Z$48-Assumptions!$AB$48),Assumptions!$O$48+(Assumptions!$P$48-Assumptions!$O$48)*(A89-Assumptions!$Z$48)/(Assumptions!$AA$48-Assumptions!$Z$48))+MAX(0,Assumptions!$W$48+Assumptions!$X$48*MIN(A89,21))))</f>
        <v>3264.9868421052633</v>
      </c>
      <c r="K89" s="87">
        <f>MAX(K88,(IF(A89&lt;=Assumptions!$Z$49,Assumptions!$AC$49+(Assumptions!$O$49-Assumptions!$AC$49)*(A89-Assumptions!$AB$49)/(Assumptions!$Z$49-Assumptions!$AB$49),Assumptions!$O$49+(Assumptions!$P$49-Assumptions!$O$49)*(A89-Assumptions!$Z$49)/(Assumptions!$AA$49-Assumptions!$Z$49))+MAX(0,Assumptions!$W$49+Assumptions!$X$49*MIN(A89,21))))</f>
        <v>3252.3692307692304</v>
      </c>
      <c r="L89" s="92">
        <f>MAX(L88,(IF(A89&lt;=Assumptions!$Z$50,Assumptions!$AC$50+(Assumptions!$O$50-Assumptions!$AC$50)*(A89-Assumptions!$AB$50)/(Assumptions!$Z$50-Assumptions!$AB$50),Assumptions!$O$50+(Assumptions!$P$50-Assumptions!$O$50)*(A89-Assumptions!$Z$50)/(Assumptions!$AA$50-Assumptions!$Z$50))+MAX(0,Assumptions!$W$50+Assumptions!$X$50*MIN(A89,21))))</f>
        <v>3237.8352631578946</v>
      </c>
      <c r="M89" s="87">
        <f>MAX(M88,(IF(A89&lt;=Assumptions!$Z$51,Assumptions!$AC$51+(Assumptions!$O$51-Assumptions!$AC$51)*(A89-Assumptions!$AB$51)/(Assumptions!$Z$51-Assumptions!$AB$51),Assumptions!$O$51+(Assumptions!$P$51-Assumptions!$O$51)*(A89-Assumptions!$Z$51)/(Assumptions!$AA$51-Assumptions!$Z$51))+MAX(0,Assumptions!$W$51+Assumptions!$X$51*MIN(A89,21))))</f>
        <v>3241.7692307692314</v>
      </c>
      <c r="N89" s="87">
        <f>MAX(N88,(IF(A89&lt;=Assumptions!$Z$52,Assumptions!$AC$52+(Assumptions!$O$52-Assumptions!$AC$52)*(A89-Assumptions!$AB$52)/(Assumptions!$Z$52-Assumptions!$AB$52),Assumptions!$O$52+(Assumptions!$P$52-Assumptions!$O$52)*(A89-Assumptions!$Z$52)/(Assumptions!$AA$52-Assumptions!$Z$52))+MAX(0,Assumptions!$W$52+Assumptions!$X$52*MIN(A89,21))))</f>
        <v>3263.0000000000005</v>
      </c>
      <c r="O89" s="92">
        <f>MAX(O88,(IF(A89&lt;=Assumptions!$Z$53,Assumptions!$AC$53+(Assumptions!$O$53-Assumptions!$AC$53)*(A89-Assumptions!$AB$53)/(Assumptions!$Z$53-Assumptions!$AB$53),Assumptions!$O$53+(Assumptions!$P$53-Assumptions!$O$53)*(A89-Assumptions!$Z$53)/(Assumptions!$AA$53-Assumptions!$Z$53))+MAX(0,Assumptions!$W$53+Assumptions!$X$53*MIN(A89,21))))</f>
        <v>3308.9989473684209</v>
      </c>
      <c r="P89" s="92">
        <f>MAX(P88,(IF(A89&lt;=Assumptions!$Z$54,Assumptions!$AC$54+(Assumptions!$O$54-Assumptions!$AC$54)*(A89-Assumptions!$AB$54)/(Assumptions!$Z$54-Assumptions!$AB$54),Assumptions!$O$54+(Assumptions!$P$54-Assumptions!$O$54)*(A89-Assumptions!$Z$54)/(Assumptions!$AA$54-Assumptions!$Z$54))+MAX(0,Assumptions!$W$54+Assumptions!$X$54*MIN(A89,21))))</f>
        <v>3292.75</v>
      </c>
      <c r="Q89" s="92">
        <f>MAX(Q88,(IF(A89&lt;=Assumptions!$Z$55,Assumptions!$AC$55+(Assumptions!$O$55-Assumptions!$AC$55)*(A89-Assumptions!$AB$55)/(Assumptions!$Z$55-Assumptions!$AB$55),Assumptions!$O$55+(Assumptions!$P$55-Assumptions!$O$55)*(A89-Assumptions!$Z$55)/(Assumptions!$AA$55-Assumptions!$Z$55))+MAX(0,Assumptions!$W$55+Assumptions!$X$55*MIN(A89,21))))</f>
        <v>3299.7315789473682</v>
      </c>
      <c r="R89" s="92">
        <f>MAX(R88,(IF(A89&lt;=Assumptions!$Z$56,Assumptions!$AC$56+(Assumptions!$O$56-Assumptions!$AC$56)*(A89-Assumptions!$AB$56)/(Assumptions!$Z$56-Assumptions!$AB$56),Assumptions!$O$56+(Assumptions!$P$56-Assumptions!$O$56)*(A89-Assumptions!$Z$56)/(Assumptions!$AA$56-Assumptions!$Z$56))+MAX(0,Assumptions!$W$56+Assumptions!$X$56*MIN(A89,21))))</f>
        <v>3299.7315789473682</v>
      </c>
    </row>
    <row r="90" spans="1:18" x14ac:dyDescent="0.2">
      <c r="A90" s="91">
        <v>30</v>
      </c>
      <c r="B90" s="87">
        <f>MAX(B89,(IF(A90&lt;=Assumptions!$Z$40,Assumptions!$AC$40+(Assumptions!$O$40-Assumptions!$AC$40)*(A90-Assumptions!$AB$40)/(Assumptions!$Z$40-Assumptions!$AB$40),Assumptions!$O$40+(Assumptions!$P$40-Assumptions!$O$40)*(A90-Assumptions!$Z$40)/(Assumptions!$AA$40-Assumptions!$Z$40))+MAX(0,Assumptions!$W$40+Assumptions!$X$40*MIN(A90,21))))</f>
        <v>3284.957142857143</v>
      </c>
      <c r="C90" s="87">
        <f>MAX(C89,(IF(A90&lt;=Assumptions!$Z$41,Assumptions!$AC$41+(Assumptions!$O$41-Assumptions!$AC$41)*(A90-Assumptions!$AB$41)/(Assumptions!$Z$41-Assumptions!$AB$41),Assumptions!$O$41+(Assumptions!$P$41-Assumptions!$O$41)*(A90-Assumptions!$Z$41)/(Assumptions!$AA$41-Assumptions!$Z$41))+MAX(0,Assumptions!$W$41+Assumptions!$X$41*MIN(A90,21))))</f>
        <v>3255.9357142857143</v>
      </c>
      <c r="D90" s="92">
        <f>MAX(D89,(IF(A90&lt;=Assumptions!$Z$42,Assumptions!$AC$42+(Assumptions!$O$42-Assumptions!$AC$42)*(A90-Assumptions!$AB$42)/(Assumptions!$Z$42-Assumptions!$AB$42),Assumptions!$O$42+(Assumptions!$P$42-Assumptions!$O$42)*(A90-Assumptions!$Z$42)/(Assumptions!$AA$42-Assumptions!$Z$42))+MAX(0,Assumptions!$W$42+Assumptions!$X$42*MIN(A90,21))))</f>
        <v>3334.23</v>
      </c>
      <c r="E90" s="87">
        <f>MAX(E89,(IF(A90&lt;=Assumptions!$Z$43,Assumptions!$AC$43+(Assumptions!$O$43-Assumptions!$AC$43)*(A90-Assumptions!$AB$43)/(Assumptions!$Z$43-Assumptions!$AB$43),Assumptions!$O$43+(Assumptions!$P$43-Assumptions!$O$43)*(A90-Assumptions!$Z$43)/(Assumptions!$AA$43-Assumptions!$Z$43))+MAX(0,Assumptions!$W$43+Assumptions!$X$43*MIN(A90,21))))</f>
        <v>3288.0214285714283</v>
      </c>
      <c r="F90" s="92">
        <f>MAX(F89,(IF(A90&lt;=Assumptions!$Z$44,Assumptions!$AC$44+(Assumptions!$O$44-Assumptions!$AC$44)*(A90-Assumptions!$AB$44)/(Assumptions!$Z$44-Assumptions!$AB$44),Assumptions!$O$44+(Assumptions!$P$44-Assumptions!$O$44)*(A90-Assumptions!$Z$44)/(Assumptions!$AA$44-Assumptions!$Z$44))+MAX(0,Assumptions!$W$44+Assumptions!$X$44*MIN(A90,21))))</f>
        <v>3320.9647368421051</v>
      </c>
      <c r="G90" s="87">
        <f>MAX(G89,(IF(A90&lt;=Assumptions!$Z$45,Assumptions!$AC$45+(Assumptions!$O$45-Assumptions!$AC$45)*(A90-Assumptions!$AB$45)/(Assumptions!$Z$45-Assumptions!$AB$45),Assumptions!$O$45+(Assumptions!$P$45-Assumptions!$O$45)*(A90-Assumptions!$Z$45)/(Assumptions!$AA$45-Assumptions!$Z$45))+MAX(0,Assumptions!$W$45+Assumptions!$X$45*MIN(A90,21))))</f>
        <v>3246.7571428571428</v>
      </c>
      <c r="H90" s="92">
        <f>MAX(H89,(IF(A90&lt;=Assumptions!$Z$46,Assumptions!$AC$46+(Assumptions!$O$46-Assumptions!$AC$46)*(A90-Assumptions!$AB$46)/(Assumptions!$Z$46-Assumptions!$AB$46),Assumptions!$O$46+(Assumptions!$P$46-Assumptions!$O$46)*(A90-Assumptions!$Z$46)/(Assumptions!$AA$46-Assumptions!$Z$46))+MAX(0,Assumptions!$W$46+Assumptions!$X$46*MIN(A90,21))))</f>
        <v>3233.4763157894736</v>
      </c>
      <c r="I90" s="87">
        <f>MAX(I89,(IF(A90&lt;=Assumptions!$Z$47,Assumptions!$AC$47+(Assumptions!$O$47-Assumptions!$AC$47)*(A90-Assumptions!$AB$47)/(Assumptions!$Z$47-Assumptions!$AB$47),Assumptions!$O$47+(Assumptions!$P$47-Assumptions!$O$47)*(A90-Assumptions!$Z$47)/(Assumptions!$AA$47-Assumptions!$Z$47))+MAX(0,Assumptions!$W$47+Assumptions!$X$47*MIN(A90,21))))</f>
        <v>3285.6076923076926</v>
      </c>
      <c r="J90" s="92">
        <f>MAX(J89,(IF(A90&lt;=Assumptions!$Z$48,Assumptions!$AC$48+(Assumptions!$O$48-Assumptions!$AC$48)*(A90-Assumptions!$AB$48)/(Assumptions!$Z$48-Assumptions!$AB$48),Assumptions!$O$48+(Assumptions!$P$48-Assumptions!$O$48)*(A90-Assumptions!$Z$48)/(Assumptions!$AA$48-Assumptions!$Z$48))+MAX(0,Assumptions!$W$48+Assumptions!$X$48*MIN(A90,21))))</f>
        <v>3280.7973684210524</v>
      </c>
      <c r="K90" s="87">
        <f>MAX(K89,(IF(A90&lt;=Assumptions!$Z$49,Assumptions!$AC$49+(Assumptions!$O$49-Assumptions!$AC$49)*(A90-Assumptions!$AB$49)/(Assumptions!$Z$49-Assumptions!$AB$49),Assumptions!$O$49+(Assumptions!$P$49-Assumptions!$O$49)*(A90-Assumptions!$Z$49)/(Assumptions!$AA$49-Assumptions!$Z$49))+MAX(0,Assumptions!$W$49+Assumptions!$X$49*MIN(A90,21))))</f>
        <v>3278.6461538461535</v>
      </c>
      <c r="L90" s="92">
        <f>MAX(L89,(IF(A90&lt;=Assumptions!$Z$50,Assumptions!$AC$50+(Assumptions!$O$50-Assumptions!$AC$50)*(A90-Assumptions!$AB$50)/(Assumptions!$Z$50-Assumptions!$AB$50),Assumptions!$O$50+(Assumptions!$P$50-Assumptions!$O$50)*(A90-Assumptions!$Z$50)/(Assumptions!$AA$50-Assumptions!$Z$50))+MAX(0,Assumptions!$W$50+Assumptions!$X$50*MIN(A90,21))))</f>
        <v>3253.7510526315791</v>
      </c>
      <c r="M90" s="87">
        <f>MAX(M89,(IF(A90&lt;=Assumptions!$Z$51,Assumptions!$AC$51+(Assumptions!$O$51-Assumptions!$AC$51)*(A90-Assumptions!$AB$51)/(Assumptions!$Z$51-Assumptions!$AB$51),Assumptions!$O$51+(Assumptions!$P$51-Assumptions!$O$51)*(A90-Assumptions!$Z$51)/(Assumptions!$AA$51-Assumptions!$Z$51))+MAX(0,Assumptions!$W$51+Assumptions!$X$51*MIN(A90,21))))</f>
        <v>3265.8615384615391</v>
      </c>
      <c r="N90" s="87">
        <f>MAX(N89,(IF(A90&lt;=Assumptions!$Z$52,Assumptions!$AC$52+(Assumptions!$O$52-Assumptions!$AC$52)*(A90-Assumptions!$AB$52)/(Assumptions!$Z$52-Assumptions!$AB$52),Assumptions!$O$52+(Assumptions!$P$52-Assumptions!$O$52)*(A90-Assumptions!$Z$52)/(Assumptions!$AA$52-Assumptions!$Z$52))+MAX(0,Assumptions!$W$52+Assumptions!$X$52*MIN(A90,21))))</f>
        <v>3286.7714285714287</v>
      </c>
      <c r="O90" s="92">
        <f>MAX(O89,(IF(A90&lt;=Assumptions!$Z$53,Assumptions!$AC$53+(Assumptions!$O$53-Assumptions!$AC$53)*(A90-Assumptions!$AB$53)/(Assumptions!$Z$53-Assumptions!$AB$53),Assumptions!$O$53+(Assumptions!$P$53-Assumptions!$O$53)*(A90-Assumptions!$Z$53)/(Assumptions!$AA$53-Assumptions!$Z$53))+MAX(0,Assumptions!$W$53+Assumptions!$X$53*MIN(A90,21))))</f>
        <v>3330.9357894736841</v>
      </c>
      <c r="P90" s="92">
        <f>MAX(P89,(IF(A90&lt;=Assumptions!$Z$54,Assumptions!$AC$54+(Assumptions!$O$54-Assumptions!$AC$54)*(A90-Assumptions!$AB$54)/(Assumptions!$Z$54-Assumptions!$AB$54),Assumptions!$O$54+(Assumptions!$P$54-Assumptions!$O$54)*(A90-Assumptions!$Z$54)/(Assumptions!$AA$54-Assumptions!$Z$54))+MAX(0,Assumptions!$W$54+Assumptions!$X$54*MIN(A90,21))))</f>
        <v>3319.25</v>
      </c>
      <c r="Q90" s="92">
        <f>MAX(Q89,(IF(A90&lt;=Assumptions!$Z$55,Assumptions!$AC$55+(Assumptions!$O$55-Assumptions!$AC$55)*(A90-Assumptions!$AB$55)/(Assumptions!$Z$55-Assumptions!$AB$55),Assumptions!$O$55+(Assumptions!$P$55-Assumptions!$O$55)*(A90-Assumptions!$Z$55)/(Assumptions!$AA$55-Assumptions!$Z$55))+MAX(0,Assumptions!$W$55+Assumptions!$X$55*MIN(A90,21))))</f>
        <v>3328.2263157894736</v>
      </c>
      <c r="R90" s="92">
        <f>MAX(R89,(IF(A90&lt;=Assumptions!$Z$56,Assumptions!$AC$56+(Assumptions!$O$56-Assumptions!$AC$56)*(A90-Assumptions!$AB$56)/(Assumptions!$Z$56-Assumptions!$AB$56),Assumptions!$O$56+(Assumptions!$P$56-Assumptions!$O$56)*(A90-Assumptions!$Z$56)/(Assumptions!$AA$56-Assumptions!$Z$56))+MAX(0,Assumptions!$W$56+Assumptions!$X$56*MIN(A90,21))))</f>
        <v>3328.2263157894736</v>
      </c>
    </row>
    <row r="92" spans="1:18" x14ac:dyDescent="0.2">
      <c r="A92" s="18" t="s">
        <v>1600</v>
      </c>
    </row>
    <row r="93" spans="1:18" x14ac:dyDescent="0.2">
      <c r="A93" s="7" t="s">
        <v>100</v>
      </c>
      <c r="B93" s="7" t="s">
        <v>1601</v>
      </c>
      <c r="C93" s="7" t="s">
        <v>1602</v>
      </c>
      <c r="D93" s="7" t="s">
        <v>1603</v>
      </c>
      <c r="E93" s="7" t="s">
        <v>1604</v>
      </c>
      <c r="F93" s="7" t="s">
        <v>1605</v>
      </c>
      <c r="G93" s="7" t="s">
        <v>1606</v>
      </c>
    </row>
    <row r="94" spans="1:18" x14ac:dyDescent="0.2">
      <c r="A94" s="91">
        <v>1</v>
      </c>
      <c r="B94" s="14" t="str">
        <f>IF(OR(COUNTIFS('All Units'!$G$5:$G$1272,678,'All Units'!$H$5:$H$1272,"Classic",'All Units'!$D$5:$D$1272,$A94)=0,COUNTIFS('All Units'!$G$5:$G$1272,678,'All Units'!$H$5:$H$1272,"Luxury",'All Units'!$D$5:$D$1272,$A94)=0),"",IF(_xlfn.MINIFS('All Units'!$Q$5:$Q$1272,'All Units'!$G$5:$G$1272,678,'All Units'!$H$5:$H$1272,"Luxury",'All Units'!$D$5:$D$1272,$A94)&gt;=_xlfn.MAXIFS('All Units'!$Q$5:$Q$1272,'All Units'!$G$5:$G$1272,678,'All Units'!$H$5:$H$1272,"Classic",'All Units'!$D$5:$D$1272,$A94)+Assumptions!$C$6,"OK","CHECK"))</f>
        <v/>
      </c>
      <c r="C94" s="14" t="str">
        <f>IF(OR(COUNTIFS('All Units'!$G$5:$G$1272,732,'All Units'!$H$5:$H$1272,"Classic",'All Units'!$D$5:$D$1272,$A94)=0,COUNTIFS('All Units'!$G$5:$G$1272,732,'All Units'!$H$5:$H$1272,"Luxury",'All Units'!$D$5:$D$1272,$A94)=0),"",IF(_xlfn.MINIFS('All Units'!$Q$5:$Q$1272,'All Units'!$G$5:$G$1272,732,'All Units'!$H$5:$H$1272,"Luxury",'All Units'!$D$5:$D$1272,$A94)&gt;=_xlfn.MAXIFS('All Units'!$Q$5:$Q$1272,'All Units'!$G$5:$G$1272,732,'All Units'!$H$5:$H$1272,"Classic",'All Units'!$D$5:$D$1272,$A94)+Assumptions!$C$6,"OK","CHECK"))</f>
        <v/>
      </c>
      <c r="D94" s="14" t="str">
        <f>IF(OR(COUNTIFS('All Units'!$G$5:$G$1272,775,'All Units'!$H$5:$H$1272,"Classic",'All Units'!$D$5:$D$1272,$A94)=0,COUNTIFS('All Units'!$G$5:$G$1272,775,'All Units'!$H$5:$H$1272,"Luxury",'All Units'!$D$5:$D$1272,$A94)=0),"",IF(_xlfn.MINIFS('All Units'!$Q$5:$Q$1272,'All Units'!$G$5:$G$1272,775,'All Units'!$H$5:$H$1272,"Luxury",'All Units'!$D$5:$D$1272,$A94)&gt;=_xlfn.MAXIFS('All Units'!$Q$5:$Q$1272,'All Units'!$G$5:$G$1272,775,'All Units'!$H$5:$H$1272,"Classic",'All Units'!$D$5:$D$1272,$A94)+Assumptions!$C$6,"OK","CHECK"))</f>
        <v/>
      </c>
      <c r="E94" s="14" t="str">
        <f>IF(OR(COUNTIFS('All Units'!$G$5:$G$1272,947,'All Units'!$H$5:$H$1272,"Classic",'All Units'!$D$5:$D$1272,$A94)=0,COUNTIFS('All Units'!$G$5:$G$1272,947,'All Units'!$H$5:$H$1272,"Luxury",'All Units'!$D$5:$D$1272,$A94)=0),"",IF(_xlfn.MINIFS('All Units'!$Q$5:$Q$1272,'All Units'!$G$5:$G$1272,947,'All Units'!$H$5:$H$1272,"Luxury",'All Units'!$D$5:$D$1272,$A94)&gt;=_xlfn.MAXIFS('All Units'!$Q$5:$Q$1272,'All Units'!$G$5:$G$1272,947,'All Units'!$H$5:$H$1272,"Classic",'All Units'!$D$5:$D$1272,$A94)+Assumptions!$C$6,"OK","CHECK"))</f>
        <v/>
      </c>
      <c r="F94" s="14" t="str">
        <f>IF(OR(COUNTIFS('All Units'!$G$5:$G$1272,1055,'All Units'!$H$5:$H$1272,"Classic",'All Units'!$D$5:$D$1272,$A94)=0,COUNTIFS('All Units'!$G$5:$G$1272,1055,'All Units'!$H$5:$H$1272,"Luxury",'All Units'!$D$5:$D$1272,$A94)=0),"",IF(_xlfn.MINIFS('All Units'!$Q$5:$Q$1272,'All Units'!$G$5:$G$1272,1055,'All Units'!$H$5:$H$1272,"Luxury",'All Units'!$D$5:$D$1272,$A94)&gt;=_xlfn.MAXIFS('All Units'!$Q$5:$Q$1272,'All Units'!$G$5:$G$1272,1055,'All Units'!$H$5:$H$1272,"Classic",'All Units'!$D$5:$D$1272,$A94)+Assumptions!$C$6,"OK","CHECK"))</f>
        <v/>
      </c>
      <c r="G94" s="14" t="str">
        <f>IF(OR(COUNTIFS('All Units'!$G$5:$G$1272,1238,'All Units'!$H$5:$H$1272,"Classic",'All Units'!$D$5:$D$1272,$A94)=0,COUNTIFS('All Units'!$G$5:$G$1272,1238,'All Units'!$H$5:$H$1272,"Luxury",'All Units'!$D$5:$D$1272,$A94)=0),"",IF(_xlfn.MINIFS('All Units'!$Q$5:$Q$1272,'All Units'!$G$5:$G$1272,1238,'All Units'!$H$5:$H$1272,"Luxury",'All Units'!$D$5:$D$1272,$A94)&gt;=_xlfn.MAXIFS('All Units'!$Q$5:$Q$1272,'All Units'!$G$5:$G$1272,1238,'All Units'!$H$5:$H$1272,"Classic",'All Units'!$D$5:$D$1272,$A94)+Assumptions!$C$6,"OK","CHECK"))</f>
        <v/>
      </c>
    </row>
    <row r="95" spans="1:18" x14ac:dyDescent="0.2">
      <c r="A95" s="91">
        <v>2</v>
      </c>
      <c r="B95" s="14" t="str">
        <f>IF(OR(COUNTIFS('All Units'!$G$5:$G$1272,678,'All Units'!$H$5:$H$1272,"Classic",'All Units'!$D$5:$D$1272,$A95)=0,COUNTIFS('All Units'!$G$5:$G$1272,678,'All Units'!$H$5:$H$1272,"Luxury",'All Units'!$D$5:$D$1272,$A95)=0),"",IF(_xlfn.MINIFS('All Units'!$Q$5:$Q$1272,'All Units'!$G$5:$G$1272,678,'All Units'!$H$5:$H$1272,"Luxury",'All Units'!$D$5:$D$1272,$A95)&gt;=_xlfn.MAXIFS('All Units'!$Q$5:$Q$1272,'All Units'!$G$5:$G$1272,678,'All Units'!$H$5:$H$1272,"Classic",'All Units'!$D$5:$D$1272,$A95)+Assumptions!$C$6,"OK","CHECK"))</f>
        <v>OK</v>
      </c>
      <c r="C95" s="14" t="str">
        <f>IF(OR(COUNTIFS('All Units'!$G$5:$G$1272,732,'All Units'!$H$5:$H$1272,"Classic",'All Units'!$D$5:$D$1272,$A95)=0,COUNTIFS('All Units'!$G$5:$G$1272,732,'All Units'!$H$5:$H$1272,"Luxury",'All Units'!$D$5:$D$1272,$A95)=0),"",IF(_xlfn.MINIFS('All Units'!$Q$5:$Q$1272,'All Units'!$G$5:$G$1272,732,'All Units'!$H$5:$H$1272,"Luxury",'All Units'!$D$5:$D$1272,$A95)&gt;=_xlfn.MAXIFS('All Units'!$Q$5:$Q$1272,'All Units'!$G$5:$G$1272,732,'All Units'!$H$5:$H$1272,"Classic",'All Units'!$D$5:$D$1272,$A95)+Assumptions!$C$6,"OK","CHECK"))</f>
        <v>OK</v>
      </c>
      <c r="D95" s="14" t="str">
        <f>IF(OR(COUNTIFS('All Units'!$G$5:$G$1272,775,'All Units'!$H$5:$H$1272,"Classic",'All Units'!$D$5:$D$1272,$A95)=0,COUNTIFS('All Units'!$G$5:$G$1272,775,'All Units'!$H$5:$H$1272,"Luxury",'All Units'!$D$5:$D$1272,$A95)=0),"",IF(_xlfn.MINIFS('All Units'!$Q$5:$Q$1272,'All Units'!$G$5:$G$1272,775,'All Units'!$H$5:$H$1272,"Luxury",'All Units'!$D$5:$D$1272,$A95)&gt;=_xlfn.MAXIFS('All Units'!$Q$5:$Q$1272,'All Units'!$G$5:$G$1272,775,'All Units'!$H$5:$H$1272,"Classic",'All Units'!$D$5:$D$1272,$A95)+Assumptions!$C$6,"OK","CHECK"))</f>
        <v>OK</v>
      </c>
      <c r="E95" s="14" t="str">
        <f>IF(OR(COUNTIFS('All Units'!$G$5:$G$1272,947,'All Units'!$H$5:$H$1272,"Classic",'All Units'!$D$5:$D$1272,$A95)=0,COUNTIFS('All Units'!$G$5:$G$1272,947,'All Units'!$H$5:$H$1272,"Luxury",'All Units'!$D$5:$D$1272,$A95)=0),"",IF(_xlfn.MINIFS('All Units'!$Q$5:$Q$1272,'All Units'!$G$5:$G$1272,947,'All Units'!$H$5:$H$1272,"Luxury",'All Units'!$D$5:$D$1272,$A95)&gt;=_xlfn.MAXIFS('All Units'!$Q$5:$Q$1272,'All Units'!$G$5:$G$1272,947,'All Units'!$H$5:$H$1272,"Classic",'All Units'!$D$5:$D$1272,$A95)+Assumptions!$C$6,"OK","CHECK"))</f>
        <v>OK</v>
      </c>
      <c r="F95" s="14" t="str">
        <f>IF(OR(COUNTIFS('All Units'!$G$5:$G$1272,1055,'All Units'!$H$5:$H$1272,"Classic",'All Units'!$D$5:$D$1272,$A95)=0,COUNTIFS('All Units'!$G$5:$G$1272,1055,'All Units'!$H$5:$H$1272,"Luxury",'All Units'!$D$5:$D$1272,$A95)=0),"",IF(_xlfn.MINIFS('All Units'!$Q$5:$Q$1272,'All Units'!$G$5:$G$1272,1055,'All Units'!$H$5:$H$1272,"Luxury",'All Units'!$D$5:$D$1272,$A95)&gt;=_xlfn.MAXIFS('All Units'!$Q$5:$Q$1272,'All Units'!$G$5:$G$1272,1055,'All Units'!$H$5:$H$1272,"Classic",'All Units'!$D$5:$D$1272,$A95)+Assumptions!$C$6,"OK","CHECK"))</f>
        <v>OK</v>
      </c>
      <c r="G95" s="14" t="str">
        <f>IF(OR(COUNTIFS('All Units'!$G$5:$G$1272,1238,'All Units'!$H$5:$H$1272,"Classic",'All Units'!$D$5:$D$1272,$A95)=0,COUNTIFS('All Units'!$G$5:$G$1272,1238,'All Units'!$H$5:$H$1272,"Luxury",'All Units'!$D$5:$D$1272,$A95)=0),"",IF(_xlfn.MINIFS('All Units'!$Q$5:$Q$1272,'All Units'!$G$5:$G$1272,1238,'All Units'!$H$5:$H$1272,"Luxury",'All Units'!$D$5:$D$1272,$A95)&gt;=_xlfn.MAXIFS('All Units'!$Q$5:$Q$1272,'All Units'!$G$5:$G$1272,1238,'All Units'!$H$5:$H$1272,"Classic",'All Units'!$D$5:$D$1272,$A95)+Assumptions!$C$6,"OK","CHECK"))</f>
        <v>OK</v>
      </c>
    </row>
    <row r="96" spans="1:18" x14ac:dyDescent="0.2">
      <c r="A96" s="91">
        <v>3</v>
      </c>
      <c r="B96" s="14" t="str">
        <f>IF(OR(COUNTIFS('All Units'!$G$5:$G$1272,678,'All Units'!$H$5:$H$1272,"Classic",'All Units'!$D$5:$D$1272,$A96)=0,COUNTIFS('All Units'!$G$5:$G$1272,678,'All Units'!$H$5:$H$1272,"Luxury",'All Units'!$D$5:$D$1272,$A96)=0),"",IF(_xlfn.MINIFS('All Units'!$Q$5:$Q$1272,'All Units'!$G$5:$G$1272,678,'All Units'!$H$5:$H$1272,"Luxury",'All Units'!$D$5:$D$1272,$A96)&gt;=_xlfn.MAXIFS('All Units'!$Q$5:$Q$1272,'All Units'!$G$5:$G$1272,678,'All Units'!$H$5:$H$1272,"Classic",'All Units'!$D$5:$D$1272,$A96)+Assumptions!$C$6,"OK","CHECK"))</f>
        <v>OK</v>
      </c>
      <c r="C96" s="14" t="str">
        <f>IF(OR(COUNTIFS('All Units'!$G$5:$G$1272,732,'All Units'!$H$5:$H$1272,"Classic",'All Units'!$D$5:$D$1272,$A96)=0,COUNTIFS('All Units'!$G$5:$G$1272,732,'All Units'!$H$5:$H$1272,"Luxury",'All Units'!$D$5:$D$1272,$A96)=0),"",IF(_xlfn.MINIFS('All Units'!$Q$5:$Q$1272,'All Units'!$G$5:$G$1272,732,'All Units'!$H$5:$H$1272,"Luxury",'All Units'!$D$5:$D$1272,$A96)&gt;=_xlfn.MAXIFS('All Units'!$Q$5:$Q$1272,'All Units'!$G$5:$G$1272,732,'All Units'!$H$5:$H$1272,"Classic",'All Units'!$D$5:$D$1272,$A96)+Assumptions!$C$6,"OK","CHECK"))</f>
        <v>OK</v>
      </c>
      <c r="D96" s="14" t="str">
        <f>IF(OR(COUNTIFS('All Units'!$G$5:$G$1272,775,'All Units'!$H$5:$H$1272,"Classic",'All Units'!$D$5:$D$1272,$A96)=0,COUNTIFS('All Units'!$G$5:$G$1272,775,'All Units'!$H$5:$H$1272,"Luxury",'All Units'!$D$5:$D$1272,$A96)=0),"",IF(_xlfn.MINIFS('All Units'!$Q$5:$Q$1272,'All Units'!$G$5:$G$1272,775,'All Units'!$H$5:$H$1272,"Luxury",'All Units'!$D$5:$D$1272,$A96)&gt;=_xlfn.MAXIFS('All Units'!$Q$5:$Q$1272,'All Units'!$G$5:$G$1272,775,'All Units'!$H$5:$H$1272,"Classic",'All Units'!$D$5:$D$1272,$A96)+Assumptions!$C$6,"OK","CHECK"))</f>
        <v>OK</v>
      </c>
      <c r="E96" s="14" t="str">
        <f>IF(OR(COUNTIFS('All Units'!$G$5:$G$1272,947,'All Units'!$H$5:$H$1272,"Classic",'All Units'!$D$5:$D$1272,$A96)=0,COUNTIFS('All Units'!$G$5:$G$1272,947,'All Units'!$H$5:$H$1272,"Luxury",'All Units'!$D$5:$D$1272,$A96)=0),"",IF(_xlfn.MINIFS('All Units'!$Q$5:$Q$1272,'All Units'!$G$5:$G$1272,947,'All Units'!$H$5:$H$1272,"Luxury",'All Units'!$D$5:$D$1272,$A96)&gt;=_xlfn.MAXIFS('All Units'!$Q$5:$Q$1272,'All Units'!$G$5:$G$1272,947,'All Units'!$H$5:$H$1272,"Classic",'All Units'!$D$5:$D$1272,$A96)+Assumptions!$C$6,"OK","CHECK"))</f>
        <v>OK</v>
      </c>
      <c r="F96" s="14" t="str">
        <f>IF(OR(COUNTIFS('All Units'!$G$5:$G$1272,1055,'All Units'!$H$5:$H$1272,"Classic",'All Units'!$D$5:$D$1272,$A96)=0,COUNTIFS('All Units'!$G$5:$G$1272,1055,'All Units'!$H$5:$H$1272,"Luxury",'All Units'!$D$5:$D$1272,$A96)=0),"",IF(_xlfn.MINIFS('All Units'!$Q$5:$Q$1272,'All Units'!$G$5:$G$1272,1055,'All Units'!$H$5:$H$1272,"Luxury",'All Units'!$D$5:$D$1272,$A96)&gt;=_xlfn.MAXIFS('All Units'!$Q$5:$Q$1272,'All Units'!$G$5:$G$1272,1055,'All Units'!$H$5:$H$1272,"Classic",'All Units'!$D$5:$D$1272,$A96)+Assumptions!$C$6,"OK","CHECK"))</f>
        <v>OK</v>
      </c>
      <c r="G96" s="14" t="str">
        <f>IF(OR(COUNTIFS('All Units'!$G$5:$G$1272,1238,'All Units'!$H$5:$H$1272,"Classic",'All Units'!$D$5:$D$1272,$A96)=0,COUNTIFS('All Units'!$G$5:$G$1272,1238,'All Units'!$H$5:$H$1272,"Luxury",'All Units'!$D$5:$D$1272,$A96)=0),"",IF(_xlfn.MINIFS('All Units'!$Q$5:$Q$1272,'All Units'!$G$5:$G$1272,1238,'All Units'!$H$5:$H$1272,"Luxury",'All Units'!$D$5:$D$1272,$A96)&gt;=_xlfn.MAXIFS('All Units'!$Q$5:$Q$1272,'All Units'!$G$5:$G$1272,1238,'All Units'!$H$5:$H$1272,"Classic",'All Units'!$D$5:$D$1272,$A96)+Assumptions!$C$6,"OK","CHECK"))</f>
        <v>OK</v>
      </c>
    </row>
    <row r="97" spans="1:7" x14ac:dyDescent="0.2">
      <c r="A97" s="91">
        <v>4</v>
      </c>
      <c r="B97" s="14" t="str">
        <f>IF(OR(COUNTIFS('All Units'!$G$5:$G$1272,678,'All Units'!$H$5:$H$1272,"Classic",'All Units'!$D$5:$D$1272,$A97)=0,COUNTIFS('All Units'!$G$5:$G$1272,678,'All Units'!$H$5:$H$1272,"Luxury",'All Units'!$D$5:$D$1272,$A97)=0),"",IF(_xlfn.MINIFS('All Units'!$Q$5:$Q$1272,'All Units'!$G$5:$G$1272,678,'All Units'!$H$5:$H$1272,"Luxury",'All Units'!$D$5:$D$1272,$A97)&gt;=_xlfn.MAXIFS('All Units'!$Q$5:$Q$1272,'All Units'!$G$5:$G$1272,678,'All Units'!$H$5:$H$1272,"Classic",'All Units'!$D$5:$D$1272,$A97)+Assumptions!$C$6,"OK","CHECK"))</f>
        <v>OK</v>
      </c>
      <c r="C97" s="14" t="str">
        <f>IF(OR(COUNTIFS('All Units'!$G$5:$G$1272,732,'All Units'!$H$5:$H$1272,"Classic",'All Units'!$D$5:$D$1272,$A97)=0,COUNTIFS('All Units'!$G$5:$G$1272,732,'All Units'!$H$5:$H$1272,"Luxury",'All Units'!$D$5:$D$1272,$A97)=0),"",IF(_xlfn.MINIFS('All Units'!$Q$5:$Q$1272,'All Units'!$G$5:$G$1272,732,'All Units'!$H$5:$H$1272,"Luxury",'All Units'!$D$5:$D$1272,$A97)&gt;=_xlfn.MAXIFS('All Units'!$Q$5:$Q$1272,'All Units'!$G$5:$G$1272,732,'All Units'!$H$5:$H$1272,"Classic",'All Units'!$D$5:$D$1272,$A97)+Assumptions!$C$6,"OK","CHECK"))</f>
        <v>OK</v>
      </c>
      <c r="D97" s="14" t="str">
        <f>IF(OR(COUNTIFS('All Units'!$G$5:$G$1272,775,'All Units'!$H$5:$H$1272,"Classic",'All Units'!$D$5:$D$1272,$A97)=0,COUNTIFS('All Units'!$G$5:$G$1272,775,'All Units'!$H$5:$H$1272,"Luxury",'All Units'!$D$5:$D$1272,$A97)=0),"",IF(_xlfn.MINIFS('All Units'!$Q$5:$Q$1272,'All Units'!$G$5:$G$1272,775,'All Units'!$H$5:$H$1272,"Luxury",'All Units'!$D$5:$D$1272,$A97)&gt;=_xlfn.MAXIFS('All Units'!$Q$5:$Q$1272,'All Units'!$G$5:$G$1272,775,'All Units'!$H$5:$H$1272,"Classic",'All Units'!$D$5:$D$1272,$A97)+Assumptions!$C$6,"OK","CHECK"))</f>
        <v>OK</v>
      </c>
      <c r="E97" s="14" t="str">
        <f>IF(OR(COUNTIFS('All Units'!$G$5:$G$1272,947,'All Units'!$H$5:$H$1272,"Classic",'All Units'!$D$5:$D$1272,$A97)=0,COUNTIFS('All Units'!$G$5:$G$1272,947,'All Units'!$H$5:$H$1272,"Luxury",'All Units'!$D$5:$D$1272,$A97)=0),"",IF(_xlfn.MINIFS('All Units'!$Q$5:$Q$1272,'All Units'!$G$5:$G$1272,947,'All Units'!$H$5:$H$1272,"Luxury",'All Units'!$D$5:$D$1272,$A97)&gt;=_xlfn.MAXIFS('All Units'!$Q$5:$Q$1272,'All Units'!$G$5:$G$1272,947,'All Units'!$H$5:$H$1272,"Classic",'All Units'!$D$5:$D$1272,$A97)+Assumptions!$C$6,"OK","CHECK"))</f>
        <v>OK</v>
      </c>
      <c r="F97" s="14" t="str">
        <f>IF(OR(COUNTIFS('All Units'!$G$5:$G$1272,1055,'All Units'!$H$5:$H$1272,"Classic",'All Units'!$D$5:$D$1272,$A97)=0,COUNTIFS('All Units'!$G$5:$G$1272,1055,'All Units'!$H$5:$H$1272,"Luxury",'All Units'!$D$5:$D$1272,$A97)=0),"",IF(_xlfn.MINIFS('All Units'!$Q$5:$Q$1272,'All Units'!$G$5:$G$1272,1055,'All Units'!$H$5:$H$1272,"Luxury",'All Units'!$D$5:$D$1272,$A97)&gt;=_xlfn.MAXIFS('All Units'!$Q$5:$Q$1272,'All Units'!$G$5:$G$1272,1055,'All Units'!$H$5:$H$1272,"Classic",'All Units'!$D$5:$D$1272,$A97)+Assumptions!$C$6,"OK","CHECK"))</f>
        <v>OK</v>
      </c>
      <c r="G97" s="14" t="str">
        <f>IF(OR(COUNTIFS('All Units'!$G$5:$G$1272,1238,'All Units'!$H$5:$H$1272,"Classic",'All Units'!$D$5:$D$1272,$A97)=0,COUNTIFS('All Units'!$G$5:$G$1272,1238,'All Units'!$H$5:$H$1272,"Luxury",'All Units'!$D$5:$D$1272,$A97)=0),"",IF(_xlfn.MINIFS('All Units'!$Q$5:$Q$1272,'All Units'!$G$5:$G$1272,1238,'All Units'!$H$5:$H$1272,"Luxury",'All Units'!$D$5:$D$1272,$A97)&gt;=_xlfn.MAXIFS('All Units'!$Q$5:$Q$1272,'All Units'!$G$5:$G$1272,1238,'All Units'!$H$5:$H$1272,"Classic",'All Units'!$D$5:$D$1272,$A97)+Assumptions!$C$6,"OK","CHECK"))</f>
        <v>OK</v>
      </c>
    </row>
    <row r="98" spans="1:7" x14ac:dyDescent="0.2">
      <c r="A98" s="91">
        <v>5</v>
      </c>
      <c r="B98" s="14" t="str">
        <f>IF(OR(COUNTIFS('All Units'!$G$5:$G$1272,678,'All Units'!$H$5:$H$1272,"Classic",'All Units'!$D$5:$D$1272,$A98)=0,COUNTIFS('All Units'!$G$5:$G$1272,678,'All Units'!$H$5:$H$1272,"Luxury",'All Units'!$D$5:$D$1272,$A98)=0),"",IF(_xlfn.MINIFS('All Units'!$Q$5:$Q$1272,'All Units'!$G$5:$G$1272,678,'All Units'!$H$5:$H$1272,"Luxury",'All Units'!$D$5:$D$1272,$A98)&gt;=_xlfn.MAXIFS('All Units'!$Q$5:$Q$1272,'All Units'!$G$5:$G$1272,678,'All Units'!$H$5:$H$1272,"Classic",'All Units'!$D$5:$D$1272,$A98)+Assumptions!$C$6,"OK","CHECK"))</f>
        <v>OK</v>
      </c>
      <c r="C98" s="14" t="str">
        <f>IF(OR(COUNTIFS('All Units'!$G$5:$G$1272,732,'All Units'!$H$5:$H$1272,"Classic",'All Units'!$D$5:$D$1272,$A98)=0,COUNTIFS('All Units'!$G$5:$G$1272,732,'All Units'!$H$5:$H$1272,"Luxury",'All Units'!$D$5:$D$1272,$A98)=0),"",IF(_xlfn.MINIFS('All Units'!$Q$5:$Q$1272,'All Units'!$G$5:$G$1272,732,'All Units'!$H$5:$H$1272,"Luxury",'All Units'!$D$5:$D$1272,$A98)&gt;=_xlfn.MAXIFS('All Units'!$Q$5:$Q$1272,'All Units'!$G$5:$G$1272,732,'All Units'!$H$5:$H$1272,"Classic",'All Units'!$D$5:$D$1272,$A98)+Assumptions!$C$6,"OK","CHECK"))</f>
        <v>OK</v>
      </c>
      <c r="D98" s="14" t="str">
        <f>IF(OR(COUNTIFS('All Units'!$G$5:$G$1272,775,'All Units'!$H$5:$H$1272,"Classic",'All Units'!$D$5:$D$1272,$A98)=0,COUNTIFS('All Units'!$G$5:$G$1272,775,'All Units'!$H$5:$H$1272,"Luxury",'All Units'!$D$5:$D$1272,$A98)=0),"",IF(_xlfn.MINIFS('All Units'!$Q$5:$Q$1272,'All Units'!$G$5:$G$1272,775,'All Units'!$H$5:$H$1272,"Luxury",'All Units'!$D$5:$D$1272,$A98)&gt;=_xlfn.MAXIFS('All Units'!$Q$5:$Q$1272,'All Units'!$G$5:$G$1272,775,'All Units'!$H$5:$H$1272,"Classic",'All Units'!$D$5:$D$1272,$A98)+Assumptions!$C$6,"OK","CHECK"))</f>
        <v>OK</v>
      </c>
      <c r="E98" s="14" t="str">
        <f>IF(OR(COUNTIFS('All Units'!$G$5:$G$1272,947,'All Units'!$H$5:$H$1272,"Classic",'All Units'!$D$5:$D$1272,$A98)=0,COUNTIFS('All Units'!$G$5:$G$1272,947,'All Units'!$H$5:$H$1272,"Luxury",'All Units'!$D$5:$D$1272,$A98)=0),"",IF(_xlfn.MINIFS('All Units'!$Q$5:$Q$1272,'All Units'!$G$5:$G$1272,947,'All Units'!$H$5:$H$1272,"Luxury",'All Units'!$D$5:$D$1272,$A98)&gt;=_xlfn.MAXIFS('All Units'!$Q$5:$Q$1272,'All Units'!$G$5:$G$1272,947,'All Units'!$H$5:$H$1272,"Classic",'All Units'!$D$5:$D$1272,$A98)+Assumptions!$C$6,"OK","CHECK"))</f>
        <v>OK</v>
      </c>
      <c r="F98" s="14" t="str">
        <f>IF(OR(COUNTIFS('All Units'!$G$5:$G$1272,1055,'All Units'!$H$5:$H$1272,"Classic",'All Units'!$D$5:$D$1272,$A98)=0,COUNTIFS('All Units'!$G$5:$G$1272,1055,'All Units'!$H$5:$H$1272,"Luxury",'All Units'!$D$5:$D$1272,$A98)=0),"",IF(_xlfn.MINIFS('All Units'!$Q$5:$Q$1272,'All Units'!$G$5:$G$1272,1055,'All Units'!$H$5:$H$1272,"Luxury",'All Units'!$D$5:$D$1272,$A98)&gt;=_xlfn.MAXIFS('All Units'!$Q$5:$Q$1272,'All Units'!$G$5:$G$1272,1055,'All Units'!$H$5:$H$1272,"Classic",'All Units'!$D$5:$D$1272,$A98)+Assumptions!$C$6,"OK","CHECK"))</f>
        <v>OK</v>
      </c>
      <c r="G98" s="14" t="str">
        <f>IF(OR(COUNTIFS('All Units'!$G$5:$G$1272,1238,'All Units'!$H$5:$H$1272,"Classic",'All Units'!$D$5:$D$1272,$A98)=0,COUNTIFS('All Units'!$G$5:$G$1272,1238,'All Units'!$H$5:$H$1272,"Luxury",'All Units'!$D$5:$D$1272,$A98)=0),"",IF(_xlfn.MINIFS('All Units'!$Q$5:$Q$1272,'All Units'!$G$5:$G$1272,1238,'All Units'!$H$5:$H$1272,"Luxury",'All Units'!$D$5:$D$1272,$A98)&gt;=_xlfn.MAXIFS('All Units'!$Q$5:$Q$1272,'All Units'!$G$5:$G$1272,1238,'All Units'!$H$5:$H$1272,"Classic",'All Units'!$D$5:$D$1272,$A98)+Assumptions!$C$6,"OK","CHECK"))</f>
        <v>OK</v>
      </c>
    </row>
    <row r="99" spans="1:7" x14ac:dyDescent="0.2">
      <c r="A99" s="91">
        <v>6</v>
      </c>
      <c r="B99" s="14" t="str">
        <f>IF(OR(COUNTIFS('All Units'!$G$5:$G$1272,678,'All Units'!$H$5:$H$1272,"Classic",'All Units'!$D$5:$D$1272,$A99)=0,COUNTIFS('All Units'!$G$5:$G$1272,678,'All Units'!$H$5:$H$1272,"Luxury",'All Units'!$D$5:$D$1272,$A99)=0),"",IF(_xlfn.MINIFS('All Units'!$Q$5:$Q$1272,'All Units'!$G$5:$G$1272,678,'All Units'!$H$5:$H$1272,"Luxury",'All Units'!$D$5:$D$1272,$A99)&gt;=_xlfn.MAXIFS('All Units'!$Q$5:$Q$1272,'All Units'!$G$5:$G$1272,678,'All Units'!$H$5:$H$1272,"Classic",'All Units'!$D$5:$D$1272,$A99)+Assumptions!$C$6,"OK","CHECK"))</f>
        <v>OK</v>
      </c>
      <c r="C99" s="14" t="str">
        <f>IF(OR(COUNTIFS('All Units'!$G$5:$G$1272,732,'All Units'!$H$5:$H$1272,"Classic",'All Units'!$D$5:$D$1272,$A99)=0,COUNTIFS('All Units'!$G$5:$G$1272,732,'All Units'!$H$5:$H$1272,"Luxury",'All Units'!$D$5:$D$1272,$A99)=0),"",IF(_xlfn.MINIFS('All Units'!$Q$5:$Q$1272,'All Units'!$G$5:$G$1272,732,'All Units'!$H$5:$H$1272,"Luxury",'All Units'!$D$5:$D$1272,$A99)&gt;=_xlfn.MAXIFS('All Units'!$Q$5:$Q$1272,'All Units'!$G$5:$G$1272,732,'All Units'!$H$5:$H$1272,"Classic",'All Units'!$D$5:$D$1272,$A99)+Assumptions!$C$6,"OK","CHECK"))</f>
        <v>OK</v>
      </c>
      <c r="D99" s="14" t="str">
        <f>IF(OR(COUNTIFS('All Units'!$G$5:$G$1272,775,'All Units'!$H$5:$H$1272,"Classic",'All Units'!$D$5:$D$1272,$A99)=0,COUNTIFS('All Units'!$G$5:$G$1272,775,'All Units'!$H$5:$H$1272,"Luxury",'All Units'!$D$5:$D$1272,$A99)=0),"",IF(_xlfn.MINIFS('All Units'!$Q$5:$Q$1272,'All Units'!$G$5:$G$1272,775,'All Units'!$H$5:$H$1272,"Luxury",'All Units'!$D$5:$D$1272,$A99)&gt;=_xlfn.MAXIFS('All Units'!$Q$5:$Q$1272,'All Units'!$G$5:$G$1272,775,'All Units'!$H$5:$H$1272,"Classic",'All Units'!$D$5:$D$1272,$A99)+Assumptions!$C$6,"OK","CHECK"))</f>
        <v>OK</v>
      </c>
      <c r="E99" s="14" t="str">
        <f>IF(OR(COUNTIFS('All Units'!$G$5:$G$1272,947,'All Units'!$H$5:$H$1272,"Classic",'All Units'!$D$5:$D$1272,$A99)=0,COUNTIFS('All Units'!$G$5:$G$1272,947,'All Units'!$H$5:$H$1272,"Luxury",'All Units'!$D$5:$D$1272,$A99)=0),"",IF(_xlfn.MINIFS('All Units'!$Q$5:$Q$1272,'All Units'!$G$5:$G$1272,947,'All Units'!$H$5:$H$1272,"Luxury",'All Units'!$D$5:$D$1272,$A99)&gt;=_xlfn.MAXIFS('All Units'!$Q$5:$Q$1272,'All Units'!$G$5:$G$1272,947,'All Units'!$H$5:$H$1272,"Classic",'All Units'!$D$5:$D$1272,$A99)+Assumptions!$C$6,"OK","CHECK"))</f>
        <v>OK</v>
      </c>
      <c r="F99" s="14" t="str">
        <f>IF(OR(COUNTIFS('All Units'!$G$5:$G$1272,1055,'All Units'!$H$5:$H$1272,"Classic",'All Units'!$D$5:$D$1272,$A99)=0,COUNTIFS('All Units'!$G$5:$G$1272,1055,'All Units'!$H$5:$H$1272,"Luxury",'All Units'!$D$5:$D$1272,$A99)=0),"",IF(_xlfn.MINIFS('All Units'!$Q$5:$Q$1272,'All Units'!$G$5:$G$1272,1055,'All Units'!$H$5:$H$1272,"Luxury",'All Units'!$D$5:$D$1272,$A99)&gt;=_xlfn.MAXIFS('All Units'!$Q$5:$Q$1272,'All Units'!$G$5:$G$1272,1055,'All Units'!$H$5:$H$1272,"Classic",'All Units'!$D$5:$D$1272,$A99)+Assumptions!$C$6,"OK","CHECK"))</f>
        <v>OK</v>
      </c>
      <c r="G99" s="14" t="str">
        <f>IF(OR(COUNTIFS('All Units'!$G$5:$G$1272,1238,'All Units'!$H$5:$H$1272,"Classic",'All Units'!$D$5:$D$1272,$A99)=0,COUNTIFS('All Units'!$G$5:$G$1272,1238,'All Units'!$H$5:$H$1272,"Luxury",'All Units'!$D$5:$D$1272,$A99)=0),"",IF(_xlfn.MINIFS('All Units'!$Q$5:$Q$1272,'All Units'!$G$5:$G$1272,1238,'All Units'!$H$5:$H$1272,"Luxury",'All Units'!$D$5:$D$1272,$A99)&gt;=_xlfn.MAXIFS('All Units'!$Q$5:$Q$1272,'All Units'!$G$5:$G$1272,1238,'All Units'!$H$5:$H$1272,"Classic",'All Units'!$D$5:$D$1272,$A99)+Assumptions!$C$6,"OK","CHECK"))</f>
        <v>OK</v>
      </c>
    </row>
    <row r="100" spans="1:7" x14ac:dyDescent="0.2">
      <c r="A100" s="91">
        <v>7</v>
      </c>
      <c r="B100" s="14" t="str">
        <f>IF(OR(COUNTIFS('All Units'!$G$5:$G$1272,678,'All Units'!$H$5:$H$1272,"Classic",'All Units'!$D$5:$D$1272,$A100)=0,COUNTIFS('All Units'!$G$5:$G$1272,678,'All Units'!$H$5:$H$1272,"Luxury",'All Units'!$D$5:$D$1272,$A100)=0),"",IF(_xlfn.MINIFS('All Units'!$Q$5:$Q$1272,'All Units'!$G$5:$G$1272,678,'All Units'!$H$5:$H$1272,"Luxury",'All Units'!$D$5:$D$1272,$A100)&gt;=_xlfn.MAXIFS('All Units'!$Q$5:$Q$1272,'All Units'!$G$5:$G$1272,678,'All Units'!$H$5:$H$1272,"Classic",'All Units'!$D$5:$D$1272,$A100)+Assumptions!$C$6,"OK","CHECK"))</f>
        <v>OK</v>
      </c>
      <c r="C100" s="14" t="str">
        <f>IF(OR(COUNTIFS('All Units'!$G$5:$G$1272,732,'All Units'!$H$5:$H$1272,"Classic",'All Units'!$D$5:$D$1272,$A100)=0,COUNTIFS('All Units'!$G$5:$G$1272,732,'All Units'!$H$5:$H$1272,"Luxury",'All Units'!$D$5:$D$1272,$A100)=0),"",IF(_xlfn.MINIFS('All Units'!$Q$5:$Q$1272,'All Units'!$G$5:$G$1272,732,'All Units'!$H$5:$H$1272,"Luxury",'All Units'!$D$5:$D$1272,$A100)&gt;=_xlfn.MAXIFS('All Units'!$Q$5:$Q$1272,'All Units'!$G$5:$G$1272,732,'All Units'!$H$5:$H$1272,"Classic",'All Units'!$D$5:$D$1272,$A100)+Assumptions!$C$6,"OK","CHECK"))</f>
        <v>OK</v>
      </c>
      <c r="D100" s="14" t="str">
        <f>IF(OR(COUNTIFS('All Units'!$G$5:$G$1272,775,'All Units'!$H$5:$H$1272,"Classic",'All Units'!$D$5:$D$1272,$A100)=0,COUNTIFS('All Units'!$G$5:$G$1272,775,'All Units'!$H$5:$H$1272,"Luxury",'All Units'!$D$5:$D$1272,$A100)=0),"",IF(_xlfn.MINIFS('All Units'!$Q$5:$Q$1272,'All Units'!$G$5:$G$1272,775,'All Units'!$H$5:$H$1272,"Luxury",'All Units'!$D$5:$D$1272,$A100)&gt;=_xlfn.MAXIFS('All Units'!$Q$5:$Q$1272,'All Units'!$G$5:$G$1272,775,'All Units'!$H$5:$H$1272,"Classic",'All Units'!$D$5:$D$1272,$A100)+Assumptions!$C$6,"OK","CHECK"))</f>
        <v>OK</v>
      </c>
      <c r="E100" s="14" t="str">
        <f>IF(OR(COUNTIFS('All Units'!$G$5:$G$1272,947,'All Units'!$H$5:$H$1272,"Classic",'All Units'!$D$5:$D$1272,$A100)=0,COUNTIFS('All Units'!$G$5:$G$1272,947,'All Units'!$H$5:$H$1272,"Luxury",'All Units'!$D$5:$D$1272,$A100)=0),"",IF(_xlfn.MINIFS('All Units'!$Q$5:$Q$1272,'All Units'!$G$5:$G$1272,947,'All Units'!$H$5:$H$1272,"Luxury",'All Units'!$D$5:$D$1272,$A100)&gt;=_xlfn.MAXIFS('All Units'!$Q$5:$Q$1272,'All Units'!$G$5:$G$1272,947,'All Units'!$H$5:$H$1272,"Classic",'All Units'!$D$5:$D$1272,$A100)+Assumptions!$C$6,"OK","CHECK"))</f>
        <v>OK</v>
      </c>
      <c r="F100" s="14" t="str">
        <f>IF(OR(COUNTIFS('All Units'!$G$5:$G$1272,1055,'All Units'!$H$5:$H$1272,"Classic",'All Units'!$D$5:$D$1272,$A100)=0,COUNTIFS('All Units'!$G$5:$G$1272,1055,'All Units'!$H$5:$H$1272,"Luxury",'All Units'!$D$5:$D$1272,$A100)=0),"",IF(_xlfn.MINIFS('All Units'!$Q$5:$Q$1272,'All Units'!$G$5:$G$1272,1055,'All Units'!$H$5:$H$1272,"Luxury",'All Units'!$D$5:$D$1272,$A100)&gt;=_xlfn.MAXIFS('All Units'!$Q$5:$Q$1272,'All Units'!$G$5:$G$1272,1055,'All Units'!$H$5:$H$1272,"Classic",'All Units'!$D$5:$D$1272,$A100)+Assumptions!$C$6,"OK","CHECK"))</f>
        <v>OK</v>
      </c>
      <c r="G100" s="14" t="str">
        <f>IF(OR(COUNTIFS('All Units'!$G$5:$G$1272,1238,'All Units'!$H$5:$H$1272,"Classic",'All Units'!$D$5:$D$1272,$A100)=0,COUNTIFS('All Units'!$G$5:$G$1272,1238,'All Units'!$H$5:$H$1272,"Luxury",'All Units'!$D$5:$D$1272,$A100)=0),"",IF(_xlfn.MINIFS('All Units'!$Q$5:$Q$1272,'All Units'!$G$5:$G$1272,1238,'All Units'!$H$5:$H$1272,"Luxury",'All Units'!$D$5:$D$1272,$A100)&gt;=_xlfn.MAXIFS('All Units'!$Q$5:$Q$1272,'All Units'!$G$5:$G$1272,1238,'All Units'!$H$5:$H$1272,"Classic",'All Units'!$D$5:$D$1272,$A100)+Assumptions!$C$6,"OK","CHECK"))</f>
        <v>OK</v>
      </c>
    </row>
    <row r="101" spans="1:7" x14ac:dyDescent="0.2">
      <c r="A101" s="91">
        <v>8</v>
      </c>
      <c r="B101" s="14" t="str">
        <f>IF(OR(COUNTIFS('All Units'!$G$5:$G$1272,678,'All Units'!$H$5:$H$1272,"Classic",'All Units'!$D$5:$D$1272,$A101)=0,COUNTIFS('All Units'!$G$5:$G$1272,678,'All Units'!$H$5:$H$1272,"Luxury",'All Units'!$D$5:$D$1272,$A101)=0),"",IF(_xlfn.MINIFS('All Units'!$Q$5:$Q$1272,'All Units'!$G$5:$G$1272,678,'All Units'!$H$5:$H$1272,"Luxury",'All Units'!$D$5:$D$1272,$A101)&gt;=_xlfn.MAXIFS('All Units'!$Q$5:$Q$1272,'All Units'!$G$5:$G$1272,678,'All Units'!$H$5:$H$1272,"Classic",'All Units'!$D$5:$D$1272,$A101)+Assumptions!$C$6,"OK","CHECK"))</f>
        <v>OK</v>
      </c>
      <c r="C101" s="14" t="str">
        <f>IF(OR(COUNTIFS('All Units'!$G$5:$G$1272,732,'All Units'!$H$5:$H$1272,"Classic",'All Units'!$D$5:$D$1272,$A101)=0,COUNTIFS('All Units'!$G$5:$G$1272,732,'All Units'!$H$5:$H$1272,"Luxury",'All Units'!$D$5:$D$1272,$A101)=0),"",IF(_xlfn.MINIFS('All Units'!$Q$5:$Q$1272,'All Units'!$G$5:$G$1272,732,'All Units'!$H$5:$H$1272,"Luxury",'All Units'!$D$5:$D$1272,$A101)&gt;=_xlfn.MAXIFS('All Units'!$Q$5:$Q$1272,'All Units'!$G$5:$G$1272,732,'All Units'!$H$5:$H$1272,"Classic",'All Units'!$D$5:$D$1272,$A101)+Assumptions!$C$6,"OK","CHECK"))</f>
        <v>OK</v>
      </c>
      <c r="D101" s="14" t="str">
        <f>IF(OR(COUNTIFS('All Units'!$G$5:$G$1272,775,'All Units'!$H$5:$H$1272,"Classic",'All Units'!$D$5:$D$1272,$A101)=0,COUNTIFS('All Units'!$G$5:$G$1272,775,'All Units'!$H$5:$H$1272,"Luxury",'All Units'!$D$5:$D$1272,$A101)=0),"",IF(_xlfn.MINIFS('All Units'!$Q$5:$Q$1272,'All Units'!$G$5:$G$1272,775,'All Units'!$H$5:$H$1272,"Luxury",'All Units'!$D$5:$D$1272,$A101)&gt;=_xlfn.MAXIFS('All Units'!$Q$5:$Q$1272,'All Units'!$G$5:$G$1272,775,'All Units'!$H$5:$H$1272,"Classic",'All Units'!$D$5:$D$1272,$A101)+Assumptions!$C$6,"OK","CHECK"))</f>
        <v>OK</v>
      </c>
      <c r="E101" s="14" t="str">
        <f>IF(OR(COUNTIFS('All Units'!$G$5:$G$1272,947,'All Units'!$H$5:$H$1272,"Classic",'All Units'!$D$5:$D$1272,$A101)=0,COUNTIFS('All Units'!$G$5:$G$1272,947,'All Units'!$H$5:$H$1272,"Luxury",'All Units'!$D$5:$D$1272,$A101)=0),"",IF(_xlfn.MINIFS('All Units'!$Q$5:$Q$1272,'All Units'!$G$5:$G$1272,947,'All Units'!$H$5:$H$1272,"Luxury",'All Units'!$D$5:$D$1272,$A101)&gt;=_xlfn.MAXIFS('All Units'!$Q$5:$Q$1272,'All Units'!$G$5:$G$1272,947,'All Units'!$H$5:$H$1272,"Classic",'All Units'!$D$5:$D$1272,$A101)+Assumptions!$C$6,"OK","CHECK"))</f>
        <v>OK</v>
      </c>
      <c r="F101" s="14" t="str">
        <f>IF(OR(COUNTIFS('All Units'!$G$5:$G$1272,1055,'All Units'!$H$5:$H$1272,"Classic",'All Units'!$D$5:$D$1272,$A101)=0,COUNTIFS('All Units'!$G$5:$G$1272,1055,'All Units'!$H$5:$H$1272,"Luxury",'All Units'!$D$5:$D$1272,$A101)=0),"",IF(_xlfn.MINIFS('All Units'!$Q$5:$Q$1272,'All Units'!$G$5:$G$1272,1055,'All Units'!$H$5:$H$1272,"Luxury",'All Units'!$D$5:$D$1272,$A101)&gt;=_xlfn.MAXIFS('All Units'!$Q$5:$Q$1272,'All Units'!$G$5:$G$1272,1055,'All Units'!$H$5:$H$1272,"Classic",'All Units'!$D$5:$D$1272,$A101)+Assumptions!$C$6,"OK","CHECK"))</f>
        <v>OK</v>
      </c>
      <c r="G101" s="14" t="str">
        <f>IF(OR(COUNTIFS('All Units'!$G$5:$G$1272,1238,'All Units'!$H$5:$H$1272,"Classic",'All Units'!$D$5:$D$1272,$A101)=0,COUNTIFS('All Units'!$G$5:$G$1272,1238,'All Units'!$H$5:$H$1272,"Luxury",'All Units'!$D$5:$D$1272,$A101)=0),"",IF(_xlfn.MINIFS('All Units'!$Q$5:$Q$1272,'All Units'!$G$5:$G$1272,1238,'All Units'!$H$5:$H$1272,"Luxury",'All Units'!$D$5:$D$1272,$A101)&gt;=_xlfn.MAXIFS('All Units'!$Q$5:$Q$1272,'All Units'!$G$5:$G$1272,1238,'All Units'!$H$5:$H$1272,"Classic",'All Units'!$D$5:$D$1272,$A101)+Assumptions!$C$6,"OK","CHECK"))</f>
        <v>OK</v>
      </c>
    </row>
    <row r="102" spans="1:7" x14ac:dyDescent="0.2">
      <c r="A102" s="91">
        <v>9</v>
      </c>
      <c r="B102" s="14" t="str">
        <f>IF(OR(COUNTIFS('All Units'!$G$5:$G$1272,678,'All Units'!$H$5:$H$1272,"Classic",'All Units'!$D$5:$D$1272,$A102)=0,COUNTIFS('All Units'!$G$5:$G$1272,678,'All Units'!$H$5:$H$1272,"Luxury",'All Units'!$D$5:$D$1272,$A102)=0),"",IF(_xlfn.MINIFS('All Units'!$Q$5:$Q$1272,'All Units'!$G$5:$G$1272,678,'All Units'!$H$5:$H$1272,"Luxury",'All Units'!$D$5:$D$1272,$A102)&gt;=_xlfn.MAXIFS('All Units'!$Q$5:$Q$1272,'All Units'!$G$5:$G$1272,678,'All Units'!$H$5:$H$1272,"Classic",'All Units'!$D$5:$D$1272,$A102)+Assumptions!$C$6,"OK","CHECK"))</f>
        <v>OK</v>
      </c>
      <c r="C102" s="14" t="str">
        <f>IF(OR(COUNTIFS('All Units'!$G$5:$G$1272,732,'All Units'!$H$5:$H$1272,"Classic",'All Units'!$D$5:$D$1272,$A102)=0,COUNTIFS('All Units'!$G$5:$G$1272,732,'All Units'!$H$5:$H$1272,"Luxury",'All Units'!$D$5:$D$1272,$A102)=0),"",IF(_xlfn.MINIFS('All Units'!$Q$5:$Q$1272,'All Units'!$G$5:$G$1272,732,'All Units'!$H$5:$H$1272,"Luxury",'All Units'!$D$5:$D$1272,$A102)&gt;=_xlfn.MAXIFS('All Units'!$Q$5:$Q$1272,'All Units'!$G$5:$G$1272,732,'All Units'!$H$5:$H$1272,"Classic",'All Units'!$D$5:$D$1272,$A102)+Assumptions!$C$6,"OK","CHECK"))</f>
        <v>OK</v>
      </c>
      <c r="D102" s="14" t="str">
        <f>IF(OR(COUNTIFS('All Units'!$G$5:$G$1272,775,'All Units'!$H$5:$H$1272,"Classic",'All Units'!$D$5:$D$1272,$A102)=0,COUNTIFS('All Units'!$G$5:$G$1272,775,'All Units'!$H$5:$H$1272,"Luxury",'All Units'!$D$5:$D$1272,$A102)=0),"",IF(_xlfn.MINIFS('All Units'!$Q$5:$Q$1272,'All Units'!$G$5:$G$1272,775,'All Units'!$H$5:$H$1272,"Luxury",'All Units'!$D$5:$D$1272,$A102)&gt;=_xlfn.MAXIFS('All Units'!$Q$5:$Q$1272,'All Units'!$G$5:$G$1272,775,'All Units'!$H$5:$H$1272,"Classic",'All Units'!$D$5:$D$1272,$A102)+Assumptions!$C$6,"OK","CHECK"))</f>
        <v>OK</v>
      </c>
      <c r="E102" s="14" t="str">
        <f>IF(OR(COUNTIFS('All Units'!$G$5:$G$1272,947,'All Units'!$H$5:$H$1272,"Classic",'All Units'!$D$5:$D$1272,$A102)=0,COUNTIFS('All Units'!$G$5:$G$1272,947,'All Units'!$H$5:$H$1272,"Luxury",'All Units'!$D$5:$D$1272,$A102)=0),"",IF(_xlfn.MINIFS('All Units'!$Q$5:$Q$1272,'All Units'!$G$5:$G$1272,947,'All Units'!$H$5:$H$1272,"Luxury",'All Units'!$D$5:$D$1272,$A102)&gt;=_xlfn.MAXIFS('All Units'!$Q$5:$Q$1272,'All Units'!$G$5:$G$1272,947,'All Units'!$H$5:$H$1272,"Classic",'All Units'!$D$5:$D$1272,$A102)+Assumptions!$C$6,"OK","CHECK"))</f>
        <v>OK</v>
      </c>
      <c r="F102" s="14" t="str">
        <f>IF(OR(COUNTIFS('All Units'!$G$5:$G$1272,1055,'All Units'!$H$5:$H$1272,"Classic",'All Units'!$D$5:$D$1272,$A102)=0,COUNTIFS('All Units'!$G$5:$G$1272,1055,'All Units'!$H$5:$H$1272,"Luxury",'All Units'!$D$5:$D$1272,$A102)=0),"",IF(_xlfn.MINIFS('All Units'!$Q$5:$Q$1272,'All Units'!$G$5:$G$1272,1055,'All Units'!$H$5:$H$1272,"Luxury",'All Units'!$D$5:$D$1272,$A102)&gt;=_xlfn.MAXIFS('All Units'!$Q$5:$Q$1272,'All Units'!$G$5:$G$1272,1055,'All Units'!$H$5:$H$1272,"Classic",'All Units'!$D$5:$D$1272,$A102)+Assumptions!$C$6,"OK","CHECK"))</f>
        <v>OK</v>
      </c>
      <c r="G102" s="14" t="str">
        <f>IF(OR(COUNTIFS('All Units'!$G$5:$G$1272,1238,'All Units'!$H$5:$H$1272,"Classic",'All Units'!$D$5:$D$1272,$A102)=0,COUNTIFS('All Units'!$G$5:$G$1272,1238,'All Units'!$H$5:$H$1272,"Luxury",'All Units'!$D$5:$D$1272,$A102)=0),"",IF(_xlfn.MINIFS('All Units'!$Q$5:$Q$1272,'All Units'!$G$5:$G$1272,1238,'All Units'!$H$5:$H$1272,"Luxury",'All Units'!$D$5:$D$1272,$A102)&gt;=_xlfn.MAXIFS('All Units'!$Q$5:$Q$1272,'All Units'!$G$5:$G$1272,1238,'All Units'!$H$5:$H$1272,"Classic",'All Units'!$D$5:$D$1272,$A102)+Assumptions!$C$6,"OK","CHECK"))</f>
        <v>OK</v>
      </c>
    </row>
    <row r="103" spans="1:7" x14ac:dyDescent="0.2">
      <c r="A103" s="91">
        <v>10</v>
      </c>
      <c r="B103" s="14" t="str">
        <f>IF(OR(COUNTIFS('All Units'!$G$5:$G$1272,678,'All Units'!$H$5:$H$1272,"Classic",'All Units'!$D$5:$D$1272,$A103)=0,COUNTIFS('All Units'!$G$5:$G$1272,678,'All Units'!$H$5:$H$1272,"Luxury",'All Units'!$D$5:$D$1272,$A103)=0),"",IF(_xlfn.MINIFS('All Units'!$Q$5:$Q$1272,'All Units'!$G$5:$G$1272,678,'All Units'!$H$5:$H$1272,"Luxury",'All Units'!$D$5:$D$1272,$A103)&gt;=_xlfn.MAXIFS('All Units'!$Q$5:$Q$1272,'All Units'!$G$5:$G$1272,678,'All Units'!$H$5:$H$1272,"Classic",'All Units'!$D$5:$D$1272,$A103)+Assumptions!$C$6,"OK","CHECK"))</f>
        <v>OK</v>
      </c>
      <c r="C103" s="14" t="str">
        <f>IF(OR(COUNTIFS('All Units'!$G$5:$G$1272,732,'All Units'!$H$5:$H$1272,"Classic",'All Units'!$D$5:$D$1272,$A103)=0,COUNTIFS('All Units'!$G$5:$G$1272,732,'All Units'!$H$5:$H$1272,"Luxury",'All Units'!$D$5:$D$1272,$A103)=0),"",IF(_xlfn.MINIFS('All Units'!$Q$5:$Q$1272,'All Units'!$G$5:$G$1272,732,'All Units'!$H$5:$H$1272,"Luxury",'All Units'!$D$5:$D$1272,$A103)&gt;=_xlfn.MAXIFS('All Units'!$Q$5:$Q$1272,'All Units'!$G$5:$G$1272,732,'All Units'!$H$5:$H$1272,"Classic",'All Units'!$D$5:$D$1272,$A103)+Assumptions!$C$6,"OK","CHECK"))</f>
        <v>OK</v>
      </c>
      <c r="D103" s="14" t="str">
        <f>IF(OR(COUNTIFS('All Units'!$G$5:$G$1272,775,'All Units'!$H$5:$H$1272,"Classic",'All Units'!$D$5:$D$1272,$A103)=0,COUNTIFS('All Units'!$G$5:$G$1272,775,'All Units'!$H$5:$H$1272,"Luxury",'All Units'!$D$5:$D$1272,$A103)=0),"",IF(_xlfn.MINIFS('All Units'!$Q$5:$Q$1272,'All Units'!$G$5:$G$1272,775,'All Units'!$H$5:$H$1272,"Luxury",'All Units'!$D$5:$D$1272,$A103)&gt;=_xlfn.MAXIFS('All Units'!$Q$5:$Q$1272,'All Units'!$G$5:$G$1272,775,'All Units'!$H$5:$H$1272,"Classic",'All Units'!$D$5:$D$1272,$A103)+Assumptions!$C$6,"OK","CHECK"))</f>
        <v>OK</v>
      </c>
      <c r="E103" s="14" t="str">
        <f>IF(OR(COUNTIFS('All Units'!$G$5:$G$1272,947,'All Units'!$H$5:$H$1272,"Classic",'All Units'!$D$5:$D$1272,$A103)=0,COUNTIFS('All Units'!$G$5:$G$1272,947,'All Units'!$H$5:$H$1272,"Luxury",'All Units'!$D$5:$D$1272,$A103)=0),"",IF(_xlfn.MINIFS('All Units'!$Q$5:$Q$1272,'All Units'!$G$5:$G$1272,947,'All Units'!$H$5:$H$1272,"Luxury",'All Units'!$D$5:$D$1272,$A103)&gt;=_xlfn.MAXIFS('All Units'!$Q$5:$Q$1272,'All Units'!$G$5:$G$1272,947,'All Units'!$H$5:$H$1272,"Classic",'All Units'!$D$5:$D$1272,$A103)+Assumptions!$C$6,"OK","CHECK"))</f>
        <v>OK</v>
      </c>
      <c r="F103" s="14" t="str">
        <f>IF(OR(COUNTIFS('All Units'!$G$5:$G$1272,1055,'All Units'!$H$5:$H$1272,"Classic",'All Units'!$D$5:$D$1272,$A103)=0,COUNTIFS('All Units'!$G$5:$G$1272,1055,'All Units'!$H$5:$H$1272,"Luxury",'All Units'!$D$5:$D$1272,$A103)=0),"",IF(_xlfn.MINIFS('All Units'!$Q$5:$Q$1272,'All Units'!$G$5:$G$1272,1055,'All Units'!$H$5:$H$1272,"Luxury",'All Units'!$D$5:$D$1272,$A103)&gt;=_xlfn.MAXIFS('All Units'!$Q$5:$Q$1272,'All Units'!$G$5:$G$1272,1055,'All Units'!$H$5:$H$1272,"Classic",'All Units'!$D$5:$D$1272,$A103)+Assumptions!$C$6,"OK","CHECK"))</f>
        <v>OK</v>
      </c>
      <c r="G103" s="14" t="str">
        <f>IF(OR(COUNTIFS('All Units'!$G$5:$G$1272,1238,'All Units'!$H$5:$H$1272,"Classic",'All Units'!$D$5:$D$1272,$A103)=0,COUNTIFS('All Units'!$G$5:$G$1272,1238,'All Units'!$H$5:$H$1272,"Luxury",'All Units'!$D$5:$D$1272,$A103)=0),"",IF(_xlfn.MINIFS('All Units'!$Q$5:$Q$1272,'All Units'!$G$5:$G$1272,1238,'All Units'!$H$5:$H$1272,"Luxury",'All Units'!$D$5:$D$1272,$A103)&gt;=_xlfn.MAXIFS('All Units'!$Q$5:$Q$1272,'All Units'!$G$5:$G$1272,1238,'All Units'!$H$5:$H$1272,"Classic",'All Units'!$D$5:$D$1272,$A103)+Assumptions!$C$6,"OK","CHECK"))</f>
        <v>OK</v>
      </c>
    </row>
    <row r="104" spans="1:7" x14ac:dyDescent="0.2">
      <c r="A104" s="91">
        <v>11</v>
      </c>
      <c r="B104" s="14" t="str">
        <f>IF(OR(COUNTIFS('All Units'!$G$5:$G$1272,678,'All Units'!$H$5:$H$1272,"Classic",'All Units'!$D$5:$D$1272,$A104)=0,COUNTIFS('All Units'!$G$5:$G$1272,678,'All Units'!$H$5:$H$1272,"Luxury",'All Units'!$D$5:$D$1272,$A104)=0),"",IF(_xlfn.MINIFS('All Units'!$Q$5:$Q$1272,'All Units'!$G$5:$G$1272,678,'All Units'!$H$5:$H$1272,"Luxury",'All Units'!$D$5:$D$1272,$A104)&gt;=_xlfn.MAXIFS('All Units'!$Q$5:$Q$1272,'All Units'!$G$5:$G$1272,678,'All Units'!$H$5:$H$1272,"Classic",'All Units'!$D$5:$D$1272,$A104)+Assumptions!$C$6,"OK","CHECK"))</f>
        <v>OK</v>
      </c>
      <c r="C104" s="14" t="str">
        <f>IF(OR(COUNTIFS('All Units'!$G$5:$G$1272,732,'All Units'!$H$5:$H$1272,"Classic",'All Units'!$D$5:$D$1272,$A104)=0,COUNTIFS('All Units'!$G$5:$G$1272,732,'All Units'!$H$5:$H$1272,"Luxury",'All Units'!$D$5:$D$1272,$A104)=0),"",IF(_xlfn.MINIFS('All Units'!$Q$5:$Q$1272,'All Units'!$G$5:$G$1272,732,'All Units'!$H$5:$H$1272,"Luxury",'All Units'!$D$5:$D$1272,$A104)&gt;=_xlfn.MAXIFS('All Units'!$Q$5:$Q$1272,'All Units'!$G$5:$G$1272,732,'All Units'!$H$5:$H$1272,"Classic",'All Units'!$D$5:$D$1272,$A104)+Assumptions!$C$6,"OK","CHECK"))</f>
        <v>OK</v>
      </c>
      <c r="D104" s="14" t="str">
        <f>IF(OR(COUNTIFS('All Units'!$G$5:$G$1272,775,'All Units'!$H$5:$H$1272,"Classic",'All Units'!$D$5:$D$1272,$A104)=0,COUNTIFS('All Units'!$G$5:$G$1272,775,'All Units'!$H$5:$H$1272,"Luxury",'All Units'!$D$5:$D$1272,$A104)=0),"",IF(_xlfn.MINIFS('All Units'!$Q$5:$Q$1272,'All Units'!$G$5:$G$1272,775,'All Units'!$H$5:$H$1272,"Luxury",'All Units'!$D$5:$D$1272,$A104)&gt;=_xlfn.MAXIFS('All Units'!$Q$5:$Q$1272,'All Units'!$G$5:$G$1272,775,'All Units'!$H$5:$H$1272,"Classic",'All Units'!$D$5:$D$1272,$A104)+Assumptions!$C$6,"OK","CHECK"))</f>
        <v>OK</v>
      </c>
      <c r="E104" s="14" t="str">
        <f>IF(OR(COUNTIFS('All Units'!$G$5:$G$1272,947,'All Units'!$H$5:$H$1272,"Classic",'All Units'!$D$5:$D$1272,$A104)=0,COUNTIFS('All Units'!$G$5:$G$1272,947,'All Units'!$H$5:$H$1272,"Luxury",'All Units'!$D$5:$D$1272,$A104)=0),"",IF(_xlfn.MINIFS('All Units'!$Q$5:$Q$1272,'All Units'!$G$5:$G$1272,947,'All Units'!$H$5:$H$1272,"Luxury",'All Units'!$D$5:$D$1272,$A104)&gt;=_xlfn.MAXIFS('All Units'!$Q$5:$Q$1272,'All Units'!$G$5:$G$1272,947,'All Units'!$H$5:$H$1272,"Classic",'All Units'!$D$5:$D$1272,$A104)+Assumptions!$C$6,"OK","CHECK"))</f>
        <v>OK</v>
      </c>
      <c r="F104" s="14" t="str">
        <f>IF(OR(COUNTIFS('All Units'!$G$5:$G$1272,1055,'All Units'!$H$5:$H$1272,"Classic",'All Units'!$D$5:$D$1272,$A104)=0,COUNTIFS('All Units'!$G$5:$G$1272,1055,'All Units'!$H$5:$H$1272,"Luxury",'All Units'!$D$5:$D$1272,$A104)=0),"",IF(_xlfn.MINIFS('All Units'!$Q$5:$Q$1272,'All Units'!$G$5:$G$1272,1055,'All Units'!$H$5:$H$1272,"Luxury",'All Units'!$D$5:$D$1272,$A104)&gt;=_xlfn.MAXIFS('All Units'!$Q$5:$Q$1272,'All Units'!$G$5:$G$1272,1055,'All Units'!$H$5:$H$1272,"Classic",'All Units'!$D$5:$D$1272,$A104)+Assumptions!$C$6,"OK","CHECK"))</f>
        <v>OK</v>
      </c>
      <c r="G104" s="14" t="str">
        <f>IF(OR(COUNTIFS('All Units'!$G$5:$G$1272,1238,'All Units'!$H$5:$H$1272,"Classic",'All Units'!$D$5:$D$1272,$A104)=0,COUNTIFS('All Units'!$G$5:$G$1272,1238,'All Units'!$H$5:$H$1272,"Luxury",'All Units'!$D$5:$D$1272,$A104)=0),"",IF(_xlfn.MINIFS('All Units'!$Q$5:$Q$1272,'All Units'!$G$5:$G$1272,1238,'All Units'!$H$5:$H$1272,"Luxury",'All Units'!$D$5:$D$1272,$A104)&gt;=_xlfn.MAXIFS('All Units'!$Q$5:$Q$1272,'All Units'!$G$5:$G$1272,1238,'All Units'!$H$5:$H$1272,"Classic",'All Units'!$D$5:$D$1272,$A104)+Assumptions!$C$6,"OK","CHECK"))</f>
        <v>OK</v>
      </c>
    </row>
    <row r="105" spans="1:7" x14ac:dyDescent="0.2">
      <c r="A105" s="91">
        <v>12</v>
      </c>
      <c r="B105" s="14" t="str">
        <f>IF(OR(COUNTIFS('All Units'!$G$5:$G$1272,678,'All Units'!$H$5:$H$1272,"Classic",'All Units'!$D$5:$D$1272,$A105)=0,COUNTIFS('All Units'!$G$5:$G$1272,678,'All Units'!$H$5:$H$1272,"Luxury",'All Units'!$D$5:$D$1272,$A105)=0),"",IF(_xlfn.MINIFS('All Units'!$Q$5:$Q$1272,'All Units'!$G$5:$G$1272,678,'All Units'!$H$5:$H$1272,"Luxury",'All Units'!$D$5:$D$1272,$A105)&gt;=_xlfn.MAXIFS('All Units'!$Q$5:$Q$1272,'All Units'!$G$5:$G$1272,678,'All Units'!$H$5:$H$1272,"Classic",'All Units'!$D$5:$D$1272,$A105)+Assumptions!$C$6,"OK","CHECK"))</f>
        <v>OK</v>
      </c>
      <c r="C105" s="14" t="str">
        <f>IF(OR(COUNTIFS('All Units'!$G$5:$G$1272,732,'All Units'!$H$5:$H$1272,"Classic",'All Units'!$D$5:$D$1272,$A105)=0,COUNTIFS('All Units'!$G$5:$G$1272,732,'All Units'!$H$5:$H$1272,"Luxury",'All Units'!$D$5:$D$1272,$A105)=0),"",IF(_xlfn.MINIFS('All Units'!$Q$5:$Q$1272,'All Units'!$G$5:$G$1272,732,'All Units'!$H$5:$H$1272,"Luxury",'All Units'!$D$5:$D$1272,$A105)&gt;=_xlfn.MAXIFS('All Units'!$Q$5:$Q$1272,'All Units'!$G$5:$G$1272,732,'All Units'!$H$5:$H$1272,"Classic",'All Units'!$D$5:$D$1272,$A105)+Assumptions!$C$6,"OK","CHECK"))</f>
        <v>OK</v>
      </c>
      <c r="D105" s="14" t="str">
        <f>IF(OR(COUNTIFS('All Units'!$G$5:$G$1272,775,'All Units'!$H$5:$H$1272,"Classic",'All Units'!$D$5:$D$1272,$A105)=0,COUNTIFS('All Units'!$G$5:$G$1272,775,'All Units'!$H$5:$H$1272,"Luxury",'All Units'!$D$5:$D$1272,$A105)=0),"",IF(_xlfn.MINIFS('All Units'!$Q$5:$Q$1272,'All Units'!$G$5:$G$1272,775,'All Units'!$H$5:$H$1272,"Luxury",'All Units'!$D$5:$D$1272,$A105)&gt;=_xlfn.MAXIFS('All Units'!$Q$5:$Q$1272,'All Units'!$G$5:$G$1272,775,'All Units'!$H$5:$H$1272,"Classic",'All Units'!$D$5:$D$1272,$A105)+Assumptions!$C$6,"OK","CHECK"))</f>
        <v>OK</v>
      </c>
      <c r="E105" s="14" t="str">
        <f>IF(OR(COUNTIFS('All Units'!$G$5:$G$1272,947,'All Units'!$H$5:$H$1272,"Classic",'All Units'!$D$5:$D$1272,$A105)=0,COUNTIFS('All Units'!$G$5:$G$1272,947,'All Units'!$H$5:$H$1272,"Luxury",'All Units'!$D$5:$D$1272,$A105)=0),"",IF(_xlfn.MINIFS('All Units'!$Q$5:$Q$1272,'All Units'!$G$5:$G$1272,947,'All Units'!$H$5:$H$1272,"Luxury",'All Units'!$D$5:$D$1272,$A105)&gt;=_xlfn.MAXIFS('All Units'!$Q$5:$Q$1272,'All Units'!$G$5:$G$1272,947,'All Units'!$H$5:$H$1272,"Classic",'All Units'!$D$5:$D$1272,$A105)+Assumptions!$C$6,"OK","CHECK"))</f>
        <v>OK</v>
      </c>
      <c r="F105" s="14" t="str">
        <f>IF(OR(COUNTIFS('All Units'!$G$5:$G$1272,1055,'All Units'!$H$5:$H$1272,"Classic",'All Units'!$D$5:$D$1272,$A105)=0,COUNTIFS('All Units'!$G$5:$G$1272,1055,'All Units'!$H$5:$H$1272,"Luxury",'All Units'!$D$5:$D$1272,$A105)=0),"",IF(_xlfn.MINIFS('All Units'!$Q$5:$Q$1272,'All Units'!$G$5:$G$1272,1055,'All Units'!$H$5:$H$1272,"Luxury",'All Units'!$D$5:$D$1272,$A105)&gt;=_xlfn.MAXIFS('All Units'!$Q$5:$Q$1272,'All Units'!$G$5:$G$1272,1055,'All Units'!$H$5:$H$1272,"Classic",'All Units'!$D$5:$D$1272,$A105)+Assumptions!$C$6,"OK","CHECK"))</f>
        <v>OK</v>
      </c>
      <c r="G105" s="14" t="str">
        <f>IF(OR(COUNTIFS('All Units'!$G$5:$G$1272,1238,'All Units'!$H$5:$H$1272,"Classic",'All Units'!$D$5:$D$1272,$A105)=0,COUNTIFS('All Units'!$G$5:$G$1272,1238,'All Units'!$H$5:$H$1272,"Luxury",'All Units'!$D$5:$D$1272,$A105)=0),"",IF(_xlfn.MINIFS('All Units'!$Q$5:$Q$1272,'All Units'!$G$5:$G$1272,1238,'All Units'!$H$5:$H$1272,"Luxury",'All Units'!$D$5:$D$1272,$A105)&gt;=_xlfn.MAXIFS('All Units'!$Q$5:$Q$1272,'All Units'!$G$5:$G$1272,1238,'All Units'!$H$5:$H$1272,"Classic",'All Units'!$D$5:$D$1272,$A105)+Assumptions!$C$6,"OK","CHECK"))</f>
        <v>OK</v>
      </c>
    </row>
    <row r="106" spans="1:7" x14ac:dyDescent="0.2">
      <c r="A106" s="91">
        <v>13</v>
      </c>
      <c r="B106" s="14" t="str">
        <f>IF(OR(COUNTIFS('All Units'!$G$5:$G$1272,678,'All Units'!$H$5:$H$1272,"Classic",'All Units'!$D$5:$D$1272,$A106)=0,COUNTIFS('All Units'!$G$5:$G$1272,678,'All Units'!$H$5:$H$1272,"Luxury",'All Units'!$D$5:$D$1272,$A106)=0),"",IF(_xlfn.MINIFS('All Units'!$Q$5:$Q$1272,'All Units'!$G$5:$G$1272,678,'All Units'!$H$5:$H$1272,"Luxury",'All Units'!$D$5:$D$1272,$A106)&gt;=_xlfn.MAXIFS('All Units'!$Q$5:$Q$1272,'All Units'!$G$5:$G$1272,678,'All Units'!$H$5:$H$1272,"Classic",'All Units'!$D$5:$D$1272,$A106)+Assumptions!$C$6,"OK","CHECK"))</f>
        <v>OK</v>
      </c>
      <c r="C106" s="14" t="str">
        <f>IF(OR(COUNTIFS('All Units'!$G$5:$G$1272,732,'All Units'!$H$5:$H$1272,"Classic",'All Units'!$D$5:$D$1272,$A106)=0,COUNTIFS('All Units'!$G$5:$G$1272,732,'All Units'!$H$5:$H$1272,"Luxury",'All Units'!$D$5:$D$1272,$A106)=0),"",IF(_xlfn.MINIFS('All Units'!$Q$5:$Q$1272,'All Units'!$G$5:$G$1272,732,'All Units'!$H$5:$H$1272,"Luxury",'All Units'!$D$5:$D$1272,$A106)&gt;=_xlfn.MAXIFS('All Units'!$Q$5:$Q$1272,'All Units'!$G$5:$G$1272,732,'All Units'!$H$5:$H$1272,"Classic",'All Units'!$D$5:$D$1272,$A106)+Assumptions!$C$6,"OK","CHECK"))</f>
        <v>OK</v>
      </c>
      <c r="D106" s="14" t="str">
        <f>IF(OR(COUNTIFS('All Units'!$G$5:$G$1272,775,'All Units'!$H$5:$H$1272,"Classic",'All Units'!$D$5:$D$1272,$A106)=0,COUNTIFS('All Units'!$G$5:$G$1272,775,'All Units'!$H$5:$H$1272,"Luxury",'All Units'!$D$5:$D$1272,$A106)=0),"",IF(_xlfn.MINIFS('All Units'!$Q$5:$Q$1272,'All Units'!$G$5:$G$1272,775,'All Units'!$H$5:$H$1272,"Luxury",'All Units'!$D$5:$D$1272,$A106)&gt;=_xlfn.MAXIFS('All Units'!$Q$5:$Q$1272,'All Units'!$G$5:$G$1272,775,'All Units'!$H$5:$H$1272,"Classic",'All Units'!$D$5:$D$1272,$A106)+Assumptions!$C$6,"OK","CHECK"))</f>
        <v>OK</v>
      </c>
      <c r="E106" s="14" t="str">
        <f>IF(OR(COUNTIFS('All Units'!$G$5:$G$1272,947,'All Units'!$H$5:$H$1272,"Classic",'All Units'!$D$5:$D$1272,$A106)=0,COUNTIFS('All Units'!$G$5:$G$1272,947,'All Units'!$H$5:$H$1272,"Luxury",'All Units'!$D$5:$D$1272,$A106)=0),"",IF(_xlfn.MINIFS('All Units'!$Q$5:$Q$1272,'All Units'!$G$5:$G$1272,947,'All Units'!$H$5:$H$1272,"Luxury",'All Units'!$D$5:$D$1272,$A106)&gt;=_xlfn.MAXIFS('All Units'!$Q$5:$Q$1272,'All Units'!$G$5:$G$1272,947,'All Units'!$H$5:$H$1272,"Classic",'All Units'!$D$5:$D$1272,$A106)+Assumptions!$C$6,"OK","CHECK"))</f>
        <v>OK</v>
      </c>
      <c r="F106" s="14" t="str">
        <f>IF(OR(COUNTIFS('All Units'!$G$5:$G$1272,1055,'All Units'!$H$5:$H$1272,"Classic",'All Units'!$D$5:$D$1272,$A106)=0,COUNTIFS('All Units'!$G$5:$G$1272,1055,'All Units'!$H$5:$H$1272,"Luxury",'All Units'!$D$5:$D$1272,$A106)=0),"",IF(_xlfn.MINIFS('All Units'!$Q$5:$Q$1272,'All Units'!$G$5:$G$1272,1055,'All Units'!$H$5:$H$1272,"Luxury",'All Units'!$D$5:$D$1272,$A106)&gt;=_xlfn.MAXIFS('All Units'!$Q$5:$Q$1272,'All Units'!$G$5:$G$1272,1055,'All Units'!$H$5:$H$1272,"Classic",'All Units'!$D$5:$D$1272,$A106)+Assumptions!$C$6,"OK","CHECK"))</f>
        <v>OK</v>
      </c>
      <c r="G106" s="14" t="str">
        <f>IF(OR(COUNTIFS('All Units'!$G$5:$G$1272,1238,'All Units'!$H$5:$H$1272,"Classic",'All Units'!$D$5:$D$1272,$A106)=0,COUNTIFS('All Units'!$G$5:$G$1272,1238,'All Units'!$H$5:$H$1272,"Luxury",'All Units'!$D$5:$D$1272,$A106)=0),"",IF(_xlfn.MINIFS('All Units'!$Q$5:$Q$1272,'All Units'!$G$5:$G$1272,1238,'All Units'!$H$5:$H$1272,"Luxury",'All Units'!$D$5:$D$1272,$A106)&gt;=_xlfn.MAXIFS('All Units'!$Q$5:$Q$1272,'All Units'!$G$5:$G$1272,1238,'All Units'!$H$5:$H$1272,"Classic",'All Units'!$D$5:$D$1272,$A106)+Assumptions!$C$6,"OK","CHECK"))</f>
        <v>OK</v>
      </c>
    </row>
    <row r="107" spans="1:7" x14ac:dyDescent="0.2">
      <c r="A107" s="91">
        <v>14</v>
      </c>
      <c r="B107" s="14" t="str">
        <f>IF(OR(COUNTIFS('All Units'!$G$5:$G$1272,678,'All Units'!$H$5:$H$1272,"Classic",'All Units'!$D$5:$D$1272,$A107)=0,COUNTIFS('All Units'!$G$5:$G$1272,678,'All Units'!$H$5:$H$1272,"Luxury",'All Units'!$D$5:$D$1272,$A107)=0),"",IF(_xlfn.MINIFS('All Units'!$Q$5:$Q$1272,'All Units'!$G$5:$G$1272,678,'All Units'!$H$5:$H$1272,"Luxury",'All Units'!$D$5:$D$1272,$A107)&gt;=_xlfn.MAXIFS('All Units'!$Q$5:$Q$1272,'All Units'!$G$5:$G$1272,678,'All Units'!$H$5:$H$1272,"Classic",'All Units'!$D$5:$D$1272,$A107)+Assumptions!$C$6,"OK","CHECK"))</f>
        <v>OK</v>
      </c>
      <c r="C107" s="14" t="str">
        <f>IF(OR(COUNTIFS('All Units'!$G$5:$G$1272,732,'All Units'!$H$5:$H$1272,"Classic",'All Units'!$D$5:$D$1272,$A107)=0,COUNTIFS('All Units'!$G$5:$G$1272,732,'All Units'!$H$5:$H$1272,"Luxury",'All Units'!$D$5:$D$1272,$A107)=0),"",IF(_xlfn.MINIFS('All Units'!$Q$5:$Q$1272,'All Units'!$G$5:$G$1272,732,'All Units'!$H$5:$H$1272,"Luxury",'All Units'!$D$5:$D$1272,$A107)&gt;=_xlfn.MAXIFS('All Units'!$Q$5:$Q$1272,'All Units'!$G$5:$G$1272,732,'All Units'!$H$5:$H$1272,"Classic",'All Units'!$D$5:$D$1272,$A107)+Assumptions!$C$6,"OK","CHECK"))</f>
        <v>OK</v>
      </c>
      <c r="D107" s="14" t="str">
        <f>IF(OR(COUNTIFS('All Units'!$G$5:$G$1272,775,'All Units'!$H$5:$H$1272,"Classic",'All Units'!$D$5:$D$1272,$A107)=0,COUNTIFS('All Units'!$G$5:$G$1272,775,'All Units'!$H$5:$H$1272,"Luxury",'All Units'!$D$5:$D$1272,$A107)=0),"",IF(_xlfn.MINIFS('All Units'!$Q$5:$Q$1272,'All Units'!$G$5:$G$1272,775,'All Units'!$H$5:$H$1272,"Luxury",'All Units'!$D$5:$D$1272,$A107)&gt;=_xlfn.MAXIFS('All Units'!$Q$5:$Q$1272,'All Units'!$G$5:$G$1272,775,'All Units'!$H$5:$H$1272,"Classic",'All Units'!$D$5:$D$1272,$A107)+Assumptions!$C$6,"OK","CHECK"))</f>
        <v>OK</v>
      </c>
      <c r="E107" s="14" t="str">
        <f>IF(OR(COUNTIFS('All Units'!$G$5:$G$1272,947,'All Units'!$H$5:$H$1272,"Classic",'All Units'!$D$5:$D$1272,$A107)=0,COUNTIFS('All Units'!$G$5:$G$1272,947,'All Units'!$H$5:$H$1272,"Luxury",'All Units'!$D$5:$D$1272,$A107)=0),"",IF(_xlfn.MINIFS('All Units'!$Q$5:$Q$1272,'All Units'!$G$5:$G$1272,947,'All Units'!$H$5:$H$1272,"Luxury",'All Units'!$D$5:$D$1272,$A107)&gt;=_xlfn.MAXIFS('All Units'!$Q$5:$Q$1272,'All Units'!$G$5:$G$1272,947,'All Units'!$H$5:$H$1272,"Classic",'All Units'!$D$5:$D$1272,$A107)+Assumptions!$C$6,"OK","CHECK"))</f>
        <v>OK</v>
      </c>
      <c r="F107" s="14" t="str">
        <f>IF(OR(COUNTIFS('All Units'!$G$5:$G$1272,1055,'All Units'!$H$5:$H$1272,"Classic",'All Units'!$D$5:$D$1272,$A107)=0,COUNTIFS('All Units'!$G$5:$G$1272,1055,'All Units'!$H$5:$H$1272,"Luxury",'All Units'!$D$5:$D$1272,$A107)=0),"",IF(_xlfn.MINIFS('All Units'!$Q$5:$Q$1272,'All Units'!$G$5:$G$1272,1055,'All Units'!$H$5:$H$1272,"Luxury",'All Units'!$D$5:$D$1272,$A107)&gt;=_xlfn.MAXIFS('All Units'!$Q$5:$Q$1272,'All Units'!$G$5:$G$1272,1055,'All Units'!$H$5:$H$1272,"Classic",'All Units'!$D$5:$D$1272,$A107)+Assumptions!$C$6,"OK","CHECK"))</f>
        <v>OK</v>
      </c>
      <c r="G107" s="14" t="str">
        <f>IF(OR(COUNTIFS('All Units'!$G$5:$G$1272,1238,'All Units'!$H$5:$H$1272,"Classic",'All Units'!$D$5:$D$1272,$A107)=0,COUNTIFS('All Units'!$G$5:$G$1272,1238,'All Units'!$H$5:$H$1272,"Luxury",'All Units'!$D$5:$D$1272,$A107)=0),"",IF(_xlfn.MINIFS('All Units'!$Q$5:$Q$1272,'All Units'!$G$5:$G$1272,1238,'All Units'!$H$5:$H$1272,"Luxury",'All Units'!$D$5:$D$1272,$A107)&gt;=_xlfn.MAXIFS('All Units'!$Q$5:$Q$1272,'All Units'!$G$5:$G$1272,1238,'All Units'!$H$5:$H$1272,"Classic",'All Units'!$D$5:$D$1272,$A107)+Assumptions!$C$6,"OK","CHECK"))</f>
        <v>OK</v>
      </c>
    </row>
    <row r="108" spans="1:7" x14ac:dyDescent="0.2">
      <c r="A108" s="91">
        <v>15</v>
      </c>
      <c r="B108" s="14" t="str">
        <f>IF(OR(COUNTIFS('All Units'!$G$5:$G$1272,678,'All Units'!$H$5:$H$1272,"Classic",'All Units'!$D$5:$D$1272,$A108)=0,COUNTIFS('All Units'!$G$5:$G$1272,678,'All Units'!$H$5:$H$1272,"Luxury",'All Units'!$D$5:$D$1272,$A108)=0),"",IF(_xlfn.MINIFS('All Units'!$Q$5:$Q$1272,'All Units'!$G$5:$G$1272,678,'All Units'!$H$5:$H$1272,"Luxury",'All Units'!$D$5:$D$1272,$A108)&gt;=_xlfn.MAXIFS('All Units'!$Q$5:$Q$1272,'All Units'!$G$5:$G$1272,678,'All Units'!$H$5:$H$1272,"Classic",'All Units'!$D$5:$D$1272,$A108)+Assumptions!$C$6,"OK","CHECK"))</f>
        <v>OK</v>
      </c>
      <c r="C108" s="14" t="str">
        <f>IF(OR(COUNTIFS('All Units'!$G$5:$G$1272,732,'All Units'!$H$5:$H$1272,"Classic",'All Units'!$D$5:$D$1272,$A108)=0,COUNTIFS('All Units'!$G$5:$G$1272,732,'All Units'!$H$5:$H$1272,"Luxury",'All Units'!$D$5:$D$1272,$A108)=0),"",IF(_xlfn.MINIFS('All Units'!$Q$5:$Q$1272,'All Units'!$G$5:$G$1272,732,'All Units'!$H$5:$H$1272,"Luxury",'All Units'!$D$5:$D$1272,$A108)&gt;=_xlfn.MAXIFS('All Units'!$Q$5:$Q$1272,'All Units'!$G$5:$G$1272,732,'All Units'!$H$5:$H$1272,"Classic",'All Units'!$D$5:$D$1272,$A108)+Assumptions!$C$6,"OK","CHECK"))</f>
        <v>OK</v>
      </c>
      <c r="D108" s="14" t="str">
        <f>IF(OR(COUNTIFS('All Units'!$G$5:$G$1272,775,'All Units'!$H$5:$H$1272,"Classic",'All Units'!$D$5:$D$1272,$A108)=0,COUNTIFS('All Units'!$G$5:$G$1272,775,'All Units'!$H$5:$H$1272,"Luxury",'All Units'!$D$5:$D$1272,$A108)=0),"",IF(_xlfn.MINIFS('All Units'!$Q$5:$Q$1272,'All Units'!$G$5:$G$1272,775,'All Units'!$H$5:$H$1272,"Luxury",'All Units'!$D$5:$D$1272,$A108)&gt;=_xlfn.MAXIFS('All Units'!$Q$5:$Q$1272,'All Units'!$G$5:$G$1272,775,'All Units'!$H$5:$H$1272,"Classic",'All Units'!$D$5:$D$1272,$A108)+Assumptions!$C$6,"OK","CHECK"))</f>
        <v>OK</v>
      </c>
      <c r="E108" s="14" t="str">
        <f>IF(OR(COUNTIFS('All Units'!$G$5:$G$1272,947,'All Units'!$H$5:$H$1272,"Classic",'All Units'!$D$5:$D$1272,$A108)=0,COUNTIFS('All Units'!$G$5:$G$1272,947,'All Units'!$H$5:$H$1272,"Luxury",'All Units'!$D$5:$D$1272,$A108)=0),"",IF(_xlfn.MINIFS('All Units'!$Q$5:$Q$1272,'All Units'!$G$5:$G$1272,947,'All Units'!$H$5:$H$1272,"Luxury",'All Units'!$D$5:$D$1272,$A108)&gt;=_xlfn.MAXIFS('All Units'!$Q$5:$Q$1272,'All Units'!$G$5:$G$1272,947,'All Units'!$H$5:$H$1272,"Classic",'All Units'!$D$5:$D$1272,$A108)+Assumptions!$C$6,"OK","CHECK"))</f>
        <v>OK</v>
      </c>
      <c r="F108" s="14" t="str">
        <f>IF(OR(COUNTIFS('All Units'!$G$5:$G$1272,1055,'All Units'!$H$5:$H$1272,"Classic",'All Units'!$D$5:$D$1272,$A108)=0,COUNTIFS('All Units'!$G$5:$G$1272,1055,'All Units'!$H$5:$H$1272,"Luxury",'All Units'!$D$5:$D$1272,$A108)=0),"",IF(_xlfn.MINIFS('All Units'!$Q$5:$Q$1272,'All Units'!$G$5:$G$1272,1055,'All Units'!$H$5:$H$1272,"Luxury",'All Units'!$D$5:$D$1272,$A108)&gt;=_xlfn.MAXIFS('All Units'!$Q$5:$Q$1272,'All Units'!$G$5:$G$1272,1055,'All Units'!$H$5:$H$1272,"Classic",'All Units'!$D$5:$D$1272,$A108)+Assumptions!$C$6,"OK","CHECK"))</f>
        <v>OK</v>
      </c>
      <c r="G108" s="14" t="str">
        <f>IF(OR(COUNTIFS('All Units'!$G$5:$G$1272,1238,'All Units'!$H$5:$H$1272,"Classic",'All Units'!$D$5:$D$1272,$A108)=0,COUNTIFS('All Units'!$G$5:$G$1272,1238,'All Units'!$H$5:$H$1272,"Luxury",'All Units'!$D$5:$D$1272,$A108)=0),"",IF(_xlfn.MINIFS('All Units'!$Q$5:$Q$1272,'All Units'!$G$5:$G$1272,1238,'All Units'!$H$5:$H$1272,"Luxury",'All Units'!$D$5:$D$1272,$A108)&gt;=_xlfn.MAXIFS('All Units'!$Q$5:$Q$1272,'All Units'!$G$5:$G$1272,1238,'All Units'!$H$5:$H$1272,"Classic",'All Units'!$D$5:$D$1272,$A108)+Assumptions!$C$6,"OK","CHECK"))</f>
        <v>OK</v>
      </c>
    </row>
    <row r="109" spans="1:7" x14ac:dyDescent="0.2">
      <c r="A109" s="91">
        <v>16</v>
      </c>
      <c r="B109" s="14" t="str">
        <f>IF(OR(COUNTIFS('All Units'!$G$5:$G$1272,678,'All Units'!$H$5:$H$1272,"Classic",'All Units'!$D$5:$D$1272,$A109)=0,COUNTIFS('All Units'!$G$5:$G$1272,678,'All Units'!$H$5:$H$1272,"Luxury",'All Units'!$D$5:$D$1272,$A109)=0),"",IF(_xlfn.MINIFS('All Units'!$Q$5:$Q$1272,'All Units'!$G$5:$G$1272,678,'All Units'!$H$5:$H$1272,"Luxury",'All Units'!$D$5:$D$1272,$A109)&gt;=_xlfn.MAXIFS('All Units'!$Q$5:$Q$1272,'All Units'!$G$5:$G$1272,678,'All Units'!$H$5:$H$1272,"Classic",'All Units'!$D$5:$D$1272,$A109)+Assumptions!$C$6,"OK","CHECK"))</f>
        <v>OK</v>
      </c>
      <c r="C109" s="14" t="str">
        <f>IF(OR(COUNTIFS('All Units'!$G$5:$G$1272,732,'All Units'!$H$5:$H$1272,"Classic",'All Units'!$D$5:$D$1272,$A109)=0,COUNTIFS('All Units'!$G$5:$G$1272,732,'All Units'!$H$5:$H$1272,"Luxury",'All Units'!$D$5:$D$1272,$A109)=0),"",IF(_xlfn.MINIFS('All Units'!$Q$5:$Q$1272,'All Units'!$G$5:$G$1272,732,'All Units'!$H$5:$H$1272,"Luxury",'All Units'!$D$5:$D$1272,$A109)&gt;=_xlfn.MAXIFS('All Units'!$Q$5:$Q$1272,'All Units'!$G$5:$G$1272,732,'All Units'!$H$5:$H$1272,"Classic",'All Units'!$D$5:$D$1272,$A109)+Assumptions!$C$6,"OK","CHECK"))</f>
        <v>OK</v>
      </c>
      <c r="D109" s="14" t="str">
        <f>IF(OR(COUNTIFS('All Units'!$G$5:$G$1272,775,'All Units'!$H$5:$H$1272,"Classic",'All Units'!$D$5:$D$1272,$A109)=0,COUNTIFS('All Units'!$G$5:$G$1272,775,'All Units'!$H$5:$H$1272,"Luxury",'All Units'!$D$5:$D$1272,$A109)=0),"",IF(_xlfn.MINIFS('All Units'!$Q$5:$Q$1272,'All Units'!$G$5:$G$1272,775,'All Units'!$H$5:$H$1272,"Luxury",'All Units'!$D$5:$D$1272,$A109)&gt;=_xlfn.MAXIFS('All Units'!$Q$5:$Q$1272,'All Units'!$G$5:$G$1272,775,'All Units'!$H$5:$H$1272,"Classic",'All Units'!$D$5:$D$1272,$A109)+Assumptions!$C$6,"OK","CHECK"))</f>
        <v>OK</v>
      </c>
      <c r="E109" s="14" t="str">
        <f>IF(OR(COUNTIFS('All Units'!$G$5:$G$1272,947,'All Units'!$H$5:$H$1272,"Classic",'All Units'!$D$5:$D$1272,$A109)=0,COUNTIFS('All Units'!$G$5:$G$1272,947,'All Units'!$H$5:$H$1272,"Luxury",'All Units'!$D$5:$D$1272,$A109)=0),"",IF(_xlfn.MINIFS('All Units'!$Q$5:$Q$1272,'All Units'!$G$5:$G$1272,947,'All Units'!$H$5:$H$1272,"Luxury",'All Units'!$D$5:$D$1272,$A109)&gt;=_xlfn.MAXIFS('All Units'!$Q$5:$Q$1272,'All Units'!$G$5:$G$1272,947,'All Units'!$H$5:$H$1272,"Classic",'All Units'!$D$5:$D$1272,$A109)+Assumptions!$C$6,"OK","CHECK"))</f>
        <v>OK</v>
      </c>
      <c r="F109" s="14" t="str">
        <f>IF(OR(COUNTIFS('All Units'!$G$5:$G$1272,1055,'All Units'!$H$5:$H$1272,"Classic",'All Units'!$D$5:$D$1272,$A109)=0,COUNTIFS('All Units'!$G$5:$G$1272,1055,'All Units'!$H$5:$H$1272,"Luxury",'All Units'!$D$5:$D$1272,$A109)=0),"",IF(_xlfn.MINIFS('All Units'!$Q$5:$Q$1272,'All Units'!$G$5:$G$1272,1055,'All Units'!$H$5:$H$1272,"Luxury",'All Units'!$D$5:$D$1272,$A109)&gt;=_xlfn.MAXIFS('All Units'!$Q$5:$Q$1272,'All Units'!$G$5:$G$1272,1055,'All Units'!$H$5:$H$1272,"Classic",'All Units'!$D$5:$D$1272,$A109)+Assumptions!$C$6,"OK","CHECK"))</f>
        <v>OK</v>
      </c>
      <c r="G109" s="14" t="str">
        <f>IF(OR(COUNTIFS('All Units'!$G$5:$G$1272,1238,'All Units'!$H$5:$H$1272,"Classic",'All Units'!$D$5:$D$1272,$A109)=0,COUNTIFS('All Units'!$G$5:$G$1272,1238,'All Units'!$H$5:$H$1272,"Luxury",'All Units'!$D$5:$D$1272,$A109)=0),"",IF(_xlfn.MINIFS('All Units'!$Q$5:$Q$1272,'All Units'!$G$5:$G$1272,1238,'All Units'!$H$5:$H$1272,"Luxury",'All Units'!$D$5:$D$1272,$A109)&gt;=_xlfn.MAXIFS('All Units'!$Q$5:$Q$1272,'All Units'!$G$5:$G$1272,1238,'All Units'!$H$5:$H$1272,"Classic",'All Units'!$D$5:$D$1272,$A109)+Assumptions!$C$6,"OK","CHECK"))</f>
        <v>OK</v>
      </c>
    </row>
    <row r="110" spans="1:7" x14ac:dyDescent="0.2">
      <c r="A110" s="91">
        <v>17</v>
      </c>
      <c r="B110" s="14" t="str">
        <f>IF(OR(COUNTIFS('All Units'!$G$5:$G$1272,678,'All Units'!$H$5:$H$1272,"Classic",'All Units'!$D$5:$D$1272,$A110)=0,COUNTIFS('All Units'!$G$5:$G$1272,678,'All Units'!$H$5:$H$1272,"Luxury",'All Units'!$D$5:$D$1272,$A110)=0),"",IF(_xlfn.MINIFS('All Units'!$Q$5:$Q$1272,'All Units'!$G$5:$G$1272,678,'All Units'!$H$5:$H$1272,"Luxury",'All Units'!$D$5:$D$1272,$A110)&gt;=_xlfn.MAXIFS('All Units'!$Q$5:$Q$1272,'All Units'!$G$5:$G$1272,678,'All Units'!$H$5:$H$1272,"Classic",'All Units'!$D$5:$D$1272,$A110)+Assumptions!$C$6,"OK","CHECK"))</f>
        <v>OK</v>
      </c>
      <c r="C110" s="14" t="str">
        <f>IF(OR(COUNTIFS('All Units'!$G$5:$G$1272,732,'All Units'!$H$5:$H$1272,"Classic",'All Units'!$D$5:$D$1272,$A110)=0,COUNTIFS('All Units'!$G$5:$G$1272,732,'All Units'!$H$5:$H$1272,"Luxury",'All Units'!$D$5:$D$1272,$A110)=0),"",IF(_xlfn.MINIFS('All Units'!$Q$5:$Q$1272,'All Units'!$G$5:$G$1272,732,'All Units'!$H$5:$H$1272,"Luxury",'All Units'!$D$5:$D$1272,$A110)&gt;=_xlfn.MAXIFS('All Units'!$Q$5:$Q$1272,'All Units'!$G$5:$G$1272,732,'All Units'!$H$5:$H$1272,"Classic",'All Units'!$D$5:$D$1272,$A110)+Assumptions!$C$6,"OK","CHECK"))</f>
        <v>OK</v>
      </c>
      <c r="D110" s="14" t="str">
        <f>IF(OR(COUNTIFS('All Units'!$G$5:$G$1272,775,'All Units'!$H$5:$H$1272,"Classic",'All Units'!$D$5:$D$1272,$A110)=0,COUNTIFS('All Units'!$G$5:$G$1272,775,'All Units'!$H$5:$H$1272,"Luxury",'All Units'!$D$5:$D$1272,$A110)=0),"",IF(_xlfn.MINIFS('All Units'!$Q$5:$Q$1272,'All Units'!$G$5:$G$1272,775,'All Units'!$H$5:$H$1272,"Luxury",'All Units'!$D$5:$D$1272,$A110)&gt;=_xlfn.MAXIFS('All Units'!$Q$5:$Q$1272,'All Units'!$G$5:$G$1272,775,'All Units'!$H$5:$H$1272,"Classic",'All Units'!$D$5:$D$1272,$A110)+Assumptions!$C$6,"OK","CHECK"))</f>
        <v>OK</v>
      </c>
      <c r="E110" s="14" t="str">
        <f>IF(OR(COUNTIFS('All Units'!$G$5:$G$1272,947,'All Units'!$H$5:$H$1272,"Classic",'All Units'!$D$5:$D$1272,$A110)=0,COUNTIFS('All Units'!$G$5:$G$1272,947,'All Units'!$H$5:$H$1272,"Luxury",'All Units'!$D$5:$D$1272,$A110)=0),"",IF(_xlfn.MINIFS('All Units'!$Q$5:$Q$1272,'All Units'!$G$5:$G$1272,947,'All Units'!$H$5:$H$1272,"Luxury",'All Units'!$D$5:$D$1272,$A110)&gt;=_xlfn.MAXIFS('All Units'!$Q$5:$Q$1272,'All Units'!$G$5:$G$1272,947,'All Units'!$H$5:$H$1272,"Classic",'All Units'!$D$5:$D$1272,$A110)+Assumptions!$C$6,"OK","CHECK"))</f>
        <v>OK</v>
      </c>
      <c r="F110" s="14" t="str">
        <f>IF(OR(COUNTIFS('All Units'!$G$5:$G$1272,1055,'All Units'!$H$5:$H$1272,"Classic",'All Units'!$D$5:$D$1272,$A110)=0,COUNTIFS('All Units'!$G$5:$G$1272,1055,'All Units'!$H$5:$H$1272,"Luxury",'All Units'!$D$5:$D$1272,$A110)=0),"",IF(_xlfn.MINIFS('All Units'!$Q$5:$Q$1272,'All Units'!$G$5:$G$1272,1055,'All Units'!$H$5:$H$1272,"Luxury",'All Units'!$D$5:$D$1272,$A110)&gt;=_xlfn.MAXIFS('All Units'!$Q$5:$Q$1272,'All Units'!$G$5:$G$1272,1055,'All Units'!$H$5:$H$1272,"Classic",'All Units'!$D$5:$D$1272,$A110)+Assumptions!$C$6,"OK","CHECK"))</f>
        <v>OK</v>
      </c>
      <c r="G110" s="14" t="str">
        <f>IF(OR(COUNTIFS('All Units'!$G$5:$G$1272,1238,'All Units'!$H$5:$H$1272,"Classic",'All Units'!$D$5:$D$1272,$A110)=0,COUNTIFS('All Units'!$G$5:$G$1272,1238,'All Units'!$H$5:$H$1272,"Luxury",'All Units'!$D$5:$D$1272,$A110)=0),"",IF(_xlfn.MINIFS('All Units'!$Q$5:$Q$1272,'All Units'!$G$5:$G$1272,1238,'All Units'!$H$5:$H$1272,"Luxury",'All Units'!$D$5:$D$1272,$A110)&gt;=_xlfn.MAXIFS('All Units'!$Q$5:$Q$1272,'All Units'!$G$5:$G$1272,1238,'All Units'!$H$5:$H$1272,"Classic",'All Units'!$D$5:$D$1272,$A110)+Assumptions!$C$6,"OK","CHECK"))</f>
        <v>OK</v>
      </c>
    </row>
    <row r="111" spans="1:7" x14ac:dyDescent="0.2">
      <c r="A111" s="91">
        <v>18</v>
      </c>
      <c r="B111" s="14" t="str">
        <f>IF(OR(COUNTIFS('All Units'!$G$5:$G$1272,678,'All Units'!$H$5:$H$1272,"Classic",'All Units'!$D$5:$D$1272,$A111)=0,COUNTIFS('All Units'!$G$5:$G$1272,678,'All Units'!$H$5:$H$1272,"Luxury",'All Units'!$D$5:$D$1272,$A111)=0),"",IF(_xlfn.MINIFS('All Units'!$Q$5:$Q$1272,'All Units'!$G$5:$G$1272,678,'All Units'!$H$5:$H$1272,"Luxury",'All Units'!$D$5:$D$1272,$A111)&gt;=_xlfn.MAXIFS('All Units'!$Q$5:$Q$1272,'All Units'!$G$5:$G$1272,678,'All Units'!$H$5:$H$1272,"Classic",'All Units'!$D$5:$D$1272,$A111)+Assumptions!$C$6,"OK","CHECK"))</f>
        <v>OK</v>
      </c>
      <c r="C111" s="14" t="str">
        <f>IF(OR(COUNTIFS('All Units'!$G$5:$G$1272,732,'All Units'!$H$5:$H$1272,"Classic",'All Units'!$D$5:$D$1272,$A111)=0,COUNTIFS('All Units'!$G$5:$G$1272,732,'All Units'!$H$5:$H$1272,"Luxury",'All Units'!$D$5:$D$1272,$A111)=0),"",IF(_xlfn.MINIFS('All Units'!$Q$5:$Q$1272,'All Units'!$G$5:$G$1272,732,'All Units'!$H$5:$H$1272,"Luxury",'All Units'!$D$5:$D$1272,$A111)&gt;=_xlfn.MAXIFS('All Units'!$Q$5:$Q$1272,'All Units'!$G$5:$G$1272,732,'All Units'!$H$5:$H$1272,"Classic",'All Units'!$D$5:$D$1272,$A111)+Assumptions!$C$6,"OK","CHECK"))</f>
        <v>OK</v>
      </c>
      <c r="D111" s="14" t="str">
        <f>IF(OR(COUNTIFS('All Units'!$G$5:$G$1272,775,'All Units'!$H$5:$H$1272,"Classic",'All Units'!$D$5:$D$1272,$A111)=0,COUNTIFS('All Units'!$G$5:$G$1272,775,'All Units'!$H$5:$H$1272,"Luxury",'All Units'!$D$5:$D$1272,$A111)=0),"",IF(_xlfn.MINIFS('All Units'!$Q$5:$Q$1272,'All Units'!$G$5:$G$1272,775,'All Units'!$H$5:$H$1272,"Luxury",'All Units'!$D$5:$D$1272,$A111)&gt;=_xlfn.MAXIFS('All Units'!$Q$5:$Q$1272,'All Units'!$G$5:$G$1272,775,'All Units'!$H$5:$H$1272,"Classic",'All Units'!$D$5:$D$1272,$A111)+Assumptions!$C$6,"OK","CHECK"))</f>
        <v>OK</v>
      </c>
      <c r="E111" s="14" t="str">
        <f>IF(OR(COUNTIFS('All Units'!$G$5:$G$1272,947,'All Units'!$H$5:$H$1272,"Classic",'All Units'!$D$5:$D$1272,$A111)=0,COUNTIFS('All Units'!$G$5:$G$1272,947,'All Units'!$H$5:$H$1272,"Luxury",'All Units'!$D$5:$D$1272,$A111)=0),"",IF(_xlfn.MINIFS('All Units'!$Q$5:$Q$1272,'All Units'!$G$5:$G$1272,947,'All Units'!$H$5:$H$1272,"Luxury",'All Units'!$D$5:$D$1272,$A111)&gt;=_xlfn.MAXIFS('All Units'!$Q$5:$Q$1272,'All Units'!$G$5:$G$1272,947,'All Units'!$H$5:$H$1272,"Classic",'All Units'!$D$5:$D$1272,$A111)+Assumptions!$C$6,"OK","CHECK"))</f>
        <v>OK</v>
      </c>
      <c r="F111" s="14" t="str">
        <f>IF(OR(COUNTIFS('All Units'!$G$5:$G$1272,1055,'All Units'!$H$5:$H$1272,"Classic",'All Units'!$D$5:$D$1272,$A111)=0,COUNTIFS('All Units'!$G$5:$G$1272,1055,'All Units'!$H$5:$H$1272,"Luxury",'All Units'!$D$5:$D$1272,$A111)=0),"",IF(_xlfn.MINIFS('All Units'!$Q$5:$Q$1272,'All Units'!$G$5:$G$1272,1055,'All Units'!$H$5:$H$1272,"Luxury",'All Units'!$D$5:$D$1272,$A111)&gt;=_xlfn.MAXIFS('All Units'!$Q$5:$Q$1272,'All Units'!$G$5:$G$1272,1055,'All Units'!$H$5:$H$1272,"Classic",'All Units'!$D$5:$D$1272,$A111)+Assumptions!$C$6,"OK","CHECK"))</f>
        <v>OK</v>
      </c>
      <c r="G111" s="14" t="str">
        <f>IF(OR(COUNTIFS('All Units'!$G$5:$G$1272,1238,'All Units'!$H$5:$H$1272,"Classic",'All Units'!$D$5:$D$1272,$A111)=0,COUNTIFS('All Units'!$G$5:$G$1272,1238,'All Units'!$H$5:$H$1272,"Luxury",'All Units'!$D$5:$D$1272,$A111)=0),"",IF(_xlfn.MINIFS('All Units'!$Q$5:$Q$1272,'All Units'!$G$5:$G$1272,1238,'All Units'!$H$5:$H$1272,"Luxury",'All Units'!$D$5:$D$1272,$A111)&gt;=_xlfn.MAXIFS('All Units'!$Q$5:$Q$1272,'All Units'!$G$5:$G$1272,1238,'All Units'!$H$5:$H$1272,"Classic",'All Units'!$D$5:$D$1272,$A111)+Assumptions!$C$6,"OK","CHECK"))</f>
        <v>OK</v>
      </c>
    </row>
    <row r="112" spans="1:7" x14ac:dyDescent="0.2">
      <c r="A112" s="91">
        <v>19</v>
      </c>
      <c r="B112" s="14" t="str">
        <f>IF(OR(COUNTIFS('All Units'!$G$5:$G$1272,678,'All Units'!$H$5:$H$1272,"Classic",'All Units'!$D$5:$D$1272,$A112)=0,COUNTIFS('All Units'!$G$5:$G$1272,678,'All Units'!$H$5:$H$1272,"Luxury",'All Units'!$D$5:$D$1272,$A112)=0),"",IF(_xlfn.MINIFS('All Units'!$Q$5:$Q$1272,'All Units'!$G$5:$G$1272,678,'All Units'!$H$5:$H$1272,"Luxury",'All Units'!$D$5:$D$1272,$A112)&gt;=_xlfn.MAXIFS('All Units'!$Q$5:$Q$1272,'All Units'!$G$5:$G$1272,678,'All Units'!$H$5:$H$1272,"Classic",'All Units'!$D$5:$D$1272,$A112)+Assumptions!$C$6,"OK","CHECK"))</f>
        <v>OK</v>
      </c>
      <c r="C112" s="14" t="str">
        <f>IF(OR(COUNTIFS('All Units'!$G$5:$G$1272,732,'All Units'!$H$5:$H$1272,"Classic",'All Units'!$D$5:$D$1272,$A112)=0,COUNTIFS('All Units'!$G$5:$G$1272,732,'All Units'!$H$5:$H$1272,"Luxury",'All Units'!$D$5:$D$1272,$A112)=0),"",IF(_xlfn.MINIFS('All Units'!$Q$5:$Q$1272,'All Units'!$G$5:$G$1272,732,'All Units'!$H$5:$H$1272,"Luxury",'All Units'!$D$5:$D$1272,$A112)&gt;=_xlfn.MAXIFS('All Units'!$Q$5:$Q$1272,'All Units'!$G$5:$G$1272,732,'All Units'!$H$5:$H$1272,"Classic",'All Units'!$D$5:$D$1272,$A112)+Assumptions!$C$6,"OK","CHECK"))</f>
        <v>OK</v>
      </c>
      <c r="D112" s="14" t="str">
        <f>IF(OR(COUNTIFS('All Units'!$G$5:$G$1272,775,'All Units'!$H$5:$H$1272,"Classic",'All Units'!$D$5:$D$1272,$A112)=0,COUNTIFS('All Units'!$G$5:$G$1272,775,'All Units'!$H$5:$H$1272,"Luxury",'All Units'!$D$5:$D$1272,$A112)=0),"",IF(_xlfn.MINIFS('All Units'!$Q$5:$Q$1272,'All Units'!$G$5:$G$1272,775,'All Units'!$H$5:$H$1272,"Luxury",'All Units'!$D$5:$D$1272,$A112)&gt;=_xlfn.MAXIFS('All Units'!$Q$5:$Q$1272,'All Units'!$G$5:$G$1272,775,'All Units'!$H$5:$H$1272,"Classic",'All Units'!$D$5:$D$1272,$A112)+Assumptions!$C$6,"OK","CHECK"))</f>
        <v>OK</v>
      </c>
      <c r="E112" s="14" t="str">
        <f>IF(OR(COUNTIFS('All Units'!$G$5:$G$1272,947,'All Units'!$H$5:$H$1272,"Classic",'All Units'!$D$5:$D$1272,$A112)=0,COUNTIFS('All Units'!$G$5:$G$1272,947,'All Units'!$H$5:$H$1272,"Luxury",'All Units'!$D$5:$D$1272,$A112)=0),"",IF(_xlfn.MINIFS('All Units'!$Q$5:$Q$1272,'All Units'!$G$5:$G$1272,947,'All Units'!$H$5:$H$1272,"Luxury",'All Units'!$D$5:$D$1272,$A112)&gt;=_xlfn.MAXIFS('All Units'!$Q$5:$Q$1272,'All Units'!$G$5:$G$1272,947,'All Units'!$H$5:$H$1272,"Classic",'All Units'!$D$5:$D$1272,$A112)+Assumptions!$C$6,"OK","CHECK"))</f>
        <v>OK</v>
      </c>
      <c r="F112" s="14" t="str">
        <f>IF(OR(COUNTIFS('All Units'!$G$5:$G$1272,1055,'All Units'!$H$5:$H$1272,"Classic",'All Units'!$D$5:$D$1272,$A112)=0,COUNTIFS('All Units'!$G$5:$G$1272,1055,'All Units'!$H$5:$H$1272,"Luxury",'All Units'!$D$5:$D$1272,$A112)=0),"",IF(_xlfn.MINIFS('All Units'!$Q$5:$Q$1272,'All Units'!$G$5:$G$1272,1055,'All Units'!$H$5:$H$1272,"Luxury",'All Units'!$D$5:$D$1272,$A112)&gt;=_xlfn.MAXIFS('All Units'!$Q$5:$Q$1272,'All Units'!$G$5:$G$1272,1055,'All Units'!$H$5:$H$1272,"Classic",'All Units'!$D$5:$D$1272,$A112)+Assumptions!$C$6,"OK","CHECK"))</f>
        <v>OK</v>
      </c>
      <c r="G112" s="14" t="str">
        <f>IF(OR(COUNTIFS('All Units'!$G$5:$G$1272,1238,'All Units'!$H$5:$H$1272,"Classic",'All Units'!$D$5:$D$1272,$A112)=0,COUNTIFS('All Units'!$G$5:$G$1272,1238,'All Units'!$H$5:$H$1272,"Luxury",'All Units'!$D$5:$D$1272,$A112)=0),"",IF(_xlfn.MINIFS('All Units'!$Q$5:$Q$1272,'All Units'!$G$5:$G$1272,1238,'All Units'!$H$5:$H$1272,"Luxury",'All Units'!$D$5:$D$1272,$A112)&gt;=_xlfn.MAXIFS('All Units'!$Q$5:$Q$1272,'All Units'!$G$5:$G$1272,1238,'All Units'!$H$5:$H$1272,"Classic",'All Units'!$D$5:$D$1272,$A112)+Assumptions!$C$6,"OK","CHECK"))</f>
        <v>OK</v>
      </c>
    </row>
    <row r="113" spans="1:39" x14ac:dyDescent="0.2">
      <c r="A113" s="91">
        <v>20</v>
      </c>
      <c r="B113" s="14" t="str">
        <f>IF(OR(COUNTIFS('All Units'!$G$5:$G$1272,678,'All Units'!$H$5:$H$1272,"Classic",'All Units'!$D$5:$D$1272,$A113)=0,COUNTIFS('All Units'!$G$5:$G$1272,678,'All Units'!$H$5:$H$1272,"Luxury",'All Units'!$D$5:$D$1272,$A113)=0),"",IF(_xlfn.MINIFS('All Units'!$Q$5:$Q$1272,'All Units'!$G$5:$G$1272,678,'All Units'!$H$5:$H$1272,"Luxury",'All Units'!$D$5:$D$1272,$A113)&gt;=_xlfn.MAXIFS('All Units'!$Q$5:$Q$1272,'All Units'!$G$5:$G$1272,678,'All Units'!$H$5:$H$1272,"Classic",'All Units'!$D$5:$D$1272,$A113)+Assumptions!$C$6,"OK","CHECK"))</f>
        <v>OK</v>
      </c>
      <c r="C113" s="14" t="str">
        <f>IF(OR(COUNTIFS('All Units'!$G$5:$G$1272,732,'All Units'!$H$5:$H$1272,"Classic",'All Units'!$D$5:$D$1272,$A113)=0,COUNTIFS('All Units'!$G$5:$G$1272,732,'All Units'!$H$5:$H$1272,"Luxury",'All Units'!$D$5:$D$1272,$A113)=0),"",IF(_xlfn.MINIFS('All Units'!$Q$5:$Q$1272,'All Units'!$G$5:$G$1272,732,'All Units'!$H$5:$H$1272,"Luxury",'All Units'!$D$5:$D$1272,$A113)&gt;=_xlfn.MAXIFS('All Units'!$Q$5:$Q$1272,'All Units'!$G$5:$G$1272,732,'All Units'!$H$5:$H$1272,"Classic",'All Units'!$D$5:$D$1272,$A113)+Assumptions!$C$6,"OK","CHECK"))</f>
        <v>OK</v>
      </c>
      <c r="D113" s="14" t="str">
        <f>IF(OR(COUNTIFS('All Units'!$G$5:$G$1272,775,'All Units'!$H$5:$H$1272,"Classic",'All Units'!$D$5:$D$1272,$A113)=0,COUNTIFS('All Units'!$G$5:$G$1272,775,'All Units'!$H$5:$H$1272,"Luxury",'All Units'!$D$5:$D$1272,$A113)=0),"",IF(_xlfn.MINIFS('All Units'!$Q$5:$Q$1272,'All Units'!$G$5:$G$1272,775,'All Units'!$H$5:$H$1272,"Luxury",'All Units'!$D$5:$D$1272,$A113)&gt;=_xlfn.MAXIFS('All Units'!$Q$5:$Q$1272,'All Units'!$G$5:$G$1272,775,'All Units'!$H$5:$H$1272,"Classic",'All Units'!$D$5:$D$1272,$A113)+Assumptions!$C$6,"OK","CHECK"))</f>
        <v>OK</v>
      </c>
      <c r="E113" s="14" t="str">
        <f>IF(OR(COUNTIFS('All Units'!$G$5:$G$1272,947,'All Units'!$H$5:$H$1272,"Classic",'All Units'!$D$5:$D$1272,$A113)=0,COUNTIFS('All Units'!$G$5:$G$1272,947,'All Units'!$H$5:$H$1272,"Luxury",'All Units'!$D$5:$D$1272,$A113)=0),"",IF(_xlfn.MINIFS('All Units'!$Q$5:$Q$1272,'All Units'!$G$5:$G$1272,947,'All Units'!$H$5:$H$1272,"Luxury",'All Units'!$D$5:$D$1272,$A113)&gt;=_xlfn.MAXIFS('All Units'!$Q$5:$Q$1272,'All Units'!$G$5:$G$1272,947,'All Units'!$H$5:$H$1272,"Classic",'All Units'!$D$5:$D$1272,$A113)+Assumptions!$C$6,"OK","CHECK"))</f>
        <v>OK</v>
      </c>
      <c r="F113" s="14" t="str">
        <f>IF(OR(COUNTIFS('All Units'!$G$5:$G$1272,1055,'All Units'!$H$5:$H$1272,"Classic",'All Units'!$D$5:$D$1272,$A113)=0,COUNTIFS('All Units'!$G$5:$G$1272,1055,'All Units'!$H$5:$H$1272,"Luxury",'All Units'!$D$5:$D$1272,$A113)=0),"",IF(_xlfn.MINIFS('All Units'!$Q$5:$Q$1272,'All Units'!$G$5:$G$1272,1055,'All Units'!$H$5:$H$1272,"Luxury",'All Units'!$D$5:$D$1272,$A113)&gt;=_xlfn.MAXIFS('All Units'!$Q$5:$Q$1272,'All Units'!$G$5:$G$1272,1055,'All Units'!$H$5:$H$1272,"Classic",'All Units'!$D$5:$D$1272,$A113)+Assumptions!$C$6,"OK","CHECK"))</f>
        <v>OK</v>
      </c>
      <c r="G113" s="14" t="str">
        <f>IF(OR(COUNTIFS('All Units'!$G$5:$G$1272,1238,'All Units'!$H$5:$H$1272,"Classic",'All Units'!$D$5:$D$1272,$A113)=0,COUNTIFS('All Units'!$G$5:$G$1272,1238,'All Units'!$H$5:$H$1272,"Luxury",'All Units'!$D$5:$D$1272,$A113)=0),"",IF(_xlfn.MINIFS('All Units'!$Q$5:$Q$1272,'All Units'!$G$5:$G$1272,1238,'All Units'!$H$5:$H$1272,"Luxury",'All Units'!$D$5:$D$1272,$A113)&gt;=_xlfn.MAXIFS('All Units'!$Q$5:$Q$1272,'All Units'!$G$5:$G$1272,1238,'All Units'!$H$5:$H$1272,"Classic",'All Units'!$D$5:$D$1272,$A113)+Assumptions!$C$6,"OK","CHECK"))</f>
        <v>OK</v>
      </c>
    </row>
    <row r="114" spans="1:39" x14ac:dyDescent="0.2">
      <c r="A114" s="91">
        <v>21</v>
      </c>
      <c r="B114" s="14" t="str">
        <f>IF(OR(COUNTIFS('All Units'!$G$5:$G$1272,678,'All Units'!$H$5:$H$1272,"Classic",'All Units'!$D$5:$D$1272,$A114)=0,COUNTIFS('All Units'!$G$5:$G$1272,678,'All Units'!$H$5:$H$1272,"Luxury",'All Units'!$D$5:$D$1272,$A114)=0),"",IF(_xlfn.MINIFS('All Units'!$Q$5:$Q$1272,'All Units'!$G$5:$G$1272,678,'All Units'!$H$5:$H$1272,"Luxury",'All Units'!$D$5:$D$1272,$A114)&gt;=_xlfn.MAXIFS('All Units'!$Q$5:$Q$1272,'All Units'!$G$5:$G$1272,678,'All Units'!$H$5:$H$1272,"Classic",'All Units'!$D$5:$D$1272,$A114)+Assumptions!$C$6,"OK","CHECK"))</f>
        <v>OK</v>
      </c>
      <c r="C114" s="14" t="str">
        <f>IF(OR(COUNTIFS('All Units'!$G$5:$G$1272,732,'All Units'!$H$5:$H$1272,"Classic",'All Units'!$D$5:$D$1272,$A114)=0,COUNTIFS('All Units'!$G$5:$G$1272,732,'All Units'!$H$5:$H$1272,"Luxury",'All Units'!$D$5:$D$1272,$A114)=0),"",IF(_xlfn.MINIFS('All Units'!$Q$5:$Q$1272,'All Units'!$G$5:$G$1272,732,'All Units'!$H$5:$H$1272,"Luxury",'All Units'!$D$5:$D$1272,$A114)&gt;=_xlfn.MAXIFS('All Units'!$Q$5:$Q$1272,'All Units'!$G$5:$G$1272,732,'All Units'!$H$5:$H$1272,"Classic",'All Units'!$D$5:$D$1272,$A114)+Assumptions!$C$6,"OK","CHECK"))</f>
        <v>OK</v>
      </c>
      <c r="D114" s="14" t="str">
        <f>IF(OR(COUNTIFS('All Units'!$G$5:$G$1272,775,'All Units'!$H$5:$H$1272,"Classic",'All Units'!$D$5:$D$1272,$A114)=0,COUNTIFS('All Units'!$G$5:$G$1272,775,'All Units'!$H$5:$H$1272,"Luxury",'All Units'!$D$5:$D$1272,$A114)=0),"",IF(_xlfn.MINIFS('All Units'!$Q$5:$Q$1272,'All Units'!$G$5:$G$1272,775,'All Units'!$H$5:$H$1272,"Luxury",'All Units'!$D$5:$D$1272,$A114)&gt;=_xlfn.MAXIFS('All Units'!$Q$5:$Q$1272,'All Units'!$G$5:$G$1272,775,'All Units'!$H$5:$H$1272,"Classic",'All Units'!$D$5:$D$1272,$A114)+Assumptions!$C$6,"OK","CHECK"))</f>
        <v>OK</v>
      </c>
      <c r="E114" s="14" t="str">
        <f>IF(OR(COUNTIFS('All Units'!$G$5:$G$1272,947,'All Units'!$H$5:$H$1272,"Classic",'All Units'!$D$5:$D$1272,$A114)=0,COUNTIFS('All Units'!$G$5:$G$1272,947,'All Units'!$H$5:$H$1272,"Luxury",'All Units'!$D$5:$D$1272,$A114)=0),"",IF(_xlfn.MINIFS('All Units'!$Q$5:$Q$1272,'All Units'!$G$5:$G$1272,947,'All Units'!$H$5:$H$1272,"Luxury",'All Units'!$D$5:$D$1272,$A114)&gt;=_xlfn.MAXIFS('All Units'!$Q$5:$Q$1272,'All Units'!$G$5:$G$1272,947,'All Units'!$H$5:$H$1272,"Classic",'All Units'!$D$5:$D$1272,$A114)+Assumptions!$C$6,"OK","CHECK"))</f>
        <v>OK</v>
      </c>
      <c r="F114" s="14" t="str">
        <f>IF(OR(COUNTIFS('All Units'!$G$5:$G$1272,1055,'All Units'!$H$5:$H$1272,"Classic",'All Units'!$D$5:$D$1272,$A114)=0,COUNTIFS('All Units'!$G$5:$G$1272,1055,'All Units'!$H$5:$H$1272,"Luxury",'All Units'!$D$5:$D$1272,$A114)=0),"",IF(_xlfn.MINIFS('All Units'!$Q$5:$Q$1272,'All Units'!$G$5:$G$1272,1055,'All Units'!$H$5:$H$1272,"Luxury",'All Units'!$D$5:$D$1272,$A114)&gt;=_xlfn.MAXIFS('All Units'!$Q$5:$Q$1272,'All Units'!$G$5:$G$1272,1055,'All Units'!$H$5:$H$1272,"Classic",'All Units'!$D$5:$D$1272,$A114)+Assumptions!$C$6,"OK","CHECK"))</f>
        <v>OK</v>
      </c>
      <c r="G114" s="14" t="str">
        <f>IF(OR(COUNTIFS('All Units'!$G$5:$G$1272,1238,'All Units'!$H$5:$H$1272,"Classic",'All Units'!$D$5:$D$1272,$A114)=0,COUNTIFS('All Units'!$G$5:$G$1272,1238,'All Units'!$H$5:$H$1272,"Luxury",'All Units'!$D$5:$D$1272,$A114)=0),"",IF(_xlfn.MINIFS('All Units'!$Q$5:$Q$1272,'All Units'!$G$5:$G$1272,1238,'All Units'!$H$5:$H$1272,"Luxury",'All Units'!$D$5:$D$1272,$A114)&gt;=_xlfn.MAXIFS('All Units'!$Q$5:$Q$1272,'All Units'!$G$5:$G$1272,1238,'All Units'!$H$5:$H$1272,"Classic",'All Units'!$D$5:$D$1272,$A114)+Assumptions!$C$6,"OK","CHECK"))</f>
        <v>OK</v>
      </c>
    </row>
    <row r="115" spans="1:39" x14ac:dyDescent="0.2">
      <c r="A115" s="91">
        <v>22</v>
      </c>
      <c r="B115" s="14" t="str">
        <f>IF(OR(COUNTIFS('All Units'!$G$5:$G$1272,678,'All Units'!$H$5:$H$1272,"Classic",'All Units'!$D$5:$D$1272,$A115)=0,COUNTIFS('All Units'!$G$5:$G$1272,678,'All Units'!$H$5:$H$1272,"Luxury",'All Units'!$D$5:$D$1272,$A115)=0),"",IF(_xlfn.MINIFS('All Units'!$Q$5:$Q$1272,'All Units'!$G$5:$G$1272,678,'All Units'!$H$5:$H$1272,"Luxury",'All Units'!$D$5:$D$1272,$A115)&gt;=_xlfn.MAXIFS('All Units'!$Q$5:$Q$1272,'All Units'!$G$5:$G$1272,678,'All Units'!$H$5:$H$1272,"Classic",'All Units'!$D$5:$D$1272,$A115)+Assumptions!$C$6,"OK","CHECK"))</f>
        <v/>
      </c>
      <c r="C115" s="14" t="str">
        <f>IF(OR(COUNTIFS('All Units'!$G$5:$G$1272,732,'All Units'!$H$5:$H$1272,"Classic",'All Units'!$D$5:$D$1272,$A115)=0,COUNTIFS('All Units'!$G$5:$G$1272,732,'All Units'!$H$5:$H$1272,"Luxury",'All Units'!$D$5:$D$1272,$A115)=0),"",IF(_xlfn.MINIFS('All Units'!$Q$5:$Q$1272,'All Units'!$G$5:$G$1272,732,'All Units'!$H$5:$H$1272,"Luxury",'All Units'!$D$5:$D$1272,$A115)&gt;=_xlfn.MAXIFS('All Units'!$Q$5:$Q$1272,'All Units'!$G$5:$G$1272,732,'All Units'!$H$5:$H$1272,"Classic",'All Units'!$D$5:$D$1272,$A115)+Assumptions!$C$6,"OK","CHECK"))</f>
        <v/>
      </c>
      <c r="D115" s="14" t="str">
        <f>IF(OR(COUNTIFS('All Units'!$G$5:$G$1272,775,'All Units'!$H$5:$H$1272,"Classic",'All Units'!$D$5:$D$1272,$A115)=0,COUNTIFS('All Units'!$G$5:$G$1272,775,'All Units'!$H$5:$H$1272,"Luxury",'All Units'!$D$5:$D$1272,$A115)=0),"",IF(_xlfn.MINIFS('All Units'!$Q$5:$Q$1272,'All Units'!$G$5:$G$1272,775,'All Units'!$H$5:$H$1272,"Luxury",'All Units'!$D$5:$D$1272,$A115)&gt;=_xlfn.MAXIFS('All Units'!$Q$5:$Q$1272,'All Units'!$G$5:$G$1272,775,'All Units'!$H$5:$H$1272,"Classic",'All Units'!$D$5:$D$1272,$A115)+Assumptions!$C$6,"OK","CHECK"))</f>
        <v/>
      </c>
      <c r="E115" s="14" t="str">
        <f>IF(OR(COUNTIFS('All Units'!$G$5:$G$1272,947,'All Units'!$H$5:$H$1272,"Classic",'All Units'!$D$5:$D$1272,$A115)=0,COUNTIFS('All Units'!$G$5:$G$1272,947,'All Units'!$H$5:$H$1272,"Luxury",'All Units'!$D$5:$D$1272,$A115)=0),"",IF(_xlfn.MINIFS('All Units'!$Q$5:$Q$1272,'All Units'!$G$5:$G$1272,947,'All Units'!$H$5:$H$1272,"Luxury",'All Units'!$D$5:$D$1272,$A115)&gt;=_xlfn.MAXIFS('All Units'!$Q$5:$Q$1272,'All Units'!$G$5:$G$1272,947,'All Units'!$H$5:$H$1272,"Classic",'All Units'!$D$5:$D$1272,$A115)+Assumptions!$C$6,"OK","CHECK"))</f>
        <v/>
      </c>
      <c r="F115" s="14" t="str">
        <f>IF(OR(COUNTIFS('All Units'!$G$5:$G$1272,1055,'All Units'!$H$5:$H$1272,"Classic",'All Units'!$D$5:$D$1272,$A115)=0,COUNTIFS('All Units'!$G$5:$G$1272,1055,'All Units'!$H$5:$H$1272,"Luxury",'All Units'!$D$5:$D$1272,$A115)=0),"",IF(_xlfn.MINIFS('All Units'!$Q$5:$Q$1272,'All Units'!$G$5:$G$1272,1055,'All Units'!$H$5:$H$1272,"Luxury",'All Units'!$D$5:$D$1272,$A115)&gt;=_xlfn.MAXIFS('All Units'!$Q$5:$Q$1272,'All Units'!$G$5:$G$1272,1055,'All Units'!$H$5:$H$1272,"Classic",'All Units'!$D$5:$D$1272,$A115)+Assumptions!$C$6,"OK","CHECK"))</f>
        <v/>
      </c>
      <c r="G115" s="14" t="str">
        <f>IF(OR(COUNTIFS('All Units'!$G$5:$G$1272,1238,'All Units'!$H$5:$H$1272,"Classic",'All Units'!$D$5:$D$1272,$A115)=0,COUNTIFS('All Units'!$G$5:$G$1272,1238,'All Units'!$H$5:$H$1272,"Luxury",'All Units'!$D$5:$D$1272,$A115)=0),"",IF(_xlfn.MINIFS('All Units'!$Q$5:$Q$1272,'All Units'!$G$5:$G$1272,1238,'All Units'!$H$5:$H$1272,"Luxury",'All Units'!$D$5:$D$1272,$A115)&gt;=_xlfn.MAXIFS('All Units'!$Q$5:$Q$1272,'All Units'!$G$5:$G$1272,1238,'All Units'!$H$5:$H$1272,"Classic",'All Units'!$D$5:$D$1272,$A115)+Assumptions!$C$6,"OK","CHECK"))</f>
        <v/>
      </c>
    </row>
    <row r="116" spans="1:39" x14ac:dyDescent="0.2">
      <c r="A116" s="91">
        <v>23</v>
      </c>
      <c r="B116" s="14" t="str">
        <f>IF(OR(COUNTIFS('All Units'!$G$5:$G$1272,678,'All Units'!$H$5:$H$1272,"Classic",'All Units'!$D$5:$D$1272,$A116)=0,COUNTIFS('All Units'!$G$5:$G$1272,678,'All Units'!$H$5:$H$1272,"Luxury",'All Units'!$D$5:$D$1272,$A116)=0),"",IF(_xlfn.MINIFS('All Units'!$Q$5:$Q$1272,'All Units'!$G$5:$G$1272,678,'All Units'!$H$5:$H$1272,"Luxury",'All Units'!$D$5:$D$1272,$A116)&gt;=_xlfn.MAXIFS('All Units'!$Q$5:$Q$1272,'All Units'!$G$5:$G$1272,678,'All Units'!$H$5:$H$1272,"Classic",'All Units'!$D$5:$D$1272,$A116)+Assumptions!$C$6,"OK","CHECK"))</f>
        <v/>
      </c>
      <c r="C116" s="14" t="str">
        <f>IF(OR(COUNTIFS('All Units'!$G$5:$G$1272,732,'All Units'!$H$5:$H$1272,"Classic",'All Units'!$D$5:$D$1272,$A116)=0,COUNTIFS('All Units'!$G$5:$G$1272,732,'All Units'!$H$5:$H$1272,"Luxury",'All Units'!$D$5:$D$1272,$A116)=0),"",IF(_xlfn.MINIFS('All Units'!$Q$5:$Q$1272,'All Units'!$G$5:$G$1272,732,'All Units'!$H$5:$H$1272,"Luxury",'All Units'!$D$5:$D$1272,$A116)&gt;=_xlfn.MAXIFS('All Units'!$Q$5:$Q$1272,'All Units'!$G$5:$G$1272,732,'All Units'!$H$5:$H$1272,"Classic",'All Units'!$D$5:$D$1272,$A116)+Assumptions!$C$6,"OK","CHECK"))</f>
        <v/>
      </c>
      <c r="D116" s="14" t="str">
        <f>IF(OR(COUNTIFS('All Units'!$G$5:$G$1272,775,'All Units'!$H$5:$H$1272,"Classic",'All Units'!$D$5:$D$1272,$A116)=0,COUNTIFS('All Units'!$G$5:$G$1272,775,'All Units'!$H$5:$H$1272,"Luxury",'All Units'!$D$5:$D$1272,$A116)=0),"",IF(_xlfn.MINIFS('All Units'!$Q$5:$Q$1272,'All Units'!$G$5:$G$1272,775,'All Units'!$H$5:$H$1272,"Luxury",'All Units'!$D$5:$D$1272,$A116)&gt;=_xlfn.MAXIFS('All Units'!$Q$5:$Q$1272,'All Units'!$G$5:$G$1272,775,'All Units'!$H$5:$H$1272,"Classic",'All Units'!$D$5:$D$1272,$A116)+Assumptions!$C$6,"OK","CHECK"))</f>
        <v/>
      </c>
      <c r="E116" s="14" t="str">
        <f>IF(OR(COUNTIFS('All Units'!$G$5:$G$1272,947,'All Units'!$H$5:$H$1272,"Classic",'All Units'!$D$5:$D$1272,$A116)=0,COUNTIFS('All Units'!$G$5:$G$1272,947,'All Units'!$H$5:$H$1272,"Luxury",'All Units'!$D$5:$D$1272,$A116)=0),"",IF(_xlfn.MINIFS('All Units'!$Q$5:$Q$1272,'All Units'!$G$5:$G$1272,947,'All Units'!$H$5:$H$1272,"Luxury",'All Units'!$D$5:$D$1272,$A116)&gt;=_xlfn.MAXIFS('All Units'!$Q$5:$Q$1272,'All Units'!$G$5:$G$1272,947,'All Units'!$H$5:$H$1272,"Classic",'All Units'!$D$5:$D$1272,$A116)+Assumptions!$C$6,"OK","CHECK"))</f>
        <v/>
      </c>
      <c r="F116" s="14" t="str">
        <f>IF(OR(COUNTIFS('All Units'!$G$5:$G$1272,1055,'All Units'!$H$5:$H$1272,"Classic",'All Units'!$D$5:$D$1272,$A116)=0,COUNTIFS('All Units'!$G$5:$G$1272,1055,'All Units'!$H$5:$H$1272,"Luxury",'All Units'!$D$5:$D$1272,$A116)=0),"",IF(_xlfn.MINIFS('All Units'!$Q$5:$Q$1272,'All Units'!$G$5:$G$1272,1055,'All Units'!$H$5:$H$1272,"Luxury",'All Units'!$D$5:$D$1272,$A116)&gt;=_xlfn.MAXIFS('All Units'!$Q$5:$Q$1272,'All Units'!$G$5:$G$1272,1055,'All Units'!$H$5:$H$1272,"Classic",'All Units'!$D$5:$D$1272,$A116)+Assumptions!$C$6,"OK","CHECK"))</f>
        <v/>
      </c>
      <c r="G116" s="14" t="str">
        <f>IF(OR(COUNTIFS('All Units'!$G$5:$G$1272,1238,'All Units'!$H$5:$H$1272,"Classic",'All Units'!$D$5:$D$1272,$A116)=0,COUNTIFS('All Units'!$G$5:$G$1272,1238,'All Units'!$H$5:$H$1272,"Luxury",'All Units'!$D$5:$D$1272,$A116)=0),"",IF(_xlfn.MINIFS('All Units'!$Q$5:$Q$1272,'All Units'!$G$5:$G$1272,1238,'All Units'!$H$5:$H$1272,"Luxury",'All Units'!$D$5:$D$1272,$A116)&gt;=_xlfn.MAXIFS('All Units'!$Q$5:$Q$1272,'All Units'!$G$5:$G$1272,1238,'All Units'!$H$5:$H$1272,"Classic",'All Units'!$D$5:$D$1272,$A116)+Assumptions!$C$6,"OK","CHECK"))</f>
        <v/>
      </c>
    </row>
    <row r="117" spans="1:39" x14ac:dyDescent="0.2">
      <c r="A117" s="91">
        <v>24</v>
      </c>
      <c r="B117" s="14" t="str">
        <f>IF(OR(COUNTIFS('All Units'!$G$5:$G$1272,678,'All Units'!$H$5:$H$1272,"Classic",'All Units'!$D$5:$D$1272,$A117)=0,COUNTIFS('All Units'!$G$5:$G$1272,678,'All Units'!$H$5:$H$1272,"Luxury",'All Units'!$D$5:$D$1272,$A117)=0),"",IF(_xlfn.MINIFS('All Units'!$Q$5:$Q$1272,'All Units'!$G$5:$G$1272,678,'All Units'!$H$5:$H$1272,"Luxury",'All Units'!$D$5:$D$1272,$A117)&gt;=_xlfn.MAXIFS('All Units'!$Q$5:$Q$1272,'All Units'!$G$5:$G$1272,678,'All Units'!$H$5:$H$1272,"Classic",'All Units'!$D$5:$D$1272,$A117)+Assumptions!$C$6,"OK","CHECK"))</f>
        <v/>
      </c>
      <c r="C117" s="14" t="str">
        <f>IF(OR(COUNTIFS('All Units'!$G$5:$G$1272,732,'All Units'!$H$5:$H$1272,"Classic",'All Units'!$D$5:$D$1272,$A117)=0,COUNTIFS('All Units'!$G$5:$G$1272,732,'All Units'!$H$5:$H$1272,"Luxury",'All Units'!$D$5:$D$1272,$A117)=0),"",IF(_xlfn.MINIFS('All Units'!$Q$5:$Q$1272,'All Units'!$G$5:$G$1272,732,'All Units'!$H$5:$H$1272,"Luxury",'All Units'!$D$5:$D$1272,$A117)&gt;=_xlfn.MAXIFS('All Units'!$Q$5:$Q$1272,'All Units'!$G$5:$G$1272,732,'All Units'!$H$5:$H$1272,"Classic",'All Units'!$D$5:$D$1272,$A117)+Assumptions!$C$6,"OK","CHECK"))</f>
        <v/>
      </c>
      <c r="D117" s="14" t="str">
        <f>IF(OR(COUNTIFS('All Units'!$G$5:$G$1272,775,'All Units'!$H$5:$H$1272,"Classic",'All Units'!$D$5:$D$1272,$A117)=0,COUNTIFS('All Units'!$G$5:$G$1272,775,'All Units'!$H$5:$H$1272,"Luxury",'All Units'!$D$5:$D$1272,$A117)=0),"",IF(_xlfn.MINIFS('All Units'!$Q$5:$Q$1272,'All Units'!$G$5:$G$1272,775,'All Units'!$H$5:$H$1272,"Luxury",'All Units'!$D$5:$D$1272,$A117)&gt;=_xlfn.MAXIFS('All Units'!$Q$5:$Q$1272,'All Units'!$G$5:$G$1272,775,'All Units'!$H$5:$H$1272,"Classic",'All Units'!$D$5:$D$1272,$A117)+Assumptions!$C$6,"OK","CHECK"))</f>
        <v/>
      </c>
      <c r="E117" s="14" t="str">
        <f>IF(OR(COUNTIFS('All Units'!$G$5:$G$1272,947,'All Units'!$H$5:$H$1272,"Classic",'All Units'!$D$5:$D$1272,$A117)=0,COUNTIFS('All Units'!$G$5:$G$1272,947,'All Units'!$H$5:$H$1272,"Luxury",'All Units'!$D$5:$D$1272,$A117)=0),"",IF(_xlfn.MINIFS('All Units'!$Q$5:$Q$1272,'All Units'!$G$5:$G$1272,947,'All Units'!$H$5:$H$1272,"Luxury",'All Units'!$D$5:$D$1272,$A117)&gt;=_xlfn.MAXIFS('All Units'!$Q$5:$Q$1272,'All Units'!$G$5:$G$1272,947,'All Units'!$H$5:$H$1272,"Classic",'All Units'!$D$5:$D$1272,$A117)+Assumptions!$C$6,"OK","CHECK"))</f>
        <v/>
      </c>
      <c r="F117" s="14" t="str">
        <f>IF(OR(COUNTIFS('All Units'!$G$5:$G$1272,1055,'All Units'!$H$5:$H$1272,"Classic",'All Units'!$D$5:$D$1272,$A117)=0,COUNTIFS('All Units'!$G$5:$G$1272,1055,'All Units'!$H$5:$H$1272,"Luxury",'All Units'!$D$5:$D$1272,$A117)=0),"",IF(_xlfn.MINIFS('All Units'!$Q$5:$Q$1272,'All Units'!$G$5:$G$1272,1055,'All Units'!$H$5:$H$1272,"Luxury",'All Units'!$D$5:$D$1272,$A117)&gt;=_xlfn.MAXIFS('All Units'!$Q$5:$Q$1272,'All Units'!$G$5:$G$1272,1055,'All Units'!$H$5:$H$1272,"Classic",'All Units'!$D$5:$D$1272,$A117)+Assumptions!$C$6,"OK","CHECK"))</f>
        <v/>
      </c>
      <c r="G117" s="14" t="str">
        <f>IF(OR(COUNTIFS('All Units'!$G$5:$G$1272,1238,'All Units'!$H$5:$H$1272,"Classic",'All Units'!$D$5:$D$1272,$A117)=0,COUNTIFS('All Units'!$G$5:$G$1272,1238,'All Units'!$H$5:$H$1272,"Luxury",'All Units'!$D$5:$D$1272,$A117)=0),"",IF(_xlfn.MINIFS('All Units'!$Q$5:$Q$1272,'All Units'!$G$5:$G$1272,1238,'All Units'!$H$5:$H$1272,"Luxury",'All Units'!$D$5:$D$1272,$A117)&gt;=_xlfn.MAXIFS('All Units'!$Q$5:$Q$1272,'All Units'!$G$5:$G$1272,1238,'All Units'!$H$5:$H$1272,"Classic",'All Units'!$D$5:$D$1272,$A117)+Assumptions!$C$6,"OK","CHECK"))</f>
        <v/>
      </c>
    </row>
    <row r="118" spans="1:39" x14ac:dyDescent="0.2">
      <c r="A118" s="91">
        <v>25</v>
      </c>
      <c r="B118" s="14" t="str">
        <f>IF(OR(COUNTIFS('All Units'!$G$5:$G$1272,678,'All Units'!$H$5:$H$1272,"Classic",'All Units'!$D$5:$D$1272,$A118)=0,COUNTIFS('All Units'!$G$5:$G$1272,678,'All Units'!$H$5:$H$1272,"Luxury",'All Units'!$D$5:$D$1272,$A118)=0),"",IF(_xlfn.MINIFS('All Units'!$Q$5:$Q$1272,'All Units'!$G$5:$G$1272,678,'All Units'!$H$5:$H$1272,"Luxury",'All Units'!$D$5:$D$1272,$A118)&gt;=_xlfn.MAXIFS('All Units'!$Q$5:$Q$1272,'All Units'!$G$5:$G$1272,678,'All Units'!$H$5:$H$1272,"Classic",'All Units'!$D$5:$D$1272,$A118)+Assumptions!$C$6,"OK","CHECK"))</f>
        <v/>
      </c>
      <c r="C118" s="14" t="str">
        <f>IF(OR(COUNTIFS('All Units'!$G$5:$G$1272,732,'All Units'!$H$5:$H$1272,"Classic",'All Units'!$D$5:$D$1272,$A118)=0,COUNTIFS('All Units'!$G$5:$G$1272,732,'All Units'!$H$5:$H$1272,"Luxury",'All Units'!$D$5:$D$1272,$A118)=0),"",IF(_xlfn.MINIFS('All Units'!$Q$5:$Q$1272,'All Units'!$G$5:$G$1272,732,'All Units'!$H$5:$H$1272,"Luxury",'All Units'!$D$5:$D$1272,$A118)&gt;=_xlfn.MAXIFS('All Units'!$Q$5:$Q$1272,'All Units'!$G$5:$G$1272,732,'All Units'!$H$5:$H$1272,"Classic",'All Units'!$D$5:$D$1272,$A118)+Assumptions!$C$6,"OK","CHECK"))</f>
        <v/>
      </c>
      <c r="D118" s="14" t="str">
        <f>IF(OR(COUNTIFS('All Units'!$G$5:$G$1272,775,'All Units'!$H$5:$H$1272,"Classic",'All Units'!$D$5:$D$1272,$A118)=0,COUNTIFS('All Units'!$G$5:$G$1272,775,'All Units'!$H$5:$H$1272,"Luxury",'All Units'!$D$5:$D$1272,$A118)=0),"",IF(_xlfn.MINIFS('All Units'!$Q$5:$Q$1272,'All Units'!$G$5:$G$1272,775,'All Units'!$H$5:$H$1272,"Luxury",'All Units'!$D$5:$D$1272,$A118)&gt;=_xlfn.MAXIFS('All Units'!$Q$5:$Q$1272,'All Units'!$G$5:$G$1272,775,'All Units'!$H$5:$H$1272,"Classic",'All Units'!$D$5:$D$1272,$A118)+Assumptions!$C$6,"OK","CHECK"))</f>
        <v/>
      </c>
      <c r="E118" s="14" t="str">
        <f>IF(OR(COUNTIFS('All Units'!$G$5:$G$1272,947,'All Units'!$H$5:$H$1272,"Classic",'All Units'!$D$5:$D$1272,$A118)=0,COUNTIFS('All Units'!$G$5:$G$1272,947,'All Units'!$H$5:$H$1272,"Luxury",'All Units'!$D$5:$D$1272,$A118)=0),"",IF(_xlfn.MINIFS('All Units'!$Q$5:$Q$1272,'All Units'!$G$5:$G$1272,947,'All Units'!$H$5:$H$1272,"Luxury",'All Units'!$D$5:$D$1272,$A118)&gt;=_xlfn.MAXIFS('All Units'!$Q$5:$Q$1272,'All Units'!$G$5:$G$1272,947,'All Units'!$H$5:$H$1272,"Classic",'All Units'!$D$5:$D$1272,$A118)+Assumptions!$C$6,"OK","CHECK"))</f>
        <v/>
      </c>
      <c r="F118" s="14" t="str">
        <f>IF(OR(COUNTIFS('All Units'!$G$5:$G$1272,1055,'All Units'!$H$5:$H$1272,"Classic",'All Units'!$D$5:$D$1272,$A118)=0,COUNTIFS('All Units'!$G$5:$G$1272,1055,'All Units'!$H$5:$H$1272,"Luxury",'All Units'!$D$5:$D$1272,$A118)=0),"",IF(_xlfn.MINIFS('All Units'!$Q$5:$Q$1272,'All Units'!$G$5:$G$1272,1055,'All Units'!$H$5:$H$1272,"Luxury",'All Units'!$D$5:$D$1272,$A118)&gt;=_xlfn.MAXIFS('All Units'!$Q$5:$Q$1272,'All Units'!$G$5:$G$1272,1055,'All Units'!$H$5:$H$1272,"Classic",'All Units'!$D$5:$D$1272,$A118)+Assumptions!$C$6,"OK","CHECK"))</f>
        <v/>
      </c>
      <c r="G118" s="14" t="str">
        <f>IF(OR(COUNTIFS('All Units'!$G$5:$G$1272,1238,'All Units'!$H$5:$H$1272,"Classic",'All Units'!$D$5:$D$1272,$A118)=0,COUNTIFS('All Units'!$G$5:$G$1272,1238,'All Units'!$H$5:$H$1272,"Luxury",'All Units'!$D$5:$D$1272,$A118)=0),"",IF(_xlfn.MINIFS('All Units'!$Q$5:$Q$1272,'All Units'!$G$5:$G$1272,1238,'All Units'!$H$5:$H$1272,"Luxury",'All Units'!$D$5:$D$1272,$A118)&gt;=_xlfn.MAXIFS('All Units'!$Q$5:$Q$1272,'All Units'!$G$5:$G$1272,1238,'All Units'!$H$5:$H$1272,"Classic",'All Units'!$D$5:$D$1272,$A118)+Assumptions!$C$6,"OK","CHECK"))</f>
        <v/>
      </c>
    </row>
    <row r="119" spans="1:39" x14ac:dyDescent="0.2">
      <c r="A119" s="91">
        <v>26</v>
      </c>
      <c r="B119" s="14" t="str">
        <f>IF(OR(COUNTIFS('All Units'!$G$5:$G$1272,678,'All Units'!$H$5:$H$1272,"Classic",'All Units'!$D$5:$D$1272,$A119)=0,COUNTIFS('All Units'!$G$5:$G$1272,678,'All Units'!$H$5:$H$1272,"Luxury",'All Units'!$D$5:$D$1272,$A119)=0),"",IF(_xlfn.MINIFS('All Units'!$Q$5:$Q$1272,'All Units'!$G$5:$G$1272,678,'All Units'!$H$5:$H$1272,"Luxury",'All Units'!$D$5:$D$1272,$A119)&gt;=_xlfn.MAXIFS('All Units'!$Q$5:$Q$1272,'All Units'!$G$5:$G$1272,678,'All Units'!$H$5:$H$1272,"Classic",'All Units'!$D$5:$D$1272,$A119)+Assumptions!$C$6,"OK","CHECK"))</f>
        <v/>
      </c>
      <c r="C119" s="14" t="str">
        <f>IF(OR(COUNTIFS('All Units'!$G$5:$G$1272,732,'All Units'!$H$5:$H$1272,"Classic",'All Units'!$D$5:$D$1272,$A119)=0,COUNTIFS('All Units'!$G$5:$G$1272,732,'All Units'!$H$5:$H$1272,"Luxury",'All Units'!$D$5:$D$1272,$A119)=0),"",IF(_xlfn.MINIFS('All Units'!$Q$5:$Q$1272,'All Units'!$G$5:$G$1272,732,'All Units'!$H$5:$H$1272,"Luxury",'All Units'!$D$5:$D$1272,$A119)&gt;=_xlfn.MAXIFS('All Units'!$Q$5:$Q$1272,'All Units'!$G$5:$G$1272,732,'All Units'!$H$5:$H$1272,"Classic",'All Units'!$D$5:$D$1272,$A119)+Assumptions!$C$6,"OK","CHECK"))</f>
        <v/>
      </c>
      <c r="D119" s="14" t="str">
        <f>IF(OR(COUNTIFS('All Units'!$G$5:$G$1272,775,'All Units'!$H$5:$H$1272,"Classic",'All Units'!$D$5:$D$1272,$A119)=0,COUNTIFS('All Units'!$G$5:$G$1272,775,'All Units'!$H$5:$H$1272,"Luxury",'All Units'!$D$5:$D$1272,$A119)=0),"",IF(_xlfn.MINIFS('All Units'!$Q$5:$Q$1272,'All Units'!$G$5:$G$1272,775,'All Units'!$H$5:$H$1272,"Luxury",'All Units'!$D$5:$D$1272,$A119)&gt;=_xlfn.MAXIFS('All Units'!$Q$5:$Q$1272,'All Units'!$G$5:$G$1272,775,'All Units'!$H$5:$H$1272,"Classic",'All Units'!$D$5:$D$1272,$A119)+Assumptions!$C$6,"OK","CHECK"))</f>
        <v/>
      </c>
      <c r="E119" s="14" t="str">
        <f>IF(OR(COUNTIFS('All Units'!$G$5:$G$1272,947,'All Units'!$H$5:$H$1272,"Classic",'All Units'!$D$5:$D$1272,$A119)=0,COUNTIFS('All Units'!$G$5:$G$1272,947,'All Units'!$H$5:$H$1272,"Luxury",'All Units'!$D$5:$D$1272,$A119)=0),"",IF(_xlfn.MINIFS('All Units'!$Q$5:$Q$1272,'All Units'!$G$5:$G$1272,947,'All Units'!$H$5:$H$1272,"Luxury",'All Units'!$D$5:$D$1272,$A119)&gt;=_xlfn.MAXIFS('All Units'!$Q$5:$Q$1272,'All Units'!$G$5:$G$1272,947,'All Units'!$H$5:$H$1272,"Classic",'All Units'!$D$5:$D$1272,$A119)+Assumptions!$C$6,"OK","CHECK"))</f>
        <v/>
      </c>
      <c r="F119" s="14" t="str">
        <f>IF(OR(COUNTIFS('All Units'!$G$5:$G$1272,1055,'All Units'!$H$5:$H$1272,"Classic",'All Units'!$D$5:$D$1272,$A119)=0,COUNTIFS('All Units'!$G$5:$G$1272,1055,'All Units'!$H$5:$H$1272,"Luxury",'All Units'!$D$5:$D$1272,$A119)=0),"",IF(_xlfn.MINIFS('All Units'!$Q$5:$Q$1272,'All Units'!$G$5:$G$1272,1055,'All Units'!$H$5:$H$1272,"Luxury",'All Units'!$D$5:$D$1272,$A119)&gt;=_xlfn.MAXIFS('All Units'!$Q$5:$Q$1272,'All Units'!$G$5:$G$1272,1055,'All Units'!$H$5:$H$1272,"Classic",'All Units'!$D$5:$D$1272,$A119)+Assumptions!$C$6,"OK","CHECK"))</f>
        <v/>
      </c>
      <c r="G119" s="14" t="str">
        <f>IF(OR(COUNTIFS('All Units'!$G$5:$G$1272,1238,'All Units'!$H$5:$H$1272,"Classic",'All Units'!$D$5:$D$1272,$A119)=0,COUNTIFS('All Units'!$G$5:$G$1272,1238,'All Units'!$H$5:$H$1272,"Luxury",'All Units'!$D$5:$D$1272,$A119)=0),"",IF(_xlfn.MINIFS('All Units'!$Q$5:$Q$1272,'All Units'!$G$5:$G$1272,1238,'All Units'!$H$5:$H$1272,"Luxury",'All Units'!$D$5:$D$1272,$A119)&gt;=_xlfn.MAXIFS('All Units'!$Q$5:$Q$1272,'All Units'!$G$5:$G$1272,1238,'All Units'!$H$5:$H$1272,"Classic",'All Units'!$D$5:$D$1272,$A119)+Assumptions!$C$6,"OK","CHECK"))</f>
        <v/>
      </c>
    </row>
    <row r="120" spans="1:39" x14ac:dyDescent="0.2">
      <c r="A120" s="91">
        <v>27</v>
      </c>
      <c r="B120" s="14" t="str">
        <f>IF(OR(COUNTIFS('All Units'!$G$5:$G$1272,678,'All Units'!$H$5:$H$1272,"Classic",'All Units'!$D$5:$D$1272,$A120)=0,COUNTIFS('All Units'!$G$5:$G$1272,678,'All Units'!$H$5:$H$1272,"Luxury",'All Units'!$D$5:$D$1272,$A120)=0),"",IF(_xlfn.MINIFS('All Units'!$Q$5:$Q$1272,'All Units'!$G$5:$G$1272,678,'All Units'!$H$5:$H$1272,"Luxury",'All Units'!$D$5:$D$1272,$A120)&gt;=_xlfn.MAXIFS('All Units'!$Q$5:$Q$1272,'All Units'!$G$5:$G$1272,678,'All Units'!$H$5:$H$1272,"Classic",'All Units'!$D$5:$D$1272,$A120)+Assumptions!$C$6,"OK","CHECK"))</f>
        <v/>
      </c>
      <c r="C120" s="14" t="str">
        <f>IF(OR(COUNTIFS('All Units'!$G$5:$G$1272,732,'All Units'!$H$5:$H$1272,"Classic",'All Units'!$D$5:$D$1272,$A120)=0,COUNTIFS('All Units'!$G$5:$G$1272,732,'All Units'!$H$5:$H$1272,"Luxury",'All Units'!$D$5:$D$1272,$A120)=0),"",IF(_xlfn.MINIFS('All Units'!$Q$5:$Q$1272,'All Units'!$G$5:$G$1272,732,'All Units'!$H$5:$H$1272,"Luxury",'All Units'!$D$5:$D$1272,$A120)&gt;=_xlfn.MAXIFS('All Units'!$Q$5:$Q$1272,'All Units'!$G$5:$G$1272,732,'All Units'!$H$5:$H$1272,"Classic",'All Units'!$D$5:$D$1272,$A120)+Assumptions!$C$6,"OK","CHECK"))</f>
        <v/>
      </c>
      <c r="D120" s="14" t="str">
        <f>IF(OR(COUNTIFS('All Units'!$G$5:$G$1272,775,'All Units'!$H$5:$H$1272,"Classic",'All Units'!$D$5:$D$1272,$A120)=0,COUNTIFS('All Units'!$G$5:$G$1272,775,'All Units'!$H$5:$H$1272,"Luxury",'All Units'!$D$5:$D$1272,$A120)=0),"",IF(_xlfn.MINIFS('All Units'!$Q$5:$Q$1272,'All Units'!$G$5:$G$1272,775,'All Units'!$H$5:$H$1272,"Luxury",'All Units'!$D$5:$D$1272,$A120)&gt;=_xlfn.MAXIFS('All Units'!$Q$5:$Q$1272,'All Units'!$G$5:$G$1272,775,'All Units'!$H$5:$H$1272,"Classic",'All Units'!$D$5:$D$1272,$A120)+Assumptions!$C$6,"OK","CHECK"))</f>
        <v/>
      </c>
      <c r="E120" s="14" t="str">
        <f>IF(OR(COUNTIFS('All Units'!$G$5:$G$1272,947,'All Units'!$H$5:$H$1272,"Classic",'All Units'!$D$5:$D$1272,$A120)=0,COUNTIFS('All Units'!$G$5:$G$1272,947,'All Units'!$H$5:$H$1272,"Luxury",'All Units'!$D$5:$D$1272,$A120)=0),"",IF(_xlfn.MINIFS('All Units'!$Q$5:$Q$1272,'All Units'!$G$5:$G$1272,947,'All Units'!$H$5:$H$1272,"Luxury",'All Units'!$D$5:$D$1272,$A120)&gt;=_xlfn.MAXIFS('All Units'!$Q$5:$Q$1272,'All Units'!$G$5:$G$1272,947,'All Units'!$H$5:$H$1272,"Classic",'All Units'!$D$5:$D$1272,$A120)+Assumptions!$C$6,"OK","CHECK"))</f>
        <v/>
      </c>
      <c r="F120" s="14" t="str">
        <f>IF(OR(COUNTIFS('All Units'!$G$5:$G$1272,1055,'All Units'!$H$5:$H$1272,"Classic",'All Units'!$D$5:$D$1272,$A120)=0,COUNTIFS('All Units'!$G$5:$G$1272,1055,'All Units'!$H$5:$H$1272,"Luxury",'All Units'!$D$5:$D$1272,$A120)=0),"",IF(_xlfn.MINIFS('All Units'!$Q$5:$Q$1272,'All Units'!$G$5:$G$1272,1055,'All Units'!$H$5:$H$1272,"Luxury",'All Units'!$D$5:$D$1272,$A120)&gt;=_xlfn.MAXIFS('All Units'!$Q$5:$Q$1272,'All Units'!$G$5:$G$1272,1055,'All Units'!$H$5:$H$1272,"Classic",'All Units'!$D$5:$D$1272,$A120)+Assumptions!$C$6,"OK","CHECK"))</f>
        <v/>
      </c>
      <c r="G120" s="14" t="str">
        <f>IF(OR(COUNTIFS('All Units'!$G$5:$G$1272,1238,'All Units'!$H$5:$H$1272,"Classic",'All Units'!$D$5:$D$1272,$A120)=0,COUNTIFS('All Units'!$G$5:$G$1272,1238,'All Units'!$H$5:$H$1272,"Luxury",'All Units'!$D$5:$D$1272,$A120)=0),"",IF(_xlfn.MINIFS('All Units'!$Q$5:$Q$1272,'All Units'!$G$5:$G$1272,1238,'All Units'!$H$5:$H$1272,"Luxury",'All Units'!$D$5:$D$1272,$A120)&gt;=_xlfn.MAXIFS('All Units'!$Q$5:$Q$1272,'All Units'!$G$5:$G$1272,1238,'All Units'!$H$5:$H$1272,"Classic",'All Units'!$D$5:$D$1272,$A120)+Assumptions!$C$6,"OK","CHECK"))</f>
        <v/>
      </c>
    </row>
    <row r="121" spans="1:39" x14ac:dyDescent="0.2">
      <c r="A121" s="91">
        <v>28</v>
      </c>
      <c r="B121" s="14" t="str">
        <f>IF(OR(COUNTIFS('All Units'!$G$5:$G$1272,678,'All Units'!$H$5:$H$1272,"Classic",'All Units'!$D$5:$D$1272,$A121)=0,COUNTIFS('All Units'!$G$5:$G$1272,678,'All Units'!$H$5:$H$1272,"Luxury",'All Units'!$D$5:$D$1272,$A121)=0),"",IF(_xlfn.MINIFS('All Units'!$Q$5:$Q$1272,'All Units'!$G$5:$G$1272,678,'All Units'!$H$5:$H$1272,"Luxury",'All Units'!$D$5:$D$1272,$A121)&gt;=_xlfn.MAXIFS('All Units'!$Q$5:$Q$1272,'All Units'!$G$5:$G$1272,678,'All Units'!$H$5:$H$1272,"Classic",'All Units'!$D$5:$D$1272,$A121)+Assumptions!$C$6,"OK","CHECK"))</f>
        <v/>
      </c>
      <c r="C121" s="14" t="str">
        <f>IF(OR(COUNTIFS('All Units'!$G$5:$G$1272,732,'All Units'!$H$5:$H$1272,"Classic",'All Units'!$D$5:$D$1272,$A121)=0,COUNTIFS('All Units'!$G$5:$G$1272,732,'All Units'!$H$5:$H$1272,"Luxury",'All Units'!$D$5:$D$1272,$A121)=0),"",IF(_xlfn.MINIFS('All Units'!$Q$5:$Q$1272,'All Units'!$G$5:$G$1272,732,'All Units'!$H$5:$H$1272,"Luxury",'All Units'!$D$5:$D$1272,$A121)&gt;=_xlfn.MAXIFS('All Units'!$Q$5:$Q$1272,'All Units'!$G$5:$G$1272,732,'All Units'!$H$5:$H$1272,"Classic",'All Units'!$D$5:$D$1272,$A121)+Assumptions!$C$6,"OK","CHECK"))</f>
        <v/>
      </c>
      <c r="D121" s="14" t="str">
        <f>IF(OR(COUNTIFS('All Units'!$G$5:$G$1272,775,'All Units'!$H$5:$H$1272,"Classic",'All Units'!$D$5:$D$1272,$A121)=0,COUNTIFS('All Units'!$G$5:$G$1272,775,'All Units'!$H$5:$H$1272,"Luxury",'All Units'!$D$5:$D$1272,$A121)=0),"",IF(_xlfn.MINIFS('All Units'!$Q$5:$Q$1272,'All Units'!$G$5:$G$1272,775,'All Units'!$H$5:$H$1272,"Luxury",'All Units'!$D$5:$D$1272,$A121)&gt;=_xlfn.MAXIFS('All Units'!$Q$5:$Q$1272,'All Units'!$G$5:$G$1272,775,'All Units'!$H$5:$H$1272,"Classic",'All Units'!$D$5:$D$1272,$A121)+Assumptions!$C$6,"OK","CHECK"))</f>
        <v/>
      </c>
      <c r="E121" s="14" t="str">
        <f>IF(OR(COUNTIFS('All Units'!$G$5:$G$1272,947,'All Units'!$H$5:$H$1272,"Classic",'All Units'!$D$5:$D$1272,$A121)=0,COUNTIFS('All Units'!$G$5:$G$1272,947,'All Units'!$H$5:$H$1272,"Luxury",'All Units'!$D$5:$D$1272,$A121)=0),"",IF(_xlfn.MINIFS('All Units'!$Q$5:$Q$1272,'All Units'!$G$5:$G$1272,947,'All Units'!$H$5:$H$1272,"Luxury",'All Units'!$D$5:$D$1272,$A121)&gt;=_xlfn.MAXIFS('All Units'!$Q$5:$Q$1272,'All Units'!$G$5:$G$1272,947,'All Units'!$H$5:$H$1272,"Classic",'All Units'!$D$5:$D$1272,$A121)+Assumptions!$C$6,"OK","CHECK"))</f>
        <v/>
      </c>
      <c r="F121" s="14" t="str">
        <f>IF(OR(COUNTIFS('All Units'!$G$5:$G$1272,1055,'All Units'!$H$5:$H$1272,"Classic",'All Units'!$D$5:$D$1272,$A121)=0,COUNTIFS('All Units'!$G$5:$G$1272,1055,'All Units'!$H$5:$H$1272,"Luxury",'All Units'!$D$5:$D$1272,$A121)=0),"",IF(_xlfn.MINIFS('All Units'!$Q$5:$Q$1272,'All Units'!$G$5:$G$1272,1055,'All Units'!$H$5:$H$1272,"Luxury",'All Units'!$D$5:$D$1272,$A121)&gt;=_xlfn.MAXIFS('All Units'!$Q$5:$Q$1272,'All Units'!$G$5:$G$1272,1055,'All Units'!$H$5:$H$1272,"Classic",'All Units'!$D$5:$D$1272,$A121)+Assumptions!$C$6,"OK","CHECK"))</f>
        <v/>
      </c>
      <c r="G121" s="14" t="str">
        <f>IF(OR(COUNTIFS('All Units'!$G$5:$G$1272,1238,'All Units'!$H$5:$H$1272,"Classic",'All Units'!$D$5:$D$1272,$A121)=0,COUNTIFS('All Units'!$G$5:$G$1272,1238,'All Units'!$H$5:$H$1272,"Luxury",'All Units'!$D$5:$D$1272,$A121)=0),"",IF(_xlfn.MINIFS('All Units'!$Q$5:$Q$1272,'All Units'!$G$5:$G$1272,1238,'All Units'!$H$5:$H$1272,"Luxury",'All Units'!$D$5:$D$1272,$A121)&gt;=_xlfn.MAXIFS('All Units'!$Q$5:$Q$1272,'All Units'!$G$5:$G$1272,1238,'All Units'!$H$5:$H$1272,"Classic",'All Units'!$D$5:$D$1272,$A121)+Assumptions!$C$6,"OK","CHECK"))</f>
        <v/>
      </c>
    </row>
    <row r="122" spans="1:39" x14ac:dyDescent="0.2">
      <c r="A122" s="91">
        <v>29</v>
      </c>
      <c r="B122" s="14" t="str">
        <f>IF(OR(COUNTIFS('All Units'!$G$5:$G$1272,678,'All Units'!$H$5:$H$1272,"Classic",'All Units'!$D$5:$D$1272,$A122)=0,COUNTIFS('All Units'!$G$5:$G$1272,678,'All Units'!$H$5:$H$1272,"Luxury",'All Units'!$D$5:$D$1272,$A122)=0),"",IF(_xlfn.MINIFS('All Units'!$Q$5:$Q$1272,'All Units'!$G$5:$G$1272,678,'All Units'!$H$5:$H$1272,"Luxury",'All Units'!$D$5:$D$1272,$A122)&gt;=_xlfn.MAXIFS('All Units'!$Q$5:$Q$1272,'All Units'!$G$5:$G$1272,678,'All Units'!$H$5:$H$1272,"Classic",'All Units'!$D$5:$D$1272,$A122)+Assumptions!$C$6,"OK","CHECK"))</f>
        <v/>
      </c>
      <c r="C122" s="14" t="str">
        <f>IF(OR(COUNTIFS('All Units'!$G$5:$G$1272,732,'All Units'!$H$5:$H$1272,"Classic",'All Units'!$D$5:$D$1272,$A122)=0,COUNTIFS('All Units'!$G$5:$G$1272,732,'All Units'!$H$5:$H$1272,"Luxury",'All Units'!$D$5:$D$1272,$A122)=0),"",IF(_xlfn.MINIFS('All Units'!$Q$5:$Q$1272,'All Units'!$G$5:$G$1272,732,'All Units'!$H$5:$H$1272,"Luxury",'All Units'!$D$5:$D$1272,$A122)&gt;=_xlfn.MAXIFS('All Units'!$Q$5:$Q$1272,'All Units'!$G$5:$G$1272,732,'All Units'!$H$5:$H$1272,"Classic",'All Units'!$D$5:$D$1272,$A122)+Assumptions!$C$6,"OK","CHECK"))</f>
        <v/>
      </c>
      <c r="D122" s="14" t="str">
        <f>IF(OR(COUNTIFS('All Units'!$G$5:$G$1272,775,'All Units'!$H$5:$H$1272,"Classic",'All Units'!$D$5:$D$1272,$A122)=0,COUNTIFS('All Units'!$G$5:$G$1272,775,'All Units'!$H$5:$H$1272,"Luxury",'All Units'!$D$5:$D$1272,$A122)=0),"",IF(_xlfn.MINIFS('All Units'!$Q$5:$Q$1272,'All Units'!$G$5:$G$1272,775,'All Units'!$H$5:$H$1272,"Luxury",'All Units'!$D$5:$D$1272,$A122)&gt;=_xlfn.MAXIFS('All Units'!$Q$5:$Q$1272,'All Units'!$G$5:$G$1272,775,'All Units'!$H$5:$H$1272,"Classic",'All Units'!$D$5:$D$1272,$A122)+Assumptions!$C$6,"OK","CHECK"))</f>
        <v/>
      </c>
      <c r="E122" s="14" t="str">
        <f>IF(OR(COUNTIFS('All Units'!$G$5:$G$1272,947,'All Units'!$H$5:$H$1272,"Classic",'All Units'!$D$5:$D$1272,$A122)=0,COUNTIFS('All Units'!$G$5:$G$1272,947,'All Units'!$H$5:$H$1272,"Luxury",'All Units'!$D$5:$D$1272,$A122)=0),"",IF(_xlfn.MINIFS('All Units'!$Q$5:$Q$1272,'All Units'!$G$5:$G$1272,947,'All Units'!$H$5:$H$1272,"Luxury",'All Units'!$D$5:$D$1272,$A122)&gt;=_xlfn.MAXIFS('All Units'!$Q$5:$Q$1272,'All Units'!$G$5:$G$1272,947,'All Units'!$H$5:$H$1272,"Classic",'All Units'!$D$5:$D$1272,$A122)+Assumptions!$C$6,"OK","CHECK"))</f>
        <v/>
      </c>
      <c r="F122" s="14" t="str">
        <f>IF(OR(COUNTIFS('All Units'!$G$5:$G$1272,1055,'All Units'!$H$5:$H$1272,"Classic",'All Units'!$D$5:$D$1272,$A122)=0,COUNTIFS('All Units'!$G$5:$G$1272,1055,'All Units'!$H$5:$H$1272,"Luxury",'All Units'!$D$5:$D$1272,$A122)=0),"",IF(_xlfn.MINIFS('All Units'!$Q$5:$Q$1272,'All Units'!$G$5:$G$1272,1055,'All Units'!$H$5:$H$1272,"Luxury",'All Units'!$D$5:$D$1272,$A122)&gt;=_xlfn.MAXIFS('All Units'!$Q$5:$Q$1272,'All Units'!$G$5:$G$1272,1055,'All Units'!$H$5:$H$1272,"Classic",'All Units'!$D$5:$D$1272,$A122)+Assumptions!$C$6,"OK","CHECK"))</f>
        <v/>
      </c>
      <c r="G122" s="14" t="str">
        <f>IF(OR(COUNTIFS('All Units'!$G$5:$G$1272,1238,'All Units'!$H$5:$H$1272,"Classic",'All Units'!$D$5:$D$1272,$A122)=0,COUNTIFS('All Units'!$G$5:$G$1272,1238,'All Units'!$H$5:$H$1272,"Luxury",'All Units'!$D$5:$D$1272,$A122)=0),"",IF(_xlfn.MINIFS('All Units'!$Q$5:$Q$1272,'All Units'!$G$5:$G$1272,1238,'All Units'!$H$5:$H$1272,"Luxury",'All Units'!$D$5:$D$1272,$A122)&gt;=_xlfn.MAXIFS('All Units'!$Q$5:$Q$1272,'All Units'!$G$5:$G$1272,1238,'All Units'!$H$5:$H$1272,"Classic",'All Units'!$D$5:$D$1272,$A122)+Assumptions!$C$6,"OK","CHECK"))</f>
        <v/>
      </c>
    </row>
    <row r="123" spans="1:39" x14ac:dyDescent="0.2">
      <c r="A123" s="91">
        <v>30</v>
      </c>
      <c r="B123" s="14" t="str">
        <f>IF(OR(COUNTIFS('All Units'!$G$5:$G$1272,678,'All Units'!$H$5:$H$1272,"Classic",'All Units'!$D$5:$D$1272,$A123)=0,COUNTIFS('All Units'!$G$5:$G$1272,678,'All Units'!$H$5:$H$1272,"Luxury",'All Units'!$D$5:$D$1272,$A123)=0),"",IF(_xlfn.MINIFS('All Units'!$Q$5:$Q$1272,'All Units'!$G$5:$G$1272,678,'All Units'!$H$5:$H$1272,"Luxury",'All Units'!$D$5:$D$1272,$A123)&gt;=_xlfn.MAXIFS('All Units'!$Q$5:$Q$1272,'All Units'!$G$5:$G$1272,678,'All Units'!$H$5:$H$1272,"Classic",'All Units'!$D$5:$D$1272,$A123)+Assumptions!$C$6,"OK","CHECK"))</f>
        <v/>
      </c>
      <c r="C123" s="14" t="str">
        <f>IF(OR(COUNTIFS('All Units'!$G$5:$G$1272,732,'All Units'!$H$5:$H$1272,"Classic",'All Units'!$D$5:$D$1272,$A123)=0,COUNTIFS('All Units'!$G$5:$G$1272,732,'All Units'!$H$5:$H$1272,"Luxury",'All Units'!$D$5:$D$1272,$A123)=0),"",IF(_xlfn.MINIFS('All Units'!$Q$5:$Q$1272,'All Units'!$G$5:$G$1272,732,'All Units'!$H$5:$H$1272,"Luxury",'All Units'!$D$5:$D$1272,$A123)&gt;=_xlfn.MAXIFS('All Units'!$Q$5:$Q$1272,'All Units'!$G$5:$G$1272,732,'All Units'!$H$5:$H$1272,"Classic",'All Units'!$D$5:$D$1272,$A123)+Assumptions!$C$6,"OK","CHECK"))</f>
        <v/>
      </c>
      <c r="D123" s="14" t="str">
        <f>IF(OR(COUNTIFS('All Units'!$G$5:$G$1272,775,'All Units'!$H$5:$H$1272,"Classic",'All Units'!$D$5:$D$1272,$A123)=0,COUNTIFS('All Units'!$G$5:$G$1272,775,'All Units'!$H$5:$H$1272,"Luxury",'All Units'!$D$5:$D$1272,$A123)=0),"",IF(_xlfn.MINIFS('All Units'!$Q$5:$Q$1272,'All Units'!$G$5:$G$1272,775,'All Units'!$H$5:$H$1272,"Luxury",'All Units'!$D$5:$D$1272,$A123)&gt;=_xlfn.MAXIFS('All Units'!$Q$5:$Q$1272,'All Units'!$G$5:$G$1272,775,'All Units'!$H$5:$H$1272,"Classic",'All Units'!$D$5:$D$1272,$A123)+Assumptions!$C$6,"OK","CHECK"))</f>
        <v/>
      </c>
      <c r="E123" s="14" t="str">
        <f>IF(OR(COUNTIFS('All Units'!$G$5:$G$1272,947,'All Units'!$H$5:$H$1272,"Classic",'All Units'!$D$5:$D$1272,$A123)=0,COUNTIFS('All Units'!$G$5:$G$1272,947,'All Units'!$H$5:$H$1272,"Luxury",'All Units'!$D$5:$D$1272,$A123)=0),"",IF(_xlfn.MINIFS('All Units'!$Q$5:$Q$1272,'All Units'!$G$5:$G$1272,947,'All Units'!$H$5:$H$1272,"Luxury",'All Units'!$D$5:$D$1272,$A123)&gt;=_xlfn.MAXIFS('All Units'!$Q$5:$Q$1272,'All Units'!$G$5:$G$1272,947,'All Units'!$H$5:$H$1272,"Classic",'All Units'!$D$5:$D$1272,$A123)+Assumptions!$C$6,"OK","CHECK"))</f>
        <v/>
      </c>
      <c r="F123" s="14" t="str">
        <f>IF(OR(COUNTIFS('All Units'!$G$5:$G$1272,1055,'All Units'!$H$5:$H$1272,"Classic",'All Units'!$D$5:$D$1272,$A123)=0,COUNTIFS('All Units'!$G$5:$G$1272,1055,'All Units'!$H$5:$H$1272,"Luxury",'All Units'!$D$5:$D$1272,$A123)=0),"",IF(_xlfn.MINIFS('All Units'!$Q$5:$Q$1272,'All Units'!$G$5:$G$1272,1055,'All Units'!$H$5:$H$1272,"Luxury",'All Units'!$D$5:$D$1272,$A123)&gt;=_xlfn.MAXIFS('All Units'!$Q$5:$Q$1272,'All Units'!$G$5:$G$1272,1055,'All Units'!$H$5:$H$1272,"Classic",'All Units'!$D$5:$D$1272,$A123)+Assumptions!$C$6,"OK","CHECK"))</f>
        <v/>
      </c>
      <c r="G123" s="14" t="str">
        <f>IF(OR(COUNTIFS('All Units'!$G$5:$G$1272,1238,'All Units'!$H$5:$H$1272,"Classic",'All Units'!$D$5:$D$1272,$A123)=0,COUNTIFS('All Units'!$G$5:$G$1272,1238,'All Units'!$H$5:$H$1272,"Luxury",'All Units'!$D$5:$D$1272,$A123)=0),"",IF(_xlfn.MINIFS('All Units'!$Q$5:$Q$1272,'All Units'!$G$5:$G$1272,1238,'All Units'!$H$5:$H$1272,"Luxury",'All Units'!$D$5:$D$1272,$A123)&gt;=_xlfn.MAXIFS('All Units'!$Q$5:$Q$1272,'All Units'!$G$5:$G$1272,1238,'All Units'!$H$5:$H$1272,"Classic",'All Units'!$D$5:$D$1272,$A123)+Assumptions!$C$6,"OK","CHECK"))</f>
        <v/>
      </c>
    </row>
    <row r="125" spans="1:39" x14ac:dyDescent="0.2">
      <c r="A125" s="18" t="s">
        <v>1607</v>
      </c>
    </row>
    <row r="126" spans="1:39" ht="54" customHeight="1" x14ac:dyDescent="0.2">
      <c r="A126" s="7" t="s">
        <v>99</v>
      </c>
      <c r="B126" s="7" t="s">
        <v>1462</v>
      </c>
      <c r="C126" s="7" t="s">
        <v>101</v>
      </c>
      <c r="D126" s="7" t="s">
        <v>29</v>
      </c>
      <c r="E126" s="7" t="s">
        <v>54</v>
      </c>
      <c r="F126" s="7" t="s">
        <v>30</v>
      </c>
      <c r="G126" s="7" t="s">
        <v>1608</v>
      </c>
      <c r="H126" s="7" t="s">
        <v>1609</v>
      </c>
      <c r="I126" s="7" t="s">
        <v>1610</v>
      </c>
      <c r="J126" s="7" t="s">
        <v>1611</v>
      </c>
      <c r="K126" s="7" t="s">
        <v>1612</v>
      </c>
      <c r="L126" s="7" t="s">
        <v>1613</v>
      </c>
      <c r="M126" s="7" t="s">
        <v>1466</v>
      </c>
      <c r="N126" s="7" t="s">
        <v>1614</v>
      </c>
      <c r="O126" s="7" t="s">
        <v>1615</v>
      </c>
      <c r="P126" s="7" t="s">
        <v>1616</v>
      </c>
      <c r="Q126" s="7" t="s">
        <v>104</v>
      </c>
      <c r="R126" s="7" t="s">
        <v>1617</v>
      </c>
      <c r="S126" s="7" t="s">
        <v>1618</v>
      </c>
      <c r="T126" s="7" t="s">
        <v>1619</v>
      </c>
      <c r="U126" s="7" t="s">
        <v>1620</v>
      </c>
      <c r="V126" s="7" t="s">
        <v>1621</v>
      </c>
      <c r="W126" s="7" t="s">
        <v>1622</v>
      </c>
      <c r="X126" s="7" t="s">
        <v>1623</v>
      </c>
      <c r="Y126" s="7" t="s">
        <v>1624</v>
      </c>
      <c r="Z126" s="7" t="s">
        <v>1625</v>
      </c>
      <c r="AA126" s="7" t="s">
        <v>1626</v>
      </c>
      <c r="AB126" s="7" t="s">
        <v>1627</v>
      </c>
      <c r="AC126" s="7" t="s">
        <v>1628</v>
      </c>
      <c r="AD126" s="7" t="s">
        <v>1465</v>
      </c>
      <c r="AE126" s="7" t="s">
        <v>1629</v>
      </c>
      <c r="AF126" s="7" t="s">
        <v>1630</v>
      </c>
      <c r="AG126" s="7" t="s">
        <v>1631</v>
      </c>
      <c r="AH126" s="7" t="s">
        <v>1632</v>
      </c>
      <c r="AI126" s="7" t="s">
        <v>1633</v>
      </c>
      <c r="AJ126" s="7" t="s">
        <v>1634</v>
      </c>
      <c r="AK126" s="7" t="s">
        <v>1635</v>
      </c>
      <c r="AL126" s="7" t="s">
        <v>1636</v>
      </c>
      <c r="AM126" s="7" t="s">
        <v>1637</v>
      </c>
    </row>
    <row r="127" spans="1:39" ht="27.75" customHeight="1" x14ac:dyDescent="0.2">
      <c r="A127" s="93">
        <v>1</v>
      </c>
      <c r="B127" s="21">
        <v>1</v>
      </c>
      <c r="C127" s="21" t="s">
        <v>115</v>
      </c>
      <c r="D127" s="20">
        <v>1055</v>
      </c>
      <c r="E127" s="21" t="s">
        <v>62</v>
      </c>
      <c r="F127" s="21" t="s">
        <v>46</v>
      </c>
      <c r="G127" s="21">
        <v>2</v>
      </c>
      <c r="H127" s="21">
        <v>21</v>
      </c>
      <c r="I127" s="84" t="s">
        <v>1532</v>
      </c>
      <c r="J127" s="94">
        <f>IF(L127&lt;&gt;"",0,INDEX(Assumptions!$C$17:$C$21,MATCH(I127,Assumptions!$B$17:$B$21,0)))</f>
        <v>30</v>
      </c>
      <c r="K127" s="94">
        <f>INDEX(Assumptions!$C$17:$C$21,MATCH(I127,Assumptions!$B$17:$B$21,0))+R127</f>
        <v>55</v>
      </c>
      <c r="L127" s="94" t="str">
        <f>IF(AG127&lt;&gt;"",AG127,IF(OR(Y127="",Z127&gt;Assumptions!$C$7),"",MAX(G127,IF(E127="Luxury",1,2)+MAX(0,ROUNDUP((AC127-Assumptions!$C$9-IF(E127="Luxury",Assumptions!$C$13,Assumptions!$C$12))/Assumptions!$C$8,0)))))</f>
        <v/>
      </c>
      <c r="M127" s="95"/>
      <c r="N127" s="94">
        <f>Assumptions!$E$49+1</f>
        <v>9</v>
      </c>
      <c r="O127" s="94">
        <f>INDEX(Assumptions!$C$17:$C$21,MATCH(I127,Assumptions!$B$17:$B$21,0))+T127</f>
        <v>80</v>
      </c>
      <c r="P127" s="94">
        <f>Assumptions!$F$49+1</f>
        <v>17</v>
      </c>
      <c r="Q127" s="15">
        <f>Assumptions!$D$31</f>
        <v>2633</v>
      </c>
      <c r="R127" s="78">
        <v>25</v>
      </c>
      <c r="S127" s="15">
        <f>Assumptions!$R$49</f>
        <v>3250</v>
      </c>
      <c r="T127" s="78">
        <v>50</v>
      </c>
      <c r="U127" s="63">
        <f>Assumptions!$D$49</f>
        <v>2</v>
      </c>
      <c r="V127" s="63">
        <f>Assumptions!$E$49</f>
        <v>8</v>
      </c>
      <c r="W127" s="63">
        <f>Assumptions!$F$49</f>
        <v>16</v>
      </c>
      <c r="X127" s="95" t="s">
        <v>1638</v>
      </c>
      <c r="Y127" s="80"/>
      <c r="Z127" s="80"/>
      <c r="AA127" s="80"/>
      <c r="AB127" s="96"/>
      <c r="AC127" s="89" t="str">
        <f>IF(Y127="","",Y127+Assumptions!$C$9/(Assumptions!$C$10+Assumptions!$C$11)*(Z127+Assumptions!$C$10+Assumptions!$C$11))</f>
        <v/>
      </c>
      <c r="AD127" s="94" t="str">
        <f>IF(Y127="","",MAX(G127,IF(E127="Luxury",1,2)+MAX(0,ROUNDUP((Y127-Assumptions!$C$9-IF(E127="Luxury",Assumptions!$C$13,Assumptions!$C$12))/Assumptions!$C$8,0))))</f>
        <v/>
      </c>
      <c r="AE127" s="94" t="str">
        <f>IF(Y127="","",MAX(G127,IF(E127="Luxury",1,2)+MAX(0,ROUNDUP((Y127+Assumptions!$C$9/(Assumptions!$C$10+Assumptions!$C$11)*(AA127+Assumptions!$C$10+Assumptions!$C$11)-Assumptions!$C$9-IF(E127="Luxury",Assumptions!$C$13,Assumptions!$C$12))/Assumptions!$C$8,0))))</f>
        <v/>
      </c>
      <c r="AF127" s="94">
        <f t="shared" ref="AF127:AF158" si="7">MIN(_xlfn.MINIFS($J$127:$J$181,$D$127:$D$181,D127,$E$127:$E$181,E127),_xlfn.MINIFS($K$127:$K$181,$D$127:$D$181,D127,$E$127:$E$181,E127),_xlfn.MINIFS($O$127:$O$181,$D$127:$D$181,D127,$E$127:$E$181,E127))</f>
        <v>0</v>
      </c>
      <c r="AG127" s="78"/>
      <c r="AH127" s="94">
        <f t="shared" ref="AH127:AH158" si="8">IF(L127="",N127,MAX(N127,L127))</f>
        <v>9</v>
      </c>
      <c r="AI127" s="94">
        <f t="shared" ref="AI127:AI158" si="9">MAX(_xlfn.MAXIFS($J$127:$J$181,$D$127:$D$181,D127,$E$127:$E$181,E127),_xlfn.MAXIFS($K$127:$K$181,$D$127:$D$181,D127,$E$127:$E$181,E127),_xlfn.MAXIFS($O$127:$O$181,$D$127:$D$181,D127,$E$127:$E$181,E127))</f>
        <v>80</v>
      </c>
      <c r="AJ127" s="95" t="s">
        <v>1639</v>
      </c>
      <c r="AK127" s="97">
        <f>IF(_xlfn.MAXIFS($J$127:$J$181,$D$127:$D$181,D127,$E$127:$E$181,E127)=_xlfn.MINIFS($J$127:$J$181,$D$127:$D$181,D127,$E$127:$E$181,E127),0,-Assumptions!$C$5+2*Assumptions!$C$5*(J127-_xlfn.MINIFS($J$127:$J$181,$D$127:$D$181,D127,$E$127:$E$181,E127))/(_xlfn.MAXIFS($J$127:$J$181,$D$127:$D$181,D127,$E$127:$E$181,E127)-_xlfn.MINIFS($J$127:$J$181,$D$127:$D$181,D127,$E$127:$E$181,E127)))</f>
        <v>16666.666666666672</v>
      </c>
      <c r="AL127" s="97">
        <f>IF(_xlfn.MAXIFS($K$127:$K$181,$D$127:$D$181,D127,$E$127:$E$181,E127)=_xlfn.MINIFS($K$127:$K$181,$D$127:$D$181,D127,$E$127:$E$181,E127),0,-Assumptions!$C$5+2*Assumptions!$C$5*(K127-_xlfn.MINIFS($K$127:$K$181,$D$127:$D$181,D127,$E$127:$E$181,E127))/(_xlfn.MAXIFS($K$127:$K$181,$D$127:$D$181,D127,$E$127:$E$181,E127)-_xlfn.MINIFS($K$127:$K$181,$D$127:$D$181,D127,$E$127:$E$181,E127)))</f>
        <v>50000</v>
      </c>
      <c r="AM127" s="97">
        <f>IF(_xlfn.MAXIFS($O$127:$O$181,$D$127:$D$181,D127,$E$127:$E$181,E127)=_xlfn.MINIFS($O$127:$O$181,$D$127:$D$181,D127,$E$127:$E$181,E127),0,-Assumptions!$C$5+2*Assumptions!$C$5*(O127-_xlfn.MINIFS($O$127:$O$181,$D$127:$D$181,D127,$E$127:$E$181,E127))/(_xlfn.MAXIFS($O$127:$O$181,$D$127:$D$181,D127,$E$127:$E$181,E127)-_xlfn.MINIFS($O$127:$O$181,$D$127:$D$181,D127,$E$127:$E$181,E127)))</f>
        <v>50000</v>
      </c>
    </row>
    <row r="128" spans="1:39" ht="27.75" customHeight="1" x14ac:dyDescent="0.2">
      <c r="A128" s="93">
        <v>2</v>
      </c>
      <c r="B128" s="21">
        <v>1</v>
      </c>
      <c r="C128" s="21" t="s">
        <v>137</v>
      </c>
      <c r="D128" s="20">
        <v>678</v>
      </c>
      <c r="E128" s="21" t="s">
        <v>62</v>
      </c>
      <c r="F128" s="21" t="s">
        <v>43</v>
      </c>
      <c r="G128" s="21">
        <v>2</v>
      </c>
      <c r="H128" s="21">
        <v>21</v>
      </c>
      <c r="I128" s="84" t="s">
        <v>1530</v>
      </c>
      <c r="J128" s="94">
        <f>IF(L128&lt;&gt;"",0,INDEX(Assumptions!$C$17:$C$21,MATCH(I128,Assumptions!$B$17:$B$21,0)))</f>
        <v>0</v>
      </c>
      <c r="K128" s="94">
        <f>INDEX(Assumptions!$C$17:$C$21,MATCH(I128,Assumptions!$B$17:$B$21,0))+R128</f>
        <v>60</v>
      </c>
      <c r="L128" s="94">
        <f>IF(AG128&lt;&gt;"",AG128,IF(OR(Y128="",Z128&gt;Assumptions!$C$7),"",MAX(G128,IF(E128="Luxury",1,2)+MAX(0,ROUNDUP((AC128-Assumptions!$C$9-IF(E128="Luxury",Assumptions!$C$13,Assumptions!$C$12))/Assumptions!$C$8,0)))))</f>
        <v>5</v>
      </c>
      <c r="M128" s="95" t="s">
        <v>1640</v>
      </c>
      <c r="N128" s="94">
        <f>Assumptions!$E$41+1</f>
        <v>8</v>
      </c>
      <c r="O128" s="94">
        <f>INDEX(Assumptions!$C$17:$C$21,MATCH(I128,Assumptions!$B$17:$B$21,0))+T128</f>
        <v>80</v>
      </c>
      <c r="P128" s="94">
        <f>Assumptions!$F$41+1</f>
        <v>16</v>
      </c>
      <c r="Q128" s="15">
        <f>Assumptions!$D$27</f>
        <v>2613</v>
      </c>
      <c r="R128" s="78">
        <v>15</v>
      </c>
      <c r="S128" s="15">
        <f>Assumptions!$R$41</f>
        <v>3250</v>
      </c>
      <c r="T128" s="78">
        <v>35</v>
      </c>
      <c r="U128" s="63">
        <f>Assumptions!$D$41</f>
        <v>2</v>
      </c>
      <c r="V128" s="63">
        <f>Assumptions!$E$41</f>
        <v>7</v>
      </c>
      <c r="W128" s="63">
        <f>Assumptions!$F$41</f>
        <v>15</v>
      </c>
      <c r="X128" s="95" t="s">
        <v>1641</v>
      </c>
      <c r="Y128" s="80">
        <v>12</v>
      </c>
      <c r="Z128" s="80">
        <v>27.5</v>
      </c>
      <c r="AA128" s="80">
        <v>37</v>
      </c>
      <c r="AB128" s="96">
        <v>0.41</v>
      </c>
      <c r="AC128" s="89">
        <f>IF(Y128="","",Y128+Assumptions!$C$9/(Assumptions!$C$10+Assumptions!$C$11)*(Z128+Assumptions!$C$10+Assumptions!$C$11))</f>
        <v>22.4</v>
      </c>
      <c r="AD128" s="94">
        <f>IF(Y128="","",MAX(G128,IF(E128="Luxury",1,2)+MAX(0,ROUNDUP((Y128-Assumptions!$C$9-IF(E128="Luxury",Assumptions!$C$13,Assumptions!$C$12))/Assumptions!$C$8,0))))</f>
        <v>2</v>
      </c>
      <c r="AE128" s="94">
        <f>IF(Y128="","",MAX(G128,IF(E128="Luxury",1,2)+MAX(0,ROUNDUP((Y128+Assumptions!$C$9/(Assumptions!$C$10+Assumptions!$C$11)*(AA128+Assumptions!$C$10+Assumptions!$C$11)-Assumptions!$C$9-IF(E128="Luxury",Assumptions!$C$13,Assumptions!$C$12))/Assumptions!$C$8,0))))</f>
        <v>6</v>
      </c>
      <c r="AF128" s="94">
        <f t="shared" si="7"/>
        <v>0</v>
      </c>
      <c r="AG128" s="78"/>
      <c r="AH128" s="94">
        <f t="shared" si="8"/>
        <v>8</v>
      </c>
      <c r="AI128" s="94">
        <f t="shared" si="9"/>
        <v>80</v>
      </c>
      <c r="AJ128" s="95" t="s">
        <v>1642</v>
      </c>
      <c r="AK128" s="97">
        <f>IF(_xlfn.MAXIFS($J$127:$J$181,$D$127:$D$181,D128,$E$127:$E$181,E128)=_xlfn.MINIFS($J$127:$J$181,$D$127:$D$181,D128,$E$127:$E$181,E128),0,-Assumptions!$C$5+2*Assumptions!$C$5*(J128-_xlfn.MINIFS($J$127:$J$181,$D$127:$D$181,D128,$E$127:$E$181,E128))/(_xlfn.MAXIFS($J$127:$J$181,$D$127:$D$181,D128,$E$127:$E$181,E128)-_xlfn.MINIFS($J$127:$J$181,$D$127:$D$181,D128,$E$127:$E$181,E128)))</f>
        <v>-50000</v>
      </c>
      <c r="AL128" s="97">
        <f>IF(_xlfn.MAXIFS($K$127:$K$181,$D$127:$D$181,D128,$E$127:$E$181,E128)=_xlfn.MINIFS($K$127:$K$181,$D$127:$D$181,D128,$E$127:$E$181,E128),0,-Assumptions!$C$5+2*Assumptions!$C$5*(K128-_xlfn.MINIFS($K$127:$K$181,$D$127:$D$181,D128,$E$127:$E$181,E128))/(_xlfn.MAXIFS($K$127:$K$181,$D$127:$D$181,D128,$E$127:$E$181,E128)-_xlfn.MINIFS($K$127:$K$181,$D$127:$D$181,D128,$E$127:$E$181,E128)))</f>
        <v>50000</v>
      </c>
      <c r="AM128" s="97">
        <f>IF(_xlfn.MAXIFS($O$127:$O$181,$D$127:$D$181,D128,$E$127:$E$181,E128)=_xlfn.MINIFS($O$127:$O$181,$D$127:$D$181,D128,$E$127:$E$181,E128),0,-Assumptions!$C$5+2*Assumptions!$C$5*(O128-_xlfn.MINIFS($O$127:$O$181,$D$127:$D$181,D128,$E$127:$E$181,E128))/(_xlfn.MAXIFS($O$127:$O$181,$D$127:$D$181,D128,$E$127:$E$181,E128)-_xlfn.MINIFS($O$127:$O$181,$D$127:$D$181,D128,$E$127:$E$181,E128)))</f>
        <v>50000</v>
      </c>
    </row>
    <row r="129" spans="1:39" ht="27.75" customHeight="1" x14ac:dyDescent="0.2">
      <c r="A129" s="93">
        <v>3</v>
      </c>
      <c r="B129" s="21">
        <v>1</v>
      </c>
      <c r="C129" s="21" t="s">
        <v>159</v>
      </c>
      <c r="D129" s="20">
        <v>678</v>
      </c>
      <c r="E129" s="21" t="s">
        <v>62</v>
      </c>
      <c r="F129" s="21" t="s">
        <v>43</v>
      </c>
      <c r="G129" s="21">
        <v>2</v>
      </c>
      <c r="H129" s="21">
        <v>21</v>
      </c>
      <c r="I129" s="84" t="s">
        <v>1530</v>
      </c>
      <c r="J129" s="94">
        <f>IF(L129&lt;&gt;"",0,INDEX(Assumptions!$C$17:$C$21,MATCH(I129,Assumptions!$B$17:$B$21,0)))</f>
        <v>0</v>
      </c>
      <c r="K129" s="94">
        <f>INDEX(Assumptions!$C$17:$C$21,MATCH(I129,Assumptions!$B$17:$B$21,0))+R129</f>
        <v>60</v>
      </c>
      <c r="L129" s="94">
        <f>IF(AG129&lt;&gt;"",AG129,IF(OR(Y129="",Z129&gt;Assumptions!$C$7),"",MAX(G129,IF(E129="Luxury",1,2)+MAX(0,ROUNDUP((AC129-Assumptions!$C$9-IF(E129="Luxury",Assumptions!$C$13,Assumptions!$C$12))/Assumptions!$C$8,0)))))</f>
        <v>4</v>
      </c>
      <c r="M129" s="95" t="s">
        <v>1643</v>
      </c>
      <c r="N129" s="94">
        <f>Assumptions!$E$41+1</f>
        <v>8</v>
      </c>
      <c r="O129" s="94">
        <f>INDEX(Assumptions!$C$17:$C$21,MATCH(I129,Assumptions!$B$17:$B$21,0))+T129</f>
        <v>80</v>
      </c>
      <c r="P129" s="94">
        <f>Assumptions!$F$41+1</f>
        <v>16</v>
      </c>
      <c r="Q129" s="15">
        <f>Assumptions!$D$27</f>
        <v>2613</v>
      </c>
      <c r="R129" s="78">
        <v>15</v>
      </c>
      <c r="S129" s="15">
        <f>Assumptions!$R$41</f>
        <v>3250</v>
      </c>
      <c r="T129" s="78">
        <v>35</v>
      </c>
      <c r="U129" s="63">
        <f>Assumptions!$D$41</f>
        <v>2</v>
      </c>
      <c r="V129" s="63">
        <f>Assumptions!$E$41</f>
        <v>7</v>
      </c>
      <c r="W129" s="63">
        <f>Assumptions!$F$41</f>
        <v>15</v>
      </c>
      <c r="X129" s="95" t="s">
        <v>1641</v>
      </c>
      <c r="Y129" s="80">
        <v>12</v>
      </c>
      <c r="Z129" s="80">
        <v>22.5</v>
      </c>
      <c r="AA129" s="80">
        <v>32.5</v>
      </c>
      <c r="AB129" s="96">
        <v>0.66</v>
      </c>
      <c r="AC129" s="89">
        <f>IF(Y129="","",Y129+Assumptions!$C$9/(Assumptions!$C$10+Assumptions!$C$11)*(Z129+Assumptions!$C$10+Assumptions!$C$11))</f>
        <v>20.8</v>
      </c>
      <c r="AD129" s="94">
        <f>IF(Y129="","",MAX(G129,IF(E129="Luxury",1,2)+MAX(0,ROUNDUP((Y129-Assumptions!$C$9-IF(E129="Luxury",Assumptions!$C$13,Assumptions!$C$12))/Assumptions!$C$8,0))))</f>
        <v>2</v>
      </c>
      <c r="AE129" s="94">
        <f>IF(Y129="","",MAX(G129,IF(E129="Luxury",1,2)+MAX(0,ROUNDUP((Y129+Assumptions!$C$9/(Assumptions!$C$10+Assumptions!$C$11)*(AA129+Assumptions!$C$10+Assumptions!$C$11)-Assumptions!$C$9-IF(E129="Luxury",Assumptions!$C$13,Assumptions!$C$12))/Assumptions!$C$8,0))))</f>
        <v>5</v>
      </c>
      <c r="AF129" s="94">
        <f t="shared" si="7"/>
        <v>0</v>
      </c>
      <c r="AG129" s="78"/>
      <c r="AH129" s="94">
        <f t="shared" si="8"/>
        <v>8</v>
      </c>
      <c r="AI129" s="94">
        <f t="shared" si="9"/>
        <v>80</v>
      </c>
      <c r="AJ129" s="95" t="s">
        <v>1642</v>
      </c>
      <c r="AK129" s="97">
        <f>IF(_xlfn.MAXIFS($J$127:$J$181,$D$127:$D$181,D129,$E$127:$E$181,E129)=_xlfn.MINIFS($J$127:$J$181,$D$127:$D$181,D129,$E$127:$E$181,E129),0,-Assumptions!$C$5+2*Assumptions!$C$5*(J129-_xlfn.MINIFS($J$127:$J$181,$D$127:$D$181,D129,$E$127:$E$181,E129))/(_xlfn.MAXIFS($J$127:$J$181,$D$127:$D$181,D129,$E$127:$E$181,E129)-_xlfn.MINIFS($J$127:$J$181,$D$127:$D$181,D129,$E$127:$E$181,E129)))</f>
        <v>-50000</v>
      </c>
      <c r="AL129" s="97">
        <f>IF(_xlfn.MAXIFS($K$127:$K$181,$D$127:$D$181,D129,$E$127:$E$181,E129)=_xlfn.MINIFS($K$127:$K$181,$D$127:$D$181,D129,$E$127:$E$181,E129),0,-Assumptions!$C$5+2*Assumptions!$C$5*(K129-_xlfn.MINIFS($K$127:$K$181,$D$127:$D$181,D129,$E$127:$E$181,E129))/(_xlfn.MAXIFS($K$127:$K$181,$D$127:$D$181,D129,$E$127:$E$181,E129)-_xlfn.MINIFS($K$127:$K$181,$D$127:$D$181,D129,$E$127:$E$181,E129)))</f>
        <v>50000</v>
      </c>
      <c r="AM129" s="97">
        <f>IF(_xlfn.MAXIFS($O$127:$O$181,$D$127:$D$181,D129,$E$127:$E$181,E129)=_xlfn.MINIFS($O$127:$O$181,$D$127:$D$181,D129,$E$127:$E$181,E129),0,-Assumptions!$C$5+2*Assumptions!$C$5*(O129-_xlfn.MINIFS($O$127:$O$181,$D$127:$D$181,D129,$E$127:$E$181,E129))/(_xlfn.MAXIFS($O$127:$O$181,$D$127:$D$181,D129,$E$127:$E$181,E129)-_xlfn.MINIFS($O$127:$O$181,$D$127:$D$181,D129,$E$127:$E$181,E129)))</f>
        <v>50000</v>
      </c>
    </row>
    <row r="130" spans="1:39" ht="27.75" customHeight="1" x14ac:dyDescent="0.2">
      <c r="A130" s="93">
        <v>4</v>
      </c>
      <c r="B130" s="21">
        <v>1</v>
      </c>
      <c r="C130" s="21" t="s">
        <v>181</v>
      </c>
      <c r="D130" s="20">
        <v>732</v>
      </c>
      <c r="E130" s="21" t="s">
        <v>62</v>
      </c>
      <c r="F130" s="21" t="s">
        <v>44</v>
      </c>
      <c r="G130" s="21">
        <v>2</v>
      </c>
      <c r="H130" s="21">
        <v>21</v>
      </c>
      <c r="I130" s="84" t="s">
        <v>1532</v>
      </c>
      <c r="J130" s="94">
        <f>IF(L130&lt;&gt;"",0,INDEX(Assumptions!$C$17:$C$21,MATCH(I130,Assumptions!$B$17:$B$21,0)))</f>
        <v>0</v>
      </c>
      <c r="K130" s="94">
        <f>INDEX(Assumptions!$C$17:$C$21,MATCH(I130,Assumptions!$B$17:$B$21,0))+R130</f>
        <v>50</v>
      </c>
      <c r="L130" s="94">
        <f>IF(AG130&lt;&gt;"",AG130,IF(OR(Y130="",Z130&gt;Assumptions!$C$7),"",MAX(G130,IF(E130="Luxury",1,2)+MAX(0,ROUNDUP((AC130-Assumptions!$C$9-IF(E130="Luxury",Assumptions!$C$13,Assumptions!$C$12))/Assumptions!$C$8,0)))))</f>
        <v>4</v>
      </c>
      <c r="M130" s="95" t="s">
        <v>1644</v>
      </c>
      <c r="N130" s="94">
        <f>Assumptions!$E$43+1</f>
        <v>8</v>
      </c>
      <c r="O130" s="94">
        <f>INDEX(Assumptions!$C$17:$C$21,MATCH(I130,Assumptions!$B$17:$B$21,0))+T130</f>
        <v>65</v>
      </c>
      <c r="P130" s="94">
        <f>Assumptions!$F$43+1</f>
        <v>16</v>
      </c>
      <c r="Q130" s="15">
        <f>Assumptions!$D$28</f>
        <v>2630</v>
      </c>
      <c r="R130" s="78">
        <v>20</v>
      </c>
      <c r="S130" s="15">
        <f>Assumptions!$R$43</f>
        <v>3250</v>
      </c>
      <c r="T130" s="78">
        <v>35</v>
      </c>
      <c r="U130" s="63">
        <f>Assumptions!$D$43</f>
        <v>2</v>
      </c>
      <c r="V130" s="63">
        <f>Assumptions!$E$43</f>
        <v>7</v>
      </c>
      <c r="W130" s="63">
        <f>Assumptions!$F$43</f>
        <v>15</v>
      </c>
      <c r="X130" s="95" t="s">
        <v>1645</v>
      </c>
      <c r="Y130" s="80">
        <v>12</v>
      </c>
      <c r="Z130" s="80">
        <v>18.8</v>
      </c>
      <c r="AA130" s="80">
        <v>28.5</v>
      </c>
      <c r="AB130" s="96">
        <v>0.75</v>
      </c>
      <c r="AC130" s="89">
        <f>IF(Y130="","",Y130+Assumptions!$C$9/(Assumptions!$C$10+Assumptions!$C$11)*(Z130+Assumptions!$C$10+Assumptions!$C$11))</f>
        <v>19.616</v>
      </c>
      <c r="AD130" s="94">
        <f>IF(Y130="","",MAX(G130,IF(E130="Luxury",1,2)+MAX(0,ROUNDUP((Y130-Assumptions!$C$9-IF(E130="Luxury",Assumptions!$C$13,Assumptions!$C$12))/Assumptions!$C$8,0))))</f>
        <v>2</v>
      </c>
      <c r="AE130" s="94">
        <f>IF(Y130="","",MAX(G130,IF(E130="Luxury",1,2)+MAX(0,ROUNDUP((Y130+Assumptions!$C$9/(Assumptions!$C$10+Assumptions!$C$11)*(AA130+Assumptions!$C$10+Assumptions!$C$11)-Assumptions!$C$9-IF(E130="Luxury",Assumptions!$C$13,Assumptions!$C$12))/Assumptions!$C$8,0))))</f>
        <v>5</v>
      </c>
      <c r="AF130" s="94">
        <f t="shared" si="7"/>
        <v>0</v>
      </c>
      <c r="AG130" s="78"/>
      <c r="AH130" s="94">
        <f t="shared" si="8"/>
        <v>8</v>
      </c>
      <c r="AI130" s="94">
        <f t="shared" si="9"/>
        <v>65</v>
      </c>
      <c r="AJ130" s="95" t="s">
        <v>1646</v>
      </c>
      <c r="AK130" s="97">
        <f>IF(_xlfn.MAXIFS($J$127:$J$181,$D$127:$D$181,D130,$E$127:$E$181,E130)=_xlfn.MINIFS($J$127:$J$181,$D$127:$D$181,D130,$E$127:$E$181,E130),0,-Assumptions!$C$5+2*Assumptions!$C$5*(J130-_xlfn.MINIFS($J$127:$J$181,$D$127:$D$181,D130,$E$127:$E$181,E130))/(_xlfn.MAXIFS($J$127:$J$181,$D$127:$D$181,D130,$E$127:$E$181,E130)-_xlfn.MINIFS($J$127:$J$181,$D$127:$D$181,D130,$E$127:$E$181,E130)))</f>
        <v>-50000</v>
      </c>
      <c r="AL130" s="97">
        <f>IF(_xlfn.MAXIFS($K$127:$K$181,$D$127:$D$181,D130,$E$127:$E$181,E130)=_xlfn.MINIFS($K$127:$K$181,$D$127:$D$181,D130,$E$127:$E$181,E130),0,-Assumptions!$C$5+2*Assumptions!$C$5*(K130-_xlfn.MINIFS($K$127:$K$181,$D$127:$D$181,D130,$E$127:$E$181,E130))/(_xlfn.MAXIFS($K$127:$K$181,$D$127:$D$181,D130,$E$127:$E$181,E130)-_xlfn.MINIFS($K$127:$K$181,$D$127:$D$181,D130,$E$127:$E$181,E130)))</f>
        <v>50000</v>
      </c>
      <c r="AM130" s="97">
        <f>IF(_xlfn.MAXIFS($O$127:$O$181,$D$127:$D$181,D130,$E$127:$E$181,E130)=_xlfn.MINIFS($O$127:$O$181,$D$127:$D$181,D130,$E$127:$E$181,E130),0,-Assumptions!$C$5+2*Assumptions!$C$5*(O130-_xlfn.MINIFS($O$127:$O$181,$D$127:$D$181,D130,$E$127:$E$181,E130))/(_xlfn.MAXIFS($O$127:$O$181,$D$127:$D$181,D130,$E$127:$E$181,E130)-_xlfn.MINIFS($O$127:$O$181,$D$127:$D$181,D130,$E$127:$E$181,E130)))</f>
        <v>50000</v>
      </c>
    </row>
    <row r="131" spans="1:39" ht="27.75" customHeight="1" x14ac:dyDescent="0.2">
      <c r="A131" s="93">
        <v>5</v>
      </c>
      <c r="B131" s="21">
        <v>1</v>
      </c>
      <c r="C131" s="21" t="s">
        <v>203</v>
      </c>
      <c r="D131" s="20">
        <v>1152</v>
      </c>
      <c r="E131" s="21" t="s">
        <v>62</v>
      </c>
      <c r="F131" s="21" t="s">
        <v>47</v>
      </c>
      <c r="G131" s="21">
        <v>2</v>
      </c>
      <c r="H131" s="21">
        <v>21</v>
      </c>
      <c r="I131" s="84" t="s">
        <v>1530</v>
      </c>
      <c r="J131" s="94">
        <f>IF(L131&lt;&gt;"",0,INDEX(Assumptions!$C$17:$C$21,MATCH(I131,Assumptions!$B$17:$B$21,0)))</f>
        <v>0</v>
      </c>
      <c r="K131" s="94">
        <f>INDEX(Assumptions!$C$17:$C$21,MATCH(I131,Assumptions!$B$17:$B$21,0))+R131</f>
        <v>70</v>
      </c>
      <c r="L131" s="94">
        <f>IF(AG131&lt;&gt;"",AG131,IF(OR(Y131="",Z131&gt;Assumptions!$C$7),"",MAX(G131,IF(E131="Luxury",1,2)+MAX(0,ROUNDUP((AC131-Assumptions!$C$9-IF(E131="Luxury",Assumptions!$C$13,Assumptions!$C$12))/Assumptions!$C$8,0)))))</f>
        <v>4</v>
      </c>
      <c r="M131" s="95" t="s">
        <v>1647</v>
      </c>
      <c r="N131" s="94">
        <f>Assumptions!$E$51+1</f>
        <v>9</v>
      </c>
      <c r="O131" s="94">
        <f>INDEX(Assumptions!$C$17:$C$21,MATCH(I131,Assumptions!$B$17:$B$21,0))+T131</f>
        <v>100</v>
      </c>
      <c r="P131" s="94">
        <f>Assumptions!$F$51+1</f>
        <v>16</v>
      </c>
      <c r="Q131" s="15">
        <f>Assumptions!$D$32</f>
        <v>2650</v>
      </c>
      <c r="R131" s="78">
        <v>25</v>
      </c>
      <c r="S131" s="15">
        <f>Assumptions!$R$51</f>
        <v>3250</v>
      </c>
      <c r="T131" s="78">
        <v>55</v>
      </c>
      <c r="U131" s="63">
        <f>Assumptions!$D$51</f>
        <v>2</v>
      </c>
      <c r="V131" s="63">
        <f>Assumptions!$E$51</f>
        <v>8</v>
      </c>
      <c r="W131" s="63">
        <f>Assumptions!$F$51</f>
        <v>15</v>
      </c>
      <c r="X131" s="95" t="s">
        <v>1648</v>
      </c>
      <c r="Y131" s="80">
        <v>13</v>
      </c>
      <c r="Z131" s="80">
        <v>19.2</v>
      </c>
      <c r="AA131" s="80">
        <v>28</v>
      </c>
      <c r="AB131" s="96">
        <v>0.75</v>
      </c>
      <c r="AC131" s="89">
        <f>IF(Y131="","",Y131+Assumptions!$C$9/(Assumptions!$C$10+Assumptions!$C$11)*(Z131+Assumptions!$C$10+Assumptions!$C$11))</f>
        <v>20.744</v>
      </c>
      <c r="AD131" s="94">
        <f>IF(Y131="","",MAX(G131,IF(E131="Luxury",1,2)+MAX(0,ROUNDUP((Y131-Assumptions!$C$9-IF(E131="Luxury",Assumptions!$C$13,Assumptions!$C$12))/Assumptions!$C$8,0))))</f>
        <v>2</v>
      </c>
      <c r="AE131" s="94">
        <f>IF(Y131="","",MAX(G131,IF(E131="Luxury",1,2)+MAX(0,ROUNDUP((Y131+Assumptions!$C$9/(Assumptions!$C$10+Assumptions!$C$11)*(AA131+Assumptions!$C$10+Assumptions!$C$11)-Assumptions!$C$9-IF(E131="Luxury",Assumptions!$C$13,Assumptions!$C$12))/Assumptions!$C$8,0))))</f>
        <v>5</v>
      </c>
      <c r="AF131" s="94">
        <f t="shared" si="7"/>
        <v>0</v>
      </c>
      <c r="AG131" s="78"/>
      <c r="AH131" s="94">
        <f t="shared" si="8"/>
        <v>9</v>
      </c>
      <c r="AI131" s="94">
        <f t="shared" si="9"/>
        <v>100</v>
      </c>
      <c r="AJ131" s="95" t="s">
        <v>1649</v>
      </c>
      <c r="AK131" s="97">
        <f>IF(_xlfn.MAXIFS($J$127:$J$181,$D$127:$D$181,D131,$E$127:$E$181,E131)=_xlfn.MINIFS($J$127:$J$181,$D$127:$D$181,D131,$E$127:$E$181,E131),0,-Assumptions!$C$5+2*Assumptions!$C$5*(J131-_xlfn.MINIFS($J$127:$J$181,$D$127:$D$181,D131,$E$127:$E$181,E131))/(_xlfn.MAXIFS($J$127:$J$181,$D$127:$D$181,D131,$E$127:$E$181,E131)-_xlfn.MINIFS($J$127:$J$181,$D$127:$D$181,D131,$E$127:$E$181,E131)))</f>
        <v>-50000</v>
      </c>
      <c r="AL131" s="97">
        <f>IF(_xlfn.MAXIFS($K$127:$K$181,$D$127:$D$181,D131,$E$127:$E$181,E131)=_xlfn.MINIFS($K$127:$K$181,$D$127:$D$181,D131,$E$127:$E$181,E131),0,-Assumptions!$C$5+2*Assumptions!$C$5*(K131-_xlfn.MINIFS($K$127:$K$181,$D$127:$D$181,D131,$E$127:$E$181,E131))/(_xlfn.MAXIFS($K$127:$K$181,$D$127:$D$181,D131,$E$127:$E$181,E131)-_xlfn.MINIFS($K$127:$K$181,$D$127:$D$181,D131,$E$127:$E$181,E131)))</f>
        <v>50000</v>
      </c>
      <c r="AM131" s="97">
        <f>IF(_xlfn.MAXIFS($O$127:$O$181,$D$127:$D$181,D131,$E$127:$E$181,E131)=_xlfn.MINIFS($O$127:$O$181,$D$127:$D$181,D131,$E$127:$E$181,E131),0,-Assumptions!$C$5+2*Assumptions!$C$5*(O131-_xlfn.MINIFS($O$127:$O$181,$D$127:$D$181,D131,$E$127:$E$181,E131))/(_xlfn.MAXIFS($O$127:$O$181,$D$127:$D$181,D131,$E$127:$E$181,E131)-_xlfn.MINIFS($O$127:$O$181,$D$127:$D$181,D131,$E$127:$E$181,E131)))</f>
        <v>50000</v>
      </c>
    </row>
    <row r="132" spans="1:39" ht="27.75" customHeight="1" x14ac:dyDescent="0.2">
      <c r="A132" s="93">
        <v>6</v>
      </c>
      <c r="B132" s="21">
        <v>1</v>
      </c>
      <c r="C132" s="21" t="s">
        <v>225</v>
      </c>
      <c r="D132" s="20">
        <v>1055</v>
      </c>
      <c r="E132" s="21" t="s">
        <v>62</v>
      </c>
      <c r="F132" s="21" t="s">
        <v>46</v>
      </c>
      <c r="G132" s="21">
        <v>2</v>
      </c>
      <c r="H132" s="21">
        <v>21</v>
      </c>
      <c r="I132" s="84" t="s">
        <v>1530</v>
      </c>
      <c r="J132" s="94">
        <f>IF(L132&lt;&gt;"",0,INDEX(Assumptions!$C$17:$C$21,MATCH(I132,Assumptions!$B$17:$B$21,0)))</f>
        <v>0</v>
      </c>
      <c r="K132" s="94">
        <f>INDEX(Assumptions!$C$17:$C$21,MATCH(I132,Assumptions!$B$17:$B$21,0))+R132</f>
        <v>50</v>
      </c>
      <c r="L132" s="94">
        <f>IF(AG132&lt;&gt;"",AG132,IF(OR(Y132="",Z132&gt;Assumptions!$C$7),"",MAX(G132,IF(E132="Luxury",1,2)+MAX(0,ROUNDUP((AC132-Assumptions!$C$9-IF(E132="Luxury",Assumptions!$C$13,Assumptions!$C$12))/Assumptions!$C$8,0)))))</f>
        <v>5</v>
      </c>
      <c r="M132" s="95" t="s">
        <v>1650</v>
      </c>
      <c r="N132" s="78">
        <v>5</v>
      </c>
      <c r="O132" s="94">
        <f>INDEX(Assumptions!$C$17:$C$21,MATCH(I132,Assumptions!$B$17:$B$21,0))+T132</f>
        <v>55</v>
      </c>
      <c r="P132" s="94">
        <f>Assumptions!$F$49+1</f>
        <v>17</v>
      </c>
      <c r="Q132" s="15">
        <f>Assumptions!$D$31</f>
        <v>2633</v>
      </c>
      <c r="R132" s="78">
        <v>5</v>
      </c>
      <c r="S132" s="15">
        <f>Assumptions!$R$49</f>
        <v>3250</v>
      </c>
      <c r="T132" s="78">
        <v>10</v>
      </c>
      <c r="U132" s="63">
        <f>Assumptions!$D$49</f>
        <v>2</v>
      </c>
      <c r="V132" s="63">
        <f>Assumptions!$E$49</f>
        <v>8</v>
      </c>
      <c r="W132" s="63">
        <f>Assumptions!$F$49</f>
        <v>16</v>
      </c>
      <c r="X132" s="95" t="s">
        <v>1651</v>
      </c>
      <c r="Y132" s="80">
        <v>18.3</v>
      </c>
      <c r="Z132" s="80">
        <v>16.399999999999999</v>
      </c>
      <c r="AA132" s="80">
        <v>64.099999999999994</v>
      </c>
      <c r="AB132" s="96">
        <v>0.41</v>
      </c>
      <c r="AC132" s="89">
        <f>IF(Y132="","",Y132+Assumptions!$C$9/(Assumptions!$C$10+Assumptions!$C$11)*(Z132+Assumptions!$C$10+Assumptions!$C$11))</f>
        <v>25.148</v>
      </c>
      <c r="AD132" s="94">
        <f>IF(Y132="","",MAX(G132,IF(E132="Luxury",1,2)+MAX(0,ROUNDUP((Y132-Assumptions!$C$9-IF(E132="Luxury",Assumptions!$C$13,Assumptions!$C$12))/Assumptions!$C$8,0))))</f>
        <v>3</v>
      </c>
      <c r="AE132" s="94">
        <f>IF(Y132="","",MAX(G132,IF(E132="Luxury",1,2)+MAX(0,ROUNDUP((Y132+Assumptions!$C$9/(Assumptions!$C$10+Assumptions!$C$11)*(AA132+Assumptions!$C$10+Assumptions!$C$11)-Assumptions!$C$9-IF(E132="Luxury",Assumptions!$C$13,Assumptions!$C$12))/Assumptions!$C$8,0))))</f>
        <v>10</v>
      </c>
      <c r="AF132" s="94">
        <f t="shared" si="7"/>
        <v>0</v>
      </c>
      <c r="AG132" s="78"/>
      <c r="AH132" s="94">
        <f t="shared" si="8"/>
        <v>5</v>
      </c>
      <c r="AI132" s="94">
        <f t="shared" si="9"/>
        <v>80</v>
      </c>
      <c r="AJ132" s="95" t="s">
        <v>1652</v>
      </c>
      <c r="AK132" s="97">
        <f>IF(_xlfn.MAXIFS($J$127:$J$181,$D$127:$D$181,D132,$E$127:$E$181,E132)=_xlfn.MINIFS($J$127:$J$181,$D$127:$D$181,D132,$E$127:$E$181,E132),0,-Assumptions!$C$5+2*Assumptions!$C$5*(J132-_xlfn.MINIFS($J$127:$J$181,$D$127:$D$181,D132,$E$127:$E$181,E132))/(_xlfn.MAXIFS($J$127:$J$181,$D$127:$D$181,D132,$E$127:$E$181,E132)-_xlfn.MINIFS($J$127:$J$181,$D$127:$D$181,D132,$E$127:$E$181,E132)))</f>
        <v>-50000</v>
      </c>
      <c r="AL132" s="97">
        <f>IF(_xlfn.MAXIFS($K$127:$K$181,$D$127:$D$181,D132,$E$127:$E$181,E132)=_xlfn.MINIFS($K$127:$K$181,$D$127:$D$181,D132,$E$127:$E$181,E132),0,-Assumptions!$C$5+2*Assumptions!$C$5*(K132-_xlfn.MINIFS($K$127:$K$181,$D$127:$D$181,D132,$E$127:$E$181,E132))/(_xlfn.MAXIFS($K$127:$K$181,$D$127:$D$181,D132,$E$127:$E$181,E132)-_xlfn.MINIFS($K$127:$K$181,$D$127:$D$181,D132,$E$127:$E$181,E132)))</f>
        <v>40909.090909090912</v>
      </c>
      <c r="AM132" s="97">
        <f>IF(_xlfn.MAXIFS($O$127:$O$181,$D$127:$D$181,D132,$E$127:$E$181,E132)=_xlfn.MINIFS($O$127:$O$181,$D$127:$D$181,D132,$E$127:$E$181,E132),0,-Assumptions!$C$5+2*Assumptions!$C$5*(O132-_xlfn.MINIFS($O$127:$O$181,$D$127:$D$181,D132,$E$127:$E$181,E132))/(_xlfn.MAXIFS($O$127:$O$181,$D$127:$D$181,D132,$E$127:$E$181,E132)-_xlfn.MINIFS($O$127:$O$181,$D$127:$D$181,D132,$E$127:$E$181,E132)))</f>
        <v>16666.666666666672</v>
      </c>
    </row>
    <row r="133" spans="1:39" ht="27.75" customHeight="1" x14ac:dyDescent="0.2">
      <c r="A133" s="93">
        <v>7</v>
      </c>
      <c r="B133" s="21">
        <v>1</v>
      </c>
      <c r="C133" s="21" t="s">
        <v>247</v>
      </c>
      <c r="D133" s="20">
        <v>592</v>
      </c>
      <c r="E133" s="21" t="s">
        <v>62</v>
      </c>
      <c r="F133" s="21" t="s">
        <v>41</v>
      </c>
      <c r="G133" s="21">
        <v>2</v>
      </c>
      <c r="H133" s="21">
        <v>21</v>
      </c>
      <c r="I133" s="84" t="s">
        <v>1534</v>
      </c>
      <c r="J133" s="94">
        <f>IF(L133&lt;&gt;"",0,INDEX(Assumptions!$C$17:$C$21,MATCH(I133,Assumptions!$B$17:$B$21,0)))</f>
        <v>0</v>
      </c>
      <c r="K133" s="94">
        <f>INDEX(Assumptions!$C$17:$C$21,MATCH(I133,Assumptions!$B$17:$B$21,0))+R133</f>
        <v>25</v>
      </c>
      <c r="L133" s="94">
        <f>IF(AG133&lt;&gt;"",AG133,IF(OR(Y133="",Z133&gt;Assumptions!$C$7),"",MAX(G133,IF(E133="Luxury",1,2)+MAX(0,ROUNDUP((AC133-Assumptions!$C$9-IF(E133="Luxury",Assumptions!$C$13,Assumptions!$C$12))/Assumptions!$C$8,0)))))</f>
        <v>6</v>
      </c>
      <c r="M133" s="95" t="s">
        <v>1653</v>
      </c>
      <c r="N133" s="94">
        <f>Assumptions!$E$40+1</f>
        <v>8</v>
      </c>
      <c r="O133" s="94">
        <f>INDEX(Assumptions!$C$17:$C$21,MATCH(I133,Assumptions!$B$17:$B$21,0))+T133</f>
        <v>30</v>
      </c>
      <c r="P133" s="94">
        <f>Assumptions!$F$40+1</f>
        <v>16</v>
      </c>
      <c r="Q133" s="15">
        <f>Assumptions!$D$26</f>
        <v>2608</v>
      </c>
      <c r="R133" s="78">
        <v>10</v>
      </c>
      <c r="S133" s="15">
        <f>Assumptions!$R$40</f>
        <v>3250</v>
      </c>
      <c r="T133" s="78">
        <v>15</v>
      </c>
      <c r="U133" s="63">
        <f>Assumptions!$D$40</f>
        <v>2</v>
      </c>
      <c r="V133" s="63">
        <f>Assumptions!$E$40</f>
        <v>7</v>
      </c>
      <c r="W133" s="63">
        <f>Assumptions!$F$40</f>
        <v>15</v>
      </c>
      <c r="X133" s="95" t="s">
        <v>1654</v>
      </c>
      <c r="Y133" s="80">
        <v>18.3</v>
      </c>
      <c r="Z133" s="80">
        <v>23.5</v>
      </c>
      <c r="AA133" s="80">
        <v>66</v>
      </c>
      <c r="AB133" s="96">
        <v>0.51</v>
      </c>
      <c r="AC133" s="89">
        <f>IF(Y133="","",Y133+Assumptions!$C$9/(Assumptions!$C$10+Assumptions!$C$11)*(Z133+Assumptions!$C$10+Assumptions!$C$11))</f>
        <v>27.42</v>
      </c>
      <c r="AD133" s="94">
        <f>IF(Y133="","",MAX(G133,IF(E133="Luxury",1,2)+MAX(0,ROUNDUP((Y133-Assumptions!$C$9-IF(E133="Luxury",Assumptions!$C$13,Assumptions!$C$12))/Assumptions!$C$8,0))))</f>
        <v>3</v>
      </c>
      <c r="AE133" s="94">
        <f>IF(Y133="","",MAX(G133,IF(E133="Luxury",1,2)+MAX(0,ROUNDUP((Y133+Assumptions!$C$9/(Assumptions!$C$10+Assumptions!$C$11)*(AA133+Assumptions!$C$10+Assumptions!$C$11)-Assumptions!$C$9-IF(E133="Luxury",Assumptions!$C$13,Assumptions!$C$12))/Assumptions!$C$8,0))))</f>
        <v>10</v>
      </c>
      <c r="AF133" s="94">
        <f t="shared" si="7"/>
        <v>0</v>
      </c>
      <c r="AG133" s="78"/>
      <c r="AH133" s="94">
        <f t="shared" si="8"/>
        <v>8</v>
      </c>
      <c r="AI133" s="94">
        <f t="shared" si="9"/>
        <v>65</v>
      </c>
      <c r="AJ133" s="95" t="s">
        <v>1655</v>
      </c>
      <c r="AK133" s="97">
        <f>IF(_xlfn.MAXIFS($J$127:$J$181,$D$127:$D$181,D133,$E$127:$E$181,E133)=_xlfn.MINIFS($J$127:$J$181,$D$127:$D$181,D133,$E$127:$E$181,E133),0,-Assumptions!$C$5+2*Assumptions!$C$5*(J133-_xlfn.MINIFS($J$127:$J$181,$D$127:$D$181,D133,$E$127:$E$181,E133))/(_xlfn.MAXIFS($J$127:$J$181,$D$127:$D$181,D133,$E$127:$E$181,E133)-_xlfn.MINIFS($J$127:$J$181,$D$127:$D$181,D133,$E$127:$E$181,E133)))</f>
        <v>-50000</v>
      </c>
      <c r="AL133" s="97">
        <f>IF(_xlfn.MAXIFS($K$127:$K$181,$D$127:$D$181,D133,$E$127:$E$181,E133)=_xlfn.MINIFS($K$127:$K$181,$D$127:$D$181,D133,$E$127:$E$181,E133),0,-Assumptions!$C$5+2*Assumptions!$C$5*(K133-_xlfn.MINIFS($K$127:$K$181,$D$127:$D$181,D133,$E$127:$E$181,E133))/(_xlfn.MAXIFS($K$127:$K$181,$D$127:$D$181,D133,$E$127:$E$181,E133)-_xlfn.MINIFS($K$127:$K$181,$D$127:$D$181,D133,$E$127:$E$181,E133)))</f>
        <v>-50000</v>
      </c>
      <c r="AM133" s="97">
        <f>IF(_xlfn.MAXIFS($O$127:$O$181,$D$127:$D$181,D133,$E$127:$E$181,E133)=_xlfn.MINIFS($O$127:$O$181,$D$127:$D$181,D133,$E$127:$E$181,E133),0,-Assumptions!$C$5+2*Assumptions!$C$5*(O133-_xlfn.MINIFS($O$127:$O$181,$D$127:$D$181,D133,$E$127:$E$181,E133))/(_xlfn.MAXIFS($O$127:$O$181,$D$127:$D$181,D133,$E$127:$E$181,E133)-_xlfn.MINIFS($O$127:$O$181,$D$127:$D$181,D133,$E$127:$E$181,E133)))</f>
        <v>-50000</v>
      </c>
    </row>
    <row r="134" spans="1:39" ht="27.75" customHeight="1" x14ac:dyDescent="0.2">
      <c r="A134" s="93">
        <v>8</v>
      </c>
      <c r="B134" s="21">
        <v>1</v>
      </c>
      <c r="C134" s="21" t="s">
        <v>269</v>
      </c>
      <c r="D134" s="20">
        <v>592</v>
      </c>
      <c r="E134" s="21" t="s">
        <v>62</v>
      </c>
      <c r="F134" s="21" t="s">
        <v>41</v>
      </c>
      <c r="G134" s="21">
        <v>2</v>
      </c>
      <c r="H134" s="21">
        <v>21</v>
      </c>
      <c r="I134" s="84" t="s">
        <v>1534</v>
      </c>
      <c r="J134" s="94">
        <f>IF(L134&lt;&gt;"",0,INDEX(Assumptions!$C$17:$C$21,MATCH(I134,Assumptions!$B$17:$B$21,0)))</f>
        <v>0</v>
      </c>
      <c r="K134" s="94">
        <f>INDEX(Assumptions!$C$17:$C$21,MATCH(I134,Assumptions!$B$17:$B$21,0))+R134</f>
        <v>25</v>
      </c>
      <c r="L134" s="94">
        <f>IF(AG134&lt;&gt;"",AG134,IF(OR(Y134="",Z134&gt;Assumptions!$C$7),"",MAX(G134,IF(E134="Luxury",1,2)+MAX(0,ROUNDUP((AC134-Assumptions!$C$9-IF(E134="Luxury",Assumptions!$C$13,Assumptions!$C$12))/Assumptions!$C$8,0)))))</f>
        <v>7</v>
      </c>
      <c r="M134" s="95" t="s">
        <v>1656</v>
      </c>
      <c r="N134" s="94">
        <f>Assumptions!$E$40+1</f>
        <v>8</v>
      </c>
      <c r="O134" s="94">
        <f>INDEX(Assumptions!$C$17:$C$21,MATCH(I134,Assumptions!$B$17:$B$21,0))+T134</f>
        <v>30</v>
      </c>
      <c r="P134" s="94">
        <f>Assumptions!$F$40+1</f>
        <v>16</v>
      </c>
      <c r="Q134" s="15">
        <f>Assumptions!$D$26</f>
        <v>2608</v>
      </c>
      <c r="R134" s="78">
        <v>10</v>
      </c>
      <c r="S134" s="15">
        <f>Assumptions!$R$40</f>
        <v>3250</v>
      </c>
      <c r="T134" s="78">
        <v>15</v>
      </c>
      <c r="U134" s="63">
        <f>Assumptions!$D$40</f>
        <v>2</v>
      </c>
      <c r="V134" s="63">
        <f>Assumptions!$E$40</f>
        <v>7</v>
      </c>
      <c r="W134" s="63">
        <f>Assumptions!$F$40</f>
        <v>15</v>
      </c>
      <c r="X134" s="95" t="s">
        <v>1654</v>
      </c>
      <c r="Y134" s="80">
        <v>18.3</v>
      </c>
      <c r="Z134" s="80">
        <v>31.7</v>
      </c>
      <c r="AA134" s="80">
        <v>66</v>
      </c>
      <c r="AB134" s="96">
        <v>0.52</v>
      </c>
      <c r="AC134" s="89">
        <f>IF(Y134="","",Y134+Assumptions!$C$9/(Assumptions!$C$10+Assumptions!$C$11)*(Z134+Assumptions!$C$10+Assumptions!$C$11))</f>
        <v>30.044000000000004</v>
      </c>
      <c r="AD134" s="94">
        <f>IF(Y134="","",MAX(G134,IF(E134="Luxury",1,2)+MAX(0,ROUNDUP((Y134-Assumptions!$C$9-IF(E134="Luxury",Assumptions!$C$13,Assumptions!$C$12))/Assumptions!$C$8,0))))</f>
        <v>3</v>
      </c>
      <c r="AE134" s="94">
        <f>IF(Y134="","",MAX(G134,IF(E134="Luxury",1,2)+MAX(0,ROUNDUP((Y134+Assumptions!$C$9/(Assumptions!$C$10+Assumptions!$C$11)*(AA134+Assumptions!$C$10+Assumptions!$C$11)-Assumptions!$C$9-IF(E134="Luxury",Assumptions!$C$13,Assumptions!$C$12))/Assumptions!$C$8,0))))</f>
        <v>10</v>
      </c>
      <c r="AF134" s="94">
        <f t="shared" si="7"/>
        <v>0</v>
      </c>
      <c r="AG134" s="78"/>
      <c r="AH134" s="94">
        <f t="shared" si="8"/>
        <v>8</v>
      </c>
      <c r="AI134" s="94">
        <f t="shared" si="9"/>
        <v>65</v>
      </c>
      <c r="AJ134" s="95" t="s">
        <v>1655</v>
      </c>
      <c r="AK134" s="97">
        <f>IF(_xlfn.MAXIFS($J$127:$J$181,$D$127:$D$181,D134,$E$127:$E$181,E134)=_xlfn.MINIFS($J$127:$J$181,$D$127:$D$181,D134,$E$127:$E$181,E134),0,-Assumptions!$C$5+2*Assumptions!$C$5*(J134-_xlfn.MINIFS($J$127:$J$181,$D$127:$D$181,D134,$E$127:$E$181,E134))/(_xlfn.MAXIFS($J$127:$J$181,$D$127:$D$181,D134,$E$127:$E$181,E134)-_xlfn.MINIFS($J$127:$J$181,$D$127:$D$181,D134,$E$127:$E$181,E134)))</f>
        <v>-50000</v>
      </c>
      <c r="AL134" s="97">
        <f>IF(_xlfn.MAXIFS($K$127:$K$181,$D$127:$D$181,D134,$E$127:$E$181,E134)=_xlfn.MINIFS($K$127:$K$181,$D$127:$D$181,D134,$E$127:$E$181,E134),0,-Assumptions!$C$5+2*Assumptions!$C$5*(K134-_xlfn.MINIFS($K$127:$K$181,$D$127:$D$181,D134,$E$127:$E$181,E134))/(_xlfn.MAXIFS($K$127:$K$181,$D$127:$D$181,D134,$E$127:$E$181,E134)-_xlfn.MINIFS($K$127:$K$181,$D$127:$D$181,D134,$E$127:$E$181,E134)))</f>
        <v>-50000</v>
      </c>
      <c r="AM134" s="97">
        <f>IF(_xlfn.MAXIFS($O$127:$O$181,$D$127:$D$181,D134,$E$127:$E$181,E134)=_xlfn.MINIFS($O$127:$O$181,$D$127:$D$181,D134,$E$127:$E$181,E134),0,-Assumptions!$C$5+2*Assumptions!$C$5*(O134-_xlfn.MINIFS($O$127:$O$181,$D$127:$D$181,D134,$E$127:$E$181,E134))/(_xlfn.MAXIFS($O$127:$O$181,$D$127:$D$181,D134,$E$127:$E$181,E134)-_xlfn.MINIFS($O$127:$O$181,$D$127:$D$181,D134,$E$127:$E$181,E134)))</f>
        <v>-50000</v>
      </c>
    </row>
    <row r="135" spans="1:39" ht="27.75" customHeight="1" x14ac:dyDescent="0.2">
      <c r="A135" s="93">
        <v>9</v>
      </c>
      <c r="B135" s="21">
        <v>1</v>
      </c>
      <c r="C135" s="21" t="s">
        <v>291</v>
      </c>
      <c r="D135" s="20">
        <v>947</v>
      </c>
      <c r="E135" s="21" t="s">
        <v>62</v>
      </c>
      <c r="F135" s="21" t="s">
        <v>45</v>
      </c>
      <c r="G135" s="21">
        <v>2</v>
      </c>
      <c r="H135" s="21">
        <v>21</v>
      </c>
      <c r="I135" s="84" t="s">
        <v>1532</v>
      </c>
      <c r="J135" s="94">
        <f>IF(L135&lt;&gt;"",0,INDEX(Assumptions!$C$17:$C$21,MATCH(I135,Assumptions!$B$17:$B$21,0)))</f>
        <v>30</v>
      </c>
      <c r="K135" s="94">
        <f>INDEX(Assumptions!$C$17:$C$21,MATCH(I135,Assumptions!$B$17:$B$21,0))+R135</f>
        <v>35</v>
      </c>
      <c r="L135" s="94" t="str">
        <f>IF(AG135&lt;&gt;"",AG135,IF(OR(Y135="",Z135&gt;Assumptions!$C$7),"",MAX(G135,IF(E135="Luxury",1,2)+MAX(0,ROUNDUP((AC135-Assumptions!$C$9-IF(E135="Luxury",Assumptions!$C$13,Assumptions!$C$12))/Assumptions!$C$8,0)))))</f>
        <v/>
      </c>
      <c r="M135" s="95"/>
      <c r="N135" s="94">
        <f>Assumptions!$E$47+1</f>
        <v>9</v>
      </c>
      <c r="O135" s="94">
        <f>INDEX(Assumptions!$C$17:$C$21,MATCH(I135,Assumptions!$B$17:$B$21,0))+T135</f>
        <v>40</v>
      </c>
      <c r="P135" s="94">
        <f>Assumptions!$F$47+1</f>
        <v>16</v>
      </c>
      <c r="Q135" s="15">
        <f>Assumptions!$D$30</f>
        <v>2642</v>
      </c>
      <c r="R135" s="78">
        <v>5</v>
      </c>
      <c r="S135" s="15">
        <f>Assumptions!$R$47</f>
        <v>3250</v>
      </c>
      <c r="T135" s="78">
        <v>10</v>
      </c>
      <c r="U135" s="63">
        <f>Assumptions!$D$47</f>
        <v>2</v>
      </c>
      <c r="V135" s="63">
        <f>Assumptions!$E$47</f>
        <v>8</v>
      </c>
      <c r="W135" s="63">
        <f>Assumptions!$F$47</f>
        <v>15</v>
      </c>
      <c r="X135" s="95" t="s">
        <v>1657</v>
      </c>
      <c r="Y135" s="80"/>
      <c r="Z135" s="80"/>
      <c r="AA135" s="80"/>
      <c r="AB135" s="96"/>
      <c r="AC135" s="89" t="str">
        <f>IF(Y135="","",Y135+Assumptions!$C$9/(Assumptions!$C$10+Assumptions!$C$11)*(Z135+Assumptions!$C$10+Assumptions!$C$11))</f>
        <v/>
      </c>
      <c r="AD135" s="94" t="str">
        <f>IF(Y135="","",MAX(G135,IF(E135="Luxury",1,2)+MAX(0,ROUNDUP((Y135-Assumptions!$C$9-IF(E135="Luxury",Assumptions!$C$13,Assumptions!$C$12))/Assumptions!$C$8,0))))</f>
        <v/>
      </c>
      <c r="AE135" s="94" t="str">
        <f>IF(Y135="","",MAX(G135,IF(E135="Luxury",1,2)+MAX(0,ROUNDUP((Y135+Assumptions!$C$9/(Assumptions!$C$10+Assumptions!$C$11)*(AA135+Assumptions!$C$10+Assumptions!$C$11)-Assumptions!$C$9-IF(E135="Luxury",Assumptions!$C$13,Assumptions!$C$12))/Assumptions!$C$8,0))))</f>
        <v/>
      </c>
      <c r="AF135" s="94">
        <f t="shared" si="7"/>
        <v>0</v>
      </c>
      <c r="AG135" s="78"/>
      <c r="AH135" s="94">
        <f t="shared" si="8"/>
        <v>9</v>
      </c>
      <c r="AI135" s="94">
        <f t="shared" si="9"/>
        <v>65</v>
      </c>
      <c r="AJ135" s="95" t="s">
        <v>1658</v>
      </c>
      <c r="AK135" s="97">
        <f>IF(_xlfn.MAXIFS($J$127:$J$181,$D$127:$D$181,D135,$E$127:$E$181,E135)=_xlfn.MINIFS($J$127:$J$181,$D$127:$D$181,D135,$E$127:$E$181,E135),0,-Assumptions!$C$5+2*Assumptions!$C$5*(J135-_xlfn.MINIFS($J$127:$J$181,$D$127:$D$181,D135,$E$127:$E$181,E135))/(_xlfn.MAXIFS($J$127:$J$181,$D$127:$D$181,D135,$E$127:$E$181,E135)-_xlfn.MINIFS($J$127:$J$181,$D$127:$D$181,D135,$E$127:$E$181,E135)))</f>
        <v>50000</v>
      </c>
      <c r="AL135" s="97">
        <f>IF(_xlfn.MAXIFS($K$127:$K$181,$D$127:$D$181,D135,$E$127:$E$181,E135)=_xlfn.MINIFS($K$127:$K$181,$D$127:$D$181,D135,$E$127:$E$181,E135),0,-Assumptions!$C$5+2*Assumptions!$C$5*(K135-_xlfn.MINIFS($K$127:$K$181,$D$127:$D$181,D135,$E$127:$E$181,E135))/(_xlfn.MAXIFS($K$127:$K$181,$D$127:$D$181,D135,$E$127:$E$181,E135)-_xlfn.MINIFS($K$127:$K$181,$D$127:$D$181,D135,$E$127:$E$181,E135)))</f>
        <v>-7142.8571428571449</v>
      </c>
      <c r="AM135" s="97">
        <f>IF(_xlfn.MAXIFS($O$127:$O$181,$D$127:$D$181,D135,$E$127:$E$181,E135)=_xlfn.MINIFS($O$127:$O$181,$D$127:$D$181,D135,$E$127:$E$181,E135),0,-Assumptions!$C$5+2*Assumptions!$C$5*(O135-_xlfn.MINIFS($O$127:$O$181,$D$127:$D$181,D135,$E$127:$E$181,E135))/(_xlfn.MAXIFS($O$127:$O$181,$D$127:$D$181,D135,$E$127:$E$181,E135)-_xlfn.MINIFS($O$127:$O$181,$D$127:$D$181,D135,$E$127:$E$181,E135)))</f>
        <v>-12500</v>
      </c>
    </row>
    <row r="136" spans="1:39" ht="27.75" customHeight="1" x14ac:dyDescent="0.2">
      <c r="A136" s="93">
        <v>10</v>
      </c>
      <c r="B136" s="21">
        <v>3</v>
      </c>
      <c r="C136" s="21" t="s">
        <v>203</v>
      </c>
      <c r="D136" s="20">
        <v>1152</v>
      </c>
      <c r="E136" s="21" t="s">
        <v>62</v>
      </c>
      <c r="F136" s="21" t="s">
        <v>47</v>
      </c>
      <c r="G136" s="21">
        <v>2</v>
      </c>
      <c r="H136" s="21">
        <v>21</v>
      </c>
      <c r="I136" s="84" t="s">
        <v>1530</v>
      </c>
      <c r="J136" s="94">
        <f>IF(L136&lt;&gt;"",0,INDEX(Assumptions!$C$17:$C$21,MATCH(I136,Assumptions!$B$17:$B$21,0)))</f>
        <v>45</v>
      </c>
      <c r="K136" s="94">
        <f>INDEX(Assumptions!$C$17:$C$21,MATCH(I136,Assumptions!$B$17:$B$21,0))+R136</f>
        <v>65</v>
      </c>
      <c r="L136" s="94" t="str">
        <f>IF(AG136&lt;&gt;"",AG136,IF(OR(Y136="",Z136&gt;Assumptions!$C$7),"",MAX(G136,IF(E136="Luxury",1,2)+MAX(0,ROUNDUP((AC136-Assumptions!$C$9-IF(E136="Luxury",Assumptions!$C$13,Assumptions!$C$12))/Assumptions!$C$8,0)))))</f>
        <v/>
      </c>
      <c r="M136" s="95"/>
      <c r="N136" s="94">
        <f>Assumptions!$E$51+1</f>
        <v>9</v>
      </c>
      <c r="O136" s="94">
        <f>INDEX(Assumptions!$C$17:$C$21,MATCH(I136,Assumptions!$B$17:$B$21,0))+T136</f>
        <v>95</v>
      </c>
      <c r="P136" s="94">
        <f>Assumptions!$F$51+1</f>
        <v>16</v>
      </c>
      <c r="Q136" s="15">
        <f>Assumptions!$D$32</f>
        <v>2650</v>
      </c>
      <c r="R136" s="78">
        <v>20</v>
      </c>
      <c r="S136" s="15">
        <f>Assumptions!$R$51</f>
        <v>3250</v>
      </c>
      <c r="T136" s="78">
        <v>50</v>
      </c>
      <c r="U136" s="63">
        <f>Assumptions!$D$51</f>
        <v>2</v>
      </c>
      <c r="V136" s="63">
        <f>Assumptions!$E$51</f>
        <v>8</v>
      </c>
      <c r="W136" s="63">
        <f>Assumptions!$F$51</f>
        <v>15</v>
      </c>
      <c r="X136" s="95" t="s">
        <v>1659</v>
      </c>
      <c r="Y136" s="80"/>
      <c r="Z136" s="80"/>
      <c r="AA136" s="80"/>
      <c r="AB136" s="96"/>
      <c r="AC136" s="89" t="str">
        <f>IF(Y136="","",Y136+Assumptions!$C$9/(Assumptions!$C$10+Assumptions!$C$11)*(Z136+Assumptions!$C$10+Assumptions!$C$11))</f>
        <v/>
      </c>
      <c r="AD136" s="94" t="str">
        <f>IF(Y136="","",MAX(G136,IF(E136="Luxury",1,2)+MAX(0,ROUNDUP((Y136-Assumptions!$C$9-IF(E136="Luxury",Assumptions!$C$13,Assumptions!$C$12))/Assumptions!$C$8,0))))</f>
        <v/>
      </c>
      <c r="AE136" s="94" t="str">
        <f>IF(Y136="","",MAX(G136,IF(E136="Luxury",1,2)+MAX(0,ROUNDUP((Y136+Assumptions!$C$9/(Assumptions!$C$10+Assumptions!$C$11)*(AA136+Assumptions!$C$10+Assumptions!$C$11)-Assumptions!$C$9-IF(E136="Luxury",Assumptions!$C$13,Assumptions!$C$12))/Assumptions!$C$8,0))))</f>
        <v/>
      </c>
      <c r="AF136" s="94">
        <f t="shared" si="7"/>
        <v>0</v>
      </c>
      <c r="AG136" s="78"/>
      <c r="AH136" s="94">
        <f t="shared" si="8"/>
        <v>9</v>
      </c>
      <c r="AI136" s="94">
        <f t="shared" si="9"/>
        <v>100</v>
      </c>
      <c r="AJ136" s="95" t="s">
        <v>1660</v>
      </c>
      <c r="AK136" s="97">
        <f>IF(_xlfn.MAXIFS($J$127:$J$181,$D$127:$D$181,D136,$E$127:$E$181,E136)=_xlfn.MINIFS($J$127:$J$181,$D$127:$D$181,D136,$E$127:$E$181,E136),0,-Assumptions!$C$5+2*Assumptions!$C$5*(J136-_xlfn.MINIFS($J$127:$J$181,$D$127:$D$181,D136,$E$127:$E$181,E136))/(_xlfn.MAXIFS($J$127:$J$181,$D$127:$D$181,D136,$E$127:$E$181,E136)-_xlfn.MINIFS($J$127:$J$181,$D$127:$D$181,D136,$E$127:$E$181,E136)))</f>
        <v>50000</v>
      </c>
      <c r="AL136" s="97">
        <f>IF(_xlfn.MAXIFS($K$127:$K$181,$D$127:$D$181,D136,$E$127:$E$181,E136)=_xlfn.MINIFS($K$127:$K$181,$D$127:$D$181,D136,$E$127:$E$181,E136),0,-Assumptions!$C$5+2*Assumptions!$C$5*(K136-_xlfn.MINIFS($K$127:$K$181,$D$127:$D$181,D136,$E$127:$E$181,E136))/(_xlfn.MAXIFS($K$127:$K$181,$D$127:$D$181,D136,$E$127:$E$181,E136)-_xlfn.MINIFS($K$127:$K$181,$D$127:$D$181,D136,$E$127:$E$181,E136)))</f>
        <v>25000</v>
      </c>
      <c r="AM136" s="97">
        <f>IF(_xlfn.MAXIFS($O$127:$O$181,$D$127:$D$181,D136,$E$127:$E$181,E136)=_xlfn.MINIFS($O$127:$O$181,$D$127:$D$181,D136,$E$127:$E$181,E136),0,-Assumptions!$C$5+2*Assumptions!$C$5*(O136-_xlfn.MINIFS($O$127:$O$181,$D$127:$D$181,D136,$E$127:$E$181,E136))/(_xlfn.MAXIFS($O$127:$O$181,$D$127:$D$181,D136,$E$127:$E$181,E136)-_xlfn.MINIFS($O$127:$O$181,$D$127:$D$181,D136,$E$127:$E$181,E136)))</f>
        <v>38888.888888888891</v>
      </c>
    </row>
    <row r="137" spans="1:39" ht="27.75" customHeight="1" x14ac:dyDescent="0.2">
      <c r="A137" s="93">
        <v>11</v>
      </c>
      <c r="B137" s="21">
        <v>3</v>
      </c>
      <c r="C137" s="21" t="s">
        <v>181</v>
      </c>
      <c r="D137" s="20">
        <v>732</v>
      </c>
      <c r="E137" s="21" t="s">
        <v>62</v>
      </c>
      <c r="F137" s="21" t="s">
        <v>44</v>
      </c>
      <c r="G137" s="21">
        <v>2</v>
      </c>
      <c r="H137" s="21">
        <v>21</v>
      </c>
      <c r="I137" s="84" t="s">
        <v>1534</v>
      </c>
      <c r="J137" s="94">
        <f>IF(L137&lt;&gt;"",0,INDEX(Assumptions!$C$17:$C$21,MATCH(I137,Assumptions!$B$17:$B$21,0)))</f>
        <v>15</v>
      </c>
      <c r="K137" s="94">
        <f>INDEX(Assumptions!$C$17:$C$21,MATCH(I137,Assumptions!$B$17:$B$21,0))+R137</f>
        <v>30</v>
      </c>
      <c r="L137" s="94" t="str">
        <f>IF(AG137&lt;&gt;"",AG137,IF(OR(Y137="",Z137&gt;Assumptions!$C$7),"",MAX(G137,IF(E137="Luxury",1,2)+MAX(0,ROUNDUP((AC137-Assumptions!$C$9-IF(E137="Luxury",Assumptions!$C$13,Assumptions!$C$12))/Assumptions!$C$8,0)))))</f>
        <v/>
      </c>
      <c r="M137" s="95"/>
      <c r="N137" s="94">
        <f>Assumptions!$E$43+1</f>
        <v>8</v>
      </c>
      <c r="O137" s="94">
        <f>INDEX(Assumptions!$C$17:$C$21,MATCH(I137,Assumptions!$B$17:$B$21,0))+T137</f>
        <v>40</v>
      </c>
      <c r="P137" s="94">
        <f>Assumptions!$F$43+1</f>
        <v>16</v>
      </c>
      <c r="Q137" s="15">
        <f>Assumptions!$D$28</f>
        <v>2630</v>
      </c>
      <c r="R137" s="78">
        <v>15</v>
      </c>
      <c r="S137" s="15">
        <f>Assumptions!$R$43</f>
        <v>3250</v>
      </c>
      <c r="T137" s="78">
        <v>25</v>
      </c>
      <c r="U137" s="63">
        <f>Assumptions!$D$43</f>
        <v>2</v>
      </c>
      <c r="V137" s="63">
        <f>Assumptions!$E$43</f>
        <v>7</v>
      </c>
      <c r="W137" s="63">
        <f>Assumptions!$F$43</f>
        <v>15</v>
      </c>
      <c r="X137" s="95" t="s">
        <v>1661</v>
      </c>
      <c r="Y137" s="80"/>
      <c r="Z137" s="80"/>
      <c r="AA137" s="80"/>
      <c r="AB137" s="96"/>
      <c r="AC137" s="89" t="str">
        <f>IF(Y137="","",Y137+Assumptions!$C$9/(Assumptions!$C$10+Assumptions!$C$11)*(Z137+Assumptions!$C$10+Assumptions!$C$11))</f>
        <v/>
      </c>
      <c r="AD137" s="94" t="str">
        <f>IF(Y137="","",MAX(G137,IF(E137="Luxury",1,2)+MAX(0,ROUNDUP((Y137-Assumptions!$C$9-IF(E137="Luxury",Assumptions!$C$13,Assumptions!$C$12))/Assumptions!$C$8,0))))</f>
        <v/>
      </c>
      <c r="AE137" s="94" t="str">
        <f>IF(Y137="","",MAX(G137,IF(E137="Luxury",1,2)+MAX(0,ROUNDUP((Y137+Assumptions!$C$9/(Assumptions!$C$10+Assumptions!$C$11)*(AA137+Assumptions!$C$10+Assumptions!$C$11)-Assumptions!$C$9-IF(E137="Luxury",Assumptions!$C$13,Assumptions!$C$12))/Assumptions!$C$8,0))))</f>
        <v/>
      </c>
      <c r="AF137" s="94">
        <f t="shared" si="7"/>
        <v>0</v>
      </c>
      <c r="AG137" s="78"/>
      <c r="AH137" s="94">
        <f t="shared" si="8"/>
        <v>8</v>
      </c>
      <c r="AI137" s="94">
        <f t="shared" si="9"/>
        <v>65</v>
      </c>
      <c r="AJ137" s="95" t="s">
        <v>1662</v>
      </c>
      <c r="AK137" s="97">
        <f>IF(_xlfn.MAXIFS($J$127:$J$181,$D$127:$D$181,D137,$E$127:$E$181,E137)=_xlfn.MINIFS($J$127:$J$181,$D$127:$D$181,D137,$E$127:$E$181,E137),0,-Assumptions!$C$5+2*Assumptions!$C$5*(J137-_xlfn.MINIFS($J$127:$J$181,$D$127:$D$181,D137,$E$127:$E$181,E137))/(_xlfn.MAXIFS($J$127:$J$181,$D$127:$D$181,D137,$E$127:$E$181,E137)-_xlfn.MINIFS($J$127:$J$181,$D$127:$D$181,D137,$E$127:$E$181,E137)))</f>
        <v>50000</v>
      </c>
      <c r="AL137" s="97">
        <f>IF(_xlfn.MAXIFS($K$127:$K$181,$D$127:$D$181,D137,$E$127:$E$181,E137)=_xlfn.MINIFS($K$127:$K$181,$D$127:$D$181,D137,$E$127:$E$181,E137),0,-Assumptions!$C$5+2*Assumptions!$C$5*(K137-_xlfn.MINIFS($K$127:$K$181,$D$127:$D$181,D137,$E$127:$E$181,E137))/(_xlfn.MAXIFS($K$127:$K$181,$D$127:$D$181,D137,$E$127:$E$181,E137)-_xlfn.MINIFS($K$127:$K$181,$D$127:$D$181,D137,$E$127:$E$181,E137)))</f>
        <v>-50000</v>
      </c>
      <c r="AM137" s="97">
        <f>IF(_xlfn.MAXIFS($O$127:$O$181,$D$127:$D$181,D137,$E$127:$E$181,E137)=_xlfn.MINIFS($O$127:$O$181,$D$127:$D$181,D137,$E$127:$E$181,E137),0,-Assumptions!$C$5+2*Assumptions!$C$5*(O137-_xlfn.MINIFS($O$127:$O$181,$D$127:$D$181,D137,$E$127:$E$181,E137))/(_xlfn.MAXIFS($O$127:$O$181,$D$127:$D$181,D137,$E$127:$E$181,E137)-_xlfn.MINIFS($O$127:$O$181,$D$127:$D$181,D137,$E$127:$E$181,E137)))</f>
        <v>-50000</v>
      </c>
    </row>
    <row r="138" spans="1:39" ht="27.75" customHeight="1" x14ac:dyDescent="0.2">
      <c r="A138" s="93">
        <v>12</v>
      </c>
      <c r="B138" s="21">
        <v>3</v>
      </c>
      <c r="C138" s="21" t="s">
        <v>137</v>
      </c>
      <c r="D138" s="20">
        <v>678</v>
      </c>
      <c r="E138" s="21" t="s">
        <v>62</v>
      </c>
      <c r="F138" s="21" t="s">
        <v>43</v>
      </c>
      <c r="G138" s="21">
        <v>2</v>
      </c>
      <c r="H138" s="21">
        <v>21</v>
      </c>
      <c r="I138" s="84" t="s">
        <v>1530</v>
      </c>
      <c r="J138" s="94">
        <f>IF(L138&lt;&gt;"",0,INDEX(Assumptions!$C$17:$C$21,MATCH(I138,Assumptions!$B$17:$B$21,0)))</f>
        <v>45</v>
      </c>
      <c r="K138" s="94">
        <f>INDEX(Assumptions!$C$17:$C$21,MATCH(I138,Assumptions!$B$17:$B$21,0))+R138</f>
        <v>60</v>
      </c>
      <c r="L138" s="94" t="str">
        <f>IF(AG138&lt;&gt;"",AG138,IF(OR(Y138="",Z138&gt;Assumptions!$C$7),"",MAX(G138,IF(E138="Luxury",1,2)+MAX(0,ROUNDUP((AC138-Assumptions!$C$9-IF(E138="Luxury",Assumptions!$C$13,Assumptions!$C$12))/Assumptions!$C$8,0)))))</f>
        <v/>
      </c>
      <c r="M138" s="95"/>
      <c r="N138" s="94">
        <f>Assumptions!$E$41+1</f>
        <v>8</v>
      </c>
      <c r="O138" s="94">
        <f>INDEX(Assumptions!$C$17:$C$21,MATCH(I138,Assumptions!$B$17:$B$21,0))+T138</f>
        <v>75</v>
      </c>
      <c r="P138" s="94">
        <f>Assumptions!$F$41+1</f>
        <v>16</v>
      </c>
      <c r="Q138" s="15">
        <f>Assumptions!$D$27</f>
        <v>2613</v>
      </c>
      <c r="R138" s="78">
        <v>15</v>
      </c>
      <c r="S138" s="15">
        <f>Assumptions!$R$41</f>
        <v>3250</v>
      </c>
      <c r="T138" s="78">
        <v>30</v>
      </c>
      <c r="U138" s="63">
        <f>Assumptions!$D$41</f>
        <v>2</v>
      </c>
      <c r="V138" s="63">
        <f>Assumptions!$E$41</f>
        <v>7</v>
      </c>
      <c r="W138" s="63">
        <f>Assumptions!$F$41</f>
        <v>15</v>
      </c>
      <c r="X138" s="95" t="s">
        <v>1663</v>
      </c>
      <c r="Y138" s="80"/>
      <c r="Z138" s="80"/>
      <c r="AA138" s="80"/>
      <c r="AB138" s="96"/>
      <c r="AC138" s="89" t="str">
        <f>IF(Y138="","",Y138+Assumptions!$C$9/(Assumptions!$C$10+Assumptions!$C$11)*(Z138+Assumptions!$C$10+Assumptions!$C$11))</f>
        <v/>
      </c>
      <c r="AD138" s="94" t="str">
        <f>IF(Y138="","",MAX(G138,IF(E138="Luxury",1,2)+MAX(0,ROUNDUP((Y138-Assumptions!$C$9-IF(E138="Luxury",Assumptions!$C$13,Assumptions!$C$12))/Assumptions!$C$8,0))))</f>
        <v/>
      </c>
      <c r="AE138" s="94" t="str">
        <f>IF(Y138="","",MAX(G138,IF(E138="Luxury",1,2)+MAX(0,ROUNDUP((Y138+Assumptions!$C$9/(Assumptions!$C$10+Assumptions!$C$11)*(AA138+Assumptions!$C$10+Assumptions!$C$11)-Assumptions!$C$9-IF(E138="Luxury",Assumptions!$C$13,Assumptions!$C$12))/Assumptions!$C$8,0))))</f>
        <v/>
      </c>
      <c r="AF138" s="94">
        <f t="shared" si="7"/>
        <v>0</v>
      </c>
      <c r="AG138" s="78"/>
      <c r="AH138" s="94">
        <f t="shared" si="8"/>
        <v>8</v>
      </c>
      <c r="AI138" s="94">
        <f t="shared" si="9"/>
        <v>80</v>
      </c>
      <c r="AJ138" s="95" t="s">
        <v>1664</v>
      </c>
      <c r="AK138" s="97">
        <f>IF(_xlfn.MAXIFS($J$127:$J$181,$D$127:$D$181,D138,$E$127:$E$181,E138)=_xlfn.MINIFS($J$127:$J$181,$D$127:$D$181,D138,$E$127:$E$181,E138),0,-Assumptions!$C$5+2*Assumptions!$C$5*(J138-_xlfn.MINIFS($J$127:$J$181,$D$127:$D$181,D138,$E$127:$E$181,E138))/(_xlfn.MAXIFS($J$127:$J$181,$D$127:$D$181,D138,$E$127:$E$181,E138)-_xlfn.MINIFS($J$127:$J$181,$D$127:$D$181,D138,$E$127:$E$181,E138)))</f>
        <v>50000</v>
      </c>
      <c r="AL138" s="97">
        <f>IF(_xlfn.MAXIFS($K$127:$K$181,$D$127:$D$181,D138,$E$127:$E$181,E138)=_xlfn.MINIFS($K$127:$K$181,$D$127:$D$181,D138,$E$127:$E$181,E138),0,-Assumptions!$C$5+2*Assumptions!$C$5*(K138-_xlfn.MINIFS($K$127:$K$181,$D$127:$D$181,D138,$E$127:$E$181,E138))/(_xlfn.MAXIFS($K$127:$K$181,$D$127:$D$181,D138,$E$127:$E$181,E138)-_xlfn.MINIFS($K$127:$K$181,$D$127:$D$181,D138,$E$127:$E$181,E138)))</f>
        <v>50000</v>
      </c>
      <c r="AM138" s="97">
        <f>IF(_xlfn.MAXIFS($O$127:$O$181,$D$127:$D$181,D138,$E$127:$E$181,E138)=_xlfn.MINIFS($O$127:$O$181,$D$127:$D$181,D138,$E$127:$E$181,E138),0,-Assumptions!$C$5+2*Assumptions!$C$5*(O138-_xlfn.MINIFS($O$127:$O$181,$D$127:$D$181,D138,$E$127:$E$181,E138))/(_xlfn.MAXIFS($O$127:$O$181,$D$127:$D$181,D138,$E$127:$E$181,E138)-_xlfn.MINIFS($O$127:$O$181,$D$127:$D$181,D138,$E$127:$E$181,E138)))</f>
        <v>43750</v>
      </c>
    </row>
    <row r="139" spans="1:39" ht="27.75" customHeight="1" x14ac:dyDescent="0.2">
      <c r="A139" s="93">
        <v>13</v>
      </c>
      <c r="B139" s="21">
        <v>3</v>
      </c>
      <c r="C139" s="21" t="s">
        <v>373</v>
      </c>
      <c r="D139" s="20">
        <v>678</v>
      </c>
      <c r="E139" s="21" t="s">
        <v>62</v>
      </c>
      <c r="F139" s="21" t="s">
        <v>43</v>
      </c>
      <c r="G139" s="21">
        <v>2</v>
      </c>
      <c r="H139" s="21">
        <v>21</v>
      </c>
      <c r="I139" s="84" t="s">
        <v>1530</v>
      </c>
      <c r="J139" s="94">
        <f>IF(L139&lt;&gt;"",0,INDEX(Assumptions!$C$17:$C$21,MATCH(I139,Assumptions!$B$17:$B$21,0)))</f>
        <v>45</v>
      </c>
      <c r="K139" s="94">
        <f>INDEX(Assumptions!$C$17:$C$21,MATCH(I139,Assumptions!$B$17:$B$21,0))+R139</f>
        <v>60</v>
      </c>
      <c r="L139" s="94" t="str">
        <f>IF(AG139&lt;&gt;"",AG139,IF(OR(Y139="",Z139&gt;Assumptions!$C$7),"",MAX(G139,IF(E139="Luxury",1,2)+MAX(0,ROUNDUP((AC139-Assumptions!$C$9-IF(E139="Luxury",Assumptions!$C$13,Assumptions!$C$12))/Assumptions!$C$8,0)))))</f>
        <v/>
      </c>
      <c r="M139" s="95"/>
      <c r="N139" s="94">
        <f>Assumptions!$E$41+1</f>
        <v>8</v>
      </c>
      <c r="O139" s="94">
        <f>INDEX(Assumptions!$C$17:$C$21,MATCH(I139,Assumptions!$B$17:$B$21,0))+T139</f>
        <v>75</v>
      </c>
      <c r="P139" s="94">
        <f>Assumptions!$F$41+1</f>
        <v>16</v>
      </c>
      <c r="Q139" s="15">
        <f>Assumptions!$D$27</f>
        <v>2613</v>
      </c>
      <c r="R139" s="78">
        <v>15</v>
      </c>
      <c r="S139" s="15">
        <f>Assumptions!$R$41</f>
        <v>3250</v>
      </c>
      <c r="T139" s="78">
        <v>30</v>
      </c>
      <c r="U139" s="63">
        <f>Assumptions!$D$41</f>
        <v>2</v>
      </c>
      <c r="V139" s="63">
        <f>Assumptions!$E$41</f>
        <v>7</v>
      </c>
      <c r="W139" s="63">
        <f>Assumptions!$F$41</f>
        <v>15</v>
      </c>
      <c r="X139" s="95" t="s">
        <v>1663</v>
      </c>
      <c r="Y139" s="80"/>
      <c r="Z139" s="80"/>
      <c r="AA139" s="80"/>
      <c r="AB139" s="96"/>
      <c r="AC139" s="89" t="str">
        <f>IF(Y139="","",Y139+Assumptions!$C$9/(Assumptions!$C$10+Assumptions!$C$11)*(Z139+Assumptions!$C$10+Assumptions!$C$11))</f>
        <v/>
      </c>
      <c r="AD139" s="94" t="str">
        <f>IF(Y139="","",MAX(G139,IF(E139="Luxury",1,2)+MAX(0,ROUNDUP((Y139-Assumptions!$C$9-IF(E139="Luxury",Assumptions!$C$13,Assumptions!$C$12))/Assumptions!$C$8,0))))</f>
        <v/>
      </c>
      <c r="AE139" s="94" t="str">
        <f>IF(Y139="","",MAX(G139,IF(E139="Luxury",1,2)+MAX(0,ROUNDUP((Y139+Assumptions!$C$9/(Assumptions!$C$10+Assumptions!$C$11)*(AA139+Assumptions!$C$10+Assumptions!$C$11)-Assumptions!$C$9-IF(E139="Luxury",Assumptions!$C$13,Assumptions!$C$12))/Assumptions!$C$8,0))))</f>
        <v/>
      </c>
      <c r="AF139" s="94">
        <f t="shared" si="7"/>
        <v>0</v>
      </c>
      <c r="AG139" s="78"/>
      <c r="AH139" s="94">
        <f t="shared" si="8"/>
        <v>8</v>
      </c>
      <c r="AI139" s="94">
        <f t="shared" si="9"/>
        <v>80</v>
      </c>
      <c r="AJ139" s="95" t="s">
        <v>1664</v>
      </c>
      <c r="AK139" s="97">
        <f>IF(_xlfn.MAXIFS($J$127:$J$181,$D$127:$D$181,D139,$E$127:$E$181,E139)=_xlfn.MINIFS($J$127:$J$181,$D$127:$D$181,D139,$E$127:$E$181,E139),0,-Assumptions!$C$5+2*Assumptions!$C$5*(J139-_xlfn.MINIFS($J$127:$J$181,$D$127:$D$181,D139,$E$127:$E$181,E139))/(_xlfn.MAXIFS($J$127:$J$181,$D$127:$D$181,D139,$E$127:$E$181,E139)-_xlfn.MINIFS($J$127:$J$181,$D$127:$D$181,D139,$E$127:$E$181,E139)))</f>
        <v>50000</v>
      </c>
      <c r="AL139" s="97">
        <f>IF(_xlfn.MAXIFS($K$127:$K$181,$D$127:$D$181,D139,$E$127:$E$181,E139)=_xlfn.MINIFS($K$127:$K$181,$D$127:$D$181,D139,$E$127:$E$181,E139),0,-Assumptions!$C$5+2*Assumptions!$C$5*(K139-_xlfn.MINIFS($K$127:$K$181,$D$127:$D$181,D139,$E$127:$E$181,E139))/(_xlfn.MAXIFS($K$127:$K$181,$D$127:$D$181,D139,$E$127:$E$181,E139)-_xlfn.MINIFS($K$127:$K$181,$D$127:$D$181,D139,$E$127:$E$181,E139)))</f>
        <v>50000</v>
      </c>
      <c r="AM139" s="97">
        <f>IF(_xlfn.MAXIFS($O$127:$O$181,$D$127:$D$181,D139,$E$127:$E$181,E139)=_xlfn.MINIFS($O$127:$O$181,$D$127:$D$181,D139,$E$127:$E$181,E139),0,-Assumptions!$C$5+2*Assumptions!$C$5*(O139-_xlfn.MINIFS($O$127:$O$181,$D$127:$D$181,D139,$E$127:$E$181,E139))/(_xlfn.MAXIFS($O$127:$O$181,$D$127:$D$181,D139,$E$127:$E$181,E139)-_xlfn.MINIFS($O$127:$O$181,$D$127:$D$181,D139,$E$127:$E$181,E139)))</f>
        <v>43750</v>
      </c>
    </row>
    <row r="140" spans="1:39" ht="27.75" customHeight="1" x14ac:dyDescent="0.2">
      <c r="A140" s="93">
        <v>14</v>
      </c>
      <c r="B140" s="21">
        <v>3</v>
      </c>
      <c r="C140" s="21" t="s">
        <v>395</v>
      </c>
      <c r="D140" s="20">
        <v>1238</v>
      </c>
      <c r="E140" s="21" t="s">
        <v>62</v>
      </c>
      <c r="F140" s="21" t="s">
        <v>48</v>
      </c>
      <c r="G140" s="21">
        <v>2</v>
      </c>
      <c r="H140" s="21">
        <v>21</v>
      </c>
      <c r="I140" s="84" t="s">
        <v>1532</v>
      </c>
      <c r="J140" s="94">
        <f>IF(L140&lt;&gt;"",0,INDEX(Assumptions!$C$17:$C$21,MATCH(I140,Assumptions!$B$17:$B$21,0)))</f>
        <v>0</v>
      </c>
      <c r="K140" s="94">
        <f>INDEX(Assumptions!$C$17:$C$21,MATCH(I140,Assumptions!$B$17:$B$21,0))+R140</f>
        <v>35</v>
      </c>
      <c r="L140" s="94">
        <f>IF(AG140&lt;&gt;"",AG140,IF(OR(Y140="",Z140&gt;Assumptions!$C$7),"",MAX(G140,IF(E140="Luxury",1,2)+MAX(0,ROUNDUP((AC140-Assumptions!$C$9-IF(E140="Luxury",Assumptions!$C$13,Assumptions!$C$12))/Assumptions!$C$8,0)))))</f>
        <v>6</v>
      </c>
      <c r="M140" s="95" t="s">
        <v>1665</v>
      </c>
      <c r="N140" s="94">
        <f>Assumptions!$E$52+1</f>
        <v>8</v>
      </c>
      <c r="O140" s="94">
        <f>INDEX(Assumptions!$C$17:$C$21,MATCH(I140,Assumptions!$B$17:$B$21,0))+T140</f>
        <v>40</v>
      </c>
      <c r="P140" s="94">
        <f>Assumptions!$F$52+1</f>
        <v>16</v>
      </c>
      <c r="Q140" s="15">
        <f>Assumptions!$D$33</f>
        <v>2737</v>
      </c>
      <c r="R140" s="78">
        <v>5</v>
      </c>
      <c r="S140" s="15">
        <f>Assumptions!$R$52</f>
        <v>3250</v>
      </c>
      <c r="T140" s="78">
        <v>10</v>
      </c>
      <c r="U140" s="63">
        <f>Assumptions!$D$52</f>
        <v>2</v>
      </c>
      <c r="V140" s="63">
        <f>Assumptions!$E$52</f>
        <v>7</v>
      </c>
      <c r="W140" s="63">
        <f>Assumptions!$F$52</f>
        <v>15</v>
      </c>
      <c r="X140" s="95" t="s">
        <v>1666</v>
      </c>
      <c r="Y140" s="80">
        <v>17.8</v>
      </c>
      <c r="Z140" s="80">
        <v>28.4</v>
      </c>
      <c r="AA140" s="80">
        <v>34.299999999999997</v>
      </c>
      <c r="AB140" s="96">
        <v>0.16</v>
      </c>
      <c r="AC140" s="89">
        <f>IF(Y140="","",Y140+Assumptions!$C$9/(Assumptions!$C$10+Assumptions!$C$11)*(Z140+Assumptions!$C$10+Assumptions!$C$11))</f>
        <v>28.488</v>
      </c>
      <c r="AD140" s="94">
        <f>IF(Y140="","",MAX(G140,IF(E140="Luxury",1,2)+MAX(0,ROUNDUP((Y140-Assumptions!$C$9-IF(E140="Luxury",Assumptions!$C$13,Assumptions!$C$12))/Assumptions!$C$8,0))))</f>
        <v>3</v>
      </c>
      <c r="AE140" s="94">
        <f>IF(Y140="","",MAX(G140,IF(E140="Luxury",1,2)+MAX(0,ROUNDUP((Y140+Assumptions!$C$9/(Assumptions!$C$10+Assumptions!$C$11)*(AA140+Assumptions!$C$10+Assumptions!$C$11)-Assumptions!$C$9-IF(E140="Luxury",Assumptions!$C$13,Assumptions!$C$12))/Assumptions!$C$8,0))))</f>
        <v>7</v>
      </c>
      <c r="AF140" s="94">
        <f t="shared" si="7"/>
        <v>0</v>
      </c>
      <c r="AG140" s="78"/>
      <c r="AH140" s="94">
        <f t="shared" si="8"/>
        <v>8</v>
      </c>
      <c r="AI140" s="94">
        <f t="shared" si="9"/>
        <v>70</v>
      </c>
      <c r="AJ140" s="95" t="s">
        <v>1667</v>
      </c>
      <c r="AK140" s="97">
        <f>IF(_xlfn.MAXIFS($J$127:$J$181,$D$127:$D$181,D140,$E$127:$E$181,E140)=_xlfn.MINIFS($J$127:$J$181,$D$127:$D$181,D140,$E$127:$E$181,E140),0,-Assumptions!$C$5+2*Assumptions!$C$5*(J140-_xlfn.MINIFS($J$127:$J$181,$D$127:$D$181,D140,$E$127:$E$181,E140))/(_xlfn.MAXIFS($J$127:$J$181,$D$127:$D$181,D140,$E$127:$E$181,E140)-_xlfn.MINIFS($J$127:$J$181,$D$127:$D$181,D140,$E$127:$E$181,E140)))</f>
        <v>-50000</v>
      </c>
      <c r="AL140" s="97">
        <f>IF(_xlfn.MAXIFS($K$127:$K$181,$D$127:$D$181,D140,$E$127:$E$181,E140)=_xlfn.MINIFS($K$127:$K$181,$D$127:$D$181,D140,$E$127:$E$181,E140),0,-Assumptions!$C$5+2*Assumptions!$C$5*(K140-_xlfn.MINIFS($K$127:$K$181,$D$127:$D$181,D140,$E$127:$E$181,E140))/(_xlfn.MAXIFS($K$127:$K$181,$D$127:$D$181,D140,$E$127:$E$181,E140)-_xlfn.MINIFS($K$127:$K$181,$D$127:$D$181,D140,$E$127:$E$181,E140)))</f>
        <v>-50000</v>
      </c>
      <c r="AM140" s="97">
        <f>IF(_xlfn.MAXIFS($O$127:$O$181,$D$127:$D$181,D140,$E$127:$E$181,E140)=_xlfn.MINIFS($O$127:$O$181,$D$127:$D$181,D140,$E$127:$E$181,E140),0,-Assumptions!$C$5+2*Assumptions!$C$5*(O140-_xlfn.MINIFS($O$127:$O$181,$D$127:$D$181,D140,$E$127:$E$181,E140))/(_xlfn.MAXIFS($O$127:$O$181,$D$127:$D$181,D140,$E$127:$E$181,E140)-_xlfn.MINIFS($O$127:$O$181,$D$127:$D$181,D140,$E$127:$E$181,E140)))</f>
        <v>-50000</v>
      </c>
    </row>
    <row r="141" spans="1:39" ht="27.75" customHeight="1" x14ac:dyDescent="0.2">
      <c r="A141" s="93">
        <v>15</v>
      </c>
      <c r="B141" s="21">
        <v>3</v>
      </c>
      <c r="C141" s="21" t="s">
        <v>417</v>
      </c>
      <c r="D141" s="20">
        <v>1238</v>
      </c>
      <c r="E141" s="21" t="s">
        <v>62</v>
      </c>
      <c r="F141" s="21" t="s">
        <v>48</v>
      </c>
      <c r="G141" s="21">
        <v>2</v>
      </c>
      <c r="H141" s="21">
        <v>21</v>
      </c>
      <c r="I141" s="84" t="s">
        <v>1532</v>
      </c>
      <c r="J141" s="94">
        <f>IF(L141&lt;&gt;"",0,INDEX(Assumptions!$C$17:$C$21,MATCH(I141,Assumptions!$B$17:$B$21,0)))</f>
        <v>30</v>
      </c>
      <c r="K141" s="94">
        <f>INDEX(Assumptions!$C$17:$C$21,MATCH(I141,Assumptions!$B$17:$B$21,0))+R141</f>
        <v>35</v>
      </c>
      <c r="L141" s="94" t="str">
        <f>IF(AG141&lt;&gt;"",AG141,IF(OR(Y141="",Z141&gt;Assumptions!$C$7),"",MAX(G141,IF(E141="Luxury",1,2)+MAX(0,ROUNDUP((AC141-Assumptions!$C$9-IF(E141="Luxury",Assumptions!$C$13,Assumptions!$C$12))/Assumptions!$C$8,0)))))</f>
        <v/>
      </c>
      <c r="M141" s="95"/>
      <c r="N141" s="94">
        <f>Assumptions!$E$52+1</f>
        <v>8</v>
      </c>
      <c r="O141" s="94">
        <f>INDEX(Assumptions!$C$17:$C$21,MATCH(I141,Assumptions!$B$17:$B$21,0))+T141</f>
        <v>40</v>
      </c>
      <c r="P141" s="94">
        <f>Assumptions!$F$52+1</f>
        <v>16</v>
      </c>
      <c r="Q141" s="15">
        <f>Assumptions!$D$33</f>
        <v>2737</v>
      </c>
      <c r="R141" s="78">
        <v>5</v>
      </c>
      <c r="S141" s="15">
        <f>Assumptions!$R$52</f>
        <v>3250</v>
      </c>
      <c r="T141" s="78">
        <v>10</v>
      </c>
      <c r="U141" s="63">
        <f>Assumptions!$D$52</f>
        <v>2</v>
      </c>
      <c r="V141" s="63">
        <f>Assumptions!$E$52</f>
        <v>7</v>
      </c>
      <c r="W141" s="63">
        <f>Assumptions!$F$52</f>
        <v>15</v>
      </c>
      <c r="X141" s="95" t="s">
        <v>1668</v>
      </c>
      <c r="Y141" s="80"/>
      <c r="Z141" s="80"/>
      <c r="AA141" s="80"/>
      <c r="AB141" s="96"/>
      <c r="AC141" s="89" t="str">
        <f>IF(Y141="","",Y141+Assumptions!$C$9/(Assumptions!$C$10+Assumptions!$C$11)*(Z141+Assumptions!$C$10+Assumptions!$C$11))</f>
        <v/>
      </c>
      <c r="AD141" s="94" t="str">
        <f>IF(Y141="","",MAX(G141,IF(E141="Luxury",1,2)+MAX(0,ROUNDUP((Y141-Assumptions!$C$9-IF(E141="Luxury",Assumptions!$C$13,Assumptions!$C$12))/Assumptions!$C$8,0))))</f>
        <v/>
      </c>
      <c r="AE141" s="94" t="str">
        <f>IF(Y141="","",MAX(G141,IF(E141="Luxury",1,2)+MAX(0,ROUNDUP((Y141+Assumptions!$C$9/(Assumptions!$C$10+Assumptions!$C$11)*(AA141+Assumptions!$C$10+Assumptions!$C$11)-Assumptions!$C$9-IF(E141="Luxury",Assumptions!$C$13,Assumptions!$C$12))/Assumptions!$C$8,0))))</f>
        <v/>
      </c>
      <c r="AF141" s="94">
        <f t="shared" si="7"/>
        <v>0</v>
      </c>
      <c r="AG141" s="78"/>
      <c r="AH141" s="94">
        <f t="shared" si="8"/>
        <v>8</v>
      </c>
      <c r="AI141" s="94">
        <f t="shared" si="9"/>
        <v>70</v>
      </c>
      <c r="AJ141" s="95" t="s">
        <v>1669</v>
      </c>
      <c r="AK141" s="97">
        <f>IF(_xlfn.MAXIFS($J$127:$J$181,$D$127:$D$181,D141,$E$127:$E$181,E141)=_xlfn.MINIFS($J$127:$J$181,$D$127:$D$181,D141,$E$127:$E$181,E141),0,-Assumptions!$C$5+2*Assumptions!$C$5*(J141-_xlfn.MINIFS($J$127:$J$181,$D$127:$D$181,D141,$E$127:$E$181,E141))/(_xlfn.MAXIFS($J$127:$J$181,$D$127:$D$181,D141,$E$127:$E$181,E141)-_xlfn.MINIFS($J$127:$J$181,$D$127:$D$181,D141,$E$127:$E$181,E141)))</f>
        <v>16666.666666666672</v>
      </c>
      <c r="AL141" s="97">
        <f>IF(_xlfn.MAXIFS($K$127:$K$181,$D$127:$D$181,D141,$E$127:$E$181,E141)=_xlfn.MINIFS($K$127:$K$181,$D$127:$D$181,D141,$E$127:$E$181,E141),0,-Assumptions!$C$5+2*Assumptions!$C$5*(K141-_xlfn.MINIFS($K$127:$K$181,$D$127:$D$181,D141,$E$127:$E$181,E141))/(_xlfn.MAXIFS($K$127:$K$181,$D$127:$D$181,D141,$E$127:$E$181,E141)-_xlfn.MINIFS($K$127:$K$181,$D$127:$D$181,D141,$E$127:$E$181,E141)))</f>
        <v>-50000</v>
      </c>
      <c r="AM141" s="97">
        <f>IF(_xlfn.MAXIFS($O$127:$O$181,$D$127:$D$181,D141,$E$127:$E$181,E141)=_xlfn.MINIFS($O$127:$O$181,$D$127:$D$181,D141,$E$127:$E$181,E141),0,-Assumptions!$C$5+2*Assumptions!$C$5*(O141-_xlfn.MINIFS($O$127:$O$181,$D$127:$D$181,D141,$E$127:$E$181,E141))/(_xlfn.MAXIFS($O$127:$O$181,$D$127:$D$181,D141,$E$127:$E$181,E141)-_xlfn.MINIFS($O$127:$O$181,$D$127:$D$181,D141,$E$127:$E$181,E141)))</f>
        <v>-50000</v>
      </c>
    </row>
    <row r="142" spans="1:39" ht="27.75" customHeight="1" x14ac:dyDescent="0.2">
      <c r="A142" s="93">
        <v>16</v>
      </c>
      <c r="B142" s="21">
        <v>3</v>
      </c>
      <c r="C142" s="21" t="s">
        <v>439</v>
      </c>
      <c r="D142" s="20">
        <v>592</v>
      </c>
      <c r="E142" s="21" t="s">
        <v>62</v>
      </c>
      <c r="F142" s="21" t="s">
        <v>41</v>
      </c>
      <c r="G142" s="21">
        <v>2</v>
      </c>
      <c r="H142" s="21">
        <v>21</v>
      </c>
      <c r="I142" s="84" t="s">
        <v>1532</v>
      </c>
      <c r="J142" s="94">
        <f>IF(L142&lt;&gt;"",0,INDEX(Assumptions!$C$17:$C$21,MATCH(I142,Assumptions!$B$17:$B$21,0)))</f>
        <v>30</v>
      </c>
      <c r="K142" s="94">
        <f>INDEX(Assumptions!$C$17:$C$21,MATCH(I142,Assumptions!$B$17:$B$21,0))+R142</f>
        <v>35</v>
      </c>
      <c r="L142" s="94" t="str">
        <f>IF(AG142&lt;&gt;"",AG142,IF(OR(Y142="",Z142&gt;Assumptions!$C$7),"",MAX(G142,IF(E142="Luxury",1,2)+MAX(0,ROUNDUP((AC142-Assumptions!$C$9-IF(E142="Luxury",Assumptions!$C$13,Assumptions!$C$12))/Assumptions!$C$8,0)))))</f>
        <v/>
      </c>
      <c r="M142" s="95"/>
      <c r="N142" s="94">
        <f>Assumptions!$E$40+1</f>
        <v>8</v>
      </c>
      <c r="O142" s="94">
        <f>INDEX(Assumptions!$C$17:$C$21,MATCH(I142,Assumptions!$B$17:$B$21,0))+T142</f>
        <v>40</v>
      </c>
      <c r="P142" s="94">
        <f>Assumptions!$F$40+1</f>
        <v>16</v>
      </c>
      <c r="Q142" s="15">
        <f>Assumptions!$D$26</f>
        <v>2608</v>
      </c>
      <c r="R142" s="78">
        <v>5</v>
      </c>
      <c r="S142" s="15">
        <f>Assumptions!$R$40</f>
        <v>3250</v>
      </c>
      <c r="T142" s="78">
        <v>10</v>
      </c>
      <c r="U142" s="63">
        <f>Assumptions!$D$40</f>
        <v>2</v>
      </c>
      <c r="V142" s="63">
        <f>Assumptions!$E$40</f>
        <v>7</v>
      </c>
      <c r="W142" s="63">
        <f>Assumptions!$F$40</f>
        <v>15</v>
      </c>
      <c r="X142" s="95" t="s">
        <v>1670</v>
      </c>
      <c r="Y142" s="80">
        <v>18.3</v>
      </c>
      <c r="Z142" s="80">
        <v>49.5</v>
      </c>
      <c r="AA142" s="80">
        <v>57.2</v>
      </c>
      <c r="AB142" s="96">
        <v>0.31</v>
      </c>
      <c r="AC142" s="89">
        <f>IF(Y142="","",Y142+Assumptions!$C$9/(Assumptions!$C$10+Assumptions!$C$11)*(Z142+Assumptions!$C$10+Assumptions!$C$11))</f>
        <v>35.74</v>
      </c>
      <c r="AD142" s="94">
        <f>IF(Y142="","",MAX(G142,IF(E142="Luxury",1,2)+MAX(0,ROUNDUP((Y142-Assumptions!$C$9-IF(E142="Luxury",Assumptions!$C$13,Assumptions!$C$12))/Assumptions!$C$8,0))))</f>
        <v>3</v>
      </c>
      <c r="AE142" s="94">
        <f>IF(Y142="","",MAX(G142,IF(E142="Luxury",1,2)+MAX(0,ROUNDUP((Y142+Assumptions!$C$9/(Assumptions!$C$10+Assumptions!$C$11)*(AA142+Assumptions!$C$10+Assumptions!$C$11)-Assumptions!$C$9-IF(E142="Luxury",Assumptions!$C$13,Assumptions!$C$12))/Assumptions!$C$8,0))))</f>
        <v>10</v>
      </c>
      <c r="AF142" s="94">
        <f t="shared" si="7"/>
        <v>0</v>
      </c>
      <c r="AG142" s="78"/>
      <c r="AH142" s="94">
        <f t="shared" si="8"/>
        <v>8</v>
      </c>
      <c r="AI142" s="94">
        <f t="shared" si="9"/>
        <v>65</v>
      </c>
      <c r="AJ142" s="95" t="s">
        <v>1671</v>
      </c>
      <c r="AK142" s="97">
        <f>IF(_xlfn.MAXIFS($J$127:$J$181,$D$127:$D$181,D142,$E$127:$E$181,E142)=_xlfn.MINIFS($J$127:$J$181,$D$127:$D$181,D142,$E$127:$E$181,E142),0,-Assumptions!$C$5+2*Assumptions!$C$5*(J142-_xlfn.MINIFS($J$127:$J$181,$D$127:$D$181,D142,$E$127:$E$181,E142))/(_xlfn.MAXIFS($J$127:$J$181,$D$127:$D$181,D142,$E$127:$E$181,E142)-_xlfn.MINIFS($J$127:$J$181,$D$127:$D$181,D142,$E$127:$E$181,E142)))</f>
        <v>50000</v>
      </c>
      <c r="AL142" s="97">
        <f>IF(_xlfn.MAXIFS($K$127:$K$181,$D$127:$D$181,D142,$E$127:$E$181,E142)=_xlfn.MINIFS($K$127:$K$181,$D$127:$D$181,D142,$E$127:$E$181,E142),0,-Assumptions!$C$5+2*Assumptions!$C$5*(K142-_xlfn.MINIFS($K$127:$K$181,$D$127:$D$181,D142,$E$127:$E$181,E142))/(_xlfn.MAXIFS($K$127:$K$181,$D$127:$D$181,D142,$E$127:$E$181,E142)-_xlfn.MINIFS($K$127:$K$181,$D$127:$D$181,D142,$E$127:$E$181,E142)))</f>
        <v>-16666.666666666664</v>
      </c>
      <c r="AM142" s="97">
        <f>IF(_xlfn.MAXIFS($O$127:$O$181,$D$127:$D$181,D142,$E$127:$E$181,E142)=_xlfn.MINIFS($O$127:$O$181,$D$127:$D$181,D142,$E$127:$E$181,E142),0,-Assumptions!$C$5+2*Assumptions!$C$5*(O142-_xlfn.MINIFS($O$127:$O$181,$D$127:$D$181,D142,$E$127:$E$181,E142))/(_xlfn.MAXIFS($O$127:$O$181,$D$127:$D$181,D142,$E$127:$E$181,E142)-_xlfn.MINIFS($O$127:$O$181,$D$127:$D$181,D142,$E$127:$E$181,E142)))</f>
        <v>-21428.571428571428</v>
      </c>
    </row>
    <row r="143" spans="1:39" ht="27.75" customHeight="1" x14ac:dyDescent="0.2">
      <c r="A143" s="93">
        <v>17</v>
      </c>
      <c r="B143" s="21">
        <v>3</v>
      </c>
      <c r="C143" s="21" t="s">
        <v>247</v>
      </c>
      <c r="D143" s="20">
        <v>592</v>
      </c>
      <c r="E143" s="21" t="s">
        <v>62</v>
      </c>
      <c r="F143" s="21" t="s">
        <v>41</v>
      </c>
      <c r="G143" s="21">
        <v>2</v>
      </c>
      <c r="H143" s="21">
        <v>21</v>
      </c>
      <c r="I143" s="84" t="s">
        <v>1532</v>
      </c>
      <c r="J143" s="94">
        <f>IF(L143&lt;&gt;"",0,INDEX(Assumptions!$C$17:$C$21,MATCH(I143,Assumptions!$B$17:$B$21,0)))</f>
        <v>30</v>
      </c>
      <c r="K143" s="94">
        <f>INDEX(Assumptions!$C$17:$C$21,MATCH(I143,Assumptions!$B$17:$B$21,0))+R143</f>
        <v>35</v>
      </c>
      <c r="L143" s="94" t="str">
        <f>IF(AG143&lt;&gt;"",AG143,IF(OR(Y143="",Z143&gt;Assumptions!$C$7),"",MAX(G143,IF(E143="Luxury",1,2)+MAX(0,ROUNDUP((AC143-Assumptions!$C$9-IF(E143="Luxury",Assumptions!$C$13,Assumptions!$C$12))/Assumptions!$C$8,0)))))</f>
        <v/>
      </c>
      <c r="M143" s="95"/>
      <c r="N143" s="94">
        <f>Assumptions!$E$40+1</f>
        <v>8</v>
      </c>
      <c r="O143" s="94">
        <f>INDEX(Assumptions!$C$17:$C$21,MATCH(I143,Assumptions!$B$17:$B$21,0))+T143</f>
        <v>40</v>
      </c>
      <c r="P143" s="94">
        <f>Assumptions!$F$40+1</f>
        <v>16</v>
      </c>
      <c r="Q143" s="15">
        <f>Assumptions!$D$26</f>
        <v>2608</v>
      </c>
      <c r="R143" s="78">
        <v>5</v>
      </c>
      <c r="S143" s="15">
        <f>Assumptions!$R$40</f>
        <v>3250</v>
      </c>
      <c r="T143" s="78">
        <v>10</v>
      </c>
      <c r="U143" s="63">
        <f>Assumptions!$D$40</f>
        <v>2</v>
      </c>
      <c r="V143" s="63">
        <f>Assumptions!$E$40</f>
        <v>7</v>
      </c>
      <c r="W143" s="63">
        <f>Assumptions!$F$40</f>
        <v>15</v>
      </c>
      <c r="X143" s="95" t="s">
        <v>1670</v>
      </c>
      <c r="Y143" s="80">
        <v>18.3</v>
      </c>
      <c r="Z143" s="80">
        <v>46.8</v>
      </c>
      <c r="AA143" s="80">
        <v>54.5</v>
      </c>
      <c r="AB143" s="96">
        <v>0.38</v>
      </c>
      <c r="AC143" s="89">
        <f>IF(Y143="","",Y143+Assumptions!$C$9/(Assumptions!$C$10+Assumptions!$C$11)*(Z143+Assumptions!$C$10+Assumptions!$C$11))</f>
        <v>34.876000000000005</v>
      </c>
      <c r="AD143" s="94">
        <f>IF(Y143="","",MAX(G143,IF(E143="Luxury",1,2)+MAX(0,ROUNDUP((Y143-Assumptions!$C$9-IF(E143="Luxury",Assumptions!$C$13,Assumptions!$C$12))/Assumptions!$C$8,0))))</f>
        <v>3</v>
      </c>
      <c r="AE143" s="94">
        <f>IF(Y143="","",MAX(G143,IF(E143="Luxury",1,2)+MAX(0,ROUNDUP((Y143+Assumptions!$C$9/(Assumptions!$C$10+Assumptions!$C$11)*(AA143+Assumptions!$C$10+Assumptions!$C$11)-Assumptions!$C$9-IF(E143="Luxury",Assumptions!$C$13,Assumptions!$C$12))/Assumptions!$C$8,0))))</f>
        <v>9</v>
      </c>
      <c r="AF143" s="94">
        <f t="shared" si="7"/>
        <v>0</v>
      </c>
      <c r="AG143" s="78"/>
      <c r="AH143" s="94">
        <f t="shared" si="8"/>
        <v>8</v>
      </c>
      <c r="AI143" s="94">
        <f t="shared" si="9"/>
        <v>65</v>
      </c>
      <c r="AJ143" s="95" t="s">
        <v>1671</v>
      </c>
      <c r="AK143" s="97">
        <f>IF(_xlfn.MAXIFS($J$127:$J$181,$D$127:$D$181,D143,$E$127:$E$181,E143)=_xlfn.MINIFS($J$127:$J$181,$D$127:$D$181,D143,$E$127:$E$181,E143),0,-Assumptions!$C$5+2*Assumptions!$C$5*(J143-_xlfn.MINIFS($J$127:$J$181,$D$127:$D$181,D143,$E$127:$E$181,E143))/(_xlfn.MAXIFS($J$127:$J$181,$D$127:$D$181,D143,$E$127:$E$181,E143)-_xlfn.MINIFS($J$127:$J$181,$D$127:$D$181,D143,$E$127:$E$181,E143)))</f>
        <v>50000</v>
      </c>
      <c r="AL143" s="97">
        <f>IF(_xlfn.MAXIFS($K$127:$K$181,$D$127:$D$181,D143,$E$127:$E$181,E143)=_xlfn.MINIFS($K$127:$K$181,$D$127:$D$181,D143,$E$127:$E$181,E143),0,-Assumptions!$C$5+2*Assumptions!$C$5*(K143-_xlfn.MINIFS($K$127:$K$181,$D$127:$D$181,D143,$E$127:$E$181,E143))/(_xlfn.MAXIFS($K$127:$K$181,$D$127:$D$181,D143,$E$127:$E$181,E143)-_xlfn.MINIFS($K$127:$K$181,$D$127:$D$181,D143,$E$127:$E$181,E143)))</f>
        <v>-16666.666666666664</v>
      </c>
      <c r="AM143" s="97">
        <f>IF(_xlfn.MAXIFS($O$127:$O$181,$D$127:$D$181,D143,$E$127:$E$181,E143)=_xlfn.MINIFS($O$127:$O$181,$D$127:$D$181,D143,$E$127:$E$181,E143),0,-Assumptions!$C$5+2*Assumptions!$C$5*(O143-_xlfn.MINIFS($O$127:$O$181,$D$127:$D$181,D143,$E$127:$E$181,E143))/(_xlfn.MAXIFS($O$127:$O$181,$D$127:$D$181,D143,$E$127:$E$181,E143)-_xlfn.MINIFS($O$127:$O$181,$D$127:$D$181,D143,$E$127:$E$181,E143)))</f>
        <v>-21428.571428571428</v>
      </c>
    </row>
    <row r="144" spans="1:39" ht="27.75" customHeight="1" x14ac:dyDescent="0.2">
      <c r="A144" s="93">
        <v>18</v>
      </c>
      <c r="B144" s="21">
        <v>3</v>
      </c>
      <c r="C144" s="21" t="s">
        <v>225</v>
      </c>
      <c r="D144" s="20">
        <v>1055</v>
      </c>
      <c r="E144" s="21" t="s">
        <v>62</v>
      </c>
      <c r="F144" s="21" t="s">
        <v>46</v>
      </c>
      <c r="G144" s="21">
        <v>2</v>
      </c>
      <c r="H144" s="21">
        <v>21</v>
      </c>
      <c r="I144" s="84" t="s">
        <v>1530</v>
      </c>
      <c r="J144" s="94">
        <f>IF(L144&lt;&gt;"",0,INDEX(Assumptions!$C$17:$C$21,MATCH(I144,Assumptions!$B$17:$B$21,0)))</f>
        <v>45</v>
      </c>
      <c r="K144" s="94">
        <f>INDEX(Assumptions!$C$17:$C$21,MATCH(I144,Assumptions!$B$17:$B$21,0))+R144</f>
        <v>50</v>
      </c>
      <c r="L144" s="94" t="str">
        <f>IF(AG144&lt;&gt;"",AG144,IF(OR(Y144="",Z144&gt;Assumptions!$C$7),"",MAX(G144,IF(E144="Luxury",1,2)+MAX(0,ROUNDUP((AC144-Assumptions!$C$9-IF(E144="Luxury",Assumptions!$C$13,Assumptions!$C$12))/Assumptions!$C$8,0)))))</f>
        <v/>
      </c>
      <c r="M144" s="95"/>
      <c r="N144" s="94">
        <f>Assumptions!$E$49+1</f>
        <v>9</v>
      </c>
      <c r="O144" s="94">
        <f>INDEX(Assumptions!$C$17:$C$21,MATCH(I144,Assumptions!$B$17:$B$21,0))+T144</f>
        <v>55</v>
      </c>
      <c r="P144" s="94">
        <f>Assumptions!$F$49+1</f>
        <v>17</v>
      </c>
      <c r="Q144" s="15">
        <f>Assumptions!$D$31</f>
        <v>2633</v>
      </c>
      <c r="R144" s="78">
        <v>5</v>
      </c>
      <c r="S144" s="15">
        <f>Assumptions!$R$49</f>
        <v>3250</v>
      </c>
      <c r="T144" s="78">
        <v>10</v>
      </c>
      <c r="U144" s="63">
        <f>Assumptions!$D$49</f>
        <v>2</v>
      </c>
      <c r="V144" s="63">
        <f>Assumptions!$E$49</f>
        <v>8</v>
      </c>
      <c r="W144" s="63">
        <f>Assumptions!$F$49</f>
        <v>16</v>
      </c>
      <c r="X144" s="95" t="s">
        <v>1651</v>
      </c>
      <c r="Y144" s="80">
        <v>18.3</v>
      </c>
      <c r="Z144" s="80">
        <v>43.7</v>
      </c>
      <c r="AA144" s="80">
        <v>51.6</v>
      </c>
      <c r="AB144" s="96">
        <v>0.56999999999999995</v>
      </c>
      <c r="AC144" s="89">
        <f>IF(Y144="","",Y144+Assumptions!$C$9/(Assumptions!$C$10+Assumptions!$C$11)*(Z144+Assumptions!$C$10+Assumptions!$C$11))</f>
        <v>33.884</v>
      </c>
      <c r="AD144" s="94">
        <f>IF(Y144="","",MAX(G144,IF(E144="Luxury",1,2)+MAX(0,ROUNDUP((Y144-Assumptions!$C$9-IF(E144="Luxury",Assumptions!$C$13,Assumptions!$C$12))/Assumptions!$C$8,0))))</f>
        <v>3</v>
      </c>
      <c r="AE144" s="94">
        <f>IF(Y144="","",MAX(G144,IF(E144="Luxury",1,2)+MAX(0,ROUNDUP((Y144+Assumptions!$C$9/(Assumptions!$C$10+Assumptions!$C$11)*(AA144+Assumptions!$C$10+Assumptions!$C$11)-Assumptions!$C$9-IF(E144="Luxury",Assumptions!$C$13,Assumptions!$C$12))/Assumptions!$C$8,0))))</f>
        <v>9</v>
      </c>
      <c r="AF144" s="94">
        <f t="shared" si="7"/>
        <v>0</v>
      </c>
      <c r="AG144" s="78"/>
      <c r="AH144" s="94">
        <f t="shared" si="8"/>
        <v>9</v>
      </c>
      <c r="AI144" s="94">
        <f t="shared" si="9"/>
        <v>80</v>
      </c>
      <c r="AJ144" s="95" t="s">
        <v>1672</v>
      </c>
      <c r="AK144" s="97">
        <f>IF(_xlfn.MAXIFS($J$127:$J$181,$D$127:$D$181,D144,$E$127:$E$181,E144)=_xlfn.MINIFS($J$127:$J$181,$D$127:$D$181,D144,$E$127:$E$181,E144),0,-Assumptions!$C$5+2*Assumptions!$C$5*(J144-_xlfn.MINIFS($J$127:$J$181,$D$127:$D$181,D144,$E$127:$E$181,E144))/(_xlfn.MAXIFS($J$127:$J$181,$D$127:$D$181,D144,$E$127:$E$181,E144)-_xlfn.MINIFS($J$127:$J$181,$D$127:$D$181,D144,$E$127:$E$181,E144)))</f>
        <v>50000</v>
      </c>
      <c r="AL144" s="97">
        <f>IF(_xlfn.MAXIFS($K$127:$K$181,$D$127:$D$181,D144,$E$127:$E$181,E144)=_xlfn.MINIFS($K$127:$K$181,$D$127:$D$181,D144,$E$127:$E$181,E144),0,-Assumptions!$C$5+2*Assumptions!$C$5*(K144-_xlfn.MINIFS($K$127:$K$181,$D$127:$D$181,D144,$E$127:$E$181,E144))/(_xlfn.MAXIFS($K$127:$K$181,$D$127:$D$181,D144,$E$127:$E$181,E144)-_xlfn.MINIFS($K$127:$K$181,$D$127:$D$181,D144,$E$127:$E$181,E144)))</f>
        <v>40909.090909090912</v>
      </c>
      <c r="AM144" s="97">
        <f>IF(_xlfn.MAXIFS($O$127:$O$181,$D$127:$D$181,D144,$E$127:$E$181,E144)=_xlfn.MINIFS($O$127:$O$181,$D$127:$D$181,D144,$E$127:$E$181,E144),0,-Assumptions!$C$5+2*Assumptions!$C$5*(O144-_xlfn.MINIFS($O$127:$O$181,$D$127:$D$181,D144,$E$127:$E$181,E144))/(_xlfn.MAXIFS($O$127:$O$181,$D$127:$D$181,D144,$E$127:$E$181,E144)-_xlfn.MINIFS($O$127:$O$181,$D$127:$D$181,D144,$E$127:$E$181,E144)))</f>
        <v>16666.666666666672</v>
      </c>
    </row>
    <row r="145" spans="1:39" ht="27.75" customHeight="1" x14ac:dyDescent="0.2">
      <c r="A145" s="98">
        <v>19</v>
      </c>
      <c r="B145" s="29">
        <v>5</v>
      </c>
      <c r="C145" s="29" t="s">
        <v>501</v>
      </c>
      <c r="D145" s="28">
        <v>1808</v>
      </c>
      <c r="E145" s="29" t="s">
        <v>65</v>
      </c>
      <c r="F145" s="29" t="s">
        <v>51</v>
      </c>
      <c r="G145" s="29">
        <v>3</v>
      </c>
      <c r="H145" s="29">
        <v>30</v>
      </c>
      <c r="I145" s="84" t="s">
        <v>1528</v>
      </c>
      <c r="J145" s="94">
        <f>IF(L145&lt;&gt;"",0,INDEX(Assumptions!$C$17:$C$21,MATCH(I145,Assumptions!$B$17:$B$21,0)))</f>
        <v>60</v>
      </c>
      <c r="K145" s="94">
        <f>INDEX(Assumptions!$C$17:$C$21,MATCH(I145,Assumptions!$B$17:$B$21,0))+R145</f>
        <v>70</v>
      </c>
      <c r="L145" s="94" t="str">
        <f>IF(AG145&lt;&gt;"",AG145,IF(OR(Y145="",Z145&gt;Assumptions!$C$7),"",MAX(G145,IF(E145="Luxury",1,2)+MAX(0,ROUNDUP((AC145-Assumptions!$C$9-IF(E145="Luxury",Assumptions!$C$13,Assumptions!$C$12))/Assumptions!$C$8,0)))))</f>
        <v/>
      </c>
      <c r="M145" s="95"/>
      <c r="N145" s="94">
        <f>Assumptions!$E$56+1</f>
        <v>12</v>
      </c>
      <c r="O145" s="94">
        <f>INDEX(Assumptions!$C$17:$C$21,MATCH(I145,Assumptions!$B$17:$B$21,0))+T145</f>
        <v>90</v>
      </c>
      <c r="P145" s="94">
        <f>Assumptions!$F$56+1</f>
        <v>21</v>
      </c>
      <c r="Q145" s="15">
        <f>Assumptions!$D$36</f>
        <v>2800</v>
      </c>
      <c r="R145" s="78">
        <v>10</v>
      </c>
      <c r="S145" s="15">
        <f>Assumptions!$R$56</f>
        <v>3500</v>
      </c>
      <c r="T145" s="78">
        <v>30</v>
      </c>
      <c r="U145" s="63">
        <f>Assumptions!$D$56</f>
        <v>3</v>
      </c>
      <c r="V145" s="63">
        <f>Assumptions!$E$56</f>
        <v>11</v>
      </c>
      <c r="W145" s="63">
        <f>Assumptions!$F$56</f>
        <v>20</v>
      </c>
      <c r="X145" s="95" t="s">
        <v>1673</v>
      </c>
      <c r="Y145" s="80"/>
      <c r="Z145" s="80"/>
      <c r="AA145" s="80"/>
      <c r="AB145" s="96"/>
      <c r="AC145" s="89" t="str">
        <f>IF(Y145="","",Y145+Assumptions!$C$9/(Assumptions!$C$10+Assumptions!$C$11)*(Z145+Assumptions!$C$10+Assumptions!$C$11))</f>
        <v/>
      </c>
      <c r="AD145" s="94" t="str">
        <f>IF(Y145="","",MAX(G145,IF(E145="Luxury",1,2)+MAX(0,ROUNDUP((Y145-Assumptions!$C$9-IF(E145="Luxury",Assumptions!$C$13,Assumptions!$C$12))/Assumptions!$C$8,0))))</f>
        <v/>
      </c>
      <c r="AE145" s="94" t="str">
        <f>IF(Y145="","",MAX(G145,IF(E145="Luxury",1,2)+MAX(0,ROUNDUP((Y145+Assumptions!$C$9/(Assumptions!$C$10+Assumptions!$C$11)*(AA145+Assumptions!$C$10+Assumptions!$C$11)-Assumptions!$C$9-IF(E145="Luxury",Assumptions!$C$13,Assumptions!$C$12))/Assumptions!$C$8,0))))</f>
        <v/>
      </c>
      <c r="AF145" s="94">
        <f t="shared" si="7"/>
        <v>60</v>
      </c>
      <c r="AG145" s="78"/>
      <c r="AH145" s="94">
        <f t="shared" si="8"/>
        <v>12</v>
      </c>
      <c r="AI145" s="94">
        <f t="shared" si="9"/>
        <v>90</v>
      </c>
      <c r="AJ145" s="95" t="s">
        <v>1674</v>
      </c>
      <c r="AK145" s="97">
        <f>IF(_xlfn.MAXIFS($J$127:$J$181,$D$127:$D$181,D145,$E$127:$E$181,E145)=_xlfn.MINIFS($J$127:$J$181,$D$127:$D$181,D145,$E$127:$E$181,E145),0,-Assumptions!$C$5+2*Assumptions!$C$5*(J145-_xlfn.MINIFS($J$127:$J$181,$D$127:$D$181,D145,$E$127:$E$181,E145))/(_xlfn.MAXIFS($J$127:$J$181,$D$127:$D$181,D145,$E$127:$E$181,E145)-_xlfn.MINIFS($J$127:$J$181,$D$127:$D$181,D145,$E$127:$E$181,E145)))</f>
        <v>0</v>
      </c>
      <c r="AL145" s="97">
        <f>IF(_xlfn.MAXIFS($K$127:$K$181,$D$127:$D$181,D145,$E$127:$E$181,E145)=_xlfn.MINIFS($K$127:$K$181,$D$127:$D$181,D145,$E$127:$E$181,E145),0,-Assumptions!$C$5+2*Assumptions!$C$5*(K145-_xlfn.MINIFS($K$127:$K$181,$D$127:$D$181,D145,$E$127:$E$181,E145))/(_xlfn.MAXIFS($K$127:$K$181,$D$127:$D$181,D145,$E$127:$E$181,E145)-_xlfn.MINIFS($K$127:$K$181,$D$127:$D$181,D145,$E$127:$E$181,E145)))</f>
        <v>0</v>
      </c>
      <c r="AM145" s="97">
        <f>IF(_xlfn.MAXIFS($O$127:$O$181,$D$127:$D$181,D145,$E$127:$E$181,E145)=_xlfn.MINIFS($O$127:$O$181,$D$127:$D$181,D145,$E$127:$E$181,E145),0,-Assumptions!$C$5+2*Assumptions!$C$5*(O145-_xlfn.MINIFS($O$127:$O$181,$D$127:$D$181,D145,$E$127:$E$181,E145))/(_xlfn.MAXIFS($O$127:$O$181,$D$127:$D$181,D145,$E$127:$E$181,E145)-_xlfn.MINIFS($O$127:$O$181,$D$127:$D$181,D145,$E$127:$E$181,E145)))</f>
        <v>0</v>
      </c>
    </row>
    <row r="146" spans="1:39" ht="27.75" customHeight="1" x14ac:dyDescent="0.2">
      <c r="A146" s="98">
        <v>20</v>
      </c>
      <c r="B146" s="29">
        <v>5</v>
      </c>
      <c r="C146" s="29" t="s">
        <v>530</v>
      </c>
      <c r="D146" s="28">
        <v>678</v>
      </c>
      <c r="E146" s="29" t="s">
        <v>65</v>
      </c>
      <c r="F146" s="29" t="s">
        <v>43</v>
      </c>
      <c r="G146" s="29">
        <v>1</v>
      </c>
      <c r="H146" s="29">
        <v>30</v>
      </c>
      <c r="I146" s="84" t="s">
        <v>1528</v>
      </c>
      <c r="J146" s="94">
        <f>IF(L146&lt;&gt;"",0,INDEX(Assumptions!$C$17:$C$21,MATCH(I146,Assumptions!$B$17:$B$21,0)))</f>
        <v>60</v>
      </c>
      <c r="K146" s="94">
        <f>INDEX(Assumptions!$C$17:$C$21,MATCH(I146,Assumptions!$B$17:$B$21,0))+R146</f>
        <v>70</v>
      </c>
      <c r="L146" s="94" t="str">
        <f>IF(AG146&lt;&gt;"",AG146,IF(OR(Y146="",Z146&gt;Assumptions!$C$7),"",MAX(G146,IF(E146="Luxury",1,2)+MAX(0,ROUNDUP((AC146-Assumptions!$C$9-IF(E146="Luxury",Assumptions!$C$13,Assumptions!$C$12))/Assumptions!$C$8,0)))))</f>
        <v/>
      </c>
      <c r="M146" s="95"/>
      <c r="N146" s="94">
        <f>Assumptions!$E$42+1</f>
        <v>15</v>
      </c>
      <c r="O146" s="94">
        <f>INDEX(Assumptions!$C$17:$C$21,MATCH(I146,Assumptions!$B$17:$B$21,0))+T146</f>
        <v>90</v>
      </c>
      <c r="P146" s="94">
        <f>Assumptions!$F$42+1</f>
        <v>22</v>
      </c>
      <c r="Q146" s="15">
        <f>Assumptions!$D$27</f>
        <v>2613</v>
      </c>
      <c r="R146" s="78">
        <v>10</v>
      </c>
      <c r="S146" s="15">
        <f>Assumptions!$R$42</f>
        <v>3500</v>
      </c>
      <c r="T146" s="78">
        <v>30</v>
      </c>
      <c r="U146" s="63">
        <f>Assumptions!$D$42</f>
        <v>1</v>
      </c>
      <c r="V146" s="63">
        <f>Assumptions!$E$42</f>
        <v>14</v>
      </c>
      <c r="W146" s="63">
        <f>Assumptions!$F$42</f>
        <v>21</v>
      </c>
      <c r="X146" s="95" t="s">
        <v>1675</v>
      </c>
      <c r="Y146" s="80"/>
      <c r="Z146" s="80"/>
      <c r="AA146" s="80"/>
      <c r="AB146" s="96"/>
      <c r="AC146" s="89" t="str">
        <f>IF(Y146="","",Y146+Assumptions!$C$9/(Assumptions!$C$10+Assumptions!$C$11)*(Z146+Assumptions!$C$10+Assumptions!$C$11))</f>
        <v/>
      </c>
      <c r="AD146" s="94" t="str">
        <f>IF(Y146="","",MAX(G146,IF(E146="Luxury",1,2)+MAX(0,ROUNDUP((Y146-Assumptions!$C$9-IF(E146="Luxury",Assumptions!$C$13,Assumptions!$C$12))/Assumptions!$C$8,0))))</f>
        <v/>
      </c>
      <c r="AE146" s="94" t="str">
        <f>IF(Y146="","",MAX(G146,IF(E146="Luxury",1,2)+MAX(0,ROUNDUP((Y146+Assumptions!$C$9/(Assumptions!$C$10+Assumptions!$C$11)*(AA146+Assumptions!$C$10+Assumptions!$C$11)-Assumptions!$C$9-IF(E146="Luxury",Assumptions!$C$13,Assumptions!$C$12))/Assumptions!$C$8,0))))</f>
        <v/>
      </c>
      <c r="AF146" s="94">
        <f t="shared" si="7"/>
        <v>0</v>
      </c>
      <c r="AG146" s="78"/>
      <c r="AH146" s="94">
        <f t="shared" si="8"/>
        <v>15</v>
      </c>
      <c r="AI146" s="94">
        <f t="shared" si="9"/>
        <v>90</v>
      </c>
      <c r="AJ146" s="95" t="s">
        <v>1676</v>
      </c>
      <c r="AK146" s="97">
        <f>IF(_xlfn.MAXIFS($J$127:$J$181,$D$127:$D$181,D146,$E$127:$E$181,E146)=_xlfn.MINIFS($J$127:$J$181,$D$127:$D$181,D146,$E$127:$E$181,E146),0,-Assumptions!$C$5+2*Assumptions!$C$5*(J146-_xlfn.MINIFS($J$127:$J$181,$D$127:$D$181,D146,$E$127:$E$181,E146))/(_xlfn.MAXIFS($J$127:$J$181,$D$127:$D$181,D146,$E$127:$E$181,E146)-_xlfn.MINIFS($J$127:$J$181,$D$127:$D$181,D146,$E$127:$E$181,E146)))</f>
        <v>50000</v>
      </c>
      <c r="AL146" s="97">
        <f>IF(_xlfn.MAXIFS($K$127:$K$181,$D$127:$D$181,D146,$E$127:$E$181,E146)=_xlfn.MINIFS($K$127:$K$181,$D$127:$D$181,D146,$E$127:$E$181,E146),0,-Assumptions!$C$5+2*Assumptions!$C$5*(K146-_xlfn.MINIFS($K$127:$K$181,$D$127:$D$181,D146,$E$127:$E$181,E146))/(_xlfn.MAXIFS($K$127:$K$181,$D$127:$D$181,D146,$E$127:$E$181,E146)-_xlfn.MINIFS($K$127:$K$181,$D$127:$D$181,D146,$E$127:$E$181,E146)))</f>
        <v>50000</v>
      </c>
      <c r="AM146" s="97">
        <f>IF(_xlfn.MAXIFS($O$127:$O$181,$D$127:$D$181,D146,$E$127:$E$181,E146)=_xlfn.MINIFS($O$127:$O$181,$D$127:$D$181,D146,$E$127:$E$181,E146),0,-Assumptions!$C$5+2*Assumptions!$C$5*(O146-_xlfn.MINIFS($O$127:$O$181,$D$127:$D$181,D146,$E$127:$E$181,E146))/(_xlfn.MAXIFS($O$127:$O$181,$D$127:$D$181,D146,$E$127:$E$181,E146)-_xlfn.MINIFS($O$127:$O$181,$D$127:$D$181,D146,$E$127:$E$181,E146)))</f>
        <v>50000</v>
      </c>
    </row>
    <row r="147" spans="1:39" ht="27.75" customHeight="1" x14ac:dyDescent="0.2">
      <c r="A147" s="98">
        <v>21</v>
      </c>
      <c r="B147" s="29">
        <v>5</v>
      </c>
      <c r="C147" s="29" t="s">
        <v>562</v>
      </c>
      <c r="D147" s="28">
        <v>678</v>
      </c>
      <c r="E147" s="29" t="s">
        <v>65</v>
      </c>
      <c r="F147" s="29" t="s">
        <v>43</v>
      </c>
      <c r="G147" s="29">
        <v>3</v>
      </c>
      <c r="H147" s="29">
        <v>30</v>
      </c>
      <c r="I147" s="84" t="s">
        <v>1528</v>
      </c>
      <c r="J147" s="94">
        <f>IF(L147&lt;&gt;"",0,INDEX(Assumptions!$C$17:$C$21,MATCH(I147,Assumptions!$B$17:$B$21,0)))</f>
        <v>60</v>
      </c>
      <c r="K147" s="94">
        <f>INDEX(Assumptions!$C$17:$C$21,MATCH(I147,Assumptions!$B$17:$B$21,0))+R147</f>
        <v>70</v>
      </c>
      <c r="L147" s="94" t="str">
        <f>IF(AG147&lt;&gt;"",AG147,IF(OR(Y147="",Z147&gt;Assumptions!$C$7),"",MAX(G147,IF(E147="Luxury",1,2)+MAX(0,ROUNDUP((AC147-Assumptions!$C$9-IF(E147="Luxury",Assumptions!$C$13,Assumptions!$C$12))/Assumptions!$C$8,0)))))</f>
        <v/>
      </c>
      <c r="M147" s="95"/>
      <c r="N147" s="94">
        <f>Assumptions!$E$42+1</f>
        <v>15</v>
      </c>
      <c r="O147" s="94">
        <f>INDEX(Assumptions!$C$17:$C$21,MATCH(I147,Assumptions!$B$17:$B$21,0))+T147</f>
        <v>90</v>
      </c>
      <c r="P147" s="94">
        <f>Assumptions!$F$42+1</f>
        <v>22</v>
      </c>
      <c r="Q147" s="15">
        <f>Assumptions!$D$27</f>
        <v>2613</v>
      </c>
      <c r="R147" s="78">
        <v>10</v>
      </c>
      <c r="S147" s="15">
        <f>Assumptions!$R$42</f>
        <v>3500</v>
      </c>
      <c r="T147" s="78">
        <v>30</v>
      </c>
      <c r="U147" s="63">
        <f>Assumptions!$D$42</f>
        <v>1</v>
      </c>
      <c r="V147" s="63">
        <f>Assumptions!$E$42</f>
        <v>14</v>
      </c>
      <c r="W147" s="63">
        <f>Assumptions!$F$42</f>
        <v>21</v>
      </c>
      <c r="X147" s="95" t="s">
        <v>1675</v>
      </c>
      <c r="Y147" s="80"/>
      <c r="Z147" s="80"/>
      <c r="AA147" s="80"/>
      <c r="AB147" s="96"/>
      <c r="AC147" s="89" t="str">
        <f>IF(Y147="","",Y147+Assumptions!$C$9/(Assumptions!$C$10+Assumptions!$C$11)*(Z147+Assumptions!$C$10+Assumptions!$C$11))</f>
        <v/>
      </c>
      <c r="AD147" s="94" t="str">
        <f>IF(Y147="","",MAX(G147,IF(E147="Luxury",1,2)+MAX(0,ROUNDUP((Y147-Assumptions!$C$9-IF(E147="Luxury",Assumptions!$C$13,Assumptions!$C$12))/Assumptions!$C$8,0))))</f>
        <v/>
      </c>
      <c r="AE147" s="94" t="str">
        <f>IF(Y147="","",MAX(G147,IF(E147="Luxury",1,2)+MAX(0,ROUNDUP((Y147+Assumptions!$C$9/(Assumptions!$C$10+Assumptions!$C$11)*(AA147+Assumptions!$C$10+Assumptions!$C$11)-Assumptions!$C$9-IF(E147="Luxury",Assumptions!$C$13,Assumptions!$C$12))/Assumptions!$C$8,0))))</f>
        <v/>
      </c>
      <c r="AF147" s="94">
        <f t="shared" si="7"/>
        <v>0</v>
      </c>
      <c r="AG147" s="78"/>
      <c r="AH147" s="94">
        <f t="shared" si="8"/>
        <v>15</v>
      </c>
      <c r="AI147" s="94">
        <f t="shared" si="9"/>
        <v>90</v>
      </c>
      <c r="AJ147" s="95" t="s">
        <v>1676</v>
      </c>
      <c r="AK147" s="97">
        <f>IF(_xlfn.MAXIFS($J$127:$J$181,$D$127:$D$181,D147,$E$127:$E$181,E147)=_xlfn.MINIFS($J$127:$J$181,$D$127:$D$181,D147,$E$127:$E$181,E147),0,-Assumptions!$C$5+2*Assumptions!$C$5*(J147-_xlfn.MINIFS($J$127:$J$181,$D$127:$D$181,D147,$E$127:$E$181,E147))/(_xlfn.MAXIFS($J$127:$J$181,$D$127:$D$181,D147,$E$127:$E$181,E147)-_xlfn.MINIFS($J$127:$J$181,$D$127:$D$181,D147,$E$127:$E$181,E147)))</f>
        <v>50000</v>
      </c>
      <c r="AL147" s="97">
        <f>IF(_xlfn.MAXIFS($K$127:$K$181,$D$127:$D$181,D147,$E$127:$E$181,E147)=_xlfn.MINIFS($K$127:$K$181,$D$127:$D$181,D147,$E$127:$E$181,E147),0,-Assumptions!$C$5+2*Assumptions!$C$5*(K147-_xlfn.MINIFS($K$127:$K$181,$D$127:$D$181,D147,$E$127:$E$181,E147))/(_xlfn.MAXIFS($K$127:$K$181,$D$127:$D$181,D147,$E$127:$E$181,E147)-_xlfn.MINIFS($K$127:$K$181,$D$127:$D$181,D147,$E$127:$E$181,E147)))</f>
        <v>50000</v>
      </c>
      <c r="AM147" s="97">
        <f>IF(_xlfn.MAXIFS($O$127:$O$181,$D$127:$D$181,D147,$E$127:$E$181,E147)=_xlfn.MINIFS($O$127:$O$181,$D$127:$D$181,D147,$E$127:$E$181,E147),0,-Assumptions!$C$5+2*Assumptions!$C$5*(O147-_xlfn.MINIFS($O$127:$O$181,$D$127:$D$181,D147,$E$127:$E$181,E147))/(_xlfn.MAXIFS($O$127:$O$181,$D$127:$D$181,D147,$E$127:$E$181,E147)-_xlfn.MINIFS($O$127:$O$181,$D$127:$D$181,D147,$E$127:$E$181,E147)))</f>
        <v>50000</v>
      </c>
    </row>
    <row r="148" spans="1:39" ht="27.75" customHeight="1" x14ac:dyDescent="0.2">
      <c r="A148" s="98">
        <v>22</v>
      </c>
      <c r="B148" s="29">
        <v>5</v>
      </c>
      <c r="C148" s="29" t="s">
        <v>591</v>
      </c>
      <c r="D148" s="28">
        <v>1485</v>
      </c>
      <c r="E148" s="29" t="s">
        <v>65</v>
      </c>
      <c r="F148" s="29" t="s">
        <v>50</v>
      </c>
      <c r="G148" s="29">
        <v>3</v>
      </c>
      <c r="H148" s="29">
        <v>30</v>
      </c>
      <c r="I148" s="84" t="s">
        <v>1528</v>
      </c>
      <c r="J148" s="94">
        <f>IF(L148&lt;&gt;"",0,INDEX(Assumptions!$C$17:$C$21,MATCH(I148,Assumptions!$B$17:$B$21,0)))</f>
        <v>60</v>
      </c>
      <c r="K148" s="94">
        <f>INDEX(Assumptions!$C$17:$C$21,MATCH(I148,Assumptions!$B$17:$B$21,0))+R148</f>
        <v>70</v>
      </c>
      <c r="L148" s="94" t="str">
        <f>IF(AG148&lt;&gt;"",AG148,IF(OR(Y148="",Z148&gt;Assumptions!$C$7),"",MAX(G148,IF(E148="Luxury",1,2)+MAX(0,ROUNDUP((AC148-Assumptions!$C$9-IF(E148="Luxury",Assumptions!$C$13,Assumptions!$C$12))/Assumptions!$C$8,0)))))</f>
        <v/>
      </c>
      <c r="M148" s="95"/>
      <c r="N148" s="94">
        <f>Assumptions!$E$55+1</f>
        <v>12</v>
      </c>
      <c r="O148" s="94">
        <f>INDEX(Assumptions!$C$17:$C$21,MATCH(I148,Assumptions!$B$17:$B$21,0))+T148</f>
        <v>85</v>
      </c>
      <c r="P148" s="94">
        <f>Assumptions!$F$55+1</f>
        <v>21</v>
      </c>
      <c r="Q148" s="15">
        <f>Assumptions!$D$35</f>
        <v>2800</v>
      </c>
      <c r="R148" s="78">
        <v>10</v>
      </c>
      <c r="S148" s="15">
        <f>Assumptions!$R$55</f>
        <v>3500</v>
      </c>
      <c r="T148" s="78">
        <v>25</v>
      </c>
      <c r="U148" s="63">
        <f>Assumptions!$D$55</f>
        <v>3</v>
      </c>
      <c r="V148" s="63">
        <f>Assumptions!$E$55</f>
        <v>11</v>
      </c>
      <c r="W148" s="63">
        <f>Assumptions!$F$55</f>
        <v>20</v>
      </c>
      <c r="X148" s="95" t="s">
        <v>1675</v>
      </c>
      <c r="Y148" s="80"/>
      <c r="Z148" s="80"/>
      <c r="AA148" s="80"/>
      <c r="AB148" s="96"/>
      <c r="AC148" s="89" t="str">
        <f>IF(Y148="","",Y148+Assumptions!$C$9/(Assumptions!$C$10+Assumptions!$C$11)*(Z148+Assumptions!$C$10+Assumptions!$C$11))</f>
        <v/>
      </c>
      <c r="AD148" s="94" t="str">
        <f>IF(Y148="","",MAX(G148,IF(E148="Luxury",1,2)+MAX(0,ROUNDUP((Y148-Assumptions!$C$9-IF(E148="Luxury",Assumptions!$C$13,Assumptions!$C$12))/Assumptions!$C$8,0))))</f>
        <v/>
      </c>
      <c r="AE148" s="94" t="str">
        <f>IF(Y148="","",MAX(G148,IF(E148="Luxury",1,2)+MAX(0,ROUNDUP((Y148+Assumptions!$C$9/(Assumptions!$C$10+Assumptions!$C$11)*(AA148+Assumptions!$C$10+Assumptions!$C$11)-Assumptions!$C$9-IF(E148="Luxury",Assumptions!$C$13,Assumptions!$C$12))/Assumptions!$C$8,0))))</f>
        <v/>
      </c>
      <c r="AF148" s="94">
        <f t="shared" si="7"/>
        <v>60</v>
      </c>
      <c r="AG148" s="78"/>
      <c r="AH148" s="94">
        <f t="shared" si="8"/>
        <v>12</v>
      </c>
      <c r="AI148" s="94">
        <f t="shared" si="9"/>
        <v>85</v>
      </c>
      <c r="AJ148" s="95" t="s">
        <v>1677</v>
      </c>
      <c r="AK148" s="97">
        <f>IF(_xlfn.MAXIFS($J$127:$J$181,$D$127:$D$181,D148,$E$127:$E$181,E148)=_xlfn.MINIFS($J$127:$J$181,$D$127:$D$181,D148,$E$127:$E$181,E148),0,-Assumptions!$C$5+2*Assumptions!$C$5*(J148-_xlfn.MINIFS($J$127:$J$181,$D$127:$D$181,D148,$E$127:$E$181,E148))/(_xlfn.MAXIFS($J$127:$J$181,$D$127:$D$181,D148,$E$127:$E$181,E148)-_xlfn.MINIFS($J$127:$J$181,$D$127:$D$181,D148,$E$127:$E$181,E148)))</f>
        <v>0</v>
      </c>
      <c r="AL148" s="97">
        <f>IF(_xlfn.MAXIFS($K$127:$K$181,$D$127:$D$181,D148,$E$127:$E$181,E148)=_xlfn.MINIFS($K$127:$K$181,$D$127:$D$181,D148,$E$127:$E$181,E148),0,-Assumptions!$C$5+2*Assumptions!$C$5*(K148-_xlfn.MINIFS($K$127:$K$181,$D$127:$D$181,D148,$E$127:$E$181,E148))/(_xlfn.MAXIFS($K$127:$K$181,$D$127:$D$181,D148,$E$127:$E$181,E148)-_xlfn.MINIFS($K$127:$K$181,$D$127:$D$181,D148,$E$127:$E$181,E148)))</f>
        <v>0</v>
      </c>
      <c r="AM148" s="97">
        <f>IF(_xlfn.MAXIFS($O$127:$O$181,$D$127:$D$181,D148,$E$127:$E$181,E148)=_xlfn.MINIFS($O$127:$O$181,$D$127:$D$181,D148,$E$127:$E$181,E148),0,-Assumptions!$C$5+2*Assumptions!$C$5*(O148-_xlfn.MINIFS($O$127:$O$181,$D$127:$D$181,D148,$E$127:$E$181,E148))/(_xlfn.MAXIFS($O$127:$O$181,$D$127:$D$181,D148,$E$127:$E$181,E148)-_xlfn.MINIFS($O$127:$O$181,$D$127:$D$181,D148,$E$127:$E$181,E148)))</f>
        <v>0</v>
      </c>
    </row>
    <row r="149" spans="1:39" ht="27.75" customHeight="1" x14ac:dyDescent="0.2">
      <c r="A149" s="98">
        <v>23</v>
      </c>
      <c r="B149" s="29">
        <v>5</v>
      </c>
      <c r="C149" s="29" t="s">
        <v>620</v>
      </c>
      <c r="D149" s="28">
        <v>947</v>
      </c>
      <c r="E149" s="29" t="s">
        <v>65</v>
      </c>
      <c r="F149" s="29" t="s">
        <v>45</v>
      </c>
      <c r="G149" s="29">
        <v>1</v>
      </c>
      <c r="H149" s="29">
        <v>30</v>
      </c>
      <c r="I149" s="84" t="s">
        <v>1530</v>
      </c>
      <c r="J149" s="94">
        <f>IF(L149&lt;&gt;"",0,INDEX(Assumptions!$C$17:$C$21,MATCH(I149,Assumptions!$B$17:$B$21,0)))</f>
        <v>0</v>
      </c>
      <c r="K149" s="94">
        <f>INDEX(Assumptions!$C$17:$C$21,MATCH(I149,Assumptions!$B$17:$B$21,0))+R149</f>
        <v>50</v>
      </c>
      <c r="L149" s="94">
        <f>IF(AG149&lt;&gt;"",AG149,IF(OR(Y149="",Z149&gt;Assumptions!$C$7),"",MAX(G149,IF(E149="Luxury",1,2)+MAX(0,ROUNDUP((AC149-Assumptions!$C$9-IF(E149="Luxury",Assumptions!$C$13,Assumptions!$C$12))/Assumptions!$C$8,0)))))</f>
        <v>7</v>
      </c>
      <c r="M149" s="95" t="s">
        <v>1678</v>
      </c>
      <c r="N149" s="78">
        <v>7</v>
      </c>
      <c r="O149" s="94">
        <f>INDEX(Assumptions!$C$17:$C$21,MATCH(I149,Assumptions!$B$17:$B$21,0))+T149</f>
        <v>55</v>
      </c>
      <c r="P149" s="94">
        <f>Assumptions!$F$48+1</f>
        <v>21</v>
      </c>
      <c r="Q149" s="15">
        <f>Assumptions!$D$30</f>
        <v>2642</v>
      </c>
      <c r="R149" s="78">
        <v>5</v>
      </c>
      <c r="S149" s="15">
        <f>Assumptions!$R$48</f>
        <v>3500</v>
      </c>
      <c r="T149" s="78">
        <v>10</v>
      </c>
      <c r="U149" s="63">
        <f>Assumptions!$D$48</f>
        <v>1</v>
      </c>
      <c r="V149" s="63">
        <f>Assumptions!$E$48</f>
        <v>11</v>
      </c>
      <c r="W149" s="63">
        <f>Assumptions!$F$48</f>
        <v>20</v>
      </c>
      <c r="X149" s="95" t="s">
        <v>1679</v>
      </c>
      <c r="Y149" s="80">
        <v>12.6</v>
      </c>
      <c r="Z149" s="80">
        <v>39.1</v>
      </c>
      <c r="AA149" s="80">
        <v>45.3</v>
      </c>
      <c r="AB149" s="96">
        <v>0.52</v>
      </c>
      <c r="AC149" s="89">
        <f>IF(Y149="","",Y149+Assumptions!$C$9/(Assumptions!$C$10+Assumptions!$C$11)*(Z149+Assumptions!$C$10+Assumptions!$C$11))</f>
        <v>26.712</v>
      </c>
      <c r="AD149" s="94">
        <f>IF(Y149="","",MAX(G149,IF(E149="Luxury",1,2)+MAX(0,ROUNDUP((Y149-Assumptions!$C$9-IF(E149="Luxury",Assumptions!$C$13,Assumptions!$C$12))/Assumptions!$C$8,0))))</f>
        <v>2</v>
      </c>
      <c r="AE149" s="94">
        <f>IF(Y149="","",MAX(G149,IF(E149="Luxury",1,2)+MAX(0,ROUNDUP((Y149+Assumptions!$C$9/(Assumptions!$C$10+Assumptions!$C$11)*(AA149+Assumptions!$C$10+Assumptions!$C$11)-Assumptions!$C$9-IF(E149="Luxury",Assumptions!$C$13,Assumptions!$C$12))/Assumptions!$C$8,0))))</f>
        <v>7</v>
      </c>
      <c r="AF149" s="94">
        <f t="shared" si="7"/>
        <v>0</v>
      </c>
      <c r="AG149" s="78"/>
      <c r="AH149" s="94">
        <f t="shared" si="8"/>
        <v>7</v>
      </c>
      <c r="AI149" s="94">
        <f t="shared" si="9"/>
        <v>55</v>
      </c>
      <c r="AJ149" s="95" t="s">
        <v>1680</v>
      </c>
      <c r="AK149" s="97">
        <f>IF(_xlfn.MAXIFS($J$127:$J$181,$D$127:$D$181,D149,$E$127:$E$181,E149)=_xlfn.MINIFS($J$127:$J$181,$D$127:$D$181,D149,$E$127:$E$181,E149),0,-Assumptions!$C$5+2*Assumptions!$C$5*(J149-_xlfn.MINIFS($J$127:$J$181,$D$127:$D$181,D149,$E$127:$E$181,E149))/(_xlfn.MAXIFS($J$127:$J$181,$D$127:$D$181,D149,$E$127:$E$181,E149)-_xlfn.MINIFS($J$127:$J$181,$D$127:$D$181,D149,$E$127:$E$181,E149)))</f>
        <v>-50000</v>
      </c>
      <c r="AL149" s="97">
        <f>IF(_xlfn.MAXIFS($K$127:$K$181,$D$127:$D$181,D149,$E$127:$E$181,E149)=_xlfn.MINIFS($K$127:$K$181,$D$127:$D$181,D149,$E$127:$E$181,E149),0,-Assumptions!$C$5+2*Assumptions!$C$5*(K149-_xlfn.MINIFS($K$127:$K$181,$D$127:$D$181,D149,$E$127:$E$181,E149))/(_xlfn.MAXIFS($K$127:$K$181,$D$127:$D$181,D149,$E$127:$E$181,E149)-_xlfn.MINIFS($K$127:$K$181,$D$127:$D$181,D149,$E$127:$E$181,E149)))</f>
        <v>0</v>
      </c>
      <c r="AM149" s="97">
        <f>IF(_xlfn.MAXIFS($O$127:$O$181,$D$127:$D$181,D149,$E$127:$E$181,E149)=_xlfn.MINIFS($O$127:$O$181,$D$127:$D$181,D149,$E$127:$E$181,E149),0,-Assumptions!$C$5+2*Assumptions!$C$5*(O149-_xlfn.MINIFS($O$127:$O$181,$D$127:$D$181,D149,$E$127:$E$181,E149))/(_xlfn.MAXIFS($O$127:$O$181,$D$127:$D$181,D149,$E$127:$E$181,E149)-_xlfn.MINIFS($O$127:$O$181,$D$127:$D$181,D149,$E$127:$E$181,E149)))</f>
        <v>0</v>
      </c>
    </row>
    <row r="150" spans="1:39" ht="27.75" customHeight="1" x14ac:dyDescent="0.2">
      <c r="A150" s="98">
        <v>24</v>
      </c>
      <c r="B150" s="29">
        <v>5</v>
      </c>
      <c r="C150" s="29" t="s">
        <v>652</v>
      </c>
      <c r="D150" s="28">
        <v>732</v>
      </c>
      <c r="E150" s="29" t="s">
        <v>65</v>
      </c>
      <c r="F150" s="29" t="s">
        <v>44</v>
      </c>
      <c r="G150" s="29">
        <v>1</v>
      </c>
      <c r="H150" s="29">
        <v>30</v>
      </c>
      <c r="I150" s="84" t="s">
        <v>1530</v>
      </c>
      <c r="J150" s="94">
        <f>IF(L150&lt;&gt;"",0,INDEX(Assumptions!$C$17:$C$21,MATCH(I150,Assumptions!$B$17:$B$21,0)))</f>
        <v>0</v>
      </c>
      <c r="K150" s="94">
        <f>INDEX(Assumptions!$C$17:$C$21,MATCH(I150,Assumptions!$B$17:$B$21,0))+R150</f>
        <v>50</v>
      </c>
      <c r="L150" s="94">
        <f>IF(AG150&lt;&gt;"",AG150,IF(OR(Y150="",Z150&gt;Assumptions!$C$7),"",MAX(G150,IF(E150="Luxury",1,2)+MAX(0,ROUNDUP((AC150-Assumptions!$C$9-IF(E150="Luxury",Assumptions!$C$13,Assumptions!$C$12))/Assumptions!$C$8,0)))))</f>
        <v>7</v>
      </c>
      <c r="M150" s="95" t="s">
        <v>1681</v>
      </c>
      <c r="N150" s="78">
        <v>7</v>
      </c>
      <c r="O150" s="94">
        <f>INDEX(Assumptions!$C$17:$C$21,MATCH(I150,Assumptions!$B$17:$B$21,0))+T150</f>
        <v>55</v>
      </c>
      <c r="P150" s="94">
        <f>Assumptions!$F$44+1</f>
        <v>21</v>
      </c>
      <c r="Q150" s="15">
        <f>Assumptions!$D$28</f>
        <v>2630</v>
      </c>
      <c r="R150" s="78">
        <v>5</v>
      </c>
      <c r="S150" s="15">
        <f>Assumptions!$R$44</f>
        <v>3500</v>
      </c>
      <c r="T150" s="78">
        <v>10</v>
      </c>
      <c r="U150" s="63">
        <f>Assumptions!$D$44</f>
        <v>1</v>
      </c>
      <c r="V150" s="63">
        <f>Assumptions!$E$44</f>
        <v>11</v>
      </c>
      <c r="W150" s="63">
        <f>Assumptions!$F$44</f>
        <v>20</v>
      </c>
      <c r="X150" s="95" t="s">
        <v>1682</v>
      </c>
      <c r="Y150" s="80">
        <v>12.6</v>
      </c>
      <c r="Z150" s="80">
        <v>37.1</v>
      </c>
      <c r="AA150" s="80">
        <v>42.8</v>
      </c>
      <c r="AB150" s="96">
        <v>0.74</v>
      </c>
      <c r="AC150" s="89">
        <f>IF(Y150="","",Y150+Assumptions!$C$9/(Assumptions!$C$10+Assumptions!$C$11)*(Z150+Assumptions!$C$10+Assumptions!$C$11))</f>
        <v>26.072000000000003</v>
      </c>
      <c r="AD150" s="94">
        <f>IF(Y150="","",MAX(G150,IF(E150="Luxury",1,2)+MAX(0,ROUNDUP((Y150-Assumptions!$C$9-IF(E150="Luxury",Assumptions!$C$13,Assumptions!$C$12))/Assumptions!$C$8,0))))</f>
        <v>2</v>
      </c>
      <c r="AE150" s="94">
        <f>IF(Y150="","",MAX(G150,IF(E150="Luxury",1,2)+MAX(0,ROUNDUP((Y150+Assumptions!$C$9/(Assumptions!$C$10+Assumptions!$C$11)*(AA150+Assumptions!$C$10+Assumptions!$C$11)-Assumptions!$C$9-IF(E150="Luxury",Assumptions!$C$13,Assumptions!$C$12))/Assumptions!$C$8,0))))</f>
        <v>7</v>
      </c>
      <c r="AF150" s="94">
        <f t="shared" si="7"/>
        <v>0</v>
      </c>
      <c r="AG150" s="78"/>
      <c r="AH150" s="94">
        <f t="shared" si="8"/>
        <v>7</v>
      </c>
      <c r="AI150" s="94">
        <f t="shared" si="9"/>
        <v>70</v>
      </c>
      <c r="AJ150" s="95" t="s">
        <v>1683</v>
      </c>
      <c r="AK150" s="97">
        <f>IF(_xlfn.MAXIFS($J$127:$J$181,$D$127:$D$181,D150,$E$127:$E$181,E150)=_xlfn.MINIFS($J$127:$J$181,$D$127:$D$181,D150,$E$127:$E$181,E150),0,-Assumptions!$C$5+2*Assumptions!$C$5*(J150-_xlfn.MINIFS($J$127:$J$181,$D$127:$D$181,D150,$E$127:$E$181,E150))/(_xlfn.MAXIFS($J$127:$J$181,$D$127:$D$181,D150,$E$127:$E$181,E150)-_xlfn.MINIFS($J$127:$J$181,$D$127:$D$181,D150,$E$127:$E$181,E150)))</f>
        <v>0</v>
      </c>
      <c r="AL150" s="97">
        <f>IF(_xlfn.MAXIFS($K$127:$K$181,$D$127:$D$181,D150,$E$127:$E$181,E150)=_xlfn.MINIFS($K$127:$K$181,$D$127:$D$181,D150,$E$127:$E$181,E150),0,-Assumptions!$C$5+2*Assumptions!$C$5*(K150-_xlfn.MINIFS($K$127:$K$181,$D$127:$D$181,D150,$E$127:$E$181,E150))/(_xlfn.MAXIFS($K$127:$K$181,$D$127:$D$181,D150,$E$127:$E$181,E150)-_xlfn.MINIFS($K$127:$K$181,$D$127:$D$181,D150,$E$127:$E$181,E150)))</f>
        <v>0</v>
      </c>
      <c r="AM150" s="97">
        <f>IF(_xlfn.MAXIFS($O$127:$O$181,$D$127:$D$181,D150,$E$127:$E$181,E150)=_xlfn.MINIFS($O$127:$O$181,$D$127:$D$181,D150,$E$127:$E$181,E150),0,-Assumptions!$C$5+2*Assumptions!$C$5*(O150-_xlfn.MINIFS($O$127:$O$181,$D$127:$D$181,D150,$E$127:$E$181,E150))/(_xlfn.MAXIFS($O$127:$O$181,$D$127:$D$181,D150,$E$127:$E$181,E150)-_xlfn.MINIFS($O$127:$O$181,$D$127:$D$181,D150,$E$127:$E$181,E150)))</f>
        <v>-50000</v>
      </c>
    </row>
    <row r="151" spans="1:39" ht="27.75" customHeight="1" x14ac:dyDescent="0.2">
      <c r="A151" s="98">
        <v>25</v>
      </c>
      <c r="B151" s="29">
        <v>5</v>
      </c>
      <c r="C151" s="29" t="s">
        <v>684</v>
      </c>
      <c r="D151" s="28">
        <v>775</v>
      </c>
      <c r="E151" s="29" t="s">
        <v>65</v>
      </c>
      <c r="F151" s="29" t="s">
        <v>44</v>
      </c>
      <c r="G151" s="29">
        <v>1</v>
      </c>
      <c r="H151" s="29">
        <v>30</v>
      </c>
      <c r="I151" s="84" t="s">
        <v>1530</v>
      </c>
      <c r="J151" s="94">
        <f>IF(L151&lt;&gt;"",0,INDEX(Assumptions!$C$17:$C$21,MATCH(I151,Assumptions!$B$17:$B$21,0)))</f>
        <v>0</v>
      </c>
      <c r="K151" s="94">
        <f>INDEX(Assumptions!$C$17:$C$21,MATCH(I151,Assumptions!$B$17:$B$21,0))+R151</f>
        <v>50</v>
      </c>
      <c r="L151" s="94">
        <f>IF(AG151&lt;&gt;"",AG151,IF(OR(Y151="",Z151&gt;Assumptions!$C$7),"",MAX(G151,IF(E151="Luxury",1,2)+MAX(0,ROUNDUP((AC151-Assumptions!$C$9-IF(E151="Luxury",Assumptions!$C$13,Assumptions!$C$12))/Assumptions!$C$8,0)))))</f>
        <v>6</v>
      </c>
      <c r="M151" s="95" t="s">
        <v>1684</v>
      </c>
      <c r="N151" s="78">
        <v>6</v>
      </c>
      <c r="O151" s="94">
        <f>INDEX(Assumptions!$C$17:$C$21,MATCH(I151,Assumptions!$B$17:$B$21,0))+T151</f>
        <v>65</v>
      </c>
      <c r="P151" s="78">
        <v>22</v>
      </c>
      <c r="Q151" s="15">
        <f>Assumptions!$D$29</f>
        <v>2650</v>
      </c>
      <c r="R151" s="78">
        <v>5</v>
      </c>
      <c r="S151" s="15">
        <f>Assumptions!$R$46</f>
        <v>3500</v>
      </c>
      <c r="T151" s="78">
        <v>20</v>
      </c>
      <c r="U151" s="63">
        <f>Assumptions!$D$46</f>
        <v>1</v>
      </c>
      <c r="V151" s="63">
        <f>Assumptions!$E$46</f>
        <v>11</v>
      </c>
      <c r="W151" s="63">
        <f>Assumptions!$F$46</f>
        <v>20</v>
      </c>
      <c r="X151" s="95" t="s">
        <v>1685</v>
      </c>
      <c r="Y151" s="80">
        <v>12.6</v>
      </c>
      <c r="Z151" s="80">
        <v>35.700000000000003</v>
      </c>
      <c r="AA151" s="80">
        <v>42.8</v>
      </c>
      <c r="AB151" s="96">
        <v>0.89</v>
      </c>
      <c r="AC151" s="89">
        <f>IF(Y151="","",Y151+Assumptions!$C$9/(Assumptions!$C$10+Assumptions!$C$11)*(Z151+Assumptions!$C$10+Assumptions!$C$11))</f>
        <v>25.624000000000002</v>
      </c>
      <c r="AD151" s="94">
        <f>IF(Y151="","",MAX(G151,IF(E151="Luxury",1,2)+MAX(0,ROUNDUP((Y151-Assumptions!$C$9-IF(E151="Luxury",Assumptions!$C$13,Assumptions!$C$12))/Assumptions!$C$8,0))))</f>
        <v>2</v>
      </c>
      <c r="AE151" s="94">
        <f>IF(Y151="","",MAX(G151,IF(E151="Luxury",1,2)+MAX(0,ROUNDUP((Y151+Assumptions!$C$9/(Assumptions!$C$10+Assumptions!$C$11)*(AA151+Assumptions!$C$10+Assumptions!$C$11)-Assumptions!$C$9-IF(E151="Luxury",Assumptions!$C$13,Assumptions!$C$12))/Assumptions!$C$8,0))))</f>
        <v>7</v>
      </c>
      <c r="AF151" s="94">
        <f t="shared" si="7"/>
        <v>0</v>
      </c>
      <c r="AG151" s="78"/>
      <c r="AH151" s="94">
        <f t="shared" si="8"/>
        <v>6</v>
      </c>
      <c r="AI151" s="94">
        <f t="shared" si="9"/>
        <v>65</v>
      </c>
      <c r="AJ151" s="95" t="s">
        <v>1686</v>
      </c>
      <c r="AK151" s="97">
        <f>IF(_xlfn.MAXIFS($J$127:$J$181,$D$127:$D$181,D151,$E$127:$E$181,E151)=_xlfn.MINIFS($J$127:$J$181,$D$127:$D$181,D151,$E$127:$E$181,E151),0,-Assumptions!$C$5+2*Assumptions!$C$5*(J151-_xlfn.MINIFS($J$127:$J$181,$D$127:$D$181,D151,$E$127:$E$181,E151))/(_xlfn.MAXIFS($J$127:$J$181,$D$127:$D$181,D151,$E$127:$E$181,E151)-_xlfn.MINIFS($J$127:$J$181,$D$127:$D$181,D151,$E$127:$E$181,E151)))</f>
        <v>-50000</v>
      </c>
      <c r="AL151" s="97">
        <f>IF(_xlfn.MAXIFS($K$127:$K$181,$D$127:$D$181,D151,$E$127:$E$181,E151)=_xlfn.MINIFS($K$127:$K$181,$D$127:$D$181,D151,$E$127:$E$181,E151),0,-Assumptions!$C$5+2*Assumptions!$C$5*(K151-_xlfn.MINIFS($K$127:$K$181,$D$127:$D$181,D151,$E$127:$E$181,E151))/(_xlfn.MAXIFS($K$127:$K$181,$D$127:$D$181,D151,$E$127:$E$181,E151)-_xlfn.MINIFS($K$127:$K$181,$D$127:$D$181,D151,$E$127:$E$181,E151)))</f>
        <v>0</v>
      </c>
      <c r="AM151" s="97">
        <f>IF(_xlfn.MAXIFS($O$127:$O$181,$D$127:$D$181,D151,$E$127:$E$181,E151)=_xlfn.MINIFS($O$127:$O$181,$D$127:$D$181,D151,$E$127:$E$181,E151),0,-Assumptions!$C$5+2*Assumptions!$C$5*(O151-_xlfn.MINIFS($O$127:$O$181,$D$127:$D$181,D151,$E$127:$E$181,E151))/(_xlfn.MAXIFS($O$127:$O$181,$D$127:$D$181,D151,$E$127:$E$181,E151)-_xlfn.MINIFS($O$127:$O$181,$D$127:$D$181,D151,$E$127:$E$181,E151)))</f>
        <v>50000</v>
      </c>
    </row>
    <row r="152" spans="1:39" ht="27.75" customHeight="1" x14ac:dyDescent="0.2">
      <c r="A152" s="98">
        <v>26</v>
      </c>
      <c r="B152" s="29">
        <v>5</v>
      </c>
      <c r="C152" s="29" t="s">
        <v>716</v>
      </c>
      <c r="D152" s="28">
        <v>678</v>
      </c>
      <c r="E152" s="29" t="s">
        <v>65</v>
      </c>
      <c r="F152" s="29" t="s">
        <v>43</v>
      </c>
      <c r="G152" s="29">
        <v>1</v>
      </c>
      <c r="H152" s="29">
        <v>30</v>
      </c>
      <c r="I152" s="84" t="s">
        <v>1536</v>
      </c>
      <c r="J152" s="94">
        <f>IF(L152&lt;&gt;"",0,INDEX(Assumptions!$C$17:$C$21,MATCH(I152,Assumptions!$B$17:$B$21,0)))</f>
        <v>0</v>
      </c>
      <c r="K152" s="94">
        <f>INDEX(Assumptions!$C$17:$C$21,MATCH(I152,Assumptions!$B$17:$B$21,0))+R152</f>
        <v>5</v>
      </c>
      <c r="L152" s="94" t="str">
        <f>IF(AG152&lt;&gt;"",AG152,IF(OR(Y152="",Z152&gt;Assumptions!$C$7),"",MAX(G152,IF(E152="Luxury",1,2)+MAX(0,ROUNDUP((AC152-Assumptions!$C$9-IF(E152="Luxury",Assumptions!$C$13,Assumptions!$C$12))/Assumptions!$C$8,0)))))</f>
        <v/>
      </c>
      <c r="M152" s="95"/>
      <c r="N152" s="94">
        <f>Assumptions!$E$42+1</f>
        <v>15</v>
      </c>
      <c r="O152" s="94">
        <f>INDEX(Assumptions!$C$17:$C$21,MATCH(I152,Assumptions!$B$17:$B$21,0))+T152</f>
        <v>10</v>
      </c>
      <c r="P152" s="94">
        <f>Assumptions!$F$42+1</f>
        <v>22</v>
      </c>
      <c r="Q152" s="15">
        <f>Assumptions!$D$27</f>
        <v>2613</v>
      </c>
      <c r="R152" s="78">
        <v>5</v>
      </c>
      <c r="S152" s="15">
        <f>Assumptions!$R$42</f>
        <v>3500</v>
      </c>
      <c r="T152" s="78">
        <v>10</v>
      </c>
      <c r="U152" s="63">
        <f>Assumptions!$D$42</f>
        <v>1</v>
      </c>
      <c r="V152" s="63">
        <f>Assumptions!$E$42</f>
        <v>14</v>
      </c>
      <c r="W152" s="63">
        <f>Assumptions!$F$42</f>
        <v>21</v>
      </c>
      <c r="X152" s="95" t="s">
        <v>1687</v>
      </c>
      <c r="Y152" s="80">
        <v>12.6</v>
      </c>
      <c r="Z152" s="80">
        <v>41.6</v>
      </c>
      <c r="AA152" s="80">
        <v>47.6</v>
      </c>
      <c r="AB152" s="96">
        <v>0.93</v>
      </c>
      <c r="AC152" s="89">
        <f>IF(Y152="","",Y152+Assumptions!$C$9/(Assumptions!$C$10+Assumptions!$C$11)*(Z152+Assumptions!$C$10+Assumptions!$C$11))</f>
        <v>27.512</v>
      </c>
      <c r="AD152" s="94">
        <f>IF(Y152="","",MAX(G152,IF(E152="Luxury",1,2)+MAX(0,ROUNDUP((Y152-Assumptions!$C$9-IF(E152="Luxury",Assumptions!$C$13,Assumptions!$C$12))/Assumptions!$C$8,0))))</f>
        <v>2</v>
      </c>
      <c r="AE152" s="94">
        <f>IF(Y152="","",MAX(G152,IF(E152="Luxury",1,2)+MAX(0,ROUNDUP((Y152+Assumptions!$C$9/(Assumptions!$C$10+Assumptions!$C$11)*(AA152+Assumptions!$C$10+Assumptions!$C$11)-Assumptions!$C$9-IF(E152="Luxury",Assumptions!$C$13,Assumptions!$C$12))/Assumptions!$C$8,0))))</f>
        <v>8</v>
      </c>
      <c r="AF152" s="94">
        <f t="shared" si="7"/>
        <v>0</v>
      </c>
      <c r="AG152" s="78"/>
      <c r="AH152" s="94">
        <f t="shared" si="8"/>
        <v>15</v>
      </c>
      <c r="AI152" s="94">
        <f t="shared" si="9"/>
        <v>90</v>
      </c>
      <c r="AJ152" s="95" t="s">
        <v>1688</v>
      </c>
      <c r="AK152" s="97">
        <f>IF(_xlfn.MAXIFS($J$127:$J$181,$D$127:$D$181,D152,$E$127:$E$181,E152)=_xlfn.MINIFS($J$127:$J$181,$D$127:$D$181,D152,$E$127:$E$181,E152),0,-Assumptions!$C$5+2*Assumptions!$C$5*(J152-_xlfn.MINIFS($J$127:$J$181,$D$127:$D$181,D152,$E$127:$E$181,E152))/(_xlfn.MAXIFS($J$127:$J$181,$D$127:$D$181,D152,$E$127:$E$181,E152)-_xlfn.MINIFS($J$127:$J$181,$D$127:$D$181,D152,$E$127:$E$181,E152)))</f>
        <v>-50000</v>
      </c>
      <c r="AL152" s="97">
        <f>IF(_xlfn.MAXIFS($K$127:$K$181,$D$127:$D$181,D152,$E$127:$E$181,E152)=_xlfn.MINIFS($K$127:$K$181,$D$127:$D$181,D152,$E$127:$E$181,E152),0,-Assumptions!$C$5+2*Assumptions!$C$5*(K152-_xlfn.MINIFS($K$127:$K$181,$D$127:$D$181,D152,$E$127:$E$181,E152))/(_xlfn.MAXIFS($K$127:$K$181,$D$127:$D$181,D152,$E$127:$E$181,E152)-_xlfn.MINIFS($K$127:$K$181,$D$127:$D$181,D152,$E$127:$E$181,E152)))</f>
        <v>-50000</v>
      </c>
      <c r="AM152" s="97">
        <f>IF(_xlfn.MAXIFS($O$127:$O$181,$D$127:$D$181,D152,$E$127:$E$181,E152)=_xlfn.MINIFS($O$127:$O$181,$D$127:$D$181,D152,$E$127:$E$181,E152),0,-Assumptions!$C$5+2*Assumptions!$C$5*(O152-_xlfn.MINIFS($O$127:$O$181,$D$127:$D$181,D152,$E$127:$E$181,E152))/(_xlfn.MAXIFS($O$127:$O$181,$D$127:$D$181,D152,$E$127:$E$181,E152)-_xlfn.MINIFS($O$127:$O$181,$D$127:$D$181,D152,$E$127:$E$181,E152)))</f>
        <v>-50000</v>
      </c>
    </row>
    <row r="153" spans="1:39" ht="27.75" customHeight="1" x14ac:dyDescent="0.2">
      <c r="A153" s="98">
        <v>27</v>
      </c>
      <c r="B153" s="29">
        <v>5</v>
      </c>
      <c r="C153" s="29" t="s">
        <v>748</v>
      </c>
      <c r="D153" s="28">
        <v>1238</v>
      </c>
      <c r="E153" s="29" t="s">
        <v>65</v>
      </c>
      <c r="F153" s="29" t="s">
        <v>48</v>
      </c>
      <c r="G153" s="29">
        <v>1</v>
      </c>
      <c r="H153" s="29">
        <v>30</v>
      </c>
      <c r="I153" s="84" t="s">
        <v>1528</v>
      </c>
      <c r="J153" s="94">
        <f>IF(L153&lt;&gt;"",0,INDEX(Assumptions!$C$17:$C$21,MATCH(I153,Assumptions!$B$17:$B$21,0)))</f>
        <v>60</v>
      </c>
      <c r="K153" s="94">
        <f>INDEX(Assumptions!$C$17:$C$21,MATCH(I153,Assumptions!$B$17:$B$21,0))+R153</f>
        <v>70</v>
      </c>
      <c r="L153" s="94" t="str">
        <f>IF(AG153&lt;&gt;"",AG153,IF(OR(Y153="",Z153&gt;Assumptions!$C$7),"",MAX(G153,IF(E153="Luxury",1,2)+MAX(0,ROUNDUP((AC153-Assumptions!$C$9-IF(E153="Luxury",Assumptions!$C$13,Assumptions!$C$12))/Assumptions!$C$8,0)))))</f>
        <v/>
      </c>
      <c r="M153" s="95"/>
      <c r="N153" s="94">
        <f>Assumptions!$E$53+1</f>
        <v>12</v>
      </c>
      <c r="O153" s="94">
        <f>INDEX(Assumptions!$C$17:$C$21,MATCH(I153,Assumptions!$B$17:$B$21,0))+T153</f>
        <v>85</v>
      </c>
      <c r="P153" s="94">
        <f>Assumptions!$F$53+1</f>
        <v>21</v>
      </c>
      <c r="Q153" s="15">
        <f>Assumptions!$D$33</f>
        <v>2737</v>
      </c>
      <c r="R153" s="78">
        <v>10</v>
      </c>
      <c r="S153" s="15">
        <f>Assumptions!$R$53</f>
        <v>3500</v>
      </c>
      <c r="T153" s="78">
        <v>25</v>
      </c>
      <c r="U153" s="63">
        <f>Assumptions!$D$53</f>
        <v>1</v>
      </c>
      <c r="V153" s="63">
        <f>Assumptions!$E$53</f>
        <v>11</v>
      </c>
      <c r="W153" s="63">
        <f>Assumptions!$F$53</f>
        <v>20</v>
      </c>
      <c r="X153" s="95" t="s">
        <v>1689</v>
      </c>
      <c r="Y153" s="80"/>
      <c r="Z153" s="80"/>
      <c r="AA153" s="80"/>
      <c r="AB153" s="96"/>
      <c r="AC153" s="89" t="str">
        <f>IF(Y153="","",Y153+Assumptions!$C$9/(Assumptions!$C$10+Assumptions!$C$11)*(Z153+Assumptions!$C$10+Assumptions!$C$11))</f>
        <v/>
      </c>
      <c r="AD153" s="94" t="str">
        <f>IF(Y153="","",MAX(G153,IF(E153="Luxury",1,2)+MAX(0,ROUNDUP((Y153-Assumptions!$C$9-IF(E153="Luxury",Assumptions!$C$13,Assumptions!$C$12))/Assumptions!$C$8,0))))</f>
        <v/>
      </c>
      <c r="AE153" s="94" t="str">
        <f>IF(Y153="","",MAX(G153,IF(E153="Luxury",1,2)+MAX(0,ROUNDUP((Y153+Assumptions!$C$9/(Assumptions!$C$10+Assumptions!$C$11)*(AA153+Assumptions!$C$10+Assumptions!$C$11)-Assumptions!$C$9-IF(E153="Luxury",Assumptions!$C$13,Assumptions!$C$12))/Assumptions!$C$8,0))))</f>
        <v/>
      </c>
      <c r="AF153" s="94">
        <f t="shared" si="7"/>
        <v>60</v>
      </c>
      <c r="AG153" s="78"/>
      <c r="AH153" s="94">
        <f t="shared" si="8"/>
        <v>12</v>
      </c>
      <c r="AI153" s="94">
        <f t="shared" si="9"/>
        <v>85</v>
      </c>
      <c r="AJ153" s="95" t="s">
        <v>1690</v>
      </c>
      <c r="AK153" s="97">
        <f>IF(_xlfn.MAXIFS($J$127:$J$181,$D$127:$D$181,D153,$E$127:$E$181,E153)=_xlfn.MINIFS($J$127:$J$181,$D$127:$D$181,D153,$E$127:$E$181,E153),0,-Assumptions!$C$5+2*Assumptions!$C$5*(J153-_xlfn.MINIFS($J$127:$J$181,$D$127:$D$181,D153,$E$127:$E$181,E153))/(_xlfn.MAXIFS($J$127:$J$181,$D$127:$D$181,D153,$E$127:$E$181,E153)-_xlfn.MINIFS($J$127:$J$181,$D$127:$D$181,D153,$E$127:$E$181,E153)))</f>
        <v>0</v>
      </c>
      <c r="AL153" s="97">
        <f>IF(_xlfn.MAXIFS($K$127:$K$181,$D$127:$D$181,D153,$E$127:$E$181,E153)=_xlfn.MINIFS($K$127:$K$181,$D$127:$D$181,D153,$E$127:$E$181,E153),0,-Assumptions!$C$5+2*Assumptions!$C$5*(K153-_xlfn.MINIFS($K$127:$K$181,$D$127:$D$181,D153,$E$127:$E$181,E153))/(_xlfn.MAXIFS($K$127:$K$181,$D$127:$D$181,D153,$E$127:$E$181,E153)-_xlfn.MINIFS($K$127:$K$181,$D$127:$D$181,D153,$E$127:$E$181,E153)))</f>
        <v>0</v>
      </c>
      <c r="AM153" s="97">
        <f>IF(_xlfn.MAXIFS($O$127:$O$181,$D$127:$D$181,D153,$E$127:$E$181,E153)=_xlfn.MINIFS($O$127:$O$181,$D$127:$D$181,D153,$E$127:$E$181,E153),0,-Assumptions!$C$5+2*Assumptions!$C$5*(O153-_xlfn.MINIFS($O$127:$O$181,$D$127:$D$181,D153,$E$127:$E$181,E153))/(_xlfn.MAXIFS($O$127:$O$181,$D$127:$D$181,D153,$E$127:$E$181,E153)-_xlfn.MINIFS($O$127:$O$181,$D$127:$D$181,D153,$E$127:$E$181,E153)))</f>
        <v>0</v>
      </c>
    </row>
    <row r="154" spans="1:39" ht="27.75" customHeight="1" x14ac:dyDescent="0.2">
      <c r="A154" s="98">
        <v>28</v>
      </c>
      <c r="B154" s="29">
        <v>7</v>
      </c>
      <c r="C154" s="29" t="s">
        <v>780</v>
      </c>
      <c r="D154" s="28">
        <v>1055</v>
      </c>
      <c r="E154" s="29" t="s">
        <v>65</v>
      </c>
      <c r="F154" s="29" t="s">
        <v>46</v>
      </c>
      <c r="G154" s="29">
        <v>1</v>
      </c>
      <c r="H154" s="29">
        <v>30</v>
      </c>
      <c r="I154" s="84" t="s">
        <v>1528</v>
      </c>
      <c r="J154" s="94">
        <f>IF(L154&lt;&gt;"",0,INDEX(Assumptions!$C$17:$C$21,MATCH(I154,Assumptions!$B$17:$B$21,0)))</f>
        <v>60</v>
      </c>
      <c r="K154" s="94">
        <f>INDEX(Assumptions!$C$17:$C$21,MATCH(I154,Assumptions!$B$17:$B$21,0))+R154</f>
        <v>70</v>
      </c>
      <c r="L154" s="94" t="str">
        <f>IF(AG154&lt;&gt;"",AG154,IF(OR(Y154="",Z154&gt;Assumptions!$C$7),"",MAX(G154,IF(E154="Luxury",1,2)+MAX(0,ROUNDUP((AC154-Assumptions!$C$9-IF(E154="Luxury",Assumptions!$C$13,Assumptions!$C$12))/Assumptions!$C$8,0)))))</f>
        <v/>
      </c>
      <c r="M154" s="95"/>
      <c r="N154" s="94">
        <f>Assumptions!$E$50+1</f>
        <v>12</v>
      </c>
      <c r="O154" s="94">
        <f>INDEX(Assumptions!$C$17:$C$21,MATCH(I154,Assumptions!$B$17:$B$21,0))+T154</f>
        <v>95</v>
      </c>
      <c r="P154" s="94">
        <f>Assumptions!$F$50+1</f>
        <v>21</v>
      </c>
      <c r="Q154" s="15">
        <f>Assumptions!$D$31</f>
        <v>2633</v>
      </c>
      <c r="R154" s="78">
        <v>10</v>
      </c>
      <c r="S154" s="15">
        <f>Assumptions!$R$50</f>
        <v>3500</v>
      </c>
      <c r="T154" s="78">
        <v>35</v>
      </c>
      <c r="U154" s="63">
        <f>Assumptions!$D$50</f>
        <v>1</v>
      </c>
      <c r="V154" s="63">
        <f>Assumptions!$E$50</f>
        <v>11</v>
      </c>
      <c r="W154" s="63">
        <f>Assumptions!$F$50</f>
        <v>20</v>
      </c>
      <c r="X154" s="95" t="s">
        <v>1638</v>
      </c>
      <c r="Y154" s="80"/>
      <c r="Z154" s="80"/>
      <c r="AA154" s="80"/>
      <c r="AB154" s="96"/>
      <c r="AC154" s="89" t="str">
        <f>IF(Y154="","",Y154+Assumptions!$C$9/(Assumptions!$C$10+Assumptions!$C$11)*(Z154+Assumptions!$C$10+Assumptions!$C$11))</f>
        <v/>
      </c>
      <c r="AD154" s="94" t="str">
        <f>IF(Y154="","",MAX(G154,IF(E154="Luxury",1,2)+MAX(0,ROUNDUP((Y154-Assumptions!$C$9-IF(E154="Luxury",Assumptions!$C$13,Assumptions!$C$12))/Assumptions!$C$8,0))))</f>
        <v/>
      </c>
      <c r="AE154" s="94" t="str">
        <f>IF(Y154="","",MAX(G154,IF(E154="Luxury",1,2)+MAX(0,ROUNDUP((Y154+Assumptions!$C$9/(Assumptions!$C$10+Assumptions!$C$11)*(AA154+Assumptions!$C$10+Assumptions!$C$11)-Assumptions!$C$9-IF(E154="Luxury",Assumptions!$C$13,Assumptions!$C$12))/Assumptions!$C$8,0))))</f>
        <v/>
      </c>
      <c r="AF154" s="94">
        <f t="shared" si="7"/>
        <v>60</v>
      </c>
      <c r="AG154" s="78"/>
      <c r="AH154" s="94">
        <f t="shared" si="8"/>
        <v>12</v>
      </c>
      <c r="AI154" s="94">
        <f t="shared" si="9"/>
        <v>95</v>
      </c>
      <c r="AJ154" s="95" t="s">
        <v>1691</v>
      </c>
      <c r="AK154" s="97">
        <f>IF(_xlfn.MAXIFS($J$127:$J$181,$D$127:$D$181,D154,$E$127:$E$181,E154)=_xlfn.MINIFS($J$127:$J$181,$D$127:$D$181,D154,$E$127:$E$181,E154),0,-Assumptions!$C$5+2*Assumptions!$C$5*(J154-_xlfn.MINIFS($J$127:$J$181,$D$127:$D$181,D154,$E$127:$E$181,E154))/(_xlfn.MAXIFS($J$127:$J$181,$D$127:$D$181,D154,$E$127:$E$181,E154)-_xlfn.MINIFS($J$127:$J$181,$D$127:$D$181,D154,$E$127:$E$181,E154)))</f>
        <v>0</v>
      </c>
      <c r="AL154" s="97">
        <f>IF(_xlfn.MAXIFS($K$127:$K$181,$D$127:$D$181,D154,$E$127:$E$181,E154)=_xlfn.MINIFS($K$127:$K$181,$D$127:$D$181,D154,$E$127:$E$181,E154),0,-Assumptions!$C$5+2*Assumptions!$C$5*(K154-_xlfn.MINIFS($K$127:$K$181,$D$127:$D$181,D154,$E$127:$E$181,E154))/(_xlfn.MAXIFS($K$127:$K$181,$D$127:$D$181,D154,$E$127:$E$181,E154)-_xlfn.MINIFS($K$127:$K$181,$D$127:$D$181,D154,$E$127:$E$181,E154)))</f>
        <v>0</v>
      </c>
      <c r="AM154" s="97">
        <f>IF(_xlfn.MAXIFS($O$127:$O$181,$D$127:$D$181,D154,$E$127:$E$181,E154)=_xlfn.MINIFS($O$127:$O$181,$D$127:$D$181,D154,$E$127:$E$181,E154),0,-Assumptions!$C$5+2*Assumptions!$C$5*(O154-_xlfn.MINIFS($O$127:$O$181,$D$127:$D$181,D154,$E$127:$E$181,E154))/(_xlfn.MAXIFS($O$127:$O$181,$D$127:$D$181,D154,$E$127:$E$181,E154)-_xlfn.MINIFS($O$127:$O$181,$D$127:$D$181,D154,$E$127:$E$181,E154)))</f>
        <v>0</v>
      </c>
    </row>
    <row r="155" spans="1:39" ht="27.75" customHeight="1" x14ac:dyDescent="0.2">
      <c r="A155" s="98">
        <v>29</v>
      </c>
      <c r="B155" s="29">
        <v>7</v>
      </c>
      <c r="C155" s="29" t="s">
        <v>812</v>
      </c>
      <c r="D155" s="28">
        <v>678</v>
      </c>
      <c r="E155" s="29" t="s">
        <v>65</v>
      </c>
      <c r="F155" s="29" t="s">
        <v>43</v>
      </c>
      <c r="G155" s="29">
        <v>1</v>
      </c>
      <c r="H155" s="29">
        <v>30</v>
      </c>
      <c r="I155" s="84" t="s">
        <v>1530</v>
      </c>
      <c r="J155" s="94">
        <f>IF(L155&lt;&gt;"",0,INDEX(Assumptions!$C$17:$C$21,MATCH(I155,Assumptions!$B$17:$B$21,0)))</f>
        <v>0</v>
      </c>
      <c r="K155" s="94">
        <f>INDEX(Assumptions!$C$17:$C$21,MATCH(I155,Assumptions!$B$17:$B$21,0))+R155</f>
        <v>55</v>
      </c>
      <c r="L155" s="94">
        <f>IF(AG155&lt;&gt;"",AG155,IF(OR(Y155="",Z155&gt;Assumptions!$C$7),"",MAX(G155,IF(E155="Luxury",1,2)+MAX(0,ROUNDUP((AC155-Assumptions!$C$9-IF(E155="Luxury",Assumptions!$C$13,Assumptions!$C$12))/Assumptions!$C$8,0)))))</f>
        <v>5</v>
      </c>
      <c r="M155" s="95" t="s">
        <v>1692</v>
      </c>
      <c r="N155" s="94">
        <f>Assumptions!$E$42+1</f>
        <v>15</v>
      </c>
      <c r="O155" s="94">
        <f>INDEX(Assumptions!$C$17:$C$21,MATCH(I155,Assumptions!$B$17:$B$21,0))+T155</f>
        <v>70</v>
      </c>
      <c r="P155" s="78">
        <v>20</v>
      </c>
      <c r="Q155" s="15">
        <f>Assumptions!$D$27</f>
        <v>2613</v>
      </c>
      <c r="R155" s="78">
        <v>10</v>
      </c>
      <c r="S155" s="15">
        <f>Assumptions!$R$42</f>
        <v>3500</v>
      </c>
      <c r="T155" s="78">
        <v>25</v>
      </c>
      <c r="U155" s="63">
        <f>Assumptions!$D$42</f>
        <v>1</v>
      </c>
      <c r="V155" s="63">
        <f>Assumptions!$E$42</f>
        <v>14</v>
      </c>
      <c r="W155" s="63">
        <f>Assumptions!$F$42</f>
        <v>21</v>
      </c>
      <c r="X155" s="95" t="s">
        <v>1693</v>
      </c>
      <c r="Y155" s="80">
        <v>12</v>
      </c>
      <c r="Z155" s="80">
        <v>24.2</v>
      </c>
      <c r="AA155" s="80">
        <v>30.1</v>
      </c>
      <c r="AB155" s="96">
        <v>0.18</v>
      </c>
      <c r="AC155" s="89">
        <f>IF(Y155="","",Y155+Assumptions!$C$9/(Assumptions!$C$10+Assumptions!$C$11)*(Z155+Assumptions!$C$10+Assumptions!$C$11))</f>
        <v>21.344000000000001</v>
      </c>
      <c r="AD155" s="94">
        <f>IF(Y155="","",MAX(G155,IF(E155="Luxury",1,2)+MAX(0,ROUNDUP((Y155-Assumptions!$C$9-IF(E155="Luxury",Assumptions!$C$13,Assumptions!$C$12))/Assumptions!$C$8,0))))</f>
        <v>2</v>
      </c>
      <c r="AE155" s="94">
        <f>IF(Y155="","",MAX(G155,IF(E155="Luxury",1,2)+MAX(0,ROUNDUP((Y155+Assumptions!$C$9/(Assumptions!$C$10+Assumptions!$C$11)*(AA155+Assumptions!$C$10+Assumptions!$C$11)-Assumptions!$C$9-IF(E155="Luxury",Assumptions!$C$13,Assumptions!$C$12))/Assumptions!$C$8,0))))</f>
        <v>6</v>
      </c>
      <c r="AF155" s="94">
        <f t="shared" si="7"/>
        <v>0</v>
      </c>
      <c r="AG155" s="78"/>
      <c r="AH155" s="94">
        <f t="shared" si="8"/>
        <v>15</v>
      </c>
      <c r="AI155" s="94">
        <f t="shared" si="9"/>
        <v>90</v>
      </c>
      <c r="AJ155" s="95" t="s">
        <v>1694</v>
      </c>
      <c r="AK155" s="97">
        <f>IF(_xlfn.MAXIFS($J$127:$J$181,$D$127:$D$181,D155,$E$127:$E$181,E155)=_xlfn.MINIFS($J$127:$J$181,$D$127:$D$181,D155,$E$127:$E$181,E155),0,-Assumptions!$C$5+2*Assumptions!$C$5*(J155-_xlfn.MINIFS($J$127:$J$181,$D$127:$D$181,D155,$E$127:$E$181,E155))/(_xlfn.MAXIFS($J$127:$J$181,$D$127:$D$181,D155,$E$127:$E$181,E155)-_xlfn.MINIFS($J$127:$J$181,$D$127:$D$181,D155,$E$127:$E$181,E155)))</f>
        <v>-50000</v>
      </c>
      <c r="AL155" s="97">
        <f>IF(_xlfn.MAXIFS($K$127:$K$181,$D$127:$D$181,D155,$E$127:$E$181,E155)=_xlfn.MINIFS($K$127:$K$181,$D$127:$D$181,D155,$E$127:$E$181,E155),0,-Assumptions!$C$5+2*Assumptions!$C$5*(K155-_xlfn.MINIFS($K$127:$K$181,$D$127:$D$181,D155,$E$127:$E$181,E155))/(_xlfn.MAXIFS($K$127:$K$181,$D$127:$D$181,D155,$E$127:$E$181,E155)-_xlfn.MINIFS($K$127:$K$181,$D$127:$D$181,D155,$E$127:$E$181,E155)))</f>
        <v>26923.076923076922</v>
      </c>
      <c r="AM155" s="97">
        <f>IF(_xlfn.MAXIFS($O$127:$O$181,$D$127:$D$181,D155,$E$127:$E$181,E155)=_xlfn.MINIFS($O$127:$O$181,$D$127:$D$181,D155,$E$127:$E$181,E155),0,-Assumptions!$C$5+2*Assumptions!$C$5*(O155-_xlfn.MINIFS($O$127:$O$181,$D$127:$D$181,D155,$E$127:$E$181,E155))/(_xlfn.MAXIFS($O$127:$O$181,$D$127:$D$181,D155,$E$127:$E$181,E155)-_xlfn.MINIFS($O$127:$O$181,$D$127:$D$181,D155,$E$127:$E$181,E155)))</f>
        <v>25000</v>
      </c>
    </row>
    <row r="156" spans="1:39" ht="27.75" customHeight="1" x14ac:dyDescent="0.2">
      <c r="A156" s="98">
        <v>30</v>
      </c>
      <c r="B156" s="29">
        <v>7</v>
      </c>
      <c r="C156" s="29" t="s">
        <v>562</v>
      </c>
      <c r="D156" s="28">
        <v>678</v>
      </c>
      <c r="E156" s="29" t="s">
        <v>65</v>
      </c>
      <c r="F156" s="29" t="s">
        <v>43</v>
      </c>
      <c r="G156" s="29">
        <v>3</v>
      </c>
      <c r="H156" s="29">
        <v>30</v>
      </c>
      <c r="I156" s="84" t="s">
        <v>1530</v>
      </c>
      <c r="J156" s="94">
        <f>IF(L156&lt;&gt;"",0,INDEX(Assumptions!$C$17:$C$21,MATCH(I156,Assumptions!$B$17:$B$21,0)))</f>
        <v>0</v>
      </c>
      <c r="K156" s="94">
        <f>INDEX(Assumptions!$C$17:$C$21,MATCH(I156,Assumptions!$B$17:$B$21,0))+R156</f>
        <v>55</v>
      </c>
      <c r="L156" s="94">
        <f>IF(AG156&lt;&gt;"",AG156,IF(OR(Y156="",Z156&gt;Assumptions!$C$7),"",MAX(G156,IF(E156="Luxury",1,2)+MAX(0,ROUNDUP((AC156-Assumptions!$C$9-IF(E156="Luxury",Assumptions!$C$13,Assumptions!$C$12))/Assumptions!$C$8,0)))))</f>
        <v>5</v>
      </c>
      <c r="M156" s="95" t="s">
        <v>1695</v>
      </c>
      <c r="N156" s="94">
        <f>Assumptions!$E$42+1</f>
        <v>15</v>
      </c>
      <c r="O156" s="94">
        <f>INDEX(Assumptions!$C$17:$C$21,MATCH(I156,Assumptions!$B$17:$B$21,0))+T156</f>
        <v>70</v>
      </c>
      <c r="P156" s="78">
        <v>20</v>
      </c>
      <c r="Q156" s="15">
        <f>Assumptions!$D$27</f>
        <v>2613</v>
      </c>
      <c r="R156" s="78">
        <v>10</v>
      </c>
      <c r="S156" s="15">
        <f>Assumptions!$R$42</f>
        <v>3500</v>
      </c>
      <c r="T156" s="78">
        <v>25</v>
      </c>
      <c r="U156" s="63">
        <f>Assumptions!$D$42</f>
        <v>1</v>
      </c>
      <c r="V156" s="63">
        <f>Assumptions!$E$42</f>
        <v>14</v>
      </c>
      <c r="W156" s="63">
        <f>Assumptions!$F$42</f>
        <v>21</v>
      </c>
      <c r="X156" s="95" t="s">
        <v>1693</v>
      </c>
      <c r="Y156" s="80">
        <v>12</v>
      </c>
      <c r="Z156" s="80">
        <v>26.2</v>
      </c>
      <c r="AA156" s="80">
        <v>32.1</v>
      </c>
      <c r="AB156" s="96">
        <v>0.36</v>
      </c>
      <c r="AC156" s="89">
        <f>IF(Y156="","",Y156+Assumptions!$C$9/(Assumptions!$C$10+Assumptions!$C$11)*(Z156+Assumptions!$C$10+Assumptions!$C$11))</f>
        <v>21.984000000000002</v>
      </c>
      <c r="AD156" s="94">
        <f>IF(Y156="","",MAX(G156,IF(E156="Luxury",1,2)+MAX(0,ROUNDUP((Y156-Assumptions!$C$9-IF(E156="Luxury",Assumptions!$C$13,Assumptions!$C$12))/Assumptions!$C$8,0))))</f>
        <v>3</v>
      </c>
      <c r="AE156" s="94">
        <f>IF(Y156="","",MAX(G156,IF(E156="Luxury",1,2)+MAX(0,ROUNDUP((Y156+Assumptions!$C$9/(Assumptions!$C$10+Assumptions!$C$11)*(AA156+Assumptions!$C$10+Assumptions!$C$11)-Assumptions!$C$9-IF(E156="Luxury",Assumptions!$C$13,Assumptions!$C$12))/Assumptions!$C$8,0))))</f>
        <v>6</v>
      </c>
      <c r="AF156" s="94">
        <f t="shared" si="7"/>
        <v>0</v>
      </c>
      <c r="AG156" s="78"/>
      <c r="AH156" s="94">
        <f t="shared" si="8"/>
        <v>15</v>
      </c>
      <c r="AI156" s="94">
        <f t="shared" si="9"/>
        <v>90</v>
      </c>
      <c r="AJ156" s="95" t="s">
        <v>1694</v>
      </c>
      <c r="AK156" s="97">
        <f>IF(_xlfn.MAXIFS($J$127:$J$181,$D$127:$D$181,D156,$E$127:$E$181,E156)=_xlfn.MINIFS($J$127:$J$181,$D$127:$D$181,D156,$E$127:$E$181,E156),0,-Assumptions!$C$5+2*Assumptions!$C$5*(J156-_xlfn.MINIFS($J$127:$J$181,$D$127:$D$181,D156,$E$127:$E$181,E156))/(_xlfn.MAXIFS($J$127:$J$181,$D$127:$D$181,D156,$E$127:$E$181,E156)-_xlfn.MINIFS($J$127:$J$181,$D$127:$D$181,D156,$E$127:$E$181,E156)))</f>
        <v>-50000</v>
      </c>
      <c r="AL156" s="97">
        <f>IF(_xlfn.MAXIFS($K$127:$K$181,$D$127:$D$181,D156,$E$127:$E$181,E156)=_xlfn.MINIFS($K$127:$K$181,$D$127:$D$181,D156,$E$127:$E$181,E156),0,-Assumptions!$C$5+2*Assumptions!$C$5*(K156-_xlfn.MINIFS($K$127:$K$181,$D$127:$D$181,D156,$E$127:$E$181,E156))/(_xlfn.MAXIFS($K$127:$K$181,$D$127:$D$181,D156,$E$127:$E$181,E156)-_xlfn.MINIFS($K$127:$K$181,$D$127:$D$181,D156,$E$127:$E$181,E156)))</f>
        <v>26923.076923076922</v>
      </c>
      <c r="AM156" s="97">
        <f>IF(_xlfn.MAXIFS($O$127:$O$181,$D$127:$D$181,D156,$E$127:$E$181,E156)=_xlfn.MINIFS($O$127:$O$181,$D$127:$D$181,D156,$E$127:$E$181,E156),0,-Assumptions!$C$5+2*Assumptions!$C$5*(O156-_xlfn.MINIFS($O$127:$O$181,$D$127:$D$181,D156,$E$127:$E$181,E156))/(_xlfn.MAXIFS($O$127:$O$181,$D$127:$D$181,D156,$E$127:$E$181,E156)-_xlfn.MINIFS($O$127:$O$181,$D$127:$D$181,D156,$E$127:$E$181,E156)))</f>
        <v>25000</v>
      </c>
    </row>
    <row r="157" spans="1:39" ht="27.75" customHeight="1" x14ac:dyDescent="0.2">
      <c r="A157" s="98">
        <v>31</v>
      </c>
      <c r="B157" s="29">
        <v>7</v>
      </c>
      <c r="C157" s="29" t="s">
        <v>872</v>
      </c>
      <c r="D157" s="28">
        <v>732</v>
      </c>
      <c r="E157" s="29" t="s">
        <v>65</v>
      </c>
      <c r="F157" s="29" t="s">
        <v>44</v>
      </c>
      <c r="G157" s="29">
        <v>1</v>
      </c>
      <c r="H157" s="29">
        <v>30</v>
      </c>
      <c r="I157" s="84" t="s">
        <v>1530</v>
      </c>
      <c r="J157" s="94">
        <f>IF(L157&lt;&gt;"",0,INDEX(Assumptions!$C$17:$C$21,MATCH(I157,Assumptions!$B$17:$B$21,0)))</f>
        <v>0</v>
      </c>
      <c r="K157" s="94">
        <f>INDEX(Assumptions!$C$17:$C$21,MATCH(I157,Assumptions!$B$17:$B$21,0))+R157</f>
        <v>50</v>
      </c>
      <c r="L157" s="94">
        <f>IF(AG157&lt;&gt;"",AG157,IF(OR(Y157="",Z157&gt;Assumptions!$C$7),"",MAX(G157,IF(E157="Luxury",1,2)+MAX(0,ROUNDUP((AC157-Assumptions!$C$9-IF(E157="Luxury",Assumptions!$C$13,Assumptions!$C$12))/Assumptions!$C$8,0)))))</f>
        <v>6</v>
      </c>
      <c r="M157" s="95" t="s">
        <v>1696</v>
      </c>
      <c r="N157" s="94">
        <f>Assumptions!$E$44+1</f>
        <v>12</v>
      </c>
      <c r="O157" s="94">
        <f>INDEX(Assumptions!$C$17:$C$21,MATCH(I157,Assumptions!$B$17:$B$21,0))+T157</f>
        <v>70</v>
      </c>
      <c r="P157" s="78">
        <v>20</v>
      </c>
      <c r="Q157" s="15">
        <f>Assumptions!$D$28</f>
        <v>2630</v>
      </c>
      <c r="R157" s="78">
        <v>5</v>
      </c>
      <c r="S157" s="15">
        <f>Assumptions!$R$44</f>
        <v>3500</v>
      </c>
      <c r="T157" s="78">
        <v>25</v>
      </c>
      <c r="U157" s="63">
        <f>Assumptions!$D$44</f>
        <v>1</v>
      </c>
      <c r="V157" s="63">
        <f>Assumptions!$E$44</f>
        <v>11</v>
      </c>
      <c r="W157" s="63">
        <f>Assumptions!$F$44</f>
        <v>20</v>
      </c>
      <c r="X157" s="95" t="s">
        <v>1693</v>
      </c>
      <c r="Y157" s="80">
        <v>12</v>
      </c>
      <c r="Z157" s="80">
        <v>29</v>
      </c>
      <c r="AA157" s="80">
        <v>34.9</v>
      </c>
      <c r="AB157" s="96">
        <v>0.61</v>
      </c>
      <c r="AC157" s="89">
        <f>IF(Y157="","",Y157+Assumptions!$C$9/(Assumptions!$C$10+Assumptions!$C$11)*(Z157+Assumptions!$C$10+Assumptions!$C$11))</f>
        <v>22.880000000000003</v>
      </c>
      <c r="AD157" s="94">
        <f>IF(Y157="","",MAX(G157,IF(E157="Luxury",1,2)+MAX(0,ROUNDUP((Y157-Assumptions!$C$9-IF(E157="Luxury",Assumptions!$C$13,Assumptions!$C$12))/Assumptions!$C$8,0))))</f>
        <v>2</v>
      </c>
      <c r="AE157" s="94">
        <f>IF(Y157="","",MAX(G157,IF(E157="Luxury",1,2)+MAX(0,ROUNDUP((Y157+Assumptions!$C$9/(Assumptions!$C$10+Assumptions!$C$11)*(AA157+Assumptions!$C$10+Assumptions!$C$11)-Assumptions!$C$9-IF(E157="Luxury",Assumptions!$C$13,Assumptions!$C$12))/Assumptions!$C$8,0))))</f>
        <v>6</v>
      </c>
      <c r="AF157" s="94">
        <f t="shared" si="7"/>
        <v>0</v>
      </c>
      <c r="AG157" s="78"/>
      <c r="AH157" s="94">
        <f t="shared" si="8"/>
        <v>12</v>
      </c>
      <c r="AI157" s="94">
        <f t="shared" si="9"/>
        <v>70</v>
      </c>
      <c r="AJ157" s="95" t="s">
        <v>1694</v>
      </c>
      <c r="AK157" s="97">
        <f>IF(_xlfn.MAXIFS($J$127:$J$181,$D$127:$D$181,D157,$E$127:$E$181,E157)=_xlfn.MINIFS($J$127:$J$181,$D$127:$D$181,D157,$E$127:$E$181,E157),0,-Assumptions!$C$5+2*Assumptions!$C$5*(J157-_xlfn.MINIFS($J$127:$J$181,$D$127:$D$181,D157,$E$127:$E$181,E157))/(_xlfn.MAXIFS($J$127:$J$181,$D$127:$D$181,D157,$E$127:$E$181,E157)-_xlfn.MINIFS($J$127:$J$181,$D$127:$D$181,D157,$E$127:$E$181,E157)))</f>
        <v>0</v>
      </c>
      <c r="AL157" s="97">
        <f>IF(_xlfn.MAXIFS($K$127:$K$181,$D$127:$D$181,D157,$E$127:$E$181,E157)=_xlfn.MINIFS($K$127:$K$181,$D$127:$D$181,D157,$E$127:$E$181,E157),0,-Assumptions!$C$5+2*Assumptions!$C$5*(K157-_xlfn.MINIFS($K$127:$K$181,$D$127:$D$181,D157,$E$127:$E$181,E157))/(_xlfn.MAXIFS($K$127:$K$181,$D$127:$D$181,D157,$E$127:$E$181,E157)-_xlfn.MINIFS($K$127:$K$181,$D$127:$D$181,D157,$E$127:$E$181,E157)))</f>
        <v>0</v>
      </c>
      <c r="AM157" s="97">
        <f>IF(_xlfn.MAXIFS($O$127:$O$181,$D$127:$D$181,D157,$E$127:$E$181,E157)=_xlfn.MINIFS($O$127:$O$181,$D$127:$D$181,D157,$E$127:$E$181,E157),0,-Assumptions!$C$5+2*Assumptions!$C$5*(O157-_xlfn.MINIFS($O$127:$O$181,$D$127:$D$181,D157,$E$127:$E$181,E157))/(_xlfn.MAXIFS($O$127:$O$181,$D$127:$D$181,D157,$E$127:$E$181,E157)-_xlfn.MINIFS($O$127:$O$181,$D$127:$D$181,D157,$E$127:$E$181,E157)))</f>
        <v>50000</v>
      </c>
    </row>
    <row r="158" spans="1:39" ht="27.75" customHeight="1" x14ac:dyDescent="0.2">
      <c r="A158" s="98">
        <v>32</v>
      </c>
      <c r="B158" s="29">
        <v>7</v>
      </c>
      <c r="C158" s="29" t="s">
        <v>904</v>
      </c>
      <c r="D158" s="28">
        <v>1367</v>
      </c>
      <c r="E158" s="29" t="s">
        <v>65</v>
      </c>
      <c r="F158" s="29" t="s">
        <v>49</v>
      </c>
      <c r="G158" s="29">
        <v>3</v>
      </c>
      <c r="H158" s="29">
        <v>30</v>
      </c>
      <c r="I158" s="84" t="s">
        <v>1530</v>
      </c>
      <c r="J158" s="94">
        <f>IF(L158&lt;&gt;"",0,INDEX(Assumptions!$C$17:$C$21,MATCH(I158,Assumptions!$B$17:$B$21,0)))</f>
        <v>0</v>
      </c>
      <c r="K158" s="94">
        <f>INDEX(Assumptions!$C$17:$C$21,MATCH(I158,Assumptions!$B$17:$B$21,0))+R158</f>
        <v>55</v>
      </c>
      <c r="L158" s="94">
        <f>IF(AG158&lt;&gt;"",AG158,IF(OR(Y158="",Z158&gt;Assumptions!$C$7),"",MAX(G158,IF(E158="Luxury",1,2)+MAX(0,ROUNDUP((AC158-Assumptions!$C$9-IF(E158="Luxury",Assumptions!$C$13,Assumptions!$C$12))/Assumptions!$C$8,0)))))</f>
        <v>6</v>
      </c>
      <c r="M158" s="95" t="s">
        <v>1697</v>
      </c>
      <c r="N158" s="78">
        <v>12</v>
      </c>
      <c r="O158" s="94">
        <f>INDEX(Assumptions!$C$17:$C$21,MATCH(I158,Assumptions!$B$17:$B$21,0))+T158</f>
        <v>70</v>
      </c>
      <c r="P158" s="78">
        <v>20</v>
      </c>
      <c r="Q158" s="15">
        <f>Assumptions!$D$34</f>
        <v>2800</v>
      </c>
      <c r="R158" s="78">
        <v>10</v>
      </c>
      <c r="S158" s="15">
        <f>Assumptions!$R$54</f>
        <v>3500</v>
      </c>
      <c r="T158" s="78">
        <v>25</v>
      </c>
      <c r="U158" s="63">
        <f>Assumptions!$D$54</f>
        <v>3</v>
      </c>
      <c r="V158" s="63">
        <f>Assumptions!$E$54</f>
        <v>14</v>
      </c>
      <c r="W158" s="63">
        <f>Assumptions!$F$54</f>
        <v>20</v>
      </c>
      <c r="X158" s="95" t="s">
        <v>1698</v>
      </c>
      <c r="Y158" s="80">
        <v>12</v>
      </c>
      <c r="Z158" s="80">
        <v>29.1</v>
      </c>
      <c r="AA158" s="80">
        <v>38</v>
      </c>
      <c r="AB158" s="96">
        <v>0.61</v>
      </c>
      <c r="AC158" s="89">
        <f>IF(Y158="","",Y158+Assumptions!$C$9/(Assumptions!$C$10+Assumptions!$C$11)*(Z158+Assumptions!$C$10+Assumptions!$C$11))</f>
        <v>22.911999999999999</v>
      </c>
      <c r="AD158" s="94">
        <f>IF(Y158="","",MAX(G158,IF(E158="Luxury",1,2)+MAX(0,ROUNDUP((Y158-Assumptions!$C$9-IF(E158="Luxury",Assumptions!$C$13,Assumptions!$C$12))/Assumptions!$C$8,0))))</f>
        <v>3</v>
      </c>
      <c r="AE158" s="94">
        <f>IF(Y158="","",MAX(G158,IF(E158="Luxury",1,2)+MAX(0,ROUNDUP((Y158+Assumptions!$C$9/(Assumptions!$C$10+Assumptions!$C$11)*(AA158+Assumptions!$C$10+Assumptions!$C$11)-Assumptions!$C$9-IF(E158="Luxury",Assumptions!$C$13,Assumptions!$C$12))/Assumptions!$C$8,0))))</f>
        <v>6</v>
      </c>
      <c r="AF158" s="94">
        <f t="shared" si="7"/>
        <v>0</v>
      </c>
      <c r="AG158" s="78"/>
      <c r="AH158" s="94">
        <f t="shared" si="8"/>
        <v>12</v>
      </c>
      <c r="AI158" s="94">
        <f t="shared" si="9"/>
        <v>80</v>
      </c>
      <c r="AJ158" s="95" t="s">
        <v>1699</v>
      </c>
      <c r="AK158" s="97">
        <f>IF(_xlfn.MAXIFS($J$127:$J$181,$D$127:$D$181,D158,$E$127:$E$181,E158)=_xlfn.MINIFS($J$127:$J$181,$D$127:$D$181,D158,$E$127:$E$181,E158),0,-Assumptions!$C$5+2*Assumptions!$C$5*(J158-_xlfn.MINIFS($J$127:$J$181,$D$127:$D$181,D158,$E$127:$E$181,E158))/(_xlfn.MAXIFS($J$127:$J$181,$D$127:$D$181,D158,$E$127:$E$181,E158)-_xlfn.MINIFS($J$127:$J$181,$D$127:$D$181,D158,$E$127:$E$181,E158)))</f>
        <v>-50000</v>
      </c>
      <c r="AL158" s="97">
        <f>IF(_xlfn.MAXIFS($K$127:$K$181,$D$127:$D$181,D158,$E$127:$E$181,E158)=_xlfn.MINIFS($K$127:$K$181,$D$127:$D$181,D158,$E$127:$E$181,E158),0,-Assumptions!$C$5+2*Assumptions!$C$5*(K158-_xlfn.MINIFS($K$127:$K$181,$D$127:$D$181,D158,$E$127:$E$181,E158))/(_xlfn.MAXIFS($K$127:$K$181,$D$127:$D$181,D158,$E$127:$E$181,E158)-_xlfn.MINIFS($K$127:$K$181,$D$127:$D$181,D158,$E$127:$E$181,E158)))</f>
        <v>-50000</v>
      </c>
      <c r="AM158" s="97">
        <f>IF(_xlfn.MAXIFS($O$127:$O$181,$D$127:$D$181,D158,$E$127:$E$181,E158)=_xlfn.MINIFS($O$127:$O$181,$D$127:$D$181,D158,$E$127:$E$181,E158),0,-Assumptions!$C$5+2*Assumptions!$C$5*(O158-_xlfn.MINIFS($O$127:$O$181,$D$127:$D$181,D158,$E$127:$E$181,E158))/(_xlfn.MAXIFS($O$127:$O$181,$D$127:$D$181,D158,$E$127:$E$181,E158)-_xlfn.MINIFS($O$127:$O$181,$D$127:$D$181,D158,$E$127:$E$181,E158)))</f>
        <v>-50000</v>
      </c>
    </row>
    <row r="159" spans="1:39" ht="27.75" customHeight="1" x14ac:dyDescent="0.2">
      <c r="A159" s="98">
        <v>33</v>
      </c>
      <c r="B159" s="29">
        <v>7</v>
      </c>
      <c r="C159" s="29" t="s">
        <v>933</v>
      </c>
      <c r="D159" s="28">
        <v>947</v>
      </c>
      <c r="E159" s="29" t="s">
        <v>65</v>
      </c>
      <c r="F159" s="29" t="s">
        <v>45</v>
      </c>
      <c r="G159" s="29">
        <v>1</v>
      </c>
      <c r="H159" s="29">
        <v>30</v>
      </c>
      <c r="I159" s="84" t="s">
        <v>1530</v>
      </c>
      <c r="J159" s="94">
        <f>IF(L159&lt;&gt;"",0,INDEX(Assumptions!$C$17:$C$21,MATCH(I159,Assumptions!$B$17:$B$21,0)))</f>
        <v>45</v>
      </c>
      <c r="K159" s="94">
        <f>INDEX(Assumptions!$C$17:$C$21,MATCH(I159,Assumptions!$B$17:$B$21,0))+R159</f>
        <v>50</v>
      </c>
      <c r="L159" s="94" t="str">
        <f>IF(AG159&lt;&gt;"",AG159,IF(OR(Y159="",Z159&gt;Assumptions!$C$7),"",MAX(G159,IF(E159="Luxury",1,2)+MAX(0,ROUNDUP((AC159-Assumptions!$C$9-IF(E159="Luxury",Assumptions!$C$13,Assumptions!$C$12))/Assumptions!$C$8,0)))))</f>
        <v/>
      </c>
      <c r="M159" s="95"/>
      <c r="N159" s="94">
        <f>Assumptions!$E$48+1</f>
        <v>12</v>
      </c>
      <c r="O159" s="94">
        <f>INDEX(Assumptions!$C$17:$C$21,MATCH(I159,Assumptions!$B$17:$B$21,0))+T159</f>
        <v>55</v>
      </c>
      <c r="P159" s="94">
        <f>Assumptions!$F$48+1</f>
        <v>21</v>
      </c>
      <c r="Q159" s="15">
        <f>Assumptions!$D$30</f>
        <v>2642</v>
      </c>
      <c r="R159" s="78">
        <v>5</v>
      </c>
      <c r="S159" s="15">
        <f>Assumptions!$R$48</f>
        <v>3500</v>
      </c>
      <c r="T159" s="78">
        <v>10</v>
      </c>
      <c r="U159" s="63">
        <f>Assumptions!$D$48</f>
        <v>1</v>
      </c>
      <c r="V159" s="63">
        <f>Assumptions!$E$48</f>
        <v>11</v>
      </c>
      <c r="W159" s="63">
        <f>Assumptions!$F$48</f>
        <v>20</v>
      </c>
      <c r="X159" s="95" t="s">
        <v>1700</v>
      </c>
      <c r="Y159" s="80">
        <v>12.6</v>
      </c>
      <c r="Z159" s="80">
        <v>60.9</v>
      </c>
      <c r="AA159" s="80">
        <v>74.400000000000006</v>
      </c>
      <c r="AB159" s="96">
        <v>0.3</v>
      </c>
      <c r="AC159" s="89">
        <f>IF(Y159="","",Y159+Assumptions!$C$9/(Assumptions!$C$10+Assumptions!$C$11)*(Z159+Assumptions!$C$10+Assumptions!$C$11))</f>
        <v>33.688000000000002</v>
      </c>
      <c r="AD159" s="94">
        <f>IF(Y159="","",MAX(G159,IF(E159="Luxury",1,2)+MAX(0,ROUNDUP((Y159-Assumptions!$C$9-IF(E159="Luxury",Assumptions!$C$13,Assumptions!$C$12))/Assumptions!$C$8,0))))</f>
        <v>2</v>
      </c>
      <c r="AE159" s="94">
        <f>IF(Y159="","",MAX(G159,IF(E159="Luxury",1,2)+MAX(0,ROUNDUP((Y159+Assumptions!$C$9/(Assumptions!$C$10+Assumptions!$C$11)*(AA159+Assumptions!$C$10+Assumptions!$C$11)-Assumptions!$C$9-IF(E159="Luxury",Assumptions!$C$13,Assumptions!$C$12))/Assumptions!$C$8,0))))</f>
        <v>10</v>
      </c>
      <c r="AF159" s="94">
        <f t="shared" ref="AF159:AF181" si="10">MIN(_xlfn.MINIFS($J$127:$J$181,$D$127:$D$181,D159,$E$127:$E$181,E159),_xlfn.MINIFS($K$127:$K$181,$D$127:$D$181,D159,$E$127:$E$181,E159),_xlfn.MINIFS($O$127:$O$181,$D$127:$D$181,D159,$E$127:$E$181,E159))</f>
        <v>0</v>
      </c>
      <c r="AG159" s="78"/>
      <c r="AH159" s="94">
        <f t="shared" ref="AH159:AH181" si="11">IF(L159="",N159,MAX(N159,L159))</f>
        <v>12</v>
      </c>
      <c r="AI159" s="94">
        <f t="shared" ref="AI159:AI181" si="12">MAX(_xlfn.MAXIFS($J$127:$J$181,$D$127:$D$181,D159,$E$127:$E$181,E159),_xlfn.MAXIFS($K$127:$K$181,$D$127:$D$181,D159,$E$127:$E$181,E159),_xlfn.MAXIFS($O$127:$O$181,$D$127:$D$181,D159,$E$127:$E$181,E159))</f>
        <v>55</v>
      </c>
      <c r="AJ159" s="95" t="s">
        <v>1701</v>
      </c>
      <c r="AK159" s="97">
        <f>IF(_xlfn.MAXIFS($J$127:$J$181,$D$127:$D$181,D159,$E$127:$E$181,E159)=_xlfn.MINIFS($J$127:$J$181,$D$127:$D$181,D159,$E$127:$E$181,E159),0,-Assumptions!$C$5+2*Assumptions!$C$5*(J159-_xlfn.MINIFS($J$127:$J$181,$D$127:$D$181,D159,$E$127:$E$181,E159))/(_xlfn.MAXIFS($J$127:$J$181,$D$127:$D$181,D159,$E$127:$E$181,E159)-_xlfn.MINIFS($J$127:$J$181,$D$127:$D$181,D159,$E$127:$E$181,E159)))</f>
        <v>50000</v>
      </c>
      <c r="AL159" s="97">
        <f>IF(_xlfn.MAXIFS($K$127:$K$181,$D$127:$D$181,D159,$E$127:$E$181,E159)=_xlfn.MINIFS($K$127:$K$181,$D$127:$D$181,D159,$E$127:$E$181,E159),0,-Assumptions!$C$5+2*Assumptions!$C$5*(K159-_xlfn.MINIFS($K$127:$K$181,$D$127:$D$181,D159,$E$127:$E$181,E159))/(_xlfn.MAXIFS($K$127:$K$181,$D$127:$D$181,D159,$E$127:$E$181,E159)-_xlfn.MINIFS($K$127:$K$181,$D$127:$D$181,D159,$E$127:$E$181,E159)))</f>
        <v>0</v>
      </c>
      <c r="AM159" s="97">
        <f>IF(_xlfn.MAXIFS($O$127:$O$181,$D$127:$D$181,D159,$E$127:$E$181,E159)=_xlfn.MINIFS($O$127:$O$181,$D$127:$D$181,D159,$E$127:$E$181,E159),0,-Assumptions!$C$5+2*Assumptions!$C$5*(O159-_xlfn.MINIFS($O$127:$O$181,$D$127:$D$181,D159,$E$127:$E$181,E159))/(_xlfn.MAXIFS($O$127:$O$181,$D$127:$D$181,D159,$E$127:$E$181,E159)-_xlfn.MINIFS($O$127:$O$181,$D$127:$D$181,D159,$E$127:$E$181,E159)))</f>
        <v>0</v>
      </c>
    </row>
    <row r="160" spans="1:39" ht="27.75" customHeight="1" x14ac:dyDescent="0.2">
      <c r="A160" s="98">
        <v>34</v>
      </c>
      <c r="B160" s="29">
        <v>7</v>
      </c>
      <c r="C160" s="29" t="s">
        <v>684</v>
      </c>
      <c r="D160" s="28">
        <v>775</v>
      </c>
      <c r="E160" s="29" t="s">
        <v>65</v>
      </c>
      <c r="F160" s="29" t="s">
        <v>44</v>
      </c>
      <c r="G160" s="29">
        <v>1</v>
      </c>
      <c r="H160" s="29">
        <v>30</v>
      </c>
      <c r="I160" s="84" t="s">
        <v>1530</v>
      </c>
      <c r="J160" s="94">
        <f>IF(L160&lt;&gt;"",0,INDEX(Assumptions!$C$17:$C$21,MATCH(I160,Assumptions!$B$17:$B$21,0)))</f>
        <v>45</v>
      </c>
      <c r="K160" s="94">
        <f>INDEX(Assumptions!$C$17:$C$21,MATCH(I160,Assumptions!$B$17:$B$21,0))+R160</f>
        <v>50</v>
      </c>
      <c r="L160" s="94" t="str">
        <f>IF(AG160&lt;&gt;"",AG160,IF(OR(Y160="",Z160&gt;Assumptions!$C$7),"",MAX(G160,IF(E160="Luxury",1,2)+MAX(0,ROUNDUP((AC160-Assumptions!$C$9-IF(E160="Luxury",Assumptions!$C$13,Assumptions!$C$12))/Assumptions!$C$8,0)))))</f>
        <v/>
      </c>
      <c r="M160" s="95"/>
      <c r="N160" s="94">
        <f>Assumptions!$E$46+1</f>
        <v>12</v>
      </c>
      <c r="O160" s="94">
        <f>INDEX(Assumptions!$C$17:$C$21,MATCH(I160,Assumptions!$B$17:$B$21,0))+T160</f>
        <v>55</v>
      </c>
      <c r="P160" s="94">
        <f>Assumptions!$F$46+1</f>
        <v>21</v>
      </c>
      <c r="Q160" s="15">
        <f>Assumptions!$D$29</f>
        <v>2650</v>
      </c>
      <c r="R160" s="78">
        <v>5</v>
      </c>
      <c r="S160" s="15">
        <f>Assumptions!$R$46</f>
        <v>3500</v>
      </c>
      <c r="T160" s="78">
        <v>10</v>
      </c>
      <c r="U160" s="63">
        <f>Assumptions!$D$46</f>
        <v>1</v>
      </c>
      <c r="V160" s="63">
        <f>Assumptions!$E$46</f>
        <v>11</v>
      </c>
      <c r="W160" s="63">
        <f>Assumptions!$F$46</f>
        <v>20</v>
      </c>
      <c r="X160" s="95" t="s">
        <v>1702</v>
      </c>
      <c r="Y160" s="80">
        <v>12.6</v>
      </c>
      <c r="Z160" s="80">
        <v>62.3</v>
      </c>
      <c r="AA160" s="80">
        <v>71.900000000000006</v>
      </c>
      <c r="AB160" s="96">
        <v>0.43</v>
      </c>
      <c r="AC160" s="89">
        <f>IF(Y160="","",Y160+Assumptions!$C$9/(Assumptions!$C$10+Assumptions!$C$11)*(Z160+Assumptions!$C$10+Assumptions!$C$11))</f>
        <v>34.135999999999996</v>
      </c>
      <c r="AD160" s="94">
        <f>IF(Y160="","",MAX(G160,IF(E160="Luxury",1,2)+MAX(0,ROUNDUP((Y160-Assumptions!$C$9-IF(E160="Luxury",Assumptions!$C$13,Assumptions!$C$12))/Assumptions!$C$8,0))))</f>
        <v>2</v>
      </c>
      <c r="AE160" s="94">
        <f>IF(Y160="","",MAX(G160,IF(E160="Luxury",1,2)+MAX(0,ROUNDUP((Y160+Assumptions!$C$9/(Assumptions!$C$10+Assumptions!$C$11)*(AA160+Assumptions!$C$10+Assumptions!$C$11)-Assumptions!$C$9-IF(E160="Luxury",Assumptions!$C$13,Assumptions!$C$12))/Assumptions!$C$8,0))))</f>
        <v>10</v>
      </c>
      <c r="AF160" s="94">
        <f t="shared" si="10"/>
        <v>0</v>
      </c>
      <c r="AG160" s="78"/>
      <c r="AH160" s="94">
        <f t="shared" si="11"/>
        <v>12</v>
      </c>
      <c r="AI160" s="94">
        <f t="shared" si="12"/>
        <v>65</v>
      </c>
      <c r="AJ160" s="95" t="s">
        <v>1703</v>
      </c>
      <c r="AK160" s="97">
        <f>IF(_xlfn.MAXIFS($J$127:$J$181,$D$127:$D$181,D160,$E$127:$E$181,E160)=_xlfn.MINIFS($J$127:$J$181,$D$127:$D$181,D160,$E$127:$E$181,E160),0,-Assumptions!$C$5+2*Assumptions!$C$5*(J160-_xlfn.MINIFS($J$127:$J$181,$D$127:$D$181,D160,$E$127:$E$181,E160))/(_xlfn.MAXIFS($J$127:$J$181,$D$127:$D$181,D160,$E$127:$E$181,E160)-_xlfn.MINIFS($J$127:$J$181,$D$127:$D$181,D160,$E$127:$E$181,E160)))</f>
        <v>50000</v>
      </c>
      <c r="AL160" s="97">
        <f>IF(_xlfn.MAXIFS($K$127:$K$181,$D$127:$D$181,D160,$E$127:$E$181,E160)=_xlfn.MINIFS($K$127:$K$181,$D$127:$D$181,D160,$E$127:$E$181,E160),0,-Assumptions!$C$5+2*Assumptions!$C$5*(K160-_xlfn.MINIFS($K$127:$K$181,$D$127:$D$181,D160,$E$127:$E$181,E160))/(_xlfn.MAXIFS($K$127:$K$181,$D$127:$D$181,D160,$E$127:$E$181,E160)-_xlfn.MINIFS($K$127:$K$181,$D$127:$D$181,D160,$E$127:$E$181,E160)))</f>
        <v>0</v>
      </c>
      <c r="AM160" s="97">
        <f>IF(_xlfn.MAXIFS($O$127:$O$181,$D$127:$D$181,D160,$E$127:$E$181,E160)=_xlfn.MINIFS($O$127:$O$181,$D$127:$D$181,D160,$E$127:$E$181,E160),0,-Assumptions!$C$5+2*Assumptions!$C$5*(O160-_xlfn.MINIFS($O$127:$O$181,$D$127:$D$181,D160,$E$127:$E$181,E160))/(_xlfn.MAXIFS($O$127:$O$181,$D$127:$D$181,D160,$E$127:$E$181,E160)-_xlfn.MINIFS($O$127:$O$181,$D$127:$D$181,D160,$E$127:$E$181,E160)))</f>
        <v>-50000</v>
      </c>
    </row>
    <row r="161" spans="1:39" ht="27.75" customHeight="1" x14ac:dyDescent="0.2">
      <c r="A161" s="98">
        <v>35</v>
      </c>
      <c r="B161" s="29">
        <v>7</v>
      </c>
      <c r="C161" s="29" t="s">
        <v>716</v>
      </c>
      <c r="D161" s="28">
        <v>678</v>
      </c>
      <c r="E161" s="29" t="s">
        <v>65</v>
      </c>
      <c r="F161" s="29" t="s">
        <v>43</v>
      </c>
      <c r="G161" s="29">
        <v>1</v>
      </c>
      <c r="H161" s="29">
        <v>30</v>
      </c>
      <c r="I161" s="84" t="s">
        <v>1530</v>
      </c>
      <c r="J161" s="94">
        <f>IF(L161&lt;&gt;"",0,INDEX(Assumptions!$C$17:$C$21,MATCH(I161,Assumptions!$B$17:$B$21,0)))</f>
        <v>45</v>
      </c>
      <c r="K161" s="94">
        <f>INDEX(Assumptions!$C$17:$C$21,MATCH(I161,Assumptions!$B$17:$B$21,0))+R161</f>
        <v>50</v>
      </c>
      <c r="L161" s="94" t="str">
        <f>IF(AG161&lt;&gt;"",AG161,IF(OR(Y161="",Z161&gt;Assumptions!$C$7),"",MAX(G161,IF(E161="Luxury",1,2)+MAX(0,ROUNDUP((AC161-Assumptions!$C$9-IF(E161="Luxury",Assumptions!$C$13,Assumptions!$C$12))/Assumptions!$C$8,0)))))</f>
        <v/>
      </c>
      <c r="M161" s="95"/>
      <c r="N161" s="94">
        <f>Assumptions!$E$42+1</f>
        <v>15</v>
      </c>
      <c r="O161" s="94">
        <f>INDEX(Assumptions!$C$17:$C$21,MATCH(I161,Assumptions!$B$17:$B$21,0))+T161</f>
        <v>55</v>
      </c>
      <c r="P161" s="94">
        <f>Assumptions!$F$42+1</f>
        <v>22</v>
      </c>
      <c r="Q161" s="15">
        <f>Assumptions!$D$27</f>
        <v>2613</v>
      </c>
      <c r="R161" s="78">
        <v>5</v>
      </c>
      <c r="S161" s="15">
        <f>Assumptions!$R$42</f>
        <v>3500</v>
      </c>
      <c r="T161" s="78">
        <v>10</v>
      </c>
      <c r="U161" s="63">
        <f>Assumptions!$D$42</f>
        <v>1</v>
      </c>
      <c r="V161" s="63">
        <f>Assumptions!$E$42</f>
        <v>14</v>
      </c>
      <c r="W161" s="63">
        <f>Assumptions!$F$42</f>
        <v>21</v>
      </c>
      <c r="X161" s="95" t="s">
        <v>1704</v>
      </c>
      <c r="Y161" s="80">
        <v>12.6</v>
      </c>
      <c r="Z161" s="80">
        <v>66.400000000000006</v>
      </c>
      <c r="AA161" s="80">
        <v>75.900000000000006</v>
      </c>
      <c r="AB161" s="96">
        <v>0.41</v>
      </c>
      <c r="AC161" s="89">
        <f>IF(Y161="","",Y161+Assumptions!$C$9/(Assumptions!$C$10+Assumptions!$C$11)*(Z161+Assumptions!$C$10+Assumptions!$C$11))</f>
        <v>35.448</v>
      </c>
      <c r="AD161" s="94">
        <f>IF(Y161="","",MAX(G161,IF(E161="Luxury",1,2)+MAX(0,ROUNDUP((Y161-Assumptions!$C$9-IF(E161="Luxury",Assumptions!$C$13,Assumptions!$C$12))/Assumptions!$C$8,0))))</f>
        <v>2</v>
      </c>
      <c r="AE161" s="94">
        <f>IF(Y161="","",MAX(G161,IF(E161="Luxury",1,2)+MAX(0,ROUNDUP((Y161+Assumptions!$C$9/(Assumptions!$C$10+Assumptions!$C$11)*(AA161+Assumptions!$C$10+Assumptions!$C$11)-Assumptions!$C$9-IF(E161="Luxury",Assumptions!$C$13,Assumptions!$C$12))/Assumptions!$C$8,0))))</f>
        <v>11</v>
      </c>
      <c r="AF161" s="94">
        <f t="shared" si="10"/>
        <v>0</v>
      </c>
      <c r="AG161" s="78"/>
      <c r="AH161" s="94">
        <f t="shared" si="11"/>
        <v>15</v>
      </c>
      <c r="AI161" s="94">
        <f t="shared" si="12"/>
        <v>90</v>
      </c>
      <c r="AJ161" s="95" t="s">
        <v>1705</v>
      </c>
      <c r="AK161" s="97">
        <f>IF(_xlfn.MAXIFS($J$127:$J$181,$D$127:$D$181,D161,$E$127:$E$181,E161)=_xlfn.MINIFS($J$127:$J$181,$D$127:$D$181,D161,$E$127:$E$181,E161),0,-Assumptions!$C$5+2*Assumptions!$C$5*(J161-_xlfn.MINIFS($J$127:$J$181,$D$127:$D$181,D161,$E$127:$E$181,E161))/(_xlfn.MAXIFS($J$127:$J$181,$D$127:$D$181,D161,$E$127:$E$181,E161)-_xlfn.MINIFS($J$127:$J$181,$D$127:$D$181,D161,$E$127:$E$181,E161)))</f>
        <v>25000</v>
      </c>
      <c r="AL161" s="97">
        <f>IF(_xlfn.MAXIFS($K$127:$K$181,$D$127:$D$181,D161,$E$127:$E$181,E161)=_xlfn.MINIFS($K$127:$K$181,$D$127:$D$181,D161,$E$127:$E$181,E161),0,-Assumptions!$C$5+2*Assumptions!$C$5*(K161-_xlfn.MINIFS($K$127:$K$181,$D$127:$D$181,D161,$E$127:$E$181,E161))/(_xlfn.MAXIFS($K$127:$K$181,$D$127:$D$181,D161,$E$127:$E$181,E161)-_xlfn.MINIFS($K$127:$K$181,$D$127:$D$181,D161,$E$127:$E$181,E161)))</f>
        <v>19230.769230769234</v>
      </c>
      <c r="AM161" s="97">
        <f>IF(_xlfn.MAXIFS($O$127:$O$181,$D$127:$D$181,D161,$E$127:$E$181,E161)=_xlfn.MINIFS($O$127:$O$181,$D$127:$D$181,D161,$E$127:$E$181,E161),0,-Assumptions!$C$5+2*Assumptions!$C$5*(O161-_xlfn.MINIFS($O$127:$O$181,$D$127:$D$181,D161,$E$127:$E$181,E161))/(_xlfn.MAXIFS($O$127:$O$181,$D$127:$D$181,D161,$E$127:$E$181,E161)-_xlfn.MINIFS($O$127:$O$181,$D$127:$D$181,D161,$E$127:$E$181,E161)))</f>
        <v>6250</v>
      </c>
    </row>
    <row r="162" spans="1:39" ht="27.75" customHeight="1" x14ac:dyDescent="0.2">
      <c r="A162" s="98">
        <v>36</v>
      </c>
      <c r="B162" s="29">
        <v>7</v>
      </c>
      <c r="C162" s="29" t="s">
        <v>1025</v>
      </c>
      <c r="D162" s="28">
        <v>1367</v>
      </c>
      <c r="E162" s="29" t="s">
        <v>65</v>
      </c>
      <c r="F162" s="29" t="s">
        <v>49</v>
      </c>
      <c r="G162" s="29">
        <v>3</v>
      </c>
      <c r="H162" s="29">
        <v>30</v>
      </c>
      <c r="I162" s="84" t="s">
        <v>1528</v>
      </c>
      <c r="J162" s="94">
        <f>IF(L162&lt;&gt;"",0,INDEX(Assumptions!$C$17:$C$21,MATCH(I162,Assumptions!$B$17:$B$21,0)))</f>
        <v>60</v>
      </c>
      <c r="K162" s="94">
        <f>INDEX(Assumptions!$C$17:$C$21,MATCH(I162,Assumptions!$B$17:$B$21,0))+R162</f>
        <v>70</v>
      </c>
      <c r="L162" s="94" t="str">
        <f>IF(AG162&lt;&gt;"",AG162,IF(OR(Y162="",Z162&gt;Assumptions!$C$7),"",MAX(G162,IF(E162="Luxury",1,2)+MAX(0,ROUNDUP((AC162-Assumptions!$C$9-IF(E162="Luxury",Assumptions!$C$13,Assumptions!$C$12))/Assumptions!$C$8,0)))))</f>
        <v/>
      </c>
      <c r="M162" s="95"/>
      <c r="N162" s="94">
        <f>Assumptions!$E$54+1</f>
        <v>15</v>
      </c>
      <c r="O162" s="94">
        <f>INDEX(Assumptions!$C$17:$C$21,MATCH(I162,Assumptions!$B$17:$B$21,0))+T162</f>
        <v>80</v>
      </c>
      <c r="P162" s="94">
        <f>Assumptions!$F$54+1</f>
        <v>21</v>
      </c>
      <c r="Q162" s="15">
        <f>Assumptions!$D$34</f>
        <v>2800</v>
      </c>
      <c r="R162" s="78">
        <v>10</v>
      </c>
      <c r="S162" s="15">
        <f>Assumptions!$R$54</f>
        <v>3500</v>
      </c>
      <c r="T162" s="78">
        <v>20</v>
      </c>
      <c r="U162" s="63">
        <f>Assumptions!$D$54</f>
        <v>3</v>
      </c>
      <c r="V162" s="63">
        <f>Assumptions!$E$54</f>
        <v>14</v>
      </c>
      <c r="W162" s="63">
        <f>Assumptions!$F$54</f>
        <v>20</v>
      </c>
      <c r="X162" s="95" t="s">
        <v>1675</v>
      </c>
      <c r="Y162" s="80"/>
      <c r="Z162" s="80"/>
      <c r="AA162" s="80"/>
      <c r="AB162" s="96"/>
      <c r="AC162" s="89" t="str">
        <f>IF(Y162="","",Y162+Assumptions!$C$9/(Assumptions!$C$10+Assumptions!$C$11)*(Z162+Assumptions!$C$10+Assumptions!$C$11))</f>
        <v/>
      </c>
      <c r="AD162" s="94" t="str">
        <f>IF(Y162="","",MAX(G162,IF(E162="Luxury",1,2)+MAX(0,ROUNDUP((Y162-Assumptions!$C$9-IF(E162="Luxury",Assumptions!$C$13,Assumptions!$C$12))/Assumptions!$C$8,0))))</f>
        <v/>
      </c>
      <c r="AE162" s="94" t="str">
        <f>IF(Y162="","",MAX(G162,IF(E162="Luxury",1,2)+MAX(0,ROUNDUP((Y162+Assumptions!$C$9/(Assumptions!$C$10+Assumptions!$C$11)*(AA162+Assumptions!$C$10+Assumptions!$C$11)-Assumptions!$C$9-IF(E162="Luxury",Assumptions!$C$13,Assumptions!$C$12))/Assumptions!$C$8,0))))</f>
        <v/>
      </c>
      <c r="AF162" s="94">
        <f t="shared" si="10"/>
        <v>0</v>
      </c>
      <c r="AG162" s="78"/>
      <c r="AH162" s="94">
        <f t="shared" si="11"/>
        <v>15</v>
      </c>
      <c r="AI162" s="94">
        <f t="shared" si="12"/>
        <v>80</v>
      </c>
      <c r="AJ162" s="95" t="s">
        <v>1706</v>
      </c>
      <c r="AK162" s="97">
        <f>IF(_xlfn.MAXIFS($J$127:$J$181,$D$127:$D$181,D162,$E$127:$E$181,E162)=_xlfn.MINIFS($J$127:$J$181,$D$127:$D$181,D162,$E$127:$E$181,E162),0,-Assumptions!$C$5+2*Assumptions!$C$5*(J162-_xlfn.MINIFS($J$127:$J$181,$D$127:$D$181,D162,$E$127:$E$181,E162))/(_xlfn.MAXIFS($J$127:$J$181,$D$127:$D$181,D162,$E$127:$E$181,E162)-_xlfn.MINIFS($J$127:$J$181,$D$127:$D$181,D162,$E$127:$E$181,E162)))</f>
        <v>50000</v>
      </c>
      <c r="AL162" s="97">
        <f>IF(_xlfn.MAXIFS($K$127:$K$181,$D$127:$D$181,D162,$E$127:$E$181,E162)=_xlfn.MINIFS($K$127:$K$181,$D$127:$D$181,D162,$E$127:$E$181,E162),0,-Assumptions!$C$5+2*Assumptions!$C$5*(K162-_xlfn.MINIFS($K$127:$K$181,$D$127:$D$181,D162,$E$127:$E$181,E162))/(_xlfn.MAXIFS($K$127:$K$181,$D$127:$D$181,D162,$E$127:$E$181,E162)-_xlfn.MINIFS($K$127:$K$181,$D$127:$D$181,D162,$E$127:$E$181,E162)))</f>
        <v>50000</v>
      </c>
      <c r="AM162" s="97">
        <f>IF(_xlfn.MAXIFS($O$127:$O$181,$D$127:$D$181,D162,$E$127:$E$181,E162)=_xlfn.MINIFS($O$127:$O$181,$D$127:$D$181,D162,$E$127:$E$181,E162),0,-Assumptions!$C$5+2*Assumptions!$C$5*(O162-_xlfn.MINIFS($O$127:$O$181,$D$127:$D$181,D162,$E$127:$E$181,E162))/(_xlfn.MAXIFS($O$127:$O$181,$D$127:$D$181,D162,$E$127:$E$181,E162)-_xlfn.MINIFS($O$127:$O$181,$D$127:$D$181,D162,$E$127:$E$181,E162)))</f>
        <v>50000</v>
      </c>
    </row>
    <row r="163" spans="1:39" ht="27.75" customHeight="1" x14ac:dyDescent="0.2">
      <c r="A163" s="93">
        <v>37</v>
      </c>
      <c r="B163" s="21">
        <v>9</v>
      </c>
      <c r="C163" s="21" t="s">
        <v>1054</v>
      </c>
      <c r="D163" s="20">
        <v>1055</v>
      </c>
      <c r="E163" s="21" t="s">
        <v>62</v>
      </c>
      <c r="F163" s="21" t="s">
        <v>46</v>
      </c>
      <c r="G163" s="21">
        <v>2</v>
      </c>
      <c r="H163" s="21">
        <v>21</v>
      </c>
      <c r="I163" s="84" t="s">
        <v>1530</v>
      </c>
      <c r="J163" s="94">
        <f>IF(L163&lt;&gt;"",0,INDEX(Assumptions!$C$17:$C$21,MATCH(I163,Assumptions!$B$17:$B$21,0)))</f>
        <v>0</v>
      </c>
      <c r="K163" s="94">
        <f>INDEX(Assumptions!$C$17:$C$21,MATCH(I163,Assumptions!$B$17:$B$21,0))+R163</f>
        <v>50</v>
      </c>
      <c r="L163" s="94">
        <f>IF(AG163&lt;&gt;"",AG163,IF(OR(Y163="",Z163&gt;Assumptions!$C$7),"",MAX(G163,IF(E163="Luxury",1,2)+MAX(0,ROUNDUP((AC163-Assumptions!$C$9-IF(E163="Luxury",Assumptions!$C$13,Assumptions!$C$12))/Assumptions!$C$8,0)))))</f>
        <v>10</v>
      </c>
      <c r="M163" s="95" t="s">
        <v>1707</v>
      </c>
      <c r="N163" s="78">
        <v>10</v>
      </c>
      <c r="O163" s="94">
        <f>INDEX(Assumptions!$C$17:$C$21,MATCH(I163,Assumptions!$B$17:$B$21,0))+T163</f>
        <v>60</v>
      </c>
      <c r="P163" s="94">
        <f>Assumptions!$F$49+1</f>
        <v>17</v>
      </c>
      <c r="Q163" s="15">
        <f>Assumptions!$D$31</f>
        <v>2633</v>
      </c>
      <c r="R163" s="78">
        <v>5</v>
      </c>
      <c r="S163" s="15">
        <f>Assumptions!$R$49</f>
        <v>3250</v>
      </c>
      <c r="T163" s="78">
        <v>15</v>
      </c>
      <c r="U163" s="63">
        <f>Assumptions!$D$49</f>
        <v>2</v>
      </c>
      <c r="V163" s="63">
        <f>Assumptions!$E$49</f>
        <v>8</v>
      </c>
      <c r="W163" s="63">
        <f>Assumptions!$F$49</f>
        <v>16</v>
      </c>
      <c r="X163" s="95" t="s">
        <v>1708</v>
      </c>
      <c r="Y163" s="80">
        <v>13</v>
      </c>
      <c r="Z163" s="80">
        <v>65.2</v>
      </c>
      <c r="AA163" s="80">
        <v>81.900000000000006</v>
      </c>
      <c r="AB163" s="96">
        <v>0.75</v>
      </c>
      <c r="AC163" s="89">
        <f>IF(Y163="","",Y163+Assumptions!$C$9/(Assumptions!$C$10+Assumptions!$C$11)*(Z163+Assumptions!$C$10+Assumptions!$C$11))</f>
        <v>35.463999999999999</v>
      </c>
      <c r="AD163" s="94">
        <f>IF(Y163="","",MAX(G163,IF(E163="Luxury",1,2)+MAX(0,ROUNDUP((Y163-Assumptions!$C$9-IF(E163="Luxury",Assumptions!$C$13,Assumptions!$C$12))/Assumptions!$C$8,0))))</f>
        <v>2</v>
      </c>
      <c r="AE163" s="94">
        <f>IF(Y163="","",MAX(G163,IF(E163="Luxury",1,2)+MAX(0,ROUNDUP((Y163+Assumptions!$C$9/(Assumptions!$C$10+Assumptions!$C$11)*(AA163+Assumptions!$C$10+Assumptions!$C$11)-Assumptions!$C$9-IF(E163="Luxury",Assumptions!$C$13,Assumptions!$C$12))/Assumptions!$C$8,0))))</f>
        <v>10</v>
      </c>
      <c r="AF163" s="94">
        <f t="shared" si="10"/>
        <v>0</v>
      </c>
      <c r="AG163" s="78">
        <v>10</v>
      </c>
      <c r="AH163" s="94">
        <f t="shared" si="11"/>
        <v>10</v>
      </c>
      <c r="AI163" s="94">
        <f t="shared" si="12"/>
        <v>80</v>
      </c>
      <c r="AJ163" s="95" t="s">
        <v>1709</v>
      </c>
      <c r="AK163" s="97">
        <f>IF(_xlfn.MAXIFS($J$127:$J$181,$D$127:$D$181,D163,$E$127:$E$181,E163)=_xlfn.MINIFS($J$127:$J$181,$D$127:$D$181,D163,$E$127:$E$181,E163),0,-Assumptions!$C$5+2*Assumptions!$C$5*(J163-_xlfn.MINIFS($J$127:$J$181,$D$127:$D$181,D163,$E$127:$E$181,E163))/(_xlfn.MAXIFS($J$127:$J$181,$D$127:$D$181,D163,$E$127:$E$181,E163)-_xlfn.MINIFS($J$127:$J$181,$D$127:$D$181,D163,$E$127:$E$181,E163)))</f>
        <v>-50000</v>
      </c>
      <c r="AL163" s="97">
        <f>IF(_xlfn.MAXIFS($K$127:$K$181,$D$127:$D$181,D163,$E$127:$E$181,E163)=_xlfn.MINIFS($K$127:$K$181,$D$127:$D$181,D163,$E$127:$E$181,E163),0,-Assumptions!$C$5+2*Assumptions!$C$5*(K163-_xlfn.MINIFS($K$127:$K$181,$D$127:$D$181,D163,$E$127:$E$181,E163))/(_xlfn.MAXIFS($K$127:$K$181,$D$127:$D$181,D163,$E$127:$E$181,E163)-_xlfn.MINIFS($K$127:$K$181,$D$127:$D$181,D163,$E$127:$E$181,E163)))</f>
        <v>40909.090909090912</v>
      </c>
      <c r="AM163" s="97">
        <f>IF(_xlfn.MAXIFS($O$127:$O$181,$D$127:$D$181,D163,$E$127:$E$181,E163)=_xlfn.MINIFS($O$127:$O$181,$D$127:$D$181,D163,$E$127:$E$181,E163),0,-Assumptions!$C$5+2*Assumptions!$C$5*(O163-_xlfn.MINIFS($O$127:$O$181,$D$127:$D$181,D163,$E$127:$E$181,E163))/(_xlfn.MAXIFS($O$127:$O$181,$D$127:$D$181,D163,$E$127:$E$181,E163)-_xlfn.MINIFS($O$127:$O$181,$D$127:$D$181,D163,$E$127:$E$181,E163)))</f>
        <v>23333.333333333328</v>
      </c>
    </row>
    <row r="164" spans="1:39" ht="27.75" customHeight="1" x14ac:dyDescent="0.2">
      <c r="A164" s="93">
        <v>38</v>
      </c>
      <c r="B164" s="21">
        <v>9</v>
      </c>
      <c r="C164" s="21" t="s">
        <v>159</v>
      </c>
      <c r="D164" s="20">
        <v>678</v>
      </c>
      <c r="E164" s="21" t="s">
        <v>62</v>
      </c>
      <c r="F164" s="21" t="s">
        <v>43</v>
      </c>
      <c r="G164" s="21">
        <v>2</v>
      </c>
      <c r="H164" s="21">
        <v>21</v>
      </c>
      <c r="I164" s="84" t="s">
        <v>1536</v>
      </c>
      <c r="J164" s="94">
        <f>IF(L164&lt;&gt;"",0,INDEX(Assumptions!$C$17:$C$21,MATCH(I164,Assumptions!$B$17:$B$21,0)))</f>
        <v>0</v>
      </c>
      <c r="K164" s="94">
        <f>INDEX(Assumptions!$C$17:$C$21,MATCH(I164,Assumptions!$B$17:$B$21,0))+R164</f>
        <v>0</v>
      </c>
      <c r="L164" s="94">
        <f>IF(AG164&lt;&gt;"",AG164,IF(OR(Y164="",Z164&gt;Assumptions!$C$7),"",MAX(G164,IF(E164="Luxury",1,2)+MAX(0,ROUNDUP((AC164-Assumptions!$C$9-IF(E164="Luxury",Assumptions!$C$13,Assumptions!$C$12))/Assumptions!$C$8,0)))))</f>
        <v>5</v>
      </c>
      <c r="M164" s="95" t="s">
        <v>1710</v>
      </c>
      <c r="N164" s="94">
        <f>Assumptions!$E$41+1</f>
        <v>8</v>
      </c>
      <c r="O164" s="94">
        <f>INDEX(Assumptions!$C$17:$C$21,MATCH(I164,Assumptions!$B$17:$B$21,0))+T164</f>
        <v>0</v>
      </c>
      <c r="P164" s="94">
        <f>Assumptions!$F$41+1</f>
        <v>16</v>
      </c>
      <c r="Q164" s="15">
        <f>Assumptions!$D$27</f>
        <v>2613</v>
      </c>
      <c r="R164" s="78">
        <v>0</v>
      </c>
      <c r="S164" s="15">
        <f>Assumptions!$R$41</f>
        <v>3250</v>
      </c>
      <c r="T164" s="78">
        <v>0</v>
      </c>
      <c r="U164" s="63">
        <f>Assumptions!$D$41</f>
        <v>2</v>
      </c>
      <c r="V164" s="63">
        <f>Assumptions!$E$41</f>
        <v>7</v>
      </c>
      <c r="W164" s="63">
        <f>Assumptions!$F$41</f>
        <v>15</v>
      </c>
      <c r="X164" s="95" t="s">
        <v>1711</v>
      </c>
      <c r="Y164" s="80">
        <v>13.1</v>
      </c>
      <c r="Z164" s="80">
        <v>25.8</v>
      </c>
      <c r="AA164" s="80">
        <v>32.700000000000003</v>
      </c>
      <c r="AB164" s="96">
        <v>0.21</v>
      </c>
      <c r="AC164" s="89">
        <f>IF(Y164="","",Y164+Assumptions!$C$9/(Assumptions!$C$10+Assumptions!$C$11)*(Z164+Assumptions!$C$10+Assumptions!$C$11))</f>
        <v>22.956</v>
      </c>
      <c r="AD164" s="94">
        <f>IF(Y164="","",MAX(G164,IF(E164="Luxury",1,2)+MAX(0,ROUNDUP((Y164-Assumptions!$C$9-IF(E164="Luxury",Assumptions!$C$13,Assumptions!$C$12))/Assumptions!$C$8,0))))</f>
        <v>2</v>
      </c>
      <c r="AE164" s="94">
        <f>IF(Y164="","",MAX(G164,IF(E164="Luxury",1,2)+MAX(0,ROUNDUP((Y164+Assumptions!$C$9/(Assumptions!$C$10+Assumptions!$C$11)*(AA164+Assumptions!$C$10+Assumptions!$C$11)-Assumptions!$C$9-IF(E164="Luxury",Assumptions!$C$13,Assumptions!$C$12))/Assumptions!$C$8,0))))</f>
        <v>5</v>
      </c>
      <c r="AF164" s="94">
        <f t="shared" si="10"/>
        <v>0</v>
      </c>
      <c r="AG164" s="78"/>
      <c r="AH164" s="94">
        <f t="shared" si="11"/>
        <v>8</v>
      </c>
      <c r="AI164" s="94">
        <f t="shared" si="12"/>
        <v>80</v>
      </c>
      <c r="AJ164" s="95" t="s">
        <v>1712</v>
      </c>
      <c r="AK164" s="97">
        <f>IF(_xlfn.MAXIFS($J$127:$J$181,$D$127:$D$181,D164,$E$127:$E$181,E164)=_xlfn.MINIFS($J$127:$J$181,$D$127:$D$181,D164,$E$127:$E$181,E164),0,-Assumptions!$C$5+2*Assumptions!$C$5*(J164-_xlfn.MINIFS($J$127:$J$181,$D$127:$D$181,D164,$E$127:$E$181,E164))/(_xlfn.MAXIFS($J$127:$J$181,$D$127:$D$181,D164,$E$127:$E$181,E164)-_xlfn.MINIFS($J$127:$J$181,$D$127:$D$181,D164,$E$127:$E$181,E164)))</f>
        <v>-50000</v>
      </c>
      <c r="AL164" s="97">
        <f>IF(_xlfn.MAXIFS($K$127:$K$181,$D$127:$D$181,D164,$E$127:$E$181,E164)=_xlfn.MINIFS($K$127:$K$181,$D$127:$D$181,D164,$E$127:$E$181,E164),0,-Assumptions!$C$5+2*Assumptions!$C$5*(K164-_xlfn.MINIFS($K$127:$K$181,$D$127:$D$181,D164,$E$127:$E$181,E164))/(_xlfn.MAXIFS($K$127:$K$181,$D$127:$D$181,D164,$E$127:$E$181,E164)-_xlfn.MINIFS($K$127:$K$181,$D$127:$D$181,D164,$E$127:$E$181,E164)))</f>
        <v>-50000</v>
      </c>
      <c r="AM164" s="97">
        <f>IF(_xlfn.MAXIFS($O$127:$O$181,$D$127:$D$181,D164,$E$127:$E$181,E164)=_xlfn.MINIFS($O$127:$O$181,$D$127:$D$181,D164,$E$127:$E$181,E164),0,-Assumptions!$C$5+2*Assumptions!$C$5*(O164-_xlfn.MINIFS($O$127:$O$181,$D$127:$D$181,D164,$E$127:$E$181,E164))/(_xlfn.MAXIFS($O$127:$O$181,$D$127:$D$181,D164,$E$127:$E$181,E164)-_xlfn.MINIFS($O$127:$O$181,$D$127:$D$181,D164,$E$127:$E$181,E164)))</f>
        <v>-50000</v>
      </c>
    </row>
    <row r="165" spans="1:39" ht="27.75" customHeight="1" x14ac:dyDescent="0.2">
      <c r="A165" s="93">
        <v>39</v>
      </c>
      <c r="B165" s="21">
        <v>9</v>
      </c>
      <c r="C165" s="21" t="s">
        <v>137</v>
      </c>
      <c r="D165" s="20">
        <v>678</v>
      </c>
      <c r="E165" s="21" t="s">
        <v>62</v>
      </c>
      <c r="F165" s="21" t="s">
        <v>43</v>
      </c>
      <c r="G165" s="21">
        <v>2</v>
      </c>
      <c r="H165" s="21">
        <v>21</v>
      </c>
      <c r="I165" s="84" t="s">
        <v>1536</v>
      </c>
      <c r="J165" s="94">
        <f>IF(L165&lt;&gt;"",0,INDEX(Assumptions!$C$17:$C$21,MATCH(I165,Assumptions!$B$17:$B$21,0)))</f>
        <v>0</v>
      </c>
      <c r="K165" s="94">
        <f>INDEX(Assumptions!$C$17:$C$21,MATCH(I165,Assumptions!$B$17:$B$21,0))+R165</f>
        <v>0</v>
      </c>
      <c r="L165" s="94">
        <f>IF(AG165&lt;&gt;"",AG165,IF(OR(Y165="",Z165&gt;Assumptions!$C$7),"",MAX(G165,IF(E165="Luxury",1,2)+MAX(0,ROUNDUP((AC165-Assumptions!$C$9-IF(E165="Luxury",Assumptions!$C$13,Assumptions!$C$12))/Assumptions!$C$8,0)))))</f>
        <v>4</v>
      </c>
      <c r="M165" s="95" t="s">
        <v>1713</v>
      </c>
      <c r="N165" s="94">
        <f>Assumptions!$E$41+1</f>
        <v>8</v>
      </c>
      <c r="O165" s="94">
        <f>INDEX(Assumptions!$C$17:$C$21,MATCH(I165,Assumptions!$B$17:$B$21,0))+T165</f>
        <v>0</v>
      </c>
      <c r="P165" s="94">
        <f>Assumptions!$F$41+1</f>
        <v>16</v>
      </c>
      <c r="Q165" s="15">
        <f>Assumptions!$D$27</f>
        <v>2613</v>
      </c>
      <c r="R165" s="78">
        <v>0</v>
      </c>
      <c r="S165" s="15">
        <f>Assumptions!$R$41</f>
        <v>3250</v>
      </c>
      <c r="T165" s="78">
        <v>0</v>
      </c>
      <c r="U165" s="63">
        <f>Assumptions!$D$41</f>
        <v>2</v>
      </c>
      <c r="V165" s="63">
        <f>Assumptions!$E$41</f>
        <v>7</v>
      </c>
      <c r="W165" s="63">
        <f>Assumptions!$F$41</f>
        <v>15</v>
      </c>
      <c r="X165" s="95" t="s">
        <v>1711</v>
      </c>
      <c r="Y165" s="80">
        <v>13.1</v>
      </c>
      <c r="Z165" s="80">
        <v>22.9</v>
      </c>
      <c r="AA165" s="80">
        <v>29.9</v>
      </c>
      <c r="AB165" s="96">
        <v>0.2</v>
      </c>
      <c r="AC165" s="89">
        <f>IF(Y165="","",Y165+Assumptions!$C$9/(Assumptions!$C$10+Assumptions!$C$11)*(Z165+Assumptions!$C$10+Assumptions!$C$11))</f>
        <v>22.027999999999999</v>
      </c>
      <c r="AD165" s="94">
        <f>IF(Y165="","",MAX(G165,IF(E165="Luxury",1,2)+MAX(0,ROUNDUP((Y165-Assumptions!$C$9-IF(E165="Luxury",Assumptions!$C$13,Assumptions!$C$12))/Assumptions!$C$8,0))))</f>
        <v>2</v>
      </c>
      <c r="AE165" s="94">
        <f>IF(Y165="","",MAX(G165,IF(E165="Luxury",1,2)+MAX(0,ROUNDUP((Y165+Assumptions!$C$9/(Assumptions!$C$10+Assumptions!$C$11)*(AA165+Assumptions!$C$10+Assumptions!$C$11)-Assumptions!$C$9-IF(E165="Luxury",Assumptions!$C$13,Assumptions!$C$12))/Assumptions!$C$8,0))))</f>
        <v>5</v>
      </c>
      <c r="AF165" s="94">
        <f t="shared" si="10"/>
        <v>0</v>
      </c>
      <c r="AG165" s="78"/>
      <c r="AH165" s="94">
        <f t="shared" si="11"/>
        <v>8</v>
      </c>
      <c r="AI165" s="94">
        <f t="shared" si="12"/>
        <v>80</v>
      </c>
      <c r="AJ165" s="95" t="s">
        <v>1712</v>
      </c>
      <c r="AK165" s="97">
        <f>IF(_xlfn.MAXIFS($J$127:$J$181,$D$127:$D$181,D165,$E$127:$E$181,E165)=_xlfn.MINIFS($J$127:$J$181,$D$127:$D$181,D165,$E$127:$E$181,E165),0,-Assumptions!$C$5+2*Assumptions!$C$5*(J165-_xlfn.MINIFS($J$127:$J$181,$D$127:$D$181,D165,$E$127:$E$181,E165))/(_xlfn.MAXIFS($J$127:$J$181,$D$127:$D$181,D165,$E$127:$E$181,E165)-_xlfn.MINIFS($J$127:$J$181,$D$127:$D$181,D165,$E$127:$E$181,E165)))</f>
        <v>-50000</v>
      </c>
      <c r="AL165" s="97">
        <f>IF(_xlfn.MAXIFS($K$127:$K$181,$D$127:$D$181,D165,$E$127:$E$181,E165)=_xlfn.MINIFS($K$127:$K$181,$D$127:$D$181,D165,$E$127:$E$181,E165),0,-Assumptions!$C$5+2*Assumptions!$C$5*(K165-_xlfn.MINIFS($K$127:$K$181,$D$127:$D$181,D165,$E$127:$E$181,E165))/(_xlfn.MAXIFS($K$127:$K$181,$D$127:$D$181,D165,$E$127:$E$181,E165)-_xlfn.MINIFS($K$127:$K$181,$D$127:$D$181,D165,$E$127:$E$181,E165)))</f>
        <v>-50000</v>
      </c>
      <c r="AM165" s="97">
        <f>IF(_xlfn.MAXIFS($O$127:$O$181,$D$127:$D$181,D165,$E$127:$E$181,E165)=_xlfn.MINIFS($O$127:$O$181,$D$127:$D$181,D165,$E$127:$E$181,E165),0,-Assumptions!$C$5+2*Assumptions!$C$5*(O165-_xlfn.MINIFS($O$127:$O$181,$D$127:$D$181,D165,$E$127:$E$181,E165))/(_xlfn.MAXIFS($O$127:$O$181,$D$127:$D$181,D165,$E$127:$E$181,E165)-_xlfn.MINIFS($O$127:$O$181,$D$127:$D$181,D165,$E$127:$E$181,E165)))</f>
        <v>-50000</v>
      </c>
    </row>
    <row r="166" spans="1:39" ht="27.75" customHeight="1" x14ac:dyDescent="0.2">
      <c r="A166" s="93">
        <v>40</v>
      </c>
      <c r="B166" s="21">
        <v>9</v>
      </c>
      <c r="C166" s="21" t="s">
        <v>1116</v>
      </c>
      <c r="D166" s="20">
        <v>947</v>
      </c>
      <c r="E166" s="21" t="s">
        <v>62</v>
      </c>
      <c r="F166" s="21" t="s">
        <v>45</v>
      </c>
      <c r="G166" s="21">
        <v>2</v>
      </c>
      <c r="H166" s="21">
        <v>21</v>
      </c>
      <c r="I166" s="84" t="s">
        <v>1534</v>
      </c>
      <c r="J166" s="94">
        <f>IF(L166&lt;&gt;"",0,INDEX(Assumptions!$C$17:$C$21,MATCH(I166,Assumptions!$B$17:$B$21,0)))</f>
        <v>0</v>
      </c>
      <c r="K166" s="94">
        <f>INDEX(Assumptions!$C$17:$C$21,MATCH(I166,Assumptions!$B$17:$B$21,0))+R166</f>
        <v>20</v>
      </c>
      <c r="L166" s="94">
        <f>IF(AG166&lt;&gt;"",AG166,IF(OR(Y166="",Z166&gt;Assumptions!$C$7),"",MAX(G166,IF(E166="Luxury",1,2)+MAX(0,ROUNDUP((AC166-Assumptions!$C$9-IF(E166="Luxury",Assumptions!$C$13,Assumptions!$C$12))/Assumptions!$C$8,0)))))</f>
        <v>4</v>
      </c>
      <c r="M166" s="95" t="s">
        <v>1714</v>
      </c>
      <c r="N166" s="94">
        <f>Assumptions!$E$47+1</f>
        <v>9</v>
      </c>
      <c r="O166" s="94">
        <f>INDEX(Assumptions!$C$17:$C$21,MATCH(I166,Assumptions!$B$17:$B$21,0))+T166</f>
        <v>25</v>
      </c>
      <c r="P166" s="94">
        <f>Assumptions!$F$47+1</f>
        <v>16</v>
      </c>
      <c r="Q166" s="15">
        <f>Assumptions!$D$30</f>
        <v>2642</v>
      </c>
      <c r="R166" s="78">
        <v>5</v>
      </c>
      <c r="S166" s="15">
        <f>Assumptions!$R$47</f>
        <v>3250</v>
      </c>
      <c r="T166" s="78">
        <v>10</v>
      </c>
      <c r="U166" s="63">
        <f>Assumptions!$D$47</f>
        <v>2</v>
      </c>
      <c r="V166" s="63">
        <f>Assumptions!$E$47</f>
        <v>8</v>
      </c>
      <c r="W166" s="63">
        <f>Assumptions!$F$47</f>
        <v>15</v>
      </c>
      <c r="X166" s="95" t="s">
        <v>1715</v>
      </c>
      <c r="Y166" s="80">
        <v>13.1</v>
      </c>
      <c r="Z166" s="80">
        <v>23</v>
      </c>
      <c r="AA166" s="80">
        <v>29.9</v>
      </c>
      <c r="AB166" s="96">
        <v>0.2</v>
      </c>
      <c r="AC166" s="89">
        <f>IF(Y166="","",Y166+Assumptions!$C$9/(Assumptions!$C$10+Assumptions!$C$11)*(Z166+Assumptions!$C$10+Assumptions!$C$11))</f>
        <v>22.060000000000002</v>
      </c>
      <c r="AD166" s="94">
        <f>IF(Y166="","",MAX(G166,IF(E166="Luxury",1,2)+MAX(0,ROUNDUP((Y166-Assumptions!$C$9-IF(E166="Luxury",Assumptions!$C$13,Assumptions!$C$12))/Assumptions!$C$8,0))))</f>
        <v>2</v>
      </c>
      <c r="AE166" s="94">
        <f>IF(Y166="","",MAX(G166,IF(E166="Luxury",1,2)+MAX(0,ROUNDUP((Y166+Assumptions!$C$9/(Assumptions!$C$10+Assumptions!$C$11)*(AA166+Assumptions!$C$10+Assumptions!$C$11)-Assumptions!$C$9-IF(E166="Luxury",Assumptions!$C$13,Assumptions!$C$12))/Assumptions!$C$8,0))))</f>
        <v>5</v>
      </c>
      <c r="AF166" s="94">
        <f t="shared" si="10"/>
        <v>0</v>
      </c>
      <c r="AG166" s="78"/>
      <c r="AH166" s="94">
        <f t="shared" si="11"/>
        <v>9</v>
      </c>
      <c r="AI166" s="94">
        <f t="shared" si="12"/>
        <v>65</v>
      </c>
      <c r="AJ166" s="95" t="s">
        <v>1716</v>
      </c>
      <c r="AK166" s="97">
        <f>IF(_xlfn.MAXIFS($J$127:$J$181,$D$127:$D$181,D166,$E$127:$E$181,E166)=_xlfn.MINIFS($J$127:$J$181,$D$127:$D$181,D166,$E$127:$E$181,E166),0,-Assumptions!$C$5+2*Assumptions!$C$5*(J166-_xlfn.MINIFS($J$127:$J$181,$D$127:$D$181,D166,$E$127:$E$181,E166))/(_xlfn.MAXIFS($J$127:$J$181,$D$127:$D$181,D166,$E$127:$E$181,E166)-_xlfn.MINIFS($J$127:$J$181,$D$127:$D$181,D166,$E$127:$E$181,E166)))</f>
        <v>-50000</v>
      </c>
      <c r="AL166" s="97">
        <f>IF(_xlfn.MAXIFS($K$127:$K$181,$D$127:$D$181,D166,$E$127:$E$181,E166)=_xlfn.MINIFS($K$127:$K$181,$D$127:$D$181,D166,$E$127:$E$181,E166),0,-Assumptions!$C$5+2*Assumptions!$C$5*(K166-_xlfn.MINIFS($K$127:$K$181,$D$127:$D$181,D166,$E$127:$E$181,E166))/(_xlfn.MAXIFS($K$127:$K$181,$D$127:$D$181,D166,$E$127:$E$181,E166)-_xlfn.MINIFS($K$127:$K$181,$D$127:$D$181,D166,$E$127:$E$181,E166)))</f>
        <v>-50000</v>
      </c>
      <c r="AM166" s="97">
        <f>IF(_xlfn.MAXIFS($O$127:$O$181,$D$127:$D$181,D166,$E$127:$E$181,E166)=_xlfn.MINIFS($O$127:$O$181,$D$127:$D$181,D166,$E$127:$E$181,E166),0,-Assumptions!$C$5+2*Assumptions!$C$5*(O166-_xlfn.MINIFS($O$127:$O$181,$D$127:$D$181,D166,$E$127:$E$181,E166))/(_xlfn.MAXIFS($O$127:$O$181,$D$127:$D$181,D166,$E$127:$E$181,E166)-_xlfn.MINIFS($O$127:$O$181,$D$127:$D$181,D166,$E$127:$E$181,E166)))</f>
        <v>-50000</v>
      </c>
    </row>
    <row r="167" spans="1:39" ht="27.75" customHeight="1" x14ac:dyDescent="0.2">
      <c r="A167" s="93">
        <v>41</v>
      </c>
      <c r="B167" s="21">
        <v>9</v>
      </c>
      <c r="C167" s="21" t="s">
        <v>1138</v>
      </c>
      <c r="D167" s="20">
        <v>1152</v>
      </c>
      <c r="E167" s="21" t="s">
        <v>62</v>
      </c>
      <c r="F167" s="21" t="s">
        <v>47</v>
      </c>
      <c r="G167" s="21">
        <v>2</v>
      </c>
      <c r="H167" s="21">
        <v>21</v>
      </c>
      <c r="I167" s="84" t="s">
        <v>1530</v>
      </c>
      <c r="J167" s="94">
        <f>IF(L167&lt;&gt;"",0,INDEX(Assumptions!$C$17:$C$21,MATCH(I167,Assumptions!$B$17:$B$21,0)))</f>
        <v>45</v>
      </c>
      <c r="K167" s="94">
        <f>INDEX(Assumptions!$C$17:$C$21,MATCH(I167,Assumptions!$B$17:$B$21,0))+R167</f>
        <v>50</v>
      </c>
      <c r="L167" s="94" t="str">
        <f>IF(AG167&lt;&gt;"",AG167,IF(OR(Y167="",Z167&gt;Assumptions!$C$7),"",MAX(G167,IF(E167="Luxury",1,2)+MAX(0,ROUNDUP((AC167-Assumptions!$C$9-IF(E167="Luxury",Assumptions!$C$13,Assumptions!$C$12))/Assumptions!$C$8,0)))))</f>
        <v/>
      </c>
      <c r="M167" s="95"/>
      <c r="N167" s="94">
        <f>Assumptions!$E$51+1</f>
        <v>9</v>
      </c>
      <c r="O167" s="94">
        <f>INDEX(Assumptions!$C$17:$C$21,MATCH(I167,Assumptions!$B$17:$B$21,0))+T167</f>
        <v>55</v>
      </c>
      <c r="P167" s="94">
        <f>Assumptions!$F$51+1</f>
        <v>16</v>
      </c>
      <c r="Q167" s="15">
        <f>Assumptions!$D$32</f>
        <v>2650</v>
      </c>
      <c r="R167" s="78">
        <v>5</v>
      </c>
      <c r="S167" s="15">
        <f>Assumptions!$R$51</f>
        <v>3250</v>
      </c>
      <c r="T167" s="78">
        <v>10</v>
      </c>
      <c r="U167" s="63">
        <f>Assumptions!$D$51</f>
        <v>2</v>
      </c>
      <c r="V167" s="63">
        <f>Assumptions!$E$51</f>
        <v>8</v>
      </c>
      <c r="W167" s="63">
        <f>Assumptions!$F$51</f>
        <v>15</v>
      </c>
      <c r="X167" s="95" t="s">
        <v>1717</v>
      </c>
      <c r="Y167" s="80">
        <v>18.3</v>
      </c>
      <c r="Z167" s="80">
        <v>53.3</v>
      </c>
      <c r="AA167" s="80">
        <v>60.5</v>
      </c>
      <c r="AB167" s="96">
        <v>0.82</v>
      </c>
      <c r="AC167" s="89">
        <f>IF(Y167="","",Y167+Assumptions!$C$9/(Assumptions!$C$10+Assumptions!$C$11)*(Z167+Assumptions!$C$10+Assumptions!$C$11))</f>
        <v>36.956000000000003</v>
      </c>
      <c r="AD167" s="94">
        <f>IF(Y167="","",MAX(G167,IF(E167="Luxury",1,2)+MAX(0,ROUNDUP((Y167-Assumptions!$C$9-IF(E167="Luxury",Assumptions!$C$13,Assumptions!$C$12))/Assumptions!$C$8,0))))</f>
        <v>3</v>
      </c>
      <c r="AE167" s="94">
        <f>IF(Y167="","",MAX(G167,IF(E167="Luxury",1,2)+MAX(0,ROUNDUP((Y167+Assumptions!$C$9/(Assumptions!$C$10+Assumptions!$C$11)*(AA167+Assumptions!$C$10+Assumptions!$C$11)-Assumptions!$C$9-IF(E167="Luxury",Assumptions!$C$13,Assumptions!$C$12))/Assumptions!$C$8,0))))</f>
        <v>10</v>
      </c>
      <c r="AF167" s="94">
        <f t="shared" si="10"/>
        <v>0</v>
      </c>
      <c r="AG167" s="78"/>
      <c r="AH167" s="94">
        <f t="shared" si="11"/>
        <v>9</v>
      </c>
      <c r="AI167" s="94">
        <f t="shared" si="12"/>
        <v>100</v>
      </c>
      <c r="AJ167" s="95" t="s">
        <v>1718</v>
      </c>
      <c r="AK167" s="97">
        <f>IF(_xlfn.MAXIFS($J$127:$J$181,$D$127:$D$181,D167,$E$127:$E$181,E167)=_xlfn.MINIFS($J$127:$J$181,$D$127:$D$181,D167,$E$127:$E$181,E167),0,-Assumptions!$C$5+2*Assumptions!$C$5*(J167-_xlfn.MINIFS($J$127:$J$181,$D$127:$D$181,D167,$E$127:$E$181,E167))/(_xlfn.MAXIFS($J$127:$J$181,$D$127:$D$181,D167,$E$127:$E$181,E167)-_xlfn.MINIFS($J$127:$J$181,$D$127:$D$181,D167,$E$127:$E$181,E167)))</f>
        <v>50000</v>
      </c>
      <c r="AL167" s="97">
        <f>IF(_xlfn.MAXIFS($K$127:$K$181,$D$127:$D$181,D167,$E$127:$E$181,E167)=_xlfn.MINIFS($K$127:$K$181,$D$127:$D$181,D167,$E$127:$E$181,E167),0,-Assumptions!$C$5+2*Assumptions!$C$5*(K167-_xlfn.MINIFS($K$127:$K$181,$D$127:$D$181,D167,$E$127:$E$181,E167))/(_xlfn.MAXIFS($K$127:$K$181,$D$127:$D$181,D167,$E$127:$E$181,E167)-_xlfn.MINIFS($K$127:$K$181,$D$127:$D$181,D167,$E$127:$E$181,E167)))</f>
        <v>-50000</v>
      </c>
      <c r="AM167" s="97">
        <f>IF(_xlfn.MAXIFS($O$127:$O$181,$D$127:$D$181,D167,$E$127:$E$181,E167)=_xlfn.MINIFS($O$127:$O$181,$D$127:$D$181,D167,$E$127:$E$181,E167),0,-Assumptions!$C$5+2*Assumptions!$C$5*(O167-_xlfn.MINIFS($O$127:$O$181,$D$127:$D$181,D167,$E$127:$E$181,E167))/(_xlfn.MAXIFS($O$127:$O$181,$D$127:$D$181,D167,$E$127:$E$181,E167)-_xlfn.MINIFS($O$127:$O$181,$D$127:$D$181,D167,$E$127:$E$181,E167)))</f>
        <v>-50000</v>
      </c>
    </row>
    <row r="168" spans="1:39" ht="27.75" customHeight="1" x14ac:dyDescent="0.2">
      <c r="A168" s="93">
        <v>42</v>
      </c>
      <c r="B168" s="21">
        <v>9</v>
      </c>
      <c r="C168" s="21" t="s">
        <v>1160</v>
      </c>
      <c r="D168" s="20">
        <v>678</v>
      </c>
      <c r="E168" s="21" t="s">
        <v>62</v>
      </c>
      <c r="F168" s="21" t="s">
        <v>43</v>
      </c>
      <c r="G168" s="21">
        <v>2</v>
      </c>
      <c r="H168" s="21">
        <v>21</v>
      </c>
      <c r="I168" s="84" t="s">
        <v>1530</v>
      </c>
      <c r="J168" s="94">
        <f>IF(L168&lt;&gt;"",0,INDEX(Assumptions!$C$17:$C$21,MATCH(I168,Assumptions!$B$17:$B$21,0)))</f>
        <v>45</v>
      </c>
      <c r="K168" s="94">
        <f>INDEX(Assumptions!$C$17:$C$21,MATCH(I168,Assumptions!$B$17:$B$21,0))+R168</f>
        <v>55</v>
      </c>
      <c r="L168" s="94" t="str">
        <f>IF(AG168&lt;&gt;"",AG168,IF(OR(Y168="",Z168&gt;Assumptions!$C$7),"",MAX(G168,IF(E168="Luxury",1,2)+MAX(0,ROUNDUP((AC168-Assumptions!$C$9-IF(E168="Luxury",Assumptions!$C$13,Assumptions!$C$12))/Assumptions!$C$8,0)))))</f>
        <v/>
      </c>
      <c r="M168" s="95"/>
      <c r="N168" s="94">
        <f>Assumptions!$E$41+1</f>
        <v>8</v>
      </c>
      <c r="O168" s="94">
        <f>INDEX(Assumptions!$C$17:$C$21,MATCH(I168,Assumptions!$B$17:$B$21,0))+T168</f>
        <v>65</v>
      </c>
      <c r="P168" s="94">
        <f>Assumptions!$F$41+1</f>
        <v>16</v>
      </c>
      <c r="Q168" s="15">
        <f>Assumptions!$D$27</f>
        <v>2613</v>
      </c>
      <c r="R168" s="78">
        <v>10</v>
      </c>
      <c r="S168" s="15">
        <f>Assumptions!$R$41</f>
        <v>3250</v>
      </c>
      <c r="T168" s="78">
        <v>20</v>
      </c>
      <c r="U168" s="63">
        <f>Assumptions!$D$41</f>
        <v>2</v>
      </c>
      <c r="V168" s="63">
        <f>Assumptions!$E$41</f>
        <v>7</v>
      </c>
      <c r="W168" s="63">
        <f>Assumptions!$F$41</f>
        <v>15</v>
      </c>
      <c r="X168" s="95" t="s">
        <v>1719</v>
      </c>
      <c r="Y168" s="80"/>
      <c r="Z168" s="80"/>
      <c r="AA168" s="80"/>
      <c r="AB168" s="96"/>
      <c r="AC168" s="89" t="str">
        <f>IF(Y168="","",Y168+Assumptions!$C$9/(Assumptions!$C$10+Assumptions!$C$11)*(Z168+Assumptions!$C$10+Assumptions!$C$11))</f>
        <v/>
      </c>
      <c r="AD168" s="94" t="str">
        <f>IF(Y168="","",MAX(G168,IF(E168="Luxury",1,2)+MAX(0,ROUNDUP((Y168-Assumptions!$C$9-IF(E168="Luxury",Assumptions!$C$13,Assumptions!$C$12))/Assumptions!$C$8,0))))</f>
        <v/>
      </c>
      <c r="AE168" s="94" t="str">
        <f>IF(Y168="","",MAX(G168,IF(E168="Luxury",1,2)+MAX(0,ROUNDUP((Y168+Assumptions!$C$9/(Assumptions!$C$10+Assumptions!$C$11)*(AA168+Assumptions!$C$10+Assumptions!$C$11)-Assumptions!$C$9-IF(E168="Luxury",Assumptions!$C$13,Assumptions!$C$12))/Assumptions!$C$8,0))))</f>
        <v/>
      </c>
      <c r="AF168" s="94">
        <f t="shared" si="10"/>
        <v>0</v>
      </c>
      <c r="AG168" s="78"/>
      <c r="AH168" s="94">
        <f t="shared" si="11"/>
        <v>8</v>
      </c>
      <c r="AI168" s="94">
        <f t="shared" si="12"/>
        <v>80</v>
      </c>
      <c r="AJ168" s="95" t="s">
        <v>1720</v>
      </c>
      <c r="AK168" s="97">
        <f>IF(_xlfn.MAXIFS($J$127:$J$181,$D$127:$D$181,D168,$E$127:$E$181,E168)=_xlfn.MINIFS($J$127:$J$181,$D$127:$D$181,D168,$E$127:$E$181,E168),0,-Assumptions!$C$5+2*Assumptions!$C$5*(J168-_xlfn.MINIFS($J$127:$J$181,$D$127:$D$181,D168,$E$127:$E$181,E168))/(_xlfn.MAXIFS($J$127:$J$181,$D$127:$D$181,D168,$E$127:$E$181,E168)-_xlfn.MINIFS($J$127:$J$181,$D$127:$D$181,D168,$E$127:$E$181,E168)))</f>
        <v>50000</v>
      </c>
      <c r="AL168" s="97">
        <f>IF(_xlfn.MAXIFS($K$127:$K$181,$D$127:$D$181,D168,$E$127:$E$181,E168)=_xlfn.MINIFS($K$127:$K$181,$D$127:$D$181,D168,$E$127:$E$181,E168),0,-Assumptions!$C$5+2*Assumptions!$C$5*(K168-_xlfn.MINIFS($K$127:$K$181,$D$127:$D$181,D168,$E$127:$E$181,E168))/(_xlfn.MAXIFS($K$127:$K$181,$D$127:$D$181,D168,$E$127:$E$181,E168)-_xlfn.MINIFS($K$127:$K$181,$D$127:$D$181,D168,$E$127:$E$181,E168)))</f>
        <v>41666.666666666672</v>
      </c>
      <c r="AM168" s="97">
        <f>IF(_xlfn.MAXIFS($O$127:$O$181,$D$127:$D$181,D168,$E$127:$E$181,E168)=_xlfn.MINIFS($O$127:$O$181,$D$127:$D$181,D168,$E$127:$E$181,E168),0,-Assumptions!$C$5+2*Assumptions!$C$5*(O168-_xlfn.MINIFS($O$127:$O$181,$D$127:$D$181,D168,$E$127:$E$181,E168))/(_xlfn.MAXIFS($O$127:$O$181,$D$127:$D$181,D168,$E$127:$E$181,E168)-_xlfn.MINIFS($O$127:$O$181,$D$127:$D$181,D168,$E$127:$E$181,E168)))</f>
        <v>31250</v>
      </c>
    </row>
    <row r="169" spans="1:39" ht="27.75" customHeight="1" x14ac:dyDescent="0.2">
      <c r="A169" s="93">
        <v>43</v>
      </c>
      <c r="B169" s="21">
        <v>9</v>
      </c>
      <c r="C169" s="21" t="s">
        <v>1182</v>
      </c>
      <c r="D169" s="20">
        <v>678</v>
      </c>
      <c r="E169" s="21" t="s">
        <v>62</v>
      </c>
      <c r="F169" s="21" t="s">
        <v>43</v>
      </c>
      <c r="G169" s="21">
        <v>2</v>
      </c>
      <c r="H169" s="21">
        <v>21</v>
      </c>
      <c r="I169" s="84" t="s">
        <v>1530</v>
      </c>
      <c r="J169" s="94">
        <f>IF(L169&lt;&gt;"",0,INDEX(Assumptions!$C$17:$C$21,MATCH(I169,Assumptions!$B$17:$B$21,0)))</f>
        <v>45</v>
      </c>
      <c r="K169" s="94">
        <f>INDEX(Assumptions!$C$17:$C$21,MATCH(I169,Assumptions!$B$17:$B$21,0))+R169</f>
        <v>55</v>
      </c>
      <c r="L169" s="94" t="str">
        <f>IF(AG169&lt;&gt;"",AG169,IF(OR(Y169="",Z169&gt;Assumptions!$C$7),"",MAX(G169,IF(E169="Luxury",1,2)+MAX(0,ROUNDUP((AC169-Assumptions!$C$9-IF(E169="Luxury",Assumptions!$C$13,Assumptions!$C$12))/Assumptions!$C$8,0)))))</f>
        <v/>
      </c>
      <c r="M169" s="95"/>
      <c r="N169" s="94">
        <f>Assumptions!$E$41+1</f>
        <v>8</v>
      </c>
      <c r="O169" s="94">
        <f>INDEX(Assumptions!$C$17:$C$21,MATCH(I169,Assumptions!$B$17:$B$21,0))+T169</f>
        <v>65</v>
      </c>
      <c r="P169" s="94">
        <f>Assumptions!$F$41+1</f>
        <v>16</v>
      </c>
      <c r="Q169" s="15">
        <f>Assumptions!$D$27</f>
        <v>2613</v>
      </c>
      <c r="R169" s="78">
        <v>10</v>
      </c>
      <c r="S169" s="15">
        <f>Assumptions!$R$41</f>
        <v>3250</v>
      </c>
      <c r="T169" s="78">
        <v>20</v>
      </c>
      <c r="U169" s="63">
        <f>Assumptions!$D$41</f>
        <v>2</v>
      </c>
      <c r="V169" s="63">
        <f>Assumptions!$E$41</f>
        <v>7</v>
      </c>
      <c r="W169" s="63">
        <f>Assumptions!$F$41</f>
        <v>15</v>
      </c>
      <c r="X169" s="95" t="s">
        <v>1719</v>
      </c>
      <c r="Y169" s="80"/>
      <c r="Z169" s="80"/>
      <c r="AA169" s="80"/>
      <c r="AB169" s="96"/>
      <c r="AC169" s="89" t="str">
        <f>IF(Y169="","",Y169+Assumptions!$C$9/(Assumptions!$C$10+Assumptions!$C$11)*(Z169+Assumptions!$C$10+Assumptions!$C$11))</f>
        <v/>
      </c>
      <c r="AD169" s="94" t="str">
        <f>IF(Y169="","",MAX(G169,IF(E169="Luxury",1,2)+MAX(0,ROUNDUP((Y169-Assumptions!$C$9-IF(E169="Luxury",Assumptions!$C$13,Assumptions!$C$12))/Assumptions!$C$8,0))))</f>
        <v/>
      </c>
      <c r="AE169" s="94" t="str">
        <f>IF(Y169="","",MAX(G169,IF(E169="Luxury",1,2)+MAX(0,ROUNDUP((Y169+Assumptions!$C$9/(Assumptions!$C$10+Assumptions!$C$11)*(AA169+Assumptions!$C$10+Assumptions!$C$11)-Assumptions!$C$9-IF(E169="Luxury",Assumptions!$C$13,Assumptions!$C$12))/Assumptions!$C$8,0))))</f>
        <v/>
      </c>
      <c r="AF169" s="94">
        <f t="shared" si="10"/>
        <v>0</v>
      </c>
      <c r="AG169" s="78"/>
      <c r="AH169" s="94">
        <f t="shared" si="11"/>
        <v>8</v>
      </c>
      <c r="AI169" s="94">
        <f t="shared" si="12"/>
        <v>80</v>
      </c>
      <c r="AJ169" s="95" t="s">
        <v>1720</v>
      </c>
      <c r="AK169" s="97">
        <f>IF(_xlfn.MAXIFS($J$127:$J$181,$D$127:$D$181,D169,$E$127:$E$181,E169)=_xlfn.MINIFS($J$127:$J$181,$D$127:$D$181,D169,$E$127:$E$181,E169),0,-Assumptions!$C$5+2*Assumptions!$C$5*(J169-_xlfn.MINIFS($J$127:$J$181,$D$127:$D$181,D169,$E$127:$E$181,E169))/(_xlfn.MAXIFS($J$127:$J$181,$D$127:$D$181,D169,$E$127:$E$181,E169)-_xlfn.MINIFS($J$127:$J$181,$D$127:$D$181,D169,$E$127:$E$181,E169)))</f>
        <v>50000</v>
      </c>
      <c r="AL169" s="97">
        <f>IF(_xlfn.MAXIFS($K$127:$K$181,$D$127:$D$181,D169,$E$127:$E$181,E169)=_xlfn.MINIFS($K$127:$K$181,$D$127:$D$181,D169,$E$127:$E$181,E169),0,-Assumptions!$C$5+2*Assumptions!$C$5*(K169-_xlfn.MINIFS($K$127:$K$181,$D$127:$D$181,D169,$E$127:$E$181,E169))/(_xlfn.MAXIFS($K$127:$K$181,$D$127:$D$181,D169,$E$127:$E$181,E169)-_xlfn.MINIFS($K$127:$K$181,$D$127:$D$181,D169,$E$127:$E$181,E169)))</f>
        <v>41666.666666666672</v>
      </c>
      <c r="AM169" s="97">
        <f>IF(_xlfn.MAXIFS($O$127:$O$181,$D$127:$D$181,D169,$E$127:$E$181,E169)=_xlfn.MINIFS($O$127:$O$181,$D$127:$D$181,D169,$E$127:$E$181,E169),0,-Assumptions!$C$5+2*Assumptions!$C$5*(O169-_xlfn.MINIFS($O$127:$O$181,$D$127:$D$181,D169,$E$127:$E$181,E169))/(_xlfn.MAXIFS($O$127:$O$181,$D$127:$D$181,D169,$E$127:$E$181,E169)-_xlfn.MINIFS($O$127:$O$181,$D$127:$D$181,D169,$E$127:$E$181,E169)))</f>
        <v>31250</v>
      </c>
    </row>
    <row r="170" spans="1:39" ht="27.75" customHeight="1" x14ac:dyDescent="0.2">
      <c r="A170" s="93">
        <v>44</v>
      </c>
      <c r="B170" s="21">
        <v>9</v>
      </c>
      <c r="C170" s="21" t="s">
        <v>1204</v>
      </c>
      <c r="D170" s="20">
        <v>775</v>
      </c>
      <c r="E170" s="21" t="s">
        <v>62</v>
      </c>
      <c r="F170" s="21" t="s">
        <v>44</v>
      </c>
      <c r="G170" s="21">
        <v>2</v>
      </c>
      <c r="H170" s="21">
        <v>21</v>
      </c>
      <c r="I170" s="84" t="s">
        <v>1532</v>
      </c>
      <c r="J170" s="94">
        <f>IF(L170&lt;&gt;"",0,INDEX(Assumptions!$C$17:$C$21,MATCH(I170,Assumptions!$B$17:$B$21,0)))</f>
        <v>30</v>
      </c>
      <c r="K170" s="94">
        <f>INDEX(Assumptions!$C$17:$C$21,MATCH(I170,Assumptions!$B$17:$B$21,0))+R170</f>
        <v>45</v>
      </c>
      <c r="L170" s="94" t="str">
        <f>IF(AG170&lt;&gt;"",AG170,IF(OR(Y170="",Z170&gt;Assumptions!$C$7),"",MAX(G170,IF(E170="Luxury",1,2)+MAX(0,ROUNDUP((AC170-Assumptions!$C$9-IF(E170="Luxury",Assumptions!$C$13,Assumptions!$C$12))/Assumptions!$C$8,0)))))</f>
        <v/>
      </c>
      <c r="M170" s="95"/>
      <c r="N170" s="94">
        <f>Assumptions!$E$45+1</f>
        <v>8</v>
      </c>
      <c r="O170" s="94">
        <f>INDEX(Assumptions!$C$17:$C$21,MATCH(I170,Assumptions!$B$17:$B$21,0))+T170</f>
        <v>65</v>
      </c>
      <c r="P170" s="94">
        <f>Assumptions!$F$45+1</f>
        <v>16</v>
      </c>
      <c r="Q170" s="15">
        <f>Assumptions!$D$29</f>
        <v>2650</v>
      </c>
      <c r="R170" s="78">
        <v>15</v>
      </c>
      <c r="S170" s="15">
        <f>Assumptions!$R$45</f>
        <v>3250</v>
      </c>
      <c r="T170" s="78">
        <v>35</v>
      </c>
      <c r="U170" s="63">
        <f>Assumptions!$D$45</f>
        <v>2</v>
      </c>
      <c r="V170" s="63">
        <f>Assumptions!$E$45</f>
        <v>7</v>
      </c>
      <c r="W170" s="63">
        <f>Assumptions!$F$45</f>
        <v>15</v>
      </c>
      <c r="X170" s="95" t="s">
        <v>1721</v>
      </c>
      <c r="Y170" s="80"/>
      <c r="Z170" s="80"/>
      <c r="AA170" s="80"/>
      <c r="AB170" s="96"/>
      <c r="AC170" s="89" t="str">
        <f>IF(Y170="","",Y170+Assumptions!$C$9/(Assumptions!$C$10+Assumptions!$C$11)*(Z170+Assumptions!$C$10+Assumptions!$C$11))</f>
        <v/>
      </c>
      <c r="AD170" s="94" t="str">
        <f>IF(Y170="","",MAX(G170,IF(E170="Luxury",1,2)+MAX(0,ROUNDUP((Y170-Assumptions!$C$9-IF(E170="Luxury",Assumptions!$C$13,Assumptions!$C$12))/Assumptions!$C$8,0))))</f>
        <v/>
      </c>
      <c r="AE170" s="94" t="str">
        <f>IF(Y170="","",MAX(G170,IF(E170="Luxury",1,2)+MAX(0,ROUNDUP((Y170+Assumptions!$C$9/(Assumptions!$C$10+Assumptions!$C$11)*(AA170+Assumptions!$C$10+Assumptions!$C$11)-Assumptions!$C$9-IF(E170="Luxury",Assumptions!$C$13,Assumptions!$C$12))/Assumptions!$C$8,0))))</f>
        <v/>
      </c>
      <c r="AF170" s="94">
        <f t="shared" si="10"/>
        <v>30</v>
      </c>
      <c r="AG170" s="78"/>
      <c r="AH170" s="94">
        <f t="shared" si="11"/>
        <v>8</v>
      </c>
      <c r="AI170" s="94">
        <f t="shared" si="12"/>
        <v>65</v>
      </c>
      <c r="AJ170" s="95" t="s">
        <v>1722</v>
      </c>
      <c r="AK170" s="97">
        <f>IF(_xlfn.MAXIFS($J$127:$J$181,$D$127:$D$181,D170,$E$127:$E$181,E170)=_xlfn.MINIFS($J$127:$J$181,$D$127:$D$181,D170,$E$127:$E$181,E170),0,-Assumptions!$C$5+2*Assumptions!$C$5*(J170-_xlfn.MINIFS($J$127:$J$181,$D$127:$D$181,D170,$E$127:$E$181,E170))/(_xlfn.MAXIFS($J$127:$J$181,$D$127:$D$181,D170,$E$127:$E$181,E170)-_xlfn.MINIFS($J$127:$J$181,$D$127:$D$181,D170,$E$127:$E$181,E170)))</f>
        <v>0</v>
      </c>
      <c r="AL170" s="97">
        <f>IF(_xlfn.MAXIFS($K$127:$K$181,$D$127:$D$181,D170,$E$127:$E$181,E170)=_xlfn.MINIFS($K$127:$K$181,$D$127:$D$181,D170,$E$127:$E$181,E170),0,-Assumptions!$C$5+2*Assumptions!$C$5*(K170-_xlfn.MINIFS($K$127:$K$181,$D$127:$D$181,D170,$E$127:$E$181,E170))/(_xlfn.MAXIFS($K$127:$K$181,$D$127:$D$181,D170,$E$127:$E$181,E170)-_xlfn.MINIFS($K$127:$K$181,$D$127:$D$181,D170,$E$127:$E$181,E170)))</f>
        <v>0</v>
      </c>
      <c r="AM170" s="97">
        <f>IF(_xlfn.MAXIFS($O$127:$O$181,$D$127:$D$181,D170,$E$127:$E$181,E170)=_xlfn.MINIFS($O$127:$O$181,$D$127:$D$181,D170,$E$127:$E$181,E170),0,-Assumptions!$C$5+2*Assumptions!$C$5*(O170-_xlfn.MINIFS($O$127:$O$181,$D$127:$D$181,D170,$E$127:$E$181,E170))/(_xlfn.MAXIFS($O$127:$O$181,$D$127:$D$181,D170,$E$127:$E$181,E170)-_xlfn.MINIFS($O$127:$O$181,$D$127:$D$181,D170,$E$127:$E$181,E170)))</f>
        <v>0</v>
      </c>
    </row>
    <row r="171" spans="1:39" ht="27.75" customHeight="1" x14ac:dyDescent="0.2">
      <c r="A171" s="93">
        <v>45</v>
      </c>
      <c r="B171" s="21">
        <v>9</v>
      </c>
      <c r="C171" s="21" t="s">
        <v>1226</v>
      </c>
      <c r="D171" s="20">
        <v>1238</v>
      </c>
      <c r="E171" s="21" t="s">
        <v>62</v>
      </c>
      <c r="F171" s="21" t="s">
        <v>48</v>
      </c>
      <c r="G171" s="21">
        <v>2</v>
      </c>
      <c r="H171" s="21">
        <v>21</v>
      </c>
      <c r="I171" s="84" t="s">
        <v>1530</v>
      </c>
      <c r="J171" s="94">
        <f>IF(L171&lt;&gt;"",0,INDEX(Assumptions!$C$17:$C$21,MATCH(I171,Assumptions!$B$17:$B$21,0)))</f>
        <v>45</v>
      </c>
      <c r="K171" s="94">
        <f>INDEX(Assumptions!$C$17:$C$21,MATCH(I171,Assumptions!$B$17:$B$21,0))+R171</f>
        <v>60</v>
      </c>
      <c r="L171" s="94" t="str">
        <f>IF(AG171&lt;&gt;"",AG171,IF(OR(Y171="",Z171&gt;Assumptions!$C$7),"",MAX(G171,IF(E171="Luxury",1,2)+MAX(0,ROUNDUP((AC171-Assumptions!$C$9-IF(E171="Luxury",Assumptions!$C$13,Assumptions!$C$12))/Assumptions!$C$8,0)))))</f>
        <v/>
      </c>
      <c r="M171" s="95"/>
      <c r="N171" s="94">
        <f>Assumptions!$E$52+1</f>
        <v>8</v>
      </c>
      <c r="O171" s="94">
        <f>INDEX(Assumptions!$C$17:$C$21,MATCH(I171,Assumptions!$B$17:$B$21,0))+T171</f>
        <v>70</v>
      </c>
      <c r="P171" s="94">
        <f>Assumptions!$F$52+1</f>
        <v>16</v>
      </c>
      <c r="Q171" s="15">
        <f>Assumptions!$D$33</f>
        <v>2737</v>
      </c>
      <c r="R171" s="78">
        <v>15</v>
      </c>
      <c r="S171" s="15">
        <f>Assumptions!$R$52</f>
        <v>3250</v>
      </c>
      <c r="T171" s="78">
        <v>25</v>
      </c>
      <c r="U171" s="63">
        <f>Assumptions!$D$52</f>
        <v>2</v>
      </c>
      <c r="V171" s="63">
        <f>Assumptions!$E$52</f>
        <v>7</v>
      </c>
      <c r="W171" s="63">
        <f>Assumptions!$F$52</f>
        <v>15</v>
      </c>
      <c r="X171" s="95" t="s">
        <v>1723</v>
      </c>
      <c r="Y171" s="80"/>
      <c r="Z171" s="80"/>
      <c r="AA171" s="80"/>
      <c r="AB171" s="96"/>
      <c r="AC171" s="89" t="str">
        <f>IF(Y171="","",Y171+Assumptions!$C$9/(Assumptions!$C$10+Assumptions!$C$11)*(Z171+Assumptions!$C$10+Assumptions!$C$11))</f>
        <v/>
      </c>
      <c r="AD171" s="94" t="str">
        <f>IF(Y171="","",MAX(G171,IF(E171="Luxury",1,2)+MAX(0,ROUNDUP((Y171-Assumptions!$C$9-IF(E171="Luxury",Assumptions!$C$13,Assumptions!$C$12))/Assumptions!$C$8,0))))</f>
        <v/>
      </c>
      <c r="AE171" s="94" t="str">
        <f>IF(Y171="","",MAX(G171,IF(E171="Luxury",1,2)+MAX(0,ROUNDUP((Y171+Assumptions!$C$9/(Assumptions!$C$10+Assumptions!$C$11)*(AA171+Assumptions!$C$10+Assumptions!$C$11)-Assumptions!$C$9-IF(E171="Luxury",Assumptions!$C$13,Assumptions!$C$12))/Assumptions!$C$8,0))))</f>
        <v/>
      </c>
      <c r="AF171" s="94">
        <f t="shared" si="10"/>
        <v>0</v>
      </c>
      <c r="AG171" s="78"/>
      <c r="AH171" s="94">
        <f t="shared" si="11"/>
        <v>8</v>
      </c>
      <c r="AI171" s="94">
        <f t="shared" si="12"/>
        <v>70</v>
      </c>
      <c r="AJ171" s="95" t="s">
        <v>1724</v>
      </c>
      <c r="AK171" s="97">
        <f>IF(_xlfn.MAXIFS($J$127:$J$181,$D$127:$D$181,D171,$E$127:$E$181,E171)=_xlfn.MINIFS($J$127:$J$181,$D$127:$D$181,D171,$E$127:$E$181,E171),0,-Assumptions!$C$5+2*Assumptions!$C$5*(J171-_xlfn.MINIFS($J$127:$J$181,$D$127:$D$181,D171,$E$127:$E$181,E171))/(_xlfn.MAXIFS($J$127:$J$181,$D$127:$D$181,D171,$E$127:$E$181,E171)-_xlfn.MINIFS($J$127:$J$181,$D$127:$D$181,D171,$E$127:$E$181,E171)))</f>
        <v>50000</v>
      </c>
      <c r="AL171" s="97">
        <f>IF(_xlfn.MAXIFS($K$127:$K$181,$D$127:$D$181,D171,$E$127:$E$181,E171)=_xlfn.MINIFS($K$127:$K$181,$D$127:$D$181,D171,$E$127:$E$181,E171),0,-Assumptions!$C$5+2*Assumptions!$C$5*(K171-_xlfn.MINIFS($K$127:$K$181,$D$127:$D$181,D171,$E$127:$E$181,E171))/(_xlfn.MAXIFS($K$127:$K$181,$D$127:$D$181,D171,$E$127:$E$181,E171)-_xlfn.MINIFS($K$127:$K$181,$D$127:$D$181,D171,$E$127:$E$181,E171)))</f>
        <v>50000</v>
      </c>
      <c r="AM171" s="97">
        <f>IF(_xlfn.MAXIFS($O$127:$O$181,$D$127:$D$181,D171,$E$127:$E$181,E171)=_xlfn.MINIFS($O$127:$O$181,$D$127:$D$181,D171,$E$127:$E$181,E171),0,-Assumptions!$C$5+2*Assumptions!$C$5*(O171-_xlfn.MINIFS($O$127:$O$181,$D$127:$D$181,D171,$E$127:$E$181,E171))/(_xlfn.MAXIFS($O$127:$O$181,$D$127:$D$181,D171,$E$127:$E$181,E171)-_xlfn.MINIFS($O$127:$O$181,$D$127:$D$181,D171,$E$127:$E$181,E171)))</f>
        <v>50000</v>
      </c>
    </row>
    <row r="172" spans="1:39" ht="27.75" customHeight="1" x14ac:dyDescent="0.2">
      <c r="A172" s="93">
        <v>46</v>
      </c>
      <c r="B172" s="21">
        <v>11</v>
      </c>
      <c r="C172" s="21" t="s">
        <v>1248</v>
      </c>
      <c r="D172" s="20">
        <v>1055</v>
      </c>
      <c r="E172" s="21" t="s">
        <v>62</v>
      </c>
      <c r="F172" s="21" t="s">
        <v>46</v>
      </c>
      <c r="G172" s="21">
        <v>2</v>
      </c>
      <c r="H172" s="21">
        <v>21</v>
      </c>
      <c r="I172" s="84" t="s">
        <v>1536</v>
      </c>
      <c r="J172" s="94">
        <f>IF(L172&lt;&gt;"",0,INDEX(Assumptions!$C$17:$C$21,MATCH(I172,Assumptions!$B$17:$B$21,0)))</f>
        <v>0</v>
      </c>
      <c r="K172" s="94">
        <f>INDEX(Assumptions!$C$17:$C$21,MATCH(I172,Assumptions!$B$17:$B$21,0))+R172</f>
        <v>0</v>
      </c>
      <c r="L172" s="94" t="str">
        <f>IF(AG172&lt;&gt;"",AG172,IF(OR(Y172="",Z172&gt;Assumptions!$C$7),"",MAX(G172,IF(E172="Luxury",1,2)+MAX(0,ROUNDUP((AC172-Assumptions!$C$9-IF(E172="Luxury",Assumptions!$C$13,Assumptions!$C$12))/Assumptions!$C$8,0)))))</f>
        <v/>
      </c>
      <c r="M172" s="95"/>
      <c r="N172" s="94">
        <f>Assumptions!$E$49+1</f>
        <v>9</v>
      </c>
      <c r="O172" s="94">
        <f>INDEX(Assumptions!$C$17:$C$21,MATCH(I172,Assumptions!$B$17:$B$21,0))+T172</f>
        <v>5</v>
      </c>
      <c r="P172" s="94">
        <f>Assumptions!$F$49+1</f>
        <v>17</v>
      </c>
      <c r="Q172" s="15">
        <f>Assumptions!$D$31</f>
        <v>2633</v>
      </c>
      <c r="R172" s="78">
        <v>0</v>
      </c>
      <c r="S172" s="15">
        <f>Assumptions!$R$49</f>
        <v>3250</v>
      </c>
      <c r="T172" s="78">
        <v>5</v>
      </c>
      <c r="U172" s="63">
        <f>Assumptions!$D$49</f>
        <v>2</v>
      </c>
      <c r="V172" s="63">
        <f>Assumptions!$E$49</f>
        <v>8</v>
      </c>
      <c r="W172" s="63">
        <f>Assumptions!$F$49</f>
        <v>16</v>
      </c>
      <c r="X172" s="95" t="s">
        <v>1725</v>
      </c>
      <c r="Y172" s="80"/>
      <c r="Z172" s="80"/>
      <c r="AA172" s="80"/>
      <c r="AB172" s="96"/>
      <c r="AC172" s="89" t="str">
        <f>IF(Y172="","",Y172+Assumptions!$C$9/(Assumptions!$C$10+Assumptions!$C$11)*(Z172+Assumptions!$C$10+Assumptions!$C$11))</f>
        <v/>
      </c>
      <c r="AD172" s="94" t="str">
        <f>IF(Y172="","",MAX(G172,IF(E172="Luxury",1,2)+MAX(0,ROUNDUP((Y172-Assumptions!$C$9-IF(E172="Luxury",Assumptions!$C$13,Assumptions!$C$12))/Assumptions!$C$8,0))))</f>
        <v/>
      </c>
      <c r="AE172" s="94" t="str">
        <f>IF(Y172="","",MAX(G172,IF(E172="Luxury",1,2)+MAX(0,ROUNDUP((Y172+Assumptions!$C$9/(Assumptions!$C$10+Assumptions!$C$11)*(AA172+Assumptions!$C$10+Assumptions!$C$11)-Assumptions!$C$9-IF(E172="Luxury",Assumptions!$C$13,Assumptions!$C$12))/Assumptions!$C$8,0))))</f>
        <v/>
      </c>
      <c r="AF172" s="94">
        <f t="shared" si="10"/>
        <v>0</v>
      </c>
      <c r="AG172" s="78"/>
      <c r="AH172" s="94">
        <f t="shared" si="11"/>
        <v>9</v>
      </c>
      <c r="AI172" s="94">
        <f t="shared" si="12"/>
        <v>80</v>
      </c>
      <c r="AJ172" s="95" t="s">
        <v>1726</v>
      </c>
      <c r="AK172" s="97">
        <f>IF(_xlfn.MAXIFS($J$127:$J$181,$D$127:$D$181,D172,$E$127:$E$181,E172)=_xlfn.MINIFS($J$127:$J$181,$D$127:$D$181,D172,$E$127:$E$181,E172),0,-Assumptions!$C$5+2*Assumptions!$C$5*(J172-_xlfn.MINIFS($J$127:$J$181,$D$127:$D$181,D172,$E$127:$E$181,E172))/(_xlfn.MAXIFS($J$127:$J$181,$D$127:$D$181,D172,$E$127:$E$181,E172)-_xlfn.MINIFS($J$127:$J$181,$D$127:$D$181,D172,$E$127:$E$181,E172)))</f>
        <v>-50000</v>
      </c>
      <c r="AL172" s="97">
        <f>IF(_xlfn.MAXIFS($K$127:$K$181,$D$127:$D$181,D172,$E$127:$E$181,E172)=_xlfn.MINIFS($K$127:$K$181,$D$127:$D$181,D172,$E$127:$E$181,E172),0,-Assumptions!$C$5+2*Assumptions!$C$5*(K172-_xlfn.MINIFS($K$127:$K$181,$D$127:$D$181,D172,$E$127:$E$181,E172))/(_xlfn.MAXIFS($K$127:$K$181,$D$127:$D$181,D172,$E$127:$E$181,E172)-_xlfn.MINIFS($K$127:$K$181,$D$127:$D$181,D172,$E$127:$E$181,E172)))</f>
        <v>-50000</v>
      </c>
      <c r="AM172" s="97">
        <f>IF(_xlfn.MAXIFS($O$127:$O$181,$D$127:$D$181,D172,$E$127:$E$181,E172)=_xlfn.MINIFS($O$127:$O$181,$D$127:$D$181,D172,$E$127:$E$181,E172),0,-Assumptions!$C$5+2*Assumptions!$C$5*(O172-_xlfn.MINIFS($O$127:$O$181,$D$127:$D$181,D172,$E$127:$E$181,E172))/(_xlfn.MAXIFS($O$127:$O$181,$D$127:$D$181,D172,$E$127:$E$181,E172)-_xlfn.MINIFS($O$127:$O$181,$D$127:$D$181,D172,$E$127:$E$181,E172)))</f>
        <v>-50000</v>
      </c>
    </row>
    <row r="173" spans="1:39" ht="27.75" customHeight="1" x14ac:dyDescent="0.2">
      <c r="A173" s="93">
        <v>47</v>
      </c>
      <c r="B173" s="21">
        <v>11</v>
      </c>
      <c r="C173" s="21" t="s">
        <v>137</v>
      </c>
      <c r="D173" s="20">
        <v>678</v>
      </c>
      <c r="E173" s="21" t="s">
        <v>62</v>
      </c>
      <c r="F173" s="21" t="s">
        <v>43</v>
      </c>
      <c r="G173" s="21">
        <v>2</v>
      </c>
      <c r="H173" s="21">
        <v>21</v>
      </c>
      <c r="I173" s="84" t="s">
        <v>1536</v>
      </c>
      <c r="J173" s="94">
        <f>IF(L173&lt;&gt;"",0,INDEX(Assumptions!$C$17:$C$21,MATCH(I173,Assumptions!$B$17:$B$21,0)))</f>
        <v>0</v>
      </c>
      <c r="K173" s="94">
        <f>INDEX(Assumptions!$C$17:$C$21,MATCH(I173,Assumptions!$B$17:$B$21,0))+R173</f>
        <v>5</v>
      </c>
      <c r="L173" s="94">
        <f>IF(AG173&lt;&gt;"",AG173,IF(OR(Y173="",Z173&gt;Assumptions!$C$7),"",MAX(G173,IF(E173="Luxury",1,2)+MAX(0,ROUNDUP((AC173-Assumptions!$C$9-IF(E173="Luxury",Assumptions!$C$13,Assumptions!$C$12))/Assumptions!$C$8,0)))))</f>
        <v>4</v>
      </c>
      <c r="M173" s="95" t="s">
        <v>1727</v>
      </c>
      <c r="N173" s="94">
        <f>Assumptions!$E$41+1</f>
        <v>8</v>
      </c>
      <c r="O173" s="94">
        <f>INDEX(Assumptions!$C$17:$C$21,MATCH(I173,Assumptions!$B$17:$B$21,0))+T173</f>
        <v>10</v>
      </c>
      <c r="P173" s="94">
        <f>Assumptions!$F$41+1</f>
        <v>16</v>
      </c>
      <c r="Q173" s="15">
        <f>Assumptions!$D$27</f>
        <v>2613</v>
      </c>
      <c r="R173" s="78">
        <v>5</v>
      </c>
      <c r="S173" s="15">
        <f>Assumptions!$R$41</f>
        <v>3250</v>
      </c>
      <c r="T173" s="78">
        <v>10</v>
      </c>
      <c r="U173" s="63">
        <f>Assumptions!$D$41</f>
        <v>2</v>
      </c>
      <c r="V173" s="63">
        <f>Assumptions!$E$41</f>
        <v>7</v>
      </c>
      <c r="W173" s="63">
        <f>Assumptions!$F$41</f>
        <v>15</v>
      </c>
      <c r="X173" s="95" t="s">
        <v>1728</v>
      </c>
      <c r="Y173" s="80">
        <v>13.5</v>
      </c>
      <c r="Z173" s="80">
        <v>21.6</v>
      </c>
      <c r="AA173" s="80">
        <v>28.5</v>
      </c>
      <c r="AB173" s="96">
        <v>0.21</v>
      </c>
      <c r="AC173" s="89">
        <f>IF(Y173="","",Y173+Assumptions!$C$9/(Assumptions!$C$10+Assumptions!$C$11)*(Z173+Assumptions!$C$10+Assumptions!$C$11))</f>
        <v>22.012</v>
      </c>
      <c r="AD173" s="94">
        <f>IF(Y173="","",MAX(G173,IF(E173="Luxury",1,2)+MAX(0,ROUNDUP((Y173-Assumptions!$C$9-IF(E173="Luxury",Assumptions!$C$13,Assumptions!$C$12))/Assumptions!$C$8,0))))</f>
        <v>2</v>
      </c>
      <c r="AE173" s="94">
        <f>IF(Y173="","",MAX(G173,IF(E173="Luxury",1,2)+MAX(0,ROUNDUP((Y173+Assumptions!$C$9/(Assumptions!$C$10+Assumptions!$C$11)*(AA173+Assumptions!$C$10+Assumptions!$C$11)-Assumptions!$C$9-IF(E173="Luxury",Assumptions!$C$13,Assumptions!$C$12))/Assumptions!$C$8,0))))</f>
        <v>5</v>
      </c>
      <c r="AF173" s="94">
        <f t="shared" si="10"/>
        <v>0</v>
      </c>
      <c r="AG173" s="78"/>
      <c r="AH173" s="94">
        <f t="shared" si="11"/>
        <v>8</v>
      </c>
      <c r="AI173" s="94">
        <f t="shared" si="12"/>
        <v>80</v>
      </c>
      <c r="AJ173" s="95" t="s">
        <v>1729</v>
      </c>
      <c r="AK173" s="97">
        <f>IF(_xlfn.MAXIFS($J$127:$J$181,$D$127:$D$181,D173,$E$127:$E$181,E173)=_xlfn.MINIFS($J$127:$J$181,$D$127:$D$181,D173,$E$127:$E$181,E173),0,-Assumptions!$C$5+2*Assumptions!$C$5*(J173-_xlfn.MINIFS($J$127:$J$181,$D$127:$D$181,D173,$E$127:$E$181,E173))/(_xlfn.MAXIFS($J$127:$J$181,$D$127:$D$181,D173,$E$127:$E$181,E173)-_xlfn.MINIFS($J$127:$J$181,$D$127:$D$181,D173,$E$127:$E$181,E173)))</f>
        <v>-50000</v>
      </c>
      <c r="AL173" s="97">
        <f>IF(_xlfn.MAXIFS($K$127:$K$181,$D$127:$D$181,D173,$E$127:$E$181,E173)=_xlfn.MINIFS($K$127:$K$181,$D$127:$D$181,D173,$E$127:$E$181,E173),0,-Assumptions!$C$5+2*Assumptions!$C$5*(K173-_xlfn.MINIFS($K$127:$K$181,$D$127:$D$181,D173,$E$127:$E$181,E173))/(_xlfn.MAXIFS($K$127:$K$181,$D$127:$D$181,D173,$E$127:$E$181,E173)-_xlfn.MINIFS($K$127:$K$181,$D$127:$D$181,D173,$E$127:$E$181,E173)))</f>
        <v>-41666.666666666664</v>
      </c>
      <c r="AM173" s="97">
        <f>IF(_xlfn.MAXIFS($O$127:$O$181,$D$127:$D$181,D173,$E$127:$E$181,E173)=_xlfn.MINIFS($O$127:$O$181,$D$127:$D$181,D173,$E$127:$E$181,E173),0,-Assumptions!$C$5+2*Assumptions!$C$5*(O173-_xlfn.MINIFS($O$127:$O$181,$D$127:$D$181,D173,$E$127:$E$181,E173))/(_xlfn.MAXIFS($O$127:$O$181,$D$127:$D$181,D173,$E$127:$E$181,E173)-_xlfn.MINIFS($O$127:$O$181,$D$127:$D$181,D173,$E$127:$E$181,E173)))</f>
        <v>-37500</v>
      </c>
    </row>
    <row r="174" spans="1:39" ht="27.75" customHeight="1" x14ac:dyDescent="0.2">
      <c r="A174" s="93">
        <v>48</v>
      </c>
      <c r="B174" s="21">
        <v>11</v>
      </c>
      <c r="C174" s="21" t="s">
        <v>1290</v>
      </c>
      <c r="D174" s="20">
        <v>678</v>
      </c>
      <c r="E174" s="21" t="s">
        <v>62</v>
      </c>
      <c r="F174" s="21" t="s">
        <v>43</v>
      </c>
      <c r="G174" s="21">
        <v>2</v>
      </c>
      <c r="H174" s="21">
        <v>21</v>
      </c>
      <c r="I174" s="84" t="s">
        <v>1536</v>
      </c>
      <c r="J174" s="94">
        <f>IF(L174&lt;&gt;"",0,INDEX(Assumptions!$C$17:$C$21,MATCH(I174,Assumptions!$B$17:$B$21,0)))</f>
        <v>0</v>
      </c>
      <c r="K174" s="94">
        <f>INDEX(Assumptions!$C$17:$C$21,MATCH(I174,Assumptions!$B$17:$B$21,0))+R174</f>
        <v>5</v>
      </c>
      <c r="L174" s="94">
        <f>IF(AG174&lt;&gt;"",AG174,IF(OR(Y174="",Z174&gt;Assumptions!$C$7),"",MAX(G174,IF(E174="Luxury",1,2)+MAX(0,ROUNDUP((AC174-Assumptions!$C$9-IF(E174="Luxury",Assumptions!$C$13,Assumptions!$C$12))/Assumptions!$C$8,0)))))</f>
        <v>5</v>
      </c>
      <c r="M174" s="95" t="s">
        <v>1730</v>
      </c>
      <c r="N174" s="94">
        <f>Assumptions!$E$41+1</f>
        <v>8</v>
      </c>
      <c r="O174" s="94">
        <f>INDEX(Assumptions!$C$17:$C$21,MATCH(I174,Assumptions!$B$17:$B$21,0))+T174</f>
        <v>10</v>
      </c>
      <c r="P174" s="94">
        <f>Assumptions!$F$41+1</f>
        <v>16</v>
      </c>
      <c r="Q174" s="15">
        <f>Assumptions!$D$27</f>
        <v>2613</v>
      </c>
      <c r="R174" s="78">
        <v>5</v>
      </c>
      <c r="S174" s="15">
        <f>Assumptions!$R$41</f>
        <v>3250</v>
      </c>
      <c r="T174" s="78">
        <v>10</v>
      </c>
      <c r="U174" s="63">
        <f>Assumptions!$D$41</f>
        <v>2</v>
      </c>
      <c r="V174" s="63">
        <f>Assumptions!$E$41</f>
        <v>7</v>
      </c>
      <c r="W174" s="63">
        <f>Assumptions!$F$41</f>
        <v>15</v>
      </c>
      <c r="X174" s="95" t="s">
        <v>1728</v>
      </c>
      <c r="Y174" s="80">
        <v>13.5</v>
      </c>
      <c r="Z174" s="80">
        <v>23.5</v>
      </c>
      <c r="AA174" s="80">
        <v>30.3</v>
      </c>
      <c r="AB174" s="96">
        <v>0.2</v>
      </c>
      <c r="AC174" s="89">
        <f>IF(Y174="","",Y174+Assumptions!$C$9/(Assumptions!$C$10+Assumptions!$C$11)*(Z174+Assumptions!$C$10+Assumptions!$C$11))</f>
        <v>22.62</v>
      </c>
      <c r="AD174" s="94">
        <f>IF(Y174="","",MAX(G174,IF(E174="Luxury",1,2)+MAX(0,ROUNDUP((Y174-Assumptions!$C$9-IF(E174="Luxury",Assumptions!$C$13,Assumptions!$C$12))/Assumptions!$C$8,0))))</f>
        <v>2</v>
      </c>
      <c r="AE174" s="94">
        <f>IF(Y174="","",MAX(G174,IF(E174="Luxury",1,2)+MAX(0,ROUNDUP((Y174+Assumptions!$C$9/(Assumptions!$C$10+Assumptions!$C$11)*(AA174+Assumptions!$C$10+Assumptions!$C$11)-Assumptions!$C$9-IF(E174="Luxury",Assumptions!$C$13,Assumptions!$C$12))/Assumptions!$C$8,0))))</f>
        <v>5</v>
      </c>
      <c r="AF174" s="94">
        <f t="shared" si="10"/>
        <v>0</v>
      </c>
      <c r="AG174" s="78"/>
      <c r="AH174" s="94">
        <f t="shared" si="11"/>
        <v>8</v>
      </c>
      <c r="AI174" s="94">
        <f t="shared" si="12"/>
        <v>80</v>
      </c>
      <c r="AJ174" s="95" t="s">
        <v>1729</v>
      </c>
      <c r="AK174" s="97">
        <f>IF(_xlfn.MAXIFS($J$127:$J$181,$D$127:$D$181,D174,$E$127:$E$181,E174)=_xlfn.MINIFS($J$127:$J$181,$D$127:$D$181,D174,$E$127:$E$181,E174),0,-Assumptions!$C$5+2*Assumptions!$C$5*(J174-_xlfn.MINIFS($J$127:$J$181,$D$127:$D$181,D174,$E$127:$E$181,E174))/(_xlfn.MAXIFS($J$127:$J$181,$D$127:$D$181,D174,$E$127:$E$181,E174)-_xlfn.MINIFS($J$127:$J$181,$D$127:$D$181,D174,$E$127:$E$181,E174)))</f>
        <v>-50000</v>
      </c>
      <c r="AL174" s="97">
        <f>IF(_xlfn.MAXIFS($K$127:$K$181,$D$127:$D$181,D174,$E$127:$E$181,E174)=_xlfn.MINIFS($K$127:$K$181,$D$127:$D$181,D174,$E$127:$E$181,E174),0,-Assumptions!$C$5+2*Assumptions!$C$5*(K174-_xlfn.MINIFS($K$127:$K$181,$D$127:$D$181,D174,$E$127:$E$181,E174))/(_xlfn.MAXIFS($K$127:$K$181,$D$127:$D$181,D174,$E$127:$E$181,E174)-_xlfn.MINIFS($K$127:$K$181,$D$127:$D$181,D174,$E$127:$E$181,E174)))</f>
        <v>-41666.666666666664</v>
      </c>
      <c r="AM174" s="97">
        <f>IF(_xlfn.MAXIFS($O$127:$O$181,$D$127:$D$181,D174,$E$127:$E$181,E174)=_xlfn.MINIFS($O$127:$O$181,$D$127:$D$181,D174,$E$127:$E$181,E174),0,-Assumptions!$C$5+2*Assumptions!$C$5*(O174-_xlfn.MINIFS($O$127:$O$181,$D$127:$D$181,D174,$E$127:$E$181,E174))/(_xlfn.MAXIFS($O$127:$O$181,$D$127:$D$181,D174,$E$127:$E$181,E174)-_xlfn.MINIFS($O$127:$O$181,$D$127:$D$181,D174,$E$127:$E$181,E174)))</f>
        <v>-37500</v>
      </c>
    </row>
    <row r="175" spans="1:39" ht="27.75" customHeight="1" x14ac:dyDescent="0.2">
      <c r="A175" s="93">
        <v>49</v>
      </c>
      <c r="B175" s="21">
        <v>11</v>
      </c>
      <c r="C175" s="21" t="s">
        <v>1290</v>
      </c>
      <c r="D175" s="20">
        <v>678</v>
      </c>
      <c r="E175" s="21" t="s">
        <v>62</v>
      </c>
      <c r="F175" s="21" t="s">
        <v>43</v>
      </c>
      <c r="G175" s="21">
        <v>2</v>
      </c>
      <c r="H175" s="21">
        <v>21</v>
      </c>
      <c r="I175" s="84" t="s">
        <v>1536</v>
      </c>
      <c r="J175" s="94">
        <f>IF(L175&lt;&gt;"",0,INDEX(Assumptions!$C$17:$C$21,MATCH(I175,Assumptions!$B$17:$B$21,0)))</f>
        <v>0</v>
      </c>
      <c r="K175" s="94">
        <f>INDEX(Assumptions!$C$17:$C$21,MATCH(I175,Assumptions!$B$17:$B$21,0))+R175</f>
        <v>5</v>
      </c>
      <c r="L175" s="94">
        <f>IF(AG175&lt;&gt;"",AG175,IF(OR(Y175="",Z175&gt;Assumptions!$C$7),"",MAX(G175,IF(E175="Luxury",1,2)+MAX(0,ROUNDUP((AC175-Assumptions!$C$9-IF(E175="Luxury",Assumptions!$C$13,Assumptions!$C$12))/Assumptions!$C$8,0)))))</f>
        <v>5</v>
      </c>
      <c r="M175" s="95" t="s">
        <v>1731</v>
      </c>
      <c r="N175" s="94">
        <f>Assumptions!$E$41+1</f>
        <v>8</v>
      </c>
      <c r="O175" s="94">
        <f>INDEX(Assumptions!$C$17:$C$21,MATCH(I175,Assumptions!$B$17:$B$21,0))+T175</f>
        <v>10</v>
      </c>
      <c r="P175" s="94">
        <f>Assumptions!$F$41+1</f>
        <v>16</v>
      </c>
      <c r="Q175" s="15">
        <f>Assumptions!$D$27</f>
        <v>2613</v>
      </c>
      <c r="R175" s="78">
        <v>5</v>
      </c>
      <c r="S175" s="15">
        <f>Assumptions!$R$41</f>
        <v>3250</v>
      </c>
      <c r="T175" s="78">
        <v>10</v>
      </c>
      <c r="U175" s="63">
        <f>Assumptions!$D$41</f>
        <v>2</v>
      </c>
      <c r="V175" s="63">
        <f>Assumptions!$E$41</f>
        <v>7</v>
      </c>
      <c r="W175" s="63">
        <f>Assumptions!$F$41</f>
        <v>15</v>
      </c>
      <c r="X175" s="95" t="s">
        <v>1728</v>
      </c>
      <c r="Y175" s="80">
        <v>13.5</v>
      </c>
      <c r="Z175" s="80">
        <v>27.7</v>
      </c>
      <c r="AA175" s="80">
        <v>34.700000000000003</v>
      </c>
      <c r="AB175" s="96">
        <v>0.15</v>
      </c>
      <c r="AC175" s="89">
        <f>IF(Y175="","",Y175+Assumptions!$C$9/(Assumptions!$C$10+Assumptions!$C$11)*(Z175+Assumptions!$C$10+Assumptions!$C$11))</f>
        <v>23.963999999999999</v>
      </c>
      <c r="AD175" s="94">
        <f>IF(Y175="","",MAX(G175,IF(E175="Luxury",1,2)+MAX(0,ROUNDUP((Y175-Assumptions!$C$9-IF(E175="Luxury",Assumptions!$C$13,Assumptions!$C$12))/Assumptions!$C$8,0))))</f>
        <v>2</v>
      </c>
      <c r="AE175" s="94">
        <f>IF(Y175="","",MAX(G175,IF(E175="Luxury",1,2)+MAX(0,ROUNDUP((Y175+Assumptions!$C$9/(Assumptions!$C$10+Assumptions!$C$11)*(AA175+Assumptions!$C$10+Assumptions!$C$11)-Assumptions!$C$9-IF(E175="Luxury",Assumptions!$C$13,Assumptions!$C$12))/Assumptions!$C$8,0))))</f>
        <v>6</v>
      </c>
      <c r="AF175" s="94">
        <f t="shared" si="10"/>
        <v>0</v>
      </c>
      <c r="AG175" s="78"/>
      <c r="AH175" s="94">
        <f t="shared" si="11"/>
        <v>8</v>
      </c>
      <c r="AI175" s="94">
        <f t="shared" si="12"/>
        <v>80</v>
      </c>
      <c r="AJ175" s="95" t="s">
        <v>1729</v>
      </c>
      <c r="AK175" s="97">
        <f>IF(_xlfn.MAXIFS($J$127:$J$181,$D$127:$D$181,D175,$E$127:$E$181,E175)=_xlfn.MINIFS($J$127:$J$181,$D$127:$D$181,D175,$E$127:$E$181,E175),0,-Assumptions!$C$5+2*Assumptions!$C$5*(J175-_xlfn.MINIFS($J$127:$J$181,$D$127:$D$181,D175,$E$127:$E$181,E175))/(_xlfn.MAXIFS($J$127:$J$181,$D$127:$D$181,D175,$E$127:$E$181,E175)-_xlfn.MINIFS($J$127:$J$181,$D$127:$D$181,D175,$E$127:$E$181,E175)))</f>
        <v>-50000</v>
      </c>
      <c r="AL175" s="97">
        <f>IF(_xlfn.MAXIFS($K$127:$K$181,$D$127:$D$181,D175,$E$127:$E$181,E175)=_xlfn.MINIFS($K$127:$K$181,$D$127:$D$181,D175,$E$127:$E$181,E175),0,-Assumptions!$C$5+2*Assumptions!$C$5*(K175-_xlfn.MINIFS($K$127:$K$181,$D$127:$D$181,D175,$E$127:$E$181,E175))/(_xlfn.MAXIFS($K$127:$K$181,$D$127:$D$181,D175,$E$127:$E$181,E175)-_xlfn.MINIFS($K$127:$K$181,$D$127:$D$181,D175,$E$127:$E$181,E175)))</f>
        <v>-41666.666666666664</v>
      </c>
      <c r="AM175" s="97">
        <f>IF(_xlfn.MAXIFS($O$127:$O$181,$D$127:$D$181,D175,$E$127:$E$181,E175)=_xlfn.MINIFS($O$127:$O$181,$D$127:$D$181,D175,$E$127:$E$181,E175),0,-Assumptions!$C$5+2*Assumptions!$C$5*(O175-_xlfn.MINIFS($O$127:$O$181,$D$127:$D$181,D175,$E$127:$E$181,E175))/(_xlfn.MAXIFS($O$127:$O$181,$D$127:$D$181,D175,$E$127:$E$181,E175)-_xlfn.MINIFS($O$127:$O$181,$D$127:$D$181,D175,$E$127:$E$181,E175)))</f>
        <v>-37500</v>
      </c>
    </row>
    <row r="176" spans="1:39" ht="27.75" customHeight="1" x14ac:dyDescent="0.2">
      <c r="A176" s="93">
        <v>50</v>
      </c>
      <c r="B176" s="21">
        <v>11</v>
      </c>
      <c r="C176" s="21" t="s">
        <v>1332</v>
      </c>
      <c r="D176" s="20">
        <v>1055</v>
      </c>
      <c r="E176" s="21" t="s">
        <v>62</v>
      </c>
      <c r="F176" s="21" t="s">
        <v>46</v>
      </c>
      <c r="G176" s="21">
        <v>2</v>
      </c>
      <c r="H176" s="21">
        <v>21</v>
      </c>
      <c r="I176" s="84" t="s">
        <v>1532</v>
      </c>
      <c r="J176" s="94">
        <f>IF(L176&lt;&gt;"",0,INDEX(Assumptions!$C$17:$C$21,MATCH(I176,Assumptions!$B$17:$B$21,0)))</f>
        <v>0</v>
      </c>
      <c r="K176" s="94">
        <f>INDEX(Assumptions!$C$17:$C$21,MATCH(I176,Assumptions!$B$17:$B$21,0))+R176</f>
        <v>45</v>
      </c>
      <c r="L176" s="94">
        <f>IF(AG176&lt;&gt;"",AG176,IF(OR(Y176="",Z176&gt;Assumptions!$C$7),"",MAX(G176,IF(E176="Luxury",1,2)+MAX(0,ROUNDUP((AC176-Assumptions!$C$9-IF(E176="Luxury",Assumptions!$C$13,Assumptions!$C$12))/Assumptions!$C$8,0)))))</f>
        <v>10</v>
      </c>
      <c r="M176" s="95" t="s">
        <v>1732</v>
      </c>
      <c r="N176" s="78">
        <v>10</v>
      </c>
      <c r="O176" s="94">
        <f>INDEX(Assumptions!$C$17:$C$21,MATCH(I176,Assumptions!$B$17:$B$21,0))+T176</f>
        <v>50</v>
      </c>
      <c r="P176" s="94">
        <f>Assumptions!$F$49+1</f>
        <v>17</v>
      </c>
      <c r="Q176" s="15">
        <f>Assumptions!$D$31</f>
        <v>2633</v>
      </c>
      <c r="R176" s="78">
        <v>15</v>
      </c>
      <c r="S176" s="15">
        <f>Assumptions!$R$49</f>
        <v>3250</v>
      </c>
      <c r="T176" s="78">
        <v>20</v>
      </c>
      <c r="U176" s="63">
        <f>Assumptions!$D$49</f>
        <v>2</v>
      </c>
      <c r="V176" s="63">
        <f>Assumptions!$E$49</f>
        <v>8</v>
      </c>
      <c r="W176" s="63">
        <f>Assumptions!$F$49</f>
        <v>16</v>
      </c>
      <c r="X176" s="95" t="s">
        <v>1733</v>
      </c>
      <c r="Y176" s="80"/>
      <c r="Z176" s="80"/>
      <c r="AA176" s="80"/>
      <c r="AB176" s="96"/>
      <c r="AC176" s="89" t="str">
        <f>IF(Y176="","",Y176+Assumptions!$C$9/(Assumptions!$C$10+Assumptions!$C$11)*(Z176+Assumptions!$C$10+Assumptions!$C$11))</f>
        <v/>
      </c>
      <c r="AD176" s="94" t="str">
        <f>IF(Y176="","",MAX(G176,IF(E176="Luxury",1,2)+MAX(0,ROUNDUP((Y176-Assumptions!$C$9-IF(E176="Luxury",Assumptions!$C$13,Assumptions!$C$12))/Assumptions!$C$8,0))))</f>
        <v/>
      </c>
      <c r="AE176" s="94" t="str">
        <f>IF(Y176="","",MAX(G176,IF(E176="Luxury",1,2)+MAX(0,ROUNDUP((Y176+Assumptions!$C$9/(Assumptions!$C$10+Assumptions!$C$11)*(AA176+Assumptions!$C$10+Assumptions!$C$11)-Assumptions!$C$9-IF(E176="Luxury",Assumptions!$C$13,Assumptions!$C$12))/Assumptions!$C$8,0))))</f>
        <v/>
      </c>
      <c r="AF176" s="94">
        <f t="shared" si="10"/>
        <v>0</v>
      </c>
      <c r="AG176" s="78">
        <v>10</v>
      </c>
      <c r="AH176" s="94">
        <f t="shared" si="11"/>
        <v>10</v>
      </c>
      <c r="AI176" s="94">
        <f t="shared" si="12"/>
        <v>80</v>
      </c>
      <c r="AJ176" s="95" t="s">
        <v>1734</v>
      </c>
      <c r="AK176" s="97">
        <f>IF(_xlfn.MAXIFS($J$127:$J$181,$D$127:$D$181,D176,$E$127:$E$181,E176)=_xlfn.MINIFS($J$127:$J$181,$D$127:$D$181,D176,$E$127:$E$181,E176),0,-Assumptions!$C$5+2*Assumptions!$C$5*(J176-_xlfn.MINIFS($J$127:$J$181,$D$127:$D$181,D176,$E$127:$E$181,E176))/(_xlfn.MAXIFS($J$127:$J$181,$D$127:$D$181,D176,$E$127:$E$181,E176)-_xlfn.MINIFS($J$127:$J$181,$D$127:$D$181,D176,$E$127:$E$181,E176)))</f>
        <v>-50000</v>
      </c>
      <c r="AL176" s="97">
        <f>IF(_xlfn.MAXIFS($K$127:$K$181,$D$127:$D$181,D176,$E$127:$E$181,E176)=_xlfn.MINIFS($K$127:$K$181,$D$127:$D$181,D176,$E$127:$E$181,E176),0,-Assumptions!$C$5+2*Assumptions!$C$5*(K176-_xlfn.MINIFS($K$127:$K$181,$D$127:$D$181,D176,$E$127:$E$181,E176))/(_xlfn.MAXIFS($K$127:$K$181,$D$127:$D$181,D176,$E$127:$E$181,E176)-_xlfn.MINIFS($K$127:$K$181,$D$127:$D$181,D176,$E$127:$E$181,E176)))</f>
        <v>31818.181818181823</v>
      </c>
      <c r="AM176" s="97">
        <f>IF(_xlfn.MAXIFS($O$127:$O$181,$D$127:$D$181,D176,$E$127:$E$181,E176)=_xlfn.MINIFS($O$127:$O$181,$D$127:$D$181,D176,$E$127:$E$181,E176),0,-Assumptions!$C$5+2*Assumptions!$C$5*(O176-_xlfn.MINIFS($O$127:$O$181,$D$127:$D$181,D176,$E$127:$E$181,E176))/(_xlfn.MAXIFS($O$127:$O$181,$D$127:$D$181,D176,$E$127:$E$181,E176)-_xlfn.MINIFS($O$127:$O$181,$D$127:$D$181,D176,$E$127:$E$181,E176)))</f>
        <v>10000</v>
      </c>
    </row>
    <row r="177" spans="1:39" ht="27.75" customHeight="1" x14ac:dyDescent="0.2">
      <c r="A177" s="93">
        <v>51</v>
      </c>
      <c r="B177" s="21">
        <v>11</v>
      </c>
      <c r="C177" s="21" t="s">
        <v>1354</v>
      </c>
      <c r="D177" s="20">
        <v>1055</v>
      </c>
      <c r="E177" s="21" t="s">
        <v>62</v>
      </c>
      <c r="F177" s="21" t="s">
        <v>46</v>
      </c>
      <c r="G177" s="21">
        <v>2</v>
      </c>
      <c r="H177" s="21">
        <v>21</v>
      </c>
      <c r="I177" s="84" t="s">
        <v>1532</v>
      </c>
      <c r="J177" s="94">
        <f>IF(L177&lt;&gt;"",0,INDEX(Assumptions!$C$17:$C$21,MATCH(I177,Assumptions!$B$17:$B$21,0)))</f>
        <v>0</v>
      </c>
      <c r="K177" s="94">
        <f>INDEX(Assumptions!$C$17:$C$21,MATCH(I177,Assumptions!$B$17:$B$21,0))+R177</f>
        <v>45</v>
      </c>
      <c r="L177" s="94">
        <f>IF(AG177&lt;&gt;"",AG177,IF(OR(Y177="",Z177&gt;Assumptions!$C$7),"",MAX(G177,IF(E177="Luxury",1,2)+MAX(0,ROUNDUP((AC177-Assumptions!$C$9-IF(E177="Luxury",Assumptions!$C$13,Assumptions!$C$12))/Assumptions!$C$8,0)))))</f>
        <v>10</v>
      </c>
      <c r="M177" s="95" t="s">
        <v>1732</v>
      </c>
      <c r="N177" s="78">
        <v>10</v>
      </c>
      <c r="O177" s="94">
        <f>INDEX(Assumptions!$C$17:$C$21,MATCH(I177,Assumptions!$B$17:$B$21,0))+T177</f>
        <v>50</v>
      </c>
      <c r="P177" s="94">
        <f>Assumptions!$F$49+1</f>
        <v>17</v>
      </c>
      <c r="Q177" s="15">
        <f>Assumptions!$D$31</f>
        <v>2633</v>
      </c>
      <c r="R177" s="78">
        <v>15</v>
      </c>
      <c r="S177" s="15">
        <f>Assumptions!$R$49</f>
        <v>3250</v>
      </c>
      <c r="T177" s="78">
        <v>20</v>
      </c>
      <c r="U177" s="63">
        <f>Assumptions!$D$49</f>
        <v>2</v>
      </c>
      <c r="V177" s="63">
        <f>Assumptions!$E$49</f>
        <v>8</v>
      </c>
      <c r="W177" s="63">
        <f>Assumptions!$F$49</f>
        <v>16</v>
      </c>
      <c r="X177" s="95" t="s">
        <v>1733</v>
      </c>
      <c r="Y177" s="80"/>
      <c r="Z177" s="80"/>
      <c r="AA177" s="80"/>
      <c r="AB177" s="96"/>
      <c r="AC177" s="89" t="str">
        <f>IF(Y177="","",Y177+Assumptions!$C$9/(Assumptions!$C$10+Assumptions!$C$11)*(Z177+Assumptions!$C$10+Assumptions!$C$11))</f>
        <v/>
      </c>
      <c r="AD177" s="94" t="str">
        <f>IF(Y177="","",MAX(G177,IF(E177="Luxury",1,2)+MAX(0,ROUNDUP((Y177-Assumptions!$C$9-IF(E177="Luxury",Assumptions!$C$13,Assumptions!$C$12))/Assumptions!$C$8,0))))</f>
        <v/>
      </c>
      <c r="AE177" s="94" t="str">
        <f>IF(Y177="","",MAX(G177,IF(E177="Luxury",1,2)+MAX(0,ROUNDUP((Y177+Assumptions!$C$9/(Assumptions!$C$10+Assumptions!$C$11)*(AA177+Assumptions!$C$10+Assumptions!$C$11)-Assumptions!$C$9-IF(E177="Luxury",Assumptions!$C$13,Assumptions!$C$12))/Assumptions!$C$8,0))))</f>
        <v/>
      </c>
      <c r="AF177" s="94">
        <f t="shared" si="10"/>
        <v>0</v>
      </c>
      <c r="AG177" s="78">
        <v>10</v>
      </c>
      <c r="AH177" s="94">
        <f t="shared" si="11"/>
        <v>10</v>
      </c>
      <c r="AI177" s="94">
        <f t="shared" si="12"/>
        <v>80</v>
      </c>
      <c r="AJ177" s="95" t="s">
        <v>1735</v>
      </c>
      <c r="AK177" s="97">
        <f>IF(_xlfn.MAXIFS($J$127:$J$181,$D$127:$D$181,D177,$E$127:$E$181,E177)=_xlfn.MINIFS($J$127:$J$181,$D$127:$D$181,D177,$E$127:$E$181,E177),0,-Assumptions!$C$5+2*Assumptions!$C$5*(J177-_xlfn.MINIFS($J$127:$J$181,$D$127:$D$181,D177,$E$127:$E$181,E177))/(_xlfn.MAXIFS($J$127:$J$181,$D$127:$D$181,D177,$E$127:$E$181,E177)-_xlfn.MINIFS($J$127:$J$181,$D$127:$D$181,D177,$E$127:$E$181,E177)))</f>
        <v>-50000</v>
      </c>
      <c r="AL177" s="97">
        <f>IF(_xlfn.MAXIFS($K$127:$K$181,$D$127:$D$181,D177,$E$127:$E$181,E177)=_xlfn.MINIFS($K$127:$K$181,$D$127:$D$181,D177,$E$127:$E$181,E177),0,-Assumptions!$C$5+2*Assumptions!$C$5*(K177-_xlfn.MINIFS($K$127:$K$181,$D$127:$D$181,D177,$E$127:$E$181,E177))/(_xlfn.MAXIFS($K$127:$K$181,$D$127:$D$181,D177,$E$127:$E$181,E177)-_xlfn.MINIFS($K$127:$K$181,$D$127:$D$181,D177,$E$127:$E$181,E177)))</f>
        <v>31818.181818181823</v>
      </c>
      <c r="AM177" s="97">
        <f>IF(_xlfn.MAXIFS($O$127:$O$181,$D$127:$D$181,D177,$E$127:$E$181,E177)=_xlfn.MINIFS($O$127:$O$181,$D$127:$D$181,D177,$E$127:$E$181,E177),0,-Assumptions!$C$5+2*Assumptions!$C$5*(O177-_xlfn.MINIFS($O$127:$O$181,$D$127:$D$181,D177,$E$127:$E$181,E177))/(_xlfn.MAXIFS($O$127:$O$181,$D$127:$D$181,D177,$E$127:$E$181,E177)-_xlfn.MINIFS($O$127:$O$181,$D$127:$D$181,D177,$E$127:$E$181,E177)))</f>
        <v>10000</v>
      </c>
    </row>
    <row r="178" spans="1:39" ht="27.75" customHeight="1" x14ac:dyDescent="0.2">
      <c r="A178" s="93">
        <v>52</v>
      </c>
      <c r="B178" s="21">
        <v>11</v>
      </c>
      <c r="C178" s="21" t="s">
        <v>439</v>
      </c>
      <c r="D178" s="20">
        <v>592</v>
      </c>
      <c r="E178" s="21" t="s">
        <v>62</v>
      </c>
      <c r="F178" s="21" t="s">
        <v>41</v>
      </c>
      <c r="G178" s="21">
        <v>2</v>
      </c>
      <c r="H178" s="21">
        <v>21</v>
      </c>
      <c r="I178" s="84" t="s">
        <v>1530</v>
      </c>
      <c r="J178" s="94">
        <f>IF(L178&lt;&gt;"",0,INDEX(Assumptions!$C$17:$C$21,MATCH(I178,Assumptions!$B$17:$B$21,0)))</f>
        <v>0</v>
      </c>
      <c r="K178" s="94">
        <f>INDEX(Assumptions!$C$17:$C$21,MATCH(I178,Assumptions!$B$17:$B$21,0))+R178</f>
        <v>55</v>
      </c>
      <c r="L178" s="94">
        <f>IF(AG178&lt;&gt;"",AG178,IF(OR(Y178="",Z178&gt;Assumptions!$C$7),"",MAX(G178,IF(E178="Luxury",1,2)+MAX(0,ROUNDUP((AC178-Assumptions!$C$9-IF(E178="Luxury",Assumptions!$C$13,Assumptions!$C$12))/Assumptions!$C$8,0)))))</f>
        <v>7</v>
      </c>
      <c r="M178" s="95" t="s">
        <v>1736</v>
      </c>
      <c r="N178" s="78">
        <v>7</v>
      </c>
      <c r="O178" s="94">
        <f>INDEX(Assumptions!$C$17:$C$21,MATCH(I178,Assumptions!$B$17:$B$21,0))+T178</f>
        <v>65</v>
      </c>
      <c r="P178" s="94">
        <f>Assumptions!$F$40+1</f>
        <v>16</v>
      </c>
      <c r="Q178" s="15">
        <f>Assumptions!$D$26</f>
        <v>2608</v>
      </c>
      <c r="R178" s="78">
        <v>10</v>
      </c>
      <c r="S178" s="15">
        <f>Assumptions!$R$40</f>
        <v>3250</v>
      </c>
      <c r="T178" s="78">
        <v>20</v>
      </c>
      <c r="U178" s="63">
        <f>Assumptions!$D$40</f>
        <v>2</v>
      </c>
      <c r="V178" s="63">
        <f>Assumptions!$E$40</f>
        <v>7</v>
      </c>
      <c r="W178" s="63">
        <f>Assumptions!$F$40</f>
        <v>15</v>
      </c>
      <c r="X178" s="95" t="s">
        <v>1737</v>
      </c>
      <c r="Y178" s="80">
        <v>18.3</v>
      </c>
      <c r="Z178" s="80">
        <v>35.9</v>
      </c>
      <c r="AA178" s="80">
        <v>51.6</v>
      </c>
      <c r="AB178" s="96">
        <v>0.87</v>
      </c>
      <c r="AC178" s="89">
        <f>IF(Y178="","",Y178+Assumptions!$C$9/(Assumptions!$C$10+Assumptions!$C$11)*(Z178+Assumptions!$C$10+Assumptions!$C$11))</f>
        <v>31.387999999999998</v>
      </c>
      <c r="AD178" s="94">
        <f>IF(Y178="","",MAX(G178,IF(E178="Luxury",1,2)+MAX(0,ROUNDUP((Y178-Assumptions!$C$9-IF(E178="Luxury",Assumptions!$C$13,Assumptions!$C$12))/Assumptions!$C$8,0))))</f>
        <v>3</v>
      </c>
      <c r="AE178" s="94">
        <f>IF(Y178="","",MAX(G178,IF(E178="Luxury",1,2)+MAX(0,ROUNDUP((Y178+Assumptions!$C$9/(Assumptions!$C$10+Assumptions!$C$11)*(AA178+Assumptions!$C$10+Assumptions!$C$11)-Assumptions!$C$9-IF(E178="Luxury",Assumptions!$C$13,Assumptions!$C$12))/Assumptions!$C$8,0))))</f>
        <v>9</v>
      </c>
      <c r="AF178" s="94">
        <f t="shared" si="10"/>
        <v>0</v>
      </c>
      <c r="AG178" s="78"/>
      <c r="AH178" s="94">
        <f t="shared" si="11"/>
        <v>7</v>
      </c>
      <c r="AI178" s="94">
        <f t="shared" si="12"/>
        <v>65</v>
      </c>
      <c r="AJ178" s="95" t="s">
        <v>1738</v>
      </c>
      <c r="AK178" s="97">
        <f>IF(_xlfn.MAXIFS($J$127:$J$181,$D$127:$D$181,D178,$E$127:$E$181,E178)=_xlfn.MINIFS($J$127:$J$181,$D$127:$D$181,D178,$E$127:$E$181,E178),0,-Assumptions!$C$5+2*Assumptions!$C$5*(J178-_xlfn.MINIFS($J$127:$J$181,$D$127:$D$181,D178,$E$127:$E$181,E178))/(_xlfn.MAXIFS($J$127:$J$181,$D$127:$D$181,D178,$E$127:$E$181,E178)-_xlfn.MINIFS($J$127:$J$181,$D$127:$D$181,D178,$E$127:$E$181,E178)))</f>
        <v>-50000</v>
      </c>
      <c r="AL178" s="97">
        <f>IF(_xlfn.MAXIFS($K$127:$K$181,$D$127:$D$181,D178,$E$127:$E$181,E178)=_xlfn.MINIFS($K$127:$K$181,$D$127:$D$181,D178,$E$127:$E$181,E178),0,-Assumptions!$C$5+2*Assumptions!$C$5*(K178-_xlfn.MINIFS($K$127:$K$181,$D$127:$D$181,D178,$E$127:$E$181,E178))/(_xlfn.MAXIFS($K$127:$K$181,$D$127:$D$181,D178,$E$127:$E$181,E178)-_xlfn.MINIFS($K$127:$K$181,$D$127:$D$181,D178,$E$127:$E$181,E178)))</f>
        <v>50000</v>
      </c>
      <c r="AM178" s="97">
        <f>IF(_xlfn.MAXIFS($O$127:$O$181,$D$127:$D$181,D178,$E$127:$E$181,E178)=_xlfn.MINIFS($O$127:$O$181,$D$127:$D$181,D178,$E$127:$E$181,E178),0,-Assumptions!$C$5+2*Assumptions!$C$5*(O178-_xlfn.MINIFS($O$127:$O$181,$D$127:$D$181,D178,$E$127:$E$181,E178))/(_xlfn.MAXIFS($O$127:$O$181,$D$127:$D$181,D178,$E$127:$E$181,E178)-_xlfn.MINIFS($O$127:$O$181,$D$127:$D$181,D178,$E$127:$E$181,E178)))</f>
        <v>50000</v>
      </c>
    </row>
    <row r="179" spans="1:39" ht="27.75" customHeight="1" x14ac:dyDescent="0.2">
      <c r="A179" s="93">
        <v>53</v>
      </c>
      <c r="B179" s="21">
        <v>11</v>
      </c>
      <c r="C179" s="21" t="s">
        <v>1396</v>
      </c>
      <c r="D179" s="20">
        <v>678</v>
      </c>
      <c r="E179" s="21" t="s">
        <v>62</v>
      </c>
      <c r="F179" s="21" t="s">
        <v>43</v>
      </c>
      <c r="G179" s="21">
        <v>2</v>
      </c>
      <c r="H179" s="21">
        <v>21</v>
      </c>
      <c r="I179" s="84" t="s">
        <v>1530</v>
      </c>
      <c r="J179" s="94">
        <f>IF(L179&lt;&gt;"",0,INDEX(Assumptions!$C$17:$C$21,MATCH(I179,Assumptions!$B$17:$B$21,0)))</f>
        <v>0</v>
      </c>
      <c r="K179" s="94">
        <f>INDEX(Assumptions!$C$17:$C$21,MATCH(I179,Assumptions!$B$17:$B$21,0))+R179</f>
        <v>45</v>
      </c>
      <c r="L179" s="94">
        <f>IF(AG179&lt;&gt;"",AG179,IF(OR(Y179="",Z179&gt;Assumptions!$C$7),"",MAX(G179,IF(E179="Luxury",1,2)+MAX(0,ROUNDUP((AC179-Assumptions!$C$9-IF(E179="Luxury",Assumptions!$C$13,Assumptions!$C$12))/Assumptions!$C$8,0)))))</f>
        <v>7</v>
      </c>
      <c r="M179" s="95" t="s">
        <v>1739</v>
      </c>
      <c r="N179" s="78">
        <v>7</v>
      </c>
      <c r="O179" s="94">
        <f>INDEX(Assumptions!$C$17:$C$21,MATCH(I179,Assumptions!$B$17:$B$21,0))+T179</f>
        <v>50</v>
      </c>
      <c r="P179" s="94">
        <f>Assumptions!$F$41+1</f>
        <v>16</v>
      </c>
      <c r="Q179" s="15">
        <f>Assumptions!$D$27</f>
        <v>2613</v>
      </c>
      <c r="R179" s="78">
        <v>0</v>
      </c>
      <c r="S179" s="15">
        <f>Assumptions!$R$41</f>
        <v>3250</v>
      </c>
      <c r="T179" s="78">
        <v>5</v>
      </c>
      <c r="U179" s="63">
        <f>Assumptions!$D$41</f>
        <v>2</v>
      </c>
      <c r="V179" s="63">
        <f>Assumptions!$E$41</f>
        <v>7</v>
      </c>
      <c r="W179" s="63">
        <f>Assumptions!$F$41</f>
        <v>15</v>
      </c>
      <c r="X179" s="95" t="s">
        <v>1740</v>
      </c>
      <c r="Y179" s="80">
        <v>18.3</v>
      </c>
      <c r="Z179" s="80">
        <v>33.5</v>
      </c>
      <c r="AA179" s="80">
        <v>55.2</v>
      </c>
      <c r="AB179" s="96">
        <v>0.98</v>
      </c>
      <c r="AC179" s="89">
        <f>IF(Y179="","",Y179+Assumptions!$C$9/(Assumptions!$C$10+Assumptions!$C$11)*(Z179+Assumptions!$C$10+Assumptions!$C$11))</f>
        <v>30.62</v>
      </c>
      <c r="AD179" s="94">
        <f>IF(Y179="","",MAX(G179,IF(E179="Luxury",1,2)+MAX(0,ROUNDUP((Y179-Assumptions!$C$9-IF(E179="Luxury",Assumptions!$C$13,Assumptions!$C$12))/Assumptions!$C$8,0))))</f>
        <v>3</v>
      </c>
      <c r="AE179" s="94">
        <f>IF(Y179="","",MAX(G179,IF(E179="Luxury",1,2)+MAX(0,ROUNDUP((Y179+Assumptions!$C$9/(Assumptions!$C$10+Assumptions!$C$11)*(AA179+Assumptions!$C$10+Assumptions!$C$11)-Assumptions!$C$9-IF(E179="Luxury",Assumptions!$C$13,Assumptions!$C$12))/Assumptions!$C$8,0))))</f>
        <v>9</v>
      </c>
      <c r="AF179" s="94">
        <f t="shared" si="10"/>
        <v>0</v>
      </c>
      <c r="AG179" s="78"/>
      <c r="AH179" s="94">
        <f t="shared" si="11"/>
        <v>7</v>
      </c>
      <c r="AI179" s="94">
        <f t="shared" si="12"/>
        <v>80</v>
      </c>
      <c r="AJ179" s="95" t="s">
        <v>1741</v>
      </c>
      <c r="AK179" s="97">
        <f>IF(_xlfn.MAXIFS($J$127:$J$181,$D$127:$D$181,D179,$E$127:$E$181,E179)=_xlfn.MINIFS($J$127:$J$181,$D$127:$D$181,D179,$E$127:$E$181,E179),0,-Assumptions!$C$5+2*Assumptions!$C$5*(J179-_xlfn.MINIFS($J$127:$J$181,$D$127:$D$181,D179,$E$127:$E$181,E179))/(_xlfn.MAXIFS($J$127:$J$181,$D$127:$D$181,D179,$E$127:$E$181,E179)-_xlfn.MINIFS($J$127:$J$181,$D$127:$D$181,D179,$E$127:$E$181,E179)))</f>
        <v>-50000</v>
      </c>
      <c r="AL179" s="97">
        <f>IF(_xlfn.MAXIFS($K$127:$K$181,$D$127:$D$181,D179,$E$127:$E$181,E179)=_xlfn.MINIFS($K$127:$K$181,$D$127:$D$181,D179,$E$127:$E$181,E179),0,-Assumptions!$C$5+2*Assumptions!$C$5*(K179-_xlfn.MINIFS($K$127:$K$181,$D$127:$D$181,D179,$E$127:$E$181,E179))/(_xlfn.MAXIFS($K$127:$K$181,$D$127:$D$181,D179,$E$127:$E$181,E179)-_xlfn.MINIFS($K$127:$K$181,$D$127:$D$181,D179,$E$127:$E$181,E179)))</f>
        <v>25000</v>
      </c>
      <c r="AM179" s="97">
        <f>IF(_xlfn.MAXIFS($O$127:$O$181,$D$127:$D$181,D179,$E$127:$E$181,E179)=_xlfn.MINIFS($O$127:$O$181,$D$127:$D$181,D179,$E$127:$E$181,E179),0,-Assumptions!$C$5+2*Assumptions!$C$5*(O179-_xlfn.MINIFS($O$127:$O$181,$D$127:$D$181,D179,$E$127:$E$181,E179))/(_xlfn.MAXIFS($O$127:$O$181,$D$127:$D$181,D179,$E$127:$E$181,E179)-_xlfn.MINIFS($O$127:$O$181,$D$127:$D$181,D179,$E$127:$E$181,E179)))</f>
        <v>12500</v>
      </c>
    </row>
    <row r="180" spans="1:39" ht="27.75" customHeight="1" x14ac:dyDescent="0.2">
      <c r="A180" s="93">
        <v>54</v>
      </c>
      <c r="B180" s="21">
        <v>11</v>
      </c>
      <c r="C180" s="21" t="s">
        <v>181</v>
      </c>
      <c r="D180" s="20">
        <v>732</v>
      </c>
      <c r="E180" s="21" t="s">
        <v>62</v>
      </c>
      <c r="F180" s="21" t="s">
        <v>44</v>
      </c>
      <c r="G180" s="21">
        <v>2</v>
      </c>
      <c r="H180" s="21">
        <v>21</v>
      </c>
      <c r="I180" s="84" t="s">
        <v>1532</v>
      </c>
      <c r="J180" s="94">
        <f>IF(L180&lt;&gt;"",0,INDEX(Assumptions!$C$17:$C$21,MATCH(I180,Assumptions!$B$17:$B$21,0)))</f>
        <v>0</v>
      </c>
      <c r="K180" s="94">
        <f>INDEX(Assumptions!$C$17:$C$21,MATCH(I180,Assumptions!$B$17:$B$21,0))+R180</f>
        <v>35</v>
      </c>
      <c r="L180" s="94">
        <f>IF(AG180&lt;&gt;"",AG180,IF(OR(Y180="",Z180&gt;Assumptions!$C$7),"",MAX(G180,IF(E180="Luxury",1,2)+MAX(0,ROUNDUP((AC180-Assumptions!$C$9-IF(E180="Luxury",Assumptions!$C$13,Assumptions!$C$12))/Assumptions!$C$8,0)))))</f>
        <v>7</v>
      </c>
      <c r="M180" s="95" t="s">
        <v>1742</v>
      </c>
      <c r="N180" s="78">
        <v>7</v>
      </c>
      <c r="O180" s="94">
        <f>INDEX(Assumptions!$C$17:$C$21,MATCH(I180,Assumptions!$B$17:$B$21,0))+T180</f>
        <v>40</v>
      </c>
      <c r="P180" s="94">
        <f>Assumptions!$F$43+1</f>
        <v>16</v>
      </c>
      <c r="Q180" s="15">
        <f>Assumptions!$D$28</f>
        <v>2630</v>
      </c>
      <c r="R180" s="78">
        <v>5</v>
      </c>
      <c r="S180" s="15">
        <f>Assumptions!$R$43</f>
        <v>3250</v>
      </c>
      <c r="T180" s="78">
        <v>10</v>
      </c>
      <c r="U180" s="63">
        <f>Assumptions!$D$43</f>
        <v>2</v>
      </c>
      <c r="V180" s="63">
        <f>Assumptions!$E$43</f>
        <v>7</v>
      </c>
      <c r="W180" s="63">
        <f>Assumptions!$F$43</f>
        <v>15</v>
      </c>
      <c r="X180" s="95" t="s">
        <v>1743</v>
      </c>
      <c r="Y180" s="80">
        <v>18.3</v>
      </c>
      <c r="Z180" s="80">
        <v>28.9</v>
      </c>
      <c r="AA180" s="80">
        <v>40</v>
      </c>
      <c r="AB180" s="96">
        <v>0.62</v>
      </c>
      <c r="AC180" s="89">
        <f>IF(Y180="","",Y180+Assumptions!$C$9/(Assumptions!$C$10+Assumptions!$C$11)*(Z180+Assumptions!$C$10+Assumptions!$C$11))</f>
        <v>29.148</v>
      </c>
      <c r="AD180" s="94">
        <f>IF(Y180="","",MAX(G180,IF(E180="Luxury",1,2)+MAX(0,ROUNDUP((Y180-Assumptions!$C$9-IF(E180="Luxury",Assumptions!$C$13,Assumptions!$C$12))/Assumptions!$C$8,0))))</f>
        <v>3</v>
      </c>
      <c r="AE180" s="94">
        <f>IF(Y180="","",MAX(G180,IF(E180="Luxury",1,2)+MAX(0,ROUNDUP((Y180+Assumptions!$C$9/(Assumptions!$C$10+Assumptions!$C$11)*(AA180+Assumptions!$C$10+Assumptions!$C$11)-Assumptions!$C$9-IF(E180="Luxury",Assumptions!$C$13,Assumptions!$C$12))/Assumptions!$C$8,0))))</f>
        <v>8</v>
      </c>
      <c r="AF180" s="94">
        <f t="shared" si="10"/>
        <v>0</v>
      </c>
      <c r="AG180" s="78"/>
      <c r="AH180" s="94">
        <f t="shared" si="11"/>
        <v>7</v>
      </c>
      <c r="AI180" s="94">
        <f t="shared" si="12"/>
        <v>65</v>
      </c>
      <c r="AJ180" s="95" t="s">
        <v>1744</v>
      </c>
      <c r="AK180" s="97">
        <f>IF(_xlfn.MAXIFS($J$127:$J$181,$D$127:$D$181,D180,$E$127:$E$181,E180)=_xlfn.MINIFS($J$127:$J$181,$D$127:$D$181,D180,$E$127:$E$181,E180),0,-Assumptions!$C$5+2*Assumptions!$C$5*(J180-_xlfn.MINIFS($J$127:$J$181,$D$127:$D$181,D180,$E$127:$E$181,E180))/(_xlfn.MAXIFS($J$127:$J$181,$D$127:$D$181,D180,$E$127:$E$181,E180)-_xlfn.MINIFS($J$127:$J$181,$D$127:$D$181,D180,$E$127:$E$181,E180)))</f>
        <v>-50000</v>
      </c>
      <c r="AL180" s="97">
        <f>IF(_xlfn.MAXIFS($K$127:$K$181,$D$127:$D$181,D180,$E$127:$E$181,E180)=_xlfn.MINIFS($K$127:$K$181,$D$127:$D$181,D180,$E$127:$E$181,E180),0,-Assumptions!$C$5+2*Assumptions!$C$5*(K180-_xlfn.MINIFS($K$127:$K$181,$D$127:$D$181,D180,$E$127:$E$181,E180))/(_xlfn.MAXIFS($K$127:$K$181,$D$127:$D$181,D180,$E$127:$E$181,E180)-_xlfn.MINIFS($K$127:$K$181,$D$127:$D$181,D180,$E$127:$E$181,E180)))</f>
        <v>-25000</v>
      </c>
      <c r="AM180" s="97">
        <f>IF(_xlfn.MAXIFS($O$127:$O$181,$D$127:$D$181,D180,$E$127:$E$181,E180)=_xlfn.MINIFS($O$127:$O$181,$D$127:$D$181,D180,$E$127:$E$181,E180),0,-Assumptions!$C$5+2*Assumptions!$C$5*(O180-_xlfn.MINIFS($O$127:$O$181,$D$127:$D$181,D180,$E$127:$E$181,E180))/(_xlfn.MAXIFS($O$127:$O$181,$D$127:$D$181,D180,$E$127:$E$181,E180)-_xlfn.MINIFS($O$127:$O$181,$D$127:$D$181,D180,$E$127:$E$181,E180)))</f>
        <v>-50000</v>
      </c>
    </row>
    <row r="181" spans="1:39" ht="27.75" customHeight="1" x14ac:dyDescent="0.2">
      <c r="A181" s="93">
        <v>55</v>
      </c>
      <c r="B181" s="21">
        <v>11</v>
      </c>
      <c r="C181" s="21" t="s">
        <v>1438</v>
      </c>
      <c r="D181" s="20">
        <v>947</v>
      </c>
      <c r="E181" s="21" t="s">
        <v>62</v>
      </c>
      <c r="F181" s="21" t="s">
        <v>45</v>
      </c>
      <c r="G181" s="21">
        <v>2</v>
      </c>
      <c r="H181" s="21">
        <v>21</v>
      </c>
      <c r="I181" s="84" t="s">
        <v>1530</v>
      </c>
      <c r="J181" s="94">
        <f>IF(L181&lt;&gt;"",0,INDEX(Assumptions!$C$17:$C$21,MATCH(I181,Assumptions!$B$17:$B$21,0)))</f>
        <v>0</v>
      </c>
      <c r="K181" s="94">
        <f>INDEX(Assumptions!$C$17:$C$21,MATCH(I181,Assumptions!$B$17:$B$21,0))+R181</f>
        <v>55</v>
      </c>
      <c r="L181" s="94">
        <f>IF(AG181&lt;&gt;"",AG181,IF(OR(Y181="",Z181&gt;Assumptions!$C$7),"",MAX(G181,IF(E181="Luxury",1,2)+MAX(0,ROUNDUP((AC181-Assumptions!$C$9-IF(E181="Luxury",Assumptions!$C$13,Assumptions!$C$12))/Assumptions!$C$8,0)))))</f>
        <v>7</v>
      </c>
      <c r="M181" s="95" t="s">
        <v>1745</v>
      </c>
      <c r="N181" s="78">
        <v>7</v>
      </c>
      <c r="O181" s="94">
        <f>INDEX(Assumptions!$C$17:$C$21,MATCH(I181,Assumptions!$B$17:$B$21,0))+T181</f>
        <v>65</v>
      </c>
      <c r="P181" s="78">
        <v>12</v>
      </c>
      <c r="Q181" s="15">
        <f>Assumptions!$D$30</f>
        <v>2642</v>
      </c>
      <c r="R181" s="78">
        <v>10</v>
      </c>
      <c r="S181" s="15">
        <f>Assumptions!$R$47</f>
        <v>3250</v>
      </c>
      <c r="T181" s="78">
        <v>20</v>
      </c>
      <c r="U181" s="63">
        <f>Assumptions!$D$47</f>
        <v>2</v>
      </c>
      <c r="V181" s="63">
        <f>Assumptions!$E$47</f>
        <v>8</v>
      </c>
      <c r="W181" s="63">
        <f>Assumptions!$F$47</f>
        <v>15</v>
      </c>
      <c r="X181" s="95" t="s">
        <v>1746</v>
      </c>
      <c r="Y181" s="80">
        <v>18.3</v>
      </c>
      <c r="Z181" s="80">
        <v>32.5</v>
      </c>
      <c r="AA181" s="80">
        <v>63.1</v>
      </c>
      <c r="AB181" s="96">
        <v>0.67</v>
      </c>
      <c r="AC181" s="89">
        <f>IF(Y181="","",Y181+Assumptions!$C$9/(Assumptions!$C$10+Assumptions!$C$11)*(Z181+Assumptions!$C$10+Assumptions!$C$11))</f>
        <v>30.3</v>
      </c>
      <c r="AD181" s="94">
        <f>IF(Y181="","",MAX(G181,IF(E181="Luxury",1,2)+MAX(0,ROUNDUP((Y181-Assumptions!$C$9-IF(E181="Luxury",Assumptions!$C$13,Assumptions!$C$12))/Assumptions!$C$8,0))))</f>
        <v>3</v>
      </c>
      <c r="AE181" s="94">
        <f>IF(Y181="","",MAX(G181,IF(E181="Luxury",1,2)+MAX(0,ROUNDUP((Y181+Assumptions!$C$9/(Assumptions!$C$10+Assumptions!$C$11)*(AA181+Assumptions!$C$10+Assumptions!$C$11)-Assumptions!$C$9-IF(E181="Luxury",Assumptions!$C$13,Assumptions!$C$12))/Assumptions!$C$8,0))))</f>
        <v>10</v>
      </c>
      <c r="AF181" s="94">
        <f t="shared" si="10"/>
        <v>0</v>
      </c>
      <c r="AG181" s="78"/>
      <c r="AH181" s="94">
        <f t="shared" si="11"/>
        <v>7</v>
      </c>
      <c r="AI181" s="94">
        <f t="shared" si="12"/>
        <v>65</v>
      </c>
      <c r="AJ181" s="95" t="s">
        <v>1747</v>
      </c>
      <c r="AK181" s="97">
        <f>IF(_xlfn.MAXIFS($J$127:$J$181,$D$127:$D$181,D181,$E$127:$E$181,E181)=_xlfn.MINIFS($J$127:$J$181,$D$127:$D$181,D181,$E$127:$E$181,E181),0,-Assumptions!$C$5+2*Assumptions!$C$5*(J181-_xlfn.MINIFS($J$127:$J$181,$D$127:$D$181,D181,$E$127:$E$181,E181))/(_xlfn.MAXIFS($J$127:$J$181,$D$127:$D$181,D181,$E$127:$E$181,E181)-_xlfn.MINIFS($J$127:$J$181,$D$127:$D$181,D181,$E$127:$E$181,E181)))</f>
        <v>-50000</v>
      </c>
      <c r="AL181" s="97">
        <f>IF(_xlfn.MAXIFS($K$127:$K$181,$D$127:$D$181,D181,$E$127:$E$181,E181)=_xlfn.MINIFS($K$127:$K$181,$D$127:$D$181,D181,$E$127:$E$181,E181),0,-Assumptions!$C$5+2*Assumptions!$C$5*(K181-_xlfn.MINIFS($K$127:$K$181,$D$127:$D$181,D181,$E$127:$E$181,E181))/(_xlfn.MAXIFS($K$127:$K$181,$D$127:$D$181,D181,$E$127:$E$181,E181)-_xlfn.MINIFS($K$127:$K$181,$D$127:$D$181,D181,$E$127:$E$181,E181)))</f>
        <v>50000</v>
      </c>
      <c r="AM181" s="97">
        <f>IF(_xlfn.MAXIFS($O$127:$O$181,$D$127:$D$181,D181,$E$127:$E$181,E181)=_xlfn.MINIFS($O$127:$O$181,$D$127:$D$181,D181,$E$127:$E$181,E181),0,-Assumptions!$C$5+2*Assumptions!$C$5*(O181-_xlfn.MINIFS($O$127:$O$181,$D$127:$D$181,D181,$E$127:$E$181,E181))/(_xlfn.MAXIFS($O$127:$O$181,$D$127:$D$181,D181,$E$127:$E$181,E181)-_xlfn.MINIFS($O$127:$O$181,$D$127:$D$181,D181,$E$127:$E$181,E181)))</f>
        <v>50000</v>
      </c>
    </row>
    <row r="182" spans="1:39" x14ac:dyDescent="0.2">
      <c r="A182" s="3" t="s">
        <v>1748</v>
      </c>
    </row>
  </sheetData>
  <mergeCells count="10">
    <mergeCell ref="A5:B5"/>
    <mergeCell ref="A6:B6"/>
    <mergeCell ref="A7:B7"/>
    <mergeCell ref="A8:B8"/>
    <mergeCell ref="A9:B9"/>
    <mergeCell ref="A10:B10"/>
    <mergeCell ref="A11:B11"/>
    <mergeCell ref="A12:B12"/>
    <mergeCell ref="A13:B13"/>
    <mergeCell ref="A57:V57"/>
  </mergeCells>
  <dataValidations count="1">
    <dataValidation type="list" sqref="I127:I181" xr:uid="{00000000-0002-0000-0E00-000000000000}">
      <formula1>"A,B,C,D,E"</formula1>
      <formula2>0</formula2>
    </dataValidation>
  </dataValidations>
  <pageMargins left="0.75" right="0.75" top="1" bottom="1" header="0.5" footer="0.5"/>
  <pageSetup fitToHeight="0" orientation="landscape" horizontalDpi="300" verticalDpi="300"/>
  <headerFooter>
    <oddHeader>&amp;L&amp;9 Thomson Reserve: Indicative Price Matrix&amp;R&amp;9 Created by Tricia Ong &amp;&amp; Angus Lim</oddHeader>
    <oddFooter>&amp;L&amp;8 Created by Tricia Ong &amp;&amp; Angus Lim. Indicative only, not developer pricing.&amp;C&amp;8 &amp;A&amp;R&amp;8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Read Me</vt:lpstr>
      <vt:lpstr>Summary</vt:lpstr>
      <vt:lpstr>All Units</vt:lpstr>
      <vt:lpstr>2BR</vt:lpstr>
      <vt:lpstr>2BR Premium</vt:lpstr>
      <vt:lpstr>2BR Premium + Study</vt:lpstr>
      <vt:lpstr>3BR</vt:lpstr>
      <vt:lpstr>3BR Premium</vt:lpstr>
      <vt:lpstr>3BR Premium + Study</vt:lpstr>
      <vt:lpstr>4BR</vt:lpstr>
      <vt:lpstr>4BR Premium (PL)</vt:lpstr>
      <vt:lpstr>4BR Premium + Study (PL)</vt:lpstr>
      <vt:lpstr>5BR Suite (PL)</vt:lpstr>
      <vt:lpstr>Developer Matrix</vt:lpstr>
      <vt:lpstr>Assumptions</vt:lpstr>
    </vt:vector>
  </TitlesOfParts>
  <Manager>Tricia Ong &amp; Angus Lim</Manager>
  <Company>Tricia Ong District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Thomson Reserve: Indicative Price Matrix v8</dc:title>
  <dc:subject>Indicative price matrix, all 1,268 units</dc:subject>
  <dc:creator>Tricia Ong &amp; Angus Lim</dc:creator>
  <cp:keywords/>
  <dc:description>Created by Tricia Ong &amp; Angus Lim. Indicative only, not developer pricing.</dc:description>
  <cp:lastModifiedBy>Microsoft Office User</cp:lastModifiedBy>
  <cp:revision>0</cp:revision>
  <dcterms:created xsi:type="dcterms:W3CDTF">2026-10-19T17:29:28Z</dcterms:created>
  <dcterms:modified xsi:type="dcterms:W3CDTF">2026-10-19T18:31:52Z</dcterms:modified>
  <cp:category/>
  <dc:language>en-US</dc:language>
</cp:coreProperties>
</file>